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SI\Desktop\АП\input\"/>
    </mc:Choice>
  </mc:AlternateContent>
  <xr:revisionPtr revIDLastSave="0" documentId="13_ncr:1_{A20FC152-F6DD-40DE-A162-4089C81A4FDD}" xr6:coauthVersionLast="47" xr6:coauthVersionMax="47" xr10:uidLastSave="{00000000-0000-0000-0000-000000000000}"/>
  <x:bookViews>
    <x:workbookView xWindow="5685" yWindow="5130" windowWidth="21600" windowHeight="8850" firstSheet="1" activeTab="32" xr2:uid="{00000000-000D-0000-FFFF-FFFF00000000}"/>
  </x:bookViews>
  <x:sheets>
    <x:sheet name="ШР" sheetId="1" state="hidden" r:id="rId1"/>
    <x:sheet name="Сводная" sheetId="2" r:id="rId2"/>
    <x:sheet name="ЭЛОУ-АВТ-6" sheetId="3" r:id="rId3"/>
    <x:sheet name="ГФУ-2" sheetId="4" r:id="rId4"/>
    <x:sheet name="ВБ" sheetId="5" r:id="rId5"/>
    <x:sheet name="УПБ" sheetId="6" r:id="rId6"/>
    <x:sheet name="ЛЧ_35_11_1000" sheetId="7" r:id="rId7"/>
    <x:sheet name="УИЛН+КЦА" sheetId="8" r:id="rId8"/>
    <x:sheet name="ЛЧ_24_2000" sheetId="9" r:id="rId9"/>
    <x:sheet name="Л 24_5" sheetId="30" r:id="rId10"/>
    <x:sheet name="МТБЭ" sheetId="10" r:id="rId11"/>
    <x:sheet name="ГОБКК" sheetId="11" r:id="rId12"/>
    <x:sheet name="УПС" sheetId="12" r:id="rId13"/>
    <x:sheet name="УПВ" sheetId="13" r:id="rId14"/>
    <x:sheet name="ФУиУСУГиП" sheetId="14" r:id="rId15"/>
    <x:sheet name="ТАМЕ" sheetId="31" r:id="rId16"/>
    <x:sheet name="Г-43-107" sheetId="15" r:id="rId17"/>
    <x:sheet name="КУПН" sheetId="16" r:id="rId18"/>
    <x:sheet name="УПА" sheetId="17" r:id="rId19"/>
    <x:sheet name="Котельные" sheetId="18" r:id="rId20"/>
    <x:sheet name="ЦВК" sheetId="19" r:id="rId21"/>
    <x:sheet name="ХВП" sheetId="20" r:id="rId22"/>
    <x:sheet name="ГРС" sheetId="21" r:id="rId23"/>
    <x:sheet name="АСБиКТ" sheetId="22" r:id="rId24"/>
    <x:sheet name="СНМиВГ" sheetId="23" r:id="rId25"/>
    <x:sheet name="БРиДТ" sheetId="24" r:id="rId26"/>
    <x:sheet name="РХиПНО" sheetId="25" r:id="rId27"/>
    <x:sheet name="ЭНСН" sheetId="26" r:id="rId28"/>
    <x:sheet name="КОС" sheetId="27" r:id="rId29"/>
    <x:sheet name="БОВ-8а" sheetId="28" r:id="rId30"/>
    <x:sheet name="ЦУП" sheetId="29" r:id="rId31"/>
    <x:sheet name="Шаблон" sheetId="32" r:id="rId32"/>
    <x:sheet name="График посещаемости" sheetId="35" r:id="rId33"/>
    <x:sheet name="Новые сотрудники" sheetId="36" r:id="rId42"/>
    <x:sheet name="Отчёт обработки" sheetId="37" r:id="rId43"/>
  </x:sheets>
  <x:externalReferences>
    <x:externalReference r:id="rId36"/>
    <x:externalReference r:id="rId37"/>
  </x:externalReferences>
  <x:definedNames>
    <x:definedName name="_xlnm._FilterDatabase" localSheetId="0" hidden="1">ШР!$A$1:$E$948</x:definedName>
    <x:definedName name="_xlnm._FilterDatabase" localSheetId="33" hidden="1">'Новые сотрудники'!$A$1:$M$1</x:definedName>
  </x:definedNames>
  <x:calcPr calcId="191029" calcMode="auto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D4" i="2"/>
  <x:c r="E4" i="2"/>
  <x:c r="G4" i="2"/>
  <x:c r="H4" i="2"/>
  <x:c r="J4" i="2"/>
  <x:c r="K4" i="2"/>
  <x:c r="M4" i="2"/>
  <x:c r="N4" i="2"/>
  <x:c r="P4" i="2"/>
  <x:c r="Q4" i="2"/>
  <x:c r="S4" i="2"/>
  <x:c r="T4" i="2"/>
  <x:c r="V4" i="2"/>
  <x:c r="W4" i="2"/>
  <x:c r="Y4" i="2"/>
  <x:c r="Z4" i="2"/>
  <x:c r="AB4" i="2"/>
  <x:c r="AC4" i="2"/>
  <x:c r="AE4" i="2"/>
  <x:c r="AF4" i="2"/>
  <x:c r="AH4" i="2"/>
  <x:c r="AI4" i="2"/>
  <x:c r="AK4" i="2"/>
  <x:c r="AL4" i="2"/>
  <x:c r="D5" i="2"/>
  <x:c r="E5" i="2"/>
  <x:c r="G5" i="2"/>
  <x:c r="H5" i="2"/>
  <x:c r="J5" i="2"/>
  <x:c r="K5" i="2"/>
  <x:c r="M5" i="2"/>
  <x:c r="N5" i="2"/>
  <x:c r="P5" i="2"/>
  <x:c r="Q5" i="2"/>
  <x:c r="S5" i="2"/>
  <x:c r="T5" i="2"/>
  <x:c r="V5" i="2"/>
  <x:c r="W5" i="2"/>
  <x:c r="Y5" i="2"/>
  <x:c r="Z5" i="2"/>
  <x:c r="AB5" i="2"/>
  <x:c r="AC5" i="2"/>
  <x:c r="AE5" i="2"/>
  <x:c r="AF5" i="2"/>
  <x:c r="AH5" i="2"/>
  <x:c r="AI5" i="2"/>
  <x:c r="AK5" i="2"/>
  <x:c r="AL5" i="2"/>
  <x:c r="D6" i="2"/>
  <x:c r="E6" i="2"/>
  <x:c r="G6" i="2"/>
  <x:c r="H6" i="2"/>
  <x:c r="J6" i="2"/>
  <x:c r="K6" i="2"/>
  <x:c r="M6" i="2"/>
  <x:c r="N6" i="2"/>
  <x:c r="P6" i="2"/>
  <x:c r="Q6" i="2"/>
  <x:c r="S6" i="2"/>
  <x:c r="T6" i="2"/>
  <x:c r="V6" i="2"/>
  <x:c r="W6" i="2"/>
  <x:c r="Y6" i="2"/>
  <x:c r="Z6" i="2"/>
  <x:c r="AB6" i="2"/>
  <x:c r="AC6" i="2"/>
  <x:c r="AE6" i="2"/>
  <x:c r="AF6" i="2"/>
  <x:c r="AH6" i="2"/>
  <x:c r="AI6" i="2"/>
  <x:c r="AK6" i="2"/>
  <x:c r="AL6" i="2"/>
  <x:c r="D7" i="2"/>
  <x:c r="E7" i="2"/>
  <x:c r="G7" i="2"/>
  <x:c r="H7" i="2"/>
  <x:c r="J7" i="2"/>
  <x:c r="K7" i="2"/>
  <x:c r="M7" i="2"/>
  <x:c r="N7" i="2"/>
  <x:c r="P7" i="2"/>
  <x:c r="Q7" i="2"/>
  <x:c r="S7" i="2"/>
  <x:c r="T7" i="2"/>
  <x:c r="V7" i="2"/>
  <x:c r="W7" i="2"/>
  <x:c r="Y7" i="2"/>
  <x:c r="Z7" i="2"/>
  <x:c r="AB7" i="2"/>
  <x:c r="AC7" i="2"/>
  <x:c r="AE7" i="2"/>
  <x:c r="AF7" i="2"/>
  <x:c r="AH7" i="2"/>
  <x:c r="AI7" i="2"/>
  <x:c r="AK7" i="2"/>
  <x:c r="AL7" i="2"/>
  <x:c r="D8" i="2"/>
  <x:c r="E8" i="2"/>
  <x:c r="G8" i="2"/>
  <x:c r="H8" i="2"/>
  <x:c r="J8" i="2"/>
  <x:c r="K8" i="2"/>
  <x:c r="M8" i="2"/>
  <x:c r="N8" i="2"/>
  <x:c r="P8" i="2"/>
  <x:c r="Q8" i="2"/>
  <x:c r="S8" i="2"/>
  <x:c r="T8" i="2"/>
  <x:c r="V8" i="2"/>
  <x:c r="W8" i="2"/>
  <x:c r="Y8" i="2"/>
  <x:c r="Z8" i="2"/>
  <x:c r="AB8" i="2"/>
  <x:c r="AC8" i="2"/>
  <x:c r="AE8" i="2"/>
  <x:c r="AF8" i="2"/>
  <x:c r="AH8" i="2"/>
  <x:c r="AI8" i="2"/>
  <x:c r="AK8" i="2"/>
  <x:c r="AL8" i="2"/>
  <x:c r="D9" i="2"/>
  <x:c r="E9" i="2"/>
  <x:c r="G9" i="2"/>
  <x:c r="H9" i="2"/>
  <x:c r="J9" i="2"/>
  <x:c r="K9" i="2"/>
  <x:c r="M9" i="2"/>
  <x:c r="N9" i="2"/>
  <x:c r="P9" i="2"/>
  <x:c r="Q9" i="2"/>
  <x:c r="S9" i="2"/>
  <x:c r="T9" i="2"/>
  <x:c r="V9" i="2"/>
  <x:c r="W9" i="2"/>
  <x:c r="Y9" i="2"/>
  <x:c r="Z9" i="2"/>
  <x:c r="AB9" i="2"/>
  <x:c r="AC9" i="2"/>
  <x:c r="AE9" i="2"/>
  <x:c r="AF9" i="2"/>
  <x:c r="AH9" i="2"/>
  <x:c r="AI9" i="2"/>
  <x:c r="AK9" i="2"/>
  <x:c r="AL9" i="2"/>
  <x:c r="D10" i="2"/>
  <x:c r="E10" i="2"/>
  <x:c r="G10" i="2"/>
  <x:c r="H10" i="2"/>
  <x:c r="J10" i="2"/>
  <x:c r="K10" i="2"/>
  <x:c r="M10" i="2"/>
  <x:c r="N10" i="2"/>
  <x:c r="P10" i="2"/>
  <x:c r="Q10" i="2"/>
  <x:c r="S10" i="2"/>
  <x:c r="T10" i="2"/>
  <x:c r="V10" i="2"/>
  <x:c r="W10" i="2"/>
  <x:c r="Y10" i="2"/>
  <x:c r="Z10" i="2"/>
  <x:c r="AB10" i="2"/>
  <x:c r="AC10" i="2"/>
  <x:c r="AE10" i="2"/>
  <x:c r="AF10" i="2"/>
  <x:c r="AH10" i="2"/>
  <x:c r="AI10" i="2"/>
  <x:c r="AK10" i="2"/>
  <x:c r="AL10" i="2"/>
  <x:c r="D11" i="2"/>
  <x:c r="E11" i="2"/>
  <x:c r="G11" i="2"/>
  <x:c r="H11" i="2"/>
  <x:c r="J11" i="2"/>
  <x:c r="K11" i="2"/>
  <x:c r="M11" i="2"/>
  <x:c r="N11" i="2"/>
  <x:c r="P11" i="2"/>
  <x:c r="Q11" i="2"/>
  <x:c r="S11" i="2"/>
  <x:c r="T11" i="2"/>
  <x:c r="V11" i="2"/>
  <x:c r="W11" i="2"/>
  <x:c r="Y11" i="2"/>
  <x:c r="Z11" i="2"/>
  <x:c r="AB11" i="2"/>
  <x:c r="AC11" i="2"/>
  <x:c r="AE11" i="2"/>
  <x:c r="AF11" i="2"/>
  <x:c r="AH11" i="2"/>
  <x:c r="AI11" i="2"/>
  <x:c r="AK11" i="2"/>
  <x:c r="AL11" i="2"/>
  <x:c r="D12" i="2"/>
  <x:c r="E12" i="2"/>
  <x:c r="G12" i="2"/>
  <x:c r="H12" i="2"/>
  <x:c r="J12" i="2"/>
  <x:c r="K12" i="2"/>
  <x:c r="M12" i="2"/>
  <x:c r="N12" i="2"/>
  <x:c r="P12" i="2"/>
  <x:c r="Q12" i="2"/>
  <x:c r="S12" i="2"/>
  <x:c r="T12" i="2"/>
  <x:c r="V12" i="2"/>
  <x:c r="W12" i="2"/>
  <x:c r="Y12" i="2"/>
  <x:c r="Z12" i="2"/>
  <x:c r="AB12" i="2"/>
  <x:c r="AC12" i="2"/>
  <x:c r="AE12" i="2"/>
  <x:c r="AF12" i="2"/>
  <x:c r="AH12" i="2"/>
  <x:c r="AI12" i="2"/>
  <x:c r="AK12" i="2"/>
  <x:c r="AL12" i="2"/>
  <x:c r="D13" i="2"/>
  <x:c r="E13" i="2"/>
  <x:c r="G13" i="2"/>
  <x:c r="H13" i="2"/>
  <x:c r="J13" i="2"/>
  <x:c r="K13" i="2"/>
  <x:c r="M13" i="2"/>
  <x:c r="N13" i="2"/>
  <x:c r="P13" i="2"/>
  <x:c r="Q13" i="2"/>
  <x:c r="S13" i="2"/>
  <x:c r="T13" i="2"/>
  <x:c r="V13" i="2"/>
  <x:c r="W13" i="2"/>
  <x:c r="Y13" i="2"/>
  <x:c r="Z13" i="2"/>
  <x:c r="AB13" i="2"/>
  <x:c r="AC13" i="2"/>
  <x:c r="AE13" i="2"/>
  <x:c r="AF13" i="2"/>
  <x:c r="AH13" i="2"/>
  <x:c r="AI13" i="2"/>
  <x:c r="AK13" i="2"/>
  <x:c r="AL13" i="2"/>
  <x:c r="D14" i="2"/>
  <x:c r="E14" i="2"/>
  <x:c r="G14" i="2"/>
  <x:c r="H14" i="2"/>
  <x:c r="J14" i="2"/>
  <x:c r="K14" i="2"/>
  <x:c r="M14" i="2"/>
  <x:c r="N14" i="2"/>
  <x:c r="P14" i="2"/>
  <x:c r="Q14" i="2"/>
  <x:c r="S14" i="2"/>
  <x:c r="T14" i="2"/>
  <x:c r="V14" i="2"/>
  <x:c r="W14" i="2"/>
  <x:c r="Y14" i="2"/>
  <x:c r="Z14" i="2"/>
  <x:c r="AB14" i="2"/>
  <x:c r="AC14" i="2"/>
  <x:c r="AE14" i="2"/>
  <x:c r="AF14" i="2"/>
  <x:c r="AH14" i="2"/>
  <x:c r="AI14" i="2"/>
  <x:c r="AK14" i="2"/>
  <x:c r="AL14" i="2"/>
  <x:c r="D15" i="2"/>
  <x:c r="E15" i="2"/>
  <x:c r="G15" i="2"/>
  <x:c r="H15" i="2"/>
  <x:c r="J15" i="2"/>
  <x:c r="K15" i="2"/>
  <x:c r="M15" i="2"/>
  <x:c r="N15" i="2"/>
  <x:c r="P15" i="2"/>
  <x:c r="Q15" i="2"/>
  <x:c r="S15" i="2"/>
  <x:c r="T15" i="2"/>
  <x:c r="V15" i="2"/>
  <x:c r="W15" i="2"/>
  <x:c r="Y15" i="2"/>
  <x:c r="Z15" i="2"/>
  <x:c r="AB15" i="2"/>
  <x:c r="AC15" i="2"/>
  <x:c r="AE15" i="2"/>
  <x:c r="AF15" i="2"/>
  <x:c r="AH15" i="2"/>
  <x:c r="AI15" i="2"/>
  <x:c r="AK15" i="2"/>
  <x:c r="AL15" i="2"/>
  <x:c r="D16" i="2"/>
  <x:c r="E16" i="2"/>
  <x:c r="G16" i="2"/>
  <x:c r="H16" i="2"/>
  <x:c r="J16" i="2"/>
  <x:c r="K16" i="2"/>
  <x:c r="M16" i="2"/>
  <x:c r="N16" i="2"/>
  <x:c r="P16" i="2"/>
  <x:c r="Q16" i="2"/>
  <x:c r="S16" i="2"/>
  <x:c r="T16" i="2"/>
  <x:c r="V16" i="2"/>
  <x:c r="W16" i="2"/>
  <x:c r="Y16" i="2"/>
  <x:c r="Z16" i="2"/>
  <x:c r="AB16" i="2"/>
  <x:c r="AC16" i="2"/>
  <x:c r="AE16" i="2"/>
  <x:c r="AF16" i="2"/>
  <x:c r="AH16" i="2"/>
  <x:c r="AI16" i="2"/>
  <x:c r="AK16" i="2"/>
  <x:c r="AL16" i="2"/>
  <x:c r="D17" i="2"/>
  <x:c r="E17" i="2"/>
  <x:c r="G17" i="2"/>
  <x:c r="H17" i="2"/>
  <x:c r="J17" i="2"/>
  <x:c r="K17" i="2"/>
  <x:c r="M17" i="2"/>
  <x:c r="N17" i="2"/>
  <x:c r="P17" i="2"/>
  <x:c r="Q17" i="2"/>
  <x:c r="S17" i="2"/>
  <x:c r="T17" i="2"/>
  <x:c r="V17" i="2"/>
  <x:c r="W17" i="2"/>
  <x:c r="Y17" i="2"/>
  <x:c r="Z17" i="2"/>
  <x:c r="AB17" i="2"/>
  <x:c r="AC17" i="2"/>
  <x:c r="AE17" i="2"/>
  <x:c r="AF17" i="2"/>
  <x:c r="AH17" i="2"/>
  <x:c r="AI17" i="2"/>
  <x:c r="AK17" i="2"/>
  <x:c r="AL17" i="2"/>
  <x:c r="D18" i="2"/>
  <x:c r="E18" i="2"/>
  <x:c r="G18" i="2"/>
  <x:c r="H18" i="2"/>
  <x:c r="J18" i="2"/>
  <x:c r="K18" i="2"/>
  <x:c r="M18" i="2"/>
  <x:c r="N18" i="2"/>
  <x:c r="P18" i="2"/>
  <x:c r="Q18" i="2"/>
  <x:c r="S18" i="2"/>
  <x:c r="T18" i="2"/>
  <x:c r="V18" i="2"/>
  <x:c r="W18" i="2"/>
  <x:c r="Y18" i="2"/>
  <x:c r="Z18" i="2"/>
  <x:c r="AB18" i="2"/>
  <x:c r="AC18" i="2"/>
  <x:c r="AE18" i="2"/>
  <x:c r="AF18" i="2"/>
  <x:c r="AH18" i="2"/>
  <x:c r="AI18" i="2"/>
  <x:c r="AK18" i="2"/>
  <x:c r="AL18" i="2"/>
  <x:c r="D19" i="2"/>
  <x:c r="E19" i="2"/>
  <x:c r="G19" i="2"/>
  <x:c r="H19" i="2"/>
  <x:c r="J19" i="2"/>
  <x:c r="K19" i="2"/>
  <x:c r="M19" i="2"/>
  <x:c r="N19" i="2"/>
  <x:c r="P19" i="2"/>
  <x:c r="Q19" i="2"/>
  <x:c r="S19" i="2"/>
  <x:c r="T19" i="2"/>
  <x:c r="V19" i="2"/>
  <x:c r="W19" i="2"/>
  <x:c r="Y19" i="2"/>
  <x:c r="Z19" i="2"/>
  <x:c r="AB19" i="2"/>
  <x:c r="AC19" i="2"/>
  <x:c r="AE19" i="2"/>
  <x:c r="AF19" i="2"/>
  <x:c r="AH19" i="2"/>
  <x:c r="AI19" i="2"/>
  <x:c r="AK19" i="2"/>
  <x:c r="AL19" i="2"/>
  <x:c r="D20" i="2"/>
  <x:c r="E20" i="2"/>
  <x:c r="G20" i="2"/>
  <x:c r="H20" i="2"/>
  <x:c r="J20" i="2"/>
  <x:c r="K20" i="2"/>
  <x:c r="M20" i="2"/>
  <x:c r="N20" i="2"/>
  <x:c r="P20" i="2"/>
  <x:c r="Q20" i="2"/>
  <x:c r="S20" i="2"/>
  <x:c r="T20" i="2"/>
  <x:c r="V20" i="2"/>
  <x:c r="W20" i="2"/>
  <x:c r="Y20" i="2"/>
  <x:c r="Z20" i="2"/>
  <x:c r="AB20" i="2"/>
  <x:c r="AC20" i="2"/>
  <x:c r="AE20" i="2"/>
  <x:c r="AF20" i="2"/>
  <x:c r="AH20" i="2"/>
  <x:c r="AI20" i="2"/>
  <x:c r="AK20" i="2"/>
  <x:c r="AL20" i="2"/>
  <x:c r="D21" i="2"/>
  <x:c r="E21" i="2"/>
  <x:c r="G21" i="2"/>
  <x:c r="H21" i="2"/>
  <x:c r="J21" i="2"/>
  <x:c r="K21" i="2"/>
  <x:c r="M21" i="2"/>
  <x:c r="N21" i="2"/>
  <x:c r="P21" i="2"/>
  <x:c r="Q21" i="2"/>
  <x:c r="S21" i="2"/>
  <x:c r="T21" i="2"/>
  <x:c r="V21" i="2"/>
  <x:c r="W21" i="2"/>
  <x:c r="Y21" i="2"/>
  <x:c r="Z21" i="2"/>
  <x:c r="AB21" i="2"/>
  <x:c r="AC21" i="2"/>
  <x:c r="AE21" i="2"/>
  <x:c r="AF21" i="2"/>
  <x:c r="AH21" i="2"/>
  <x:c r="AI21" i="2"/>
  <x:c r="AK21" i="2"/>
  <x:c r="AL21" i="2"/>
  <x:c r="D22" i="2"/>
  <x:c r="E22" i="2"/>
  <x:c r="G22" i="2"/>
  <x:c r="H22" i="2"/>
  <x:c r="J22" i="2"/>
  <x:c r="K22" i="2"/>
  <x:c r="M22" i="2"/>
  <x:c r="N22" i="2"/>
  <x:c r="P22" i="2"/>
  <x:c r="Q22" i="2"/>
  <x:c r="S22" i="2"/>
  <x:c r="T22" i="2"/>
  <x:c r="V22" i="2"/>
  <x:c r="W22" i="2"/>
  <x:c r="Y22" i="2"/>
  <x:c r="Z22" i="2"/>
  <x:c r="AB22" i="2"/>
  <x:c r="AC22" i="2"/>
  <x:c r="AE22" i="2"/>
  <x:c r="AF22" i="2"/>
  <x:c r="AH22" i="2"/>
  <x:c r="AI22" i="2"/>
  <x:c r="AK22" i="2"/>
  <x:c r="AL22" i="2"/>
  <x:c r="D23" i="2"/>
  <x:c r="E23" i="2"/>
  <x:c r="G23" i="2"/>
  <x:c r="H23" i="2"/>
  <x:c r="J23" i="2"/>
  <x:c r="K23" i="2"/>
  <x:c r="M23" i="2"/>
  <x:c r="N23" i="2"/>
  <x:c r="P23" i="2"/>
  <x:c r="Q23" i="2"/>
  <x:c r="S23" i="2"/>
  <x:c r="T23" i="2"/>
  <x:c r="V23" i="2"/>
  <x:c r="W23" i="2"/>
  <x:c r="Y23" i="2"/>
  <x:c r="Z23" i="2"/>
  <x:c r="AB23" i="2"/>
  <x:c r="AC23" i="2"/>
  <x:c r="AE23" i="2"/>
  <x:c r="AF23" i="2"/>
  <x:c r="AH23" i="2"/>
  <x:c r="AI23" i="2"/>
  <x:c r="AK23" i="2"/>
  <x:c r="AL23" i="2"/>
  <x:c r="D24" i="2"/>
  <x:c r="E24" i="2"/>
  <x:c r="G24" i="2"/>
  <x:c r="H24" i="2"/>
  <x:c r="J24" i="2"/>
  <x:c r="K24" i="2"/>
  <x:c r="M24" i="2"/>
  <x:c r="N24" i="2"/>
  <x:c r="P24" i="2"/>
  <x:c r="Q24" i="2"/>
  <x:c r="S24" i="2"/>
  <x:c r="T24" i="2"/>
  <x:c r="V24" i="2"/>
  <x:c r="W24" i="2"/>
  <x:c r="Y24" i="2"/>
  <x:c r="Z24" i="2"/>
  <x:c r="AB24" i="2"/>
  <x:c r="AC24" i="2"/>
  <x:c r="AE24" i="2"/>
  <x:c r="AF24" i="2"/>
  <x:c r="AH24" i="2"/>
  <x:c r="AI24" i="2"/>
  <x:c r="AK24" i="2"/>
  <x:c r="AL24" i="2"/>
  <x:c r="D25" i="2"/>
  <x:c r="E25" i="2"/>
  <x:c r="G25" i="2"/>
  <x:c r="H25" i="2"/>
  <x:c r="J25" i="2"/>
  <x:c r="K25" i="2"/>
  <x:c r="M25" i="2"/>
  <x:c r="N25" i="2"/>
  <x:c r="P25" i="2"/>
  <x:c r="Q25" i="2"/>
  <x:c r="S25" i="2"/>
  <x:c r="T25" i="2"/>
  <x:c r="V25" i="2"/>
  <x:c r="W25" i="2"/>
  <x:c r="Y25" i="2"/>
  <x:c r="Z25" i="2"/>
  <x:c r="AB25" i="2"/>
  <x:c r="AC25" i="2"/>
  <x:c r="AE25" i="2"/>
  <x:c r="AF25" i="2"/>
  <x:c r="AH25" i="2"/>
  <x:c r="AI25" i="2"/>
  <x:c r="AK25" i="2"/>
  <x:c r="AL25" i="2"/>
  <x:c r="D26" i="2"/>
  <x:c r="E26" i="2"/>
  <x:c r="G26" i="2"/>
  <x:c r="H26" i="2"/>
  <x:c r="J26" i="2"/>
  <x:c r="K26" i="2"/>
  <x:c r="M26" i="2"/>
  <x:c r="N26" i="2"/>
  <x:c r="P26" i="2"/>
  <x:c r="Q26" i="2"/>
  <x:c r="S26" i="2"/>
  <x:c r="T26" i="2"/>
  <x:c r="V26" i="2"/>
  <x:c r="W26" i="2"/>
  <x:c r="Y26" i="2"/>
  <x:c r="Z26" i="2"/>
  <x:c r="AB26" i="2"/>
  <x:c r="AC26" i="2"/>
  <x:c r="AE26" i="2"/>
  <x:c r="AF26" i="2"/>
  <x:c r="AH26" i="2"/>
  <x:c r="AI26" i="2"/>
  <x:c r="AK26" i="2"/>
  <x:c r="AL26" i="2"/>
  <x:c r="D27" i="2"/>
  <x:c r="E27" i="2"/>
  <x:c r="G27" i="2"/>
  <x:c r="H27" i="2"/>
  <x:c r="J27" i="2"/>
  <x:c r="K27" i="2"/>
  <x:c r="M27" i="2"/>
  <x:c r="N27" i="2"/>
  <x:c r="P27" i="2"/>
  <x:c r="Q27" i="2"/>
  <x:c r="S27" i="2"/>
  <x:c r="T27" i="2"/>
  <x:c r="V27" i="2"/>
  <x:c r="W27" i="2"/>
  <x:c r="Y27" i="2"/>
  <x:c r="Z27" i="2"/>
  <x:c r="AB27" i="2"/>
  <x:c r="AC27" i="2"/>
  <x:c r="AE27" i="2"/>
  <x:c r="AF27" i="2"/>
  <x:c r="AH27" i="2"/>
  <x:c r="AI27" i="2"/>
  <x:c r="AK27" i="2"/>
  <x:c r="AL27" i="2"/>
  <x:c r="D28" i="2"/>
  <x:c r="E28" i="2"/>
  <x:c r="G28" i="2"/>
  <x:c r="H28" i="2"/>
  <x:c r="J28" i="2"/>
  <x:c r="K28" i="2"/>
  <x:c r="M28" i="2"/>
  <x:c r="N28" i="2"/>
  <x:c r="P28" i="2"/>
  <x:c r="Q28" i="2"/>
  <x:c r="S28" i="2"/>
  <x:c r="T28" i="2"/>
  <x:c r="V28" i="2"/>
  <x:c r="W28" i="2"/>
  <x:c r="Y28" i="2"/>
  <x:c r="Z28" i="2"/>
  <x:c r="AB28" i="2"/>
  <x:c r="AC28" i="2"/>
  <x:c r="AE28" i="2"/>
  <x:c r="AF28" i="2"/>
  <x:c r="AH28" i="2"/>
  <x:c r="AI28" i="2"/>
  <x:c r="AK28" i="2"/>
  <x:c r="AL28" i="2"/>
  <x:c r="D29" i="2"/>
  <x:c r="E29" i="2"/>
  <x:c r="G29" i="2"/>
  <x:c r="H29" i="2"/>
  <x:c r="J29" i="2"/>
  <x:c r="K29" i="2"/>
  <x:c r="M29" i="2"/>
  <x:c r="N29" i="2"/>
  <x:c r="P29" i="2"/>
  <x:c r="Q29" i="2"/>
  <x:c r="S29" i="2"/>
  <x:c r="T29" i="2"/>
  <x:c r="V29" i="2"/>
  <x:c r="W29" i="2"/>
  <x:c r="Y29" i="2"/>
  <x:c r="Z29" i="2"/>
  <x:c r="AB29" i="2"/>
  <x:c r="AC29" i="2"/>
  <x:c r="AE29" i="2"/>
  <x:c r="AF29" i="2"/>
  <x:c r="AH29" i="2"/>
  <x:c r="AI29" i="2"/>
  <x:c r="AK29" i="2"/>
  <x:c r="AL29" i="2"/>
  <x:c r="D30" i="2"/>
  <x:c r="E30" i="2"/>
  <x:c r="G30" i="2"/>
  <x:c r="H30" i="2"/>
  <x:c r="J30" i="2"/>
  <x:c r="K30" i="2"/>
  <x:c r="M30" i="2"/>
  <x:c r="N30" i="2"/>
  <x:c r="P30" i="2"/>
  <x:c r="Q30" i="2"/>
  <x:c r="S30" i="2"/>
  <x:c r="T30" i="2"/>
  <x:c r="V30" i="2"/>
  <x:c r="W30" i="2"/>
  <x:c r="Y30" i="2"/>
  <x:c r="Z30" i="2"/>
  <x:c r="AB30" i="2"/>
  <x:c r="AC30" i="2"/>
  <x:c r="AE30" i="2"/>
  <x:c r="AF30" i="2"/>
  <x:c r="AH30" i="2"/>
  <x:c r="AI30" i="2"/>
  <x:c r="AK30" i="2"/>
  <x:c r="AL30" i="2"/>
  <x:c r="D31" i="2"/>
  <x:c r="E31" i="2"/>
  <x:c r="G31" i="2"/>
  <x:c r="H31" i="2"/>
  <x:c r="J31" i="2"/>
  <x:c r="K31" i="2"/>
  <x:c r="M31" i="2"/>
  <x:c r="N31" i="2"/>
  <x:c r="P31" i="2"/>
  <x:c r="Q31" i="2"/>
  <x:c r="S31" i="2"/>
  <x:c r="T31" i="2"/>
  <x:c r="V31" i="2"/>
  <x:c r="W31" i="2"/>
  <x:c r="Y31" i="2"/>
  <x:c r="Z31" i="2"/>
  <x:c r="AB31" i="2"/>
  <x:c r="AC31" i="2"/>
  <x:c r="AE31" i="2"/>
  <x:c r="AF31" i="2"/>
  <x:c r="AH31" i="2"/>
  <x:c r="AI31" i="2"/>
  <x:c r="AK31" i="2"/>
  <x:c r="AL31" i="2"/>
  <x:c r="D32" i="2"/>
  <x:c r="E32" i="2"/>
  <x:c r="G32" i="2"/>
  <x:c r="H32" i="2"/>
  <x:c r="J32" i="2"/>
  <x:c r="K32" i="2"/>
  <x:c r="M32" i="2"/>
  <x:c r="N32" i="2"/>
  <x:c r="P32" i="2"/>
  <x:c r="Q32" i="2"/>
  <x:c r="S32" i="2"/>
  <x:c r="T32" i="2"/>
  <x:c r="V32" i="2"/>
  <x:c r="W32" i="2"/>
  <x:c r="Y32" i="2"/>
  <x:c r="Z32" i="2"/>
  <x:c r="AB32" i="2"/>
  <x:c r="AC32" i="2"/>
  <x:c r="AE32" i="2"/>
  <x:c r="AF32" i="2"/>
  <x:c r="AH32" i="2"/>
  <x:c r="AI32" i="2"/>
  <x:c r="AK32" i="2"/>
  <x:c r="AL32" i="2"/>
  <x:c r="C47" i="3" a="1"/>
  <x:c r="C47" i="3"/>
  <x:c r="H47" i="3"/>
  <x:c r="I47" i="3" a="1"/>
  <x:c r="I47" i="3"/>
  <x:c r="N47" i="3"/>
  <x:c r="O47" i="3" a="1"/>
  <x:c r="O47" i="3"/>
  <x:c r="T47" i="3"/>
  <x:c r="U47" i="3" a="1"/>
  <x:c r="U47" i="3"/>
  <x:c r="Z47" i="3"/>
  <x:c r="AA47" i="3" a="1"/>
  <x:c r="AA47" i="3"/>
  <x:c r="AF47" i="3"/>
  <x:c r="AG47" i="3" a="1"/>
  <x:c r="AG47" i="3"/>
  <x:c r="AL47" i="3"/>
  <x:c r="AM47" i="3" a="1"/>
  <x:c r="AM47" i="3"/>
  <x:c r="AR47" i="3"/>
  <x:c r="AS47" i="3" a="1"/>
  <x:c r="AS47" i="3"/>
  <x:c r="AX47" i="3"/>
  <x:c r="AY47" i="3" a="1"/>
  <x:c r="AY47" i="3"/>
  <x:c r="BD47" i="3"/>
  <x:c r="BE47" i="3" a="1"/>
  <x:c r="BE47" i="3"/>
  <x:c r="BJ47" i="3"/>
  <x:c r="BK47" i="3" a="1"/>
  <x:c r="BK47" i="3"/>
  <x:c r="BP47" i="3"/>
  <x:c r="BQ47" i="3" a="1"/>
  <x:c r="BQ47" i="3"/>
  <x:c r="BV47" i="3"/>
  <x:c r="C24" i="4" a="1"/>
  <x:c r="C24" i="4"/>
  <x:c r="H24" i="4"/>
  <x:c r="I24" i="4" a="1"/>
  <x:c r="I24" i="4"/>
  <x:c r="N24" i="4"/>
  <x:c r="O24" i="4" a="1"/>
  <x:c r="O24" i="4"/>
  <x:c r="T24" i="4"/>
  <x:c r="U24" i="4" a="1"/>
  <x:c r="U24" i="4"/>
  <x:c r="Z24" i="4"/>
  <x:c r="AA24" i="4" a="1"/>
  <x:c r="AA24" i="4"/>
  <x:c r="AF24" i="4"/>
  <x:c r="AG24" i="4" a="1"/>
  <x:c r="AG24" i="4"/>
  <x:c r="AL24" i="4"/>
  <x:c r="AM24" i="4" a="1"/>
  <x:c r="AM24" i="4"/>
  <x:c r="AR24" i="4"/>
  <x:c r="AS24" i="4" a="1"/>
  <x:c r="AS24" i="4"/>
  <x:c r="AX24" i="4"/>
  <x:c r="AY24" i="4" a="1"/>
  <x:c r="AY24" i="4"/>
  <x:c r="BD24" i="4"/>
  <x:c r="BE24" i="4" a="1"/>
  <x:c r="BE24" i="4"/>
  <x:c r="BJ24" i="4"/>
  <x:c r="BK24" i="4" a="1"/>
  <x:c r="BK24" i="4"/>
  <x:c r="BP24" i="4"/>
  <x:c r="BQ24" i="4" a="1"/>
  <x:c r="BQ24" i="4"/>
  <x:c r="BV24" i="4"/>
  <x:c r="C31" i="5"/>
  <x:c r="H31" i="5"/>
  <x:c r="I31" i="5"/>
  <x:c r="N31" i="5"/>
  <x:c r="O31" i="5"/>
  <x:c r="T31" i="5"/>
  <x:c r="U31" i="5"/>
  <x:c r="Z31" i="5"/>
  <x:c r="AA31" i="5"/>
  <x:c r="AF31" i="5"/>
  <x:c r="AG31" i="5"/>
  <x:c r="AL31" i="5"/>
  <x:c r="AM31" i="5"/>
  <x:c r="AR31" i="5"/>
  <x:c r="AS31" i="5"/>
  <x:c r="AX31" i="5"/>
  <x:c r="AY31" i="5"/>
  <x:c r="BD31" i="5"/>
  <x:c r="BE31" i="5"/>
  <x:c r="BJ31" i="5"/>
  <x:c r="BK31" i="5"/>
  <x:c r="BP31" i="5"/>
  <x:c r="BQ31" i="5"/>
  <x:c r="BV31" i="5"/>
  <x:c r="C50" i="6" a="1"/>
  <x:c r="C50" i="6"/>
  <x:c r="H50" i="6"/>
  <x:c r="I50" i="6" a="1"/>
  <x:c r="I50" i="6"/>
  <x:c r="N50" i="6"/>
  <x:c r="O50" i="6" a="1"/>
  <x:c r="O50" i="6"/>
  <x:c r="T50" i="6"/>
  <x:c r="U50" i="6" a="1"/>
  <x:c r="U50" i="6"/>
  <x:c r="Z50" i="6"/>
  <x:c r="AA50" i="6" a="1"/>
  <x:c r="AA50" i="6"/>
  <x:c r="AF50" i="6"/>
  <x:c r="AG50" i="6" a="1"/>
  <x:c r="AG50" i="6"/>
  <x:c r="AL50" i="6"/>
  <x:c r="AM50" i="6" a="1"/>
  <x:c r="AM50" i="6"/>
  <x:c r="AR50" i="6"/>
  <x:c r="AS50" i="6" a="1"/>
  <x:c r="AS50" i="6"/>
  <x:c r="AX50" i="6"/>
  <x:c r="AY50" i="6" a="1"/>
  <x:c r="AY50" i="6"/>
  <x:c r="BD50" i="6"/>
  <x:c r="BE50" i="6" a="1"/>
  <x:c r="BE50" i="6"/>
  <x:c r="BJ50" i="6"/>
  <x:c r="BK50" i="6" a="1"/>
  <x:c r="BK50" i="6"/>
  <x:c r="BP50" i="6"/>
  <x:c r="BQ50" i="6" a="1"/>
  <x:c r="BQ50" i="6"/>
  <x:c r="BV50" i="6"/>
  <x:c r="C46" i="7" a="1"/>
  <x:c r="C46" i="7"/>
  <x:c r="H46" i="7"/>
  <x:c r="I46" i="7" a="1"/>
  <x:c r="I46" i="7"/>
  <x:c r="N46" i="7"/>
  <x:c r="O46" i="7" a="1"/>
  <x:c r="O46" i="7"/>
  <x:c r="T46" i="7"/>
  <x:c r="U46" i="7" a="1"/>
  <x:c r="U46" i="7"/>
  <x:c r="Z46" i="7"/>
  <x:c r="AA46" i="7" a="1"/>
  <x:c r="AA46" i="7"/>
  <x:c r="AF46" i="7"/>
  <x:c r="AG46" i="7" a="1"/>
  <x:c r="AG46" i="7"/>
  <x:c r="AL46" i="7"/>
  <x:c r="AM46" i="7" a="1"/>
  <x:c r="AM46" i="7"/>
  <x:c r="AR46" i="7"/>
  <x:c r="AS46" i="7" a="1"/>
  <x:c r="AS46" i="7"/>
  <x:c r="AX46" i="7"/>
  <x:c r="AY46" i="7" a="1"/>
  <x:c r="AY46" i="7"/>
  <x:c r="BD46" i="7"/>
  <x:c r="BE46" i="7" a="1"/>
  <x:c r="BE46" i="7"/>
  <x:c r="BJ46" i="7"/>
  <x:c r="BK46" i="7" a="1"/>
  <x:c r="BK46" i="7"/>
  <x:c r="BP46" i="7"/>
  <x:c r="BQ46" i="7" a="1"/>
  <x:c r="BQ46" i="7"/>
  <x:c r="BV46" i="7"/>
  <x:c r="C35" i="8" a="1"/>
  <x:c r="C35" i="8"/>
  <x:c r="H35" i="8"/>
  <x:c r="I35" i="8" a="1"/>
  <x:c r="I35" i="8"/>
  <x:c r="N35" i="8"/>
  <x:c r="O35" i="8" a="1"/>
  <x:c r="O35" i="8"/>
  <x:c r="T35" i="8"/>
  <x:c r="U35" i="8" a="1"/>
  <x:c r="U35" i="8"/>
  <x:c r="Z35" i="8"/>
  <x:c r="AA35" i="8" a="1"/>
  <x:c r="AA35" i="8"/>
  <x:c r="AF35" i="8"/>
  <x:c r="AG35" i="8" a="1"/>
  <x:c r="AG35" i="8"/>
  <x:c r="AL35" i="8"/>
  <x:c r="AM35" i="8" a="1"/>
  <x:c r="AM35" i="8"/>
  <x:c r="AR35" i="8"/>
  <x:c r="AS35" i="8" a="1"/>
  <x:c r="AS35" i="8"/>
  <x:c r="AX35" i="8"/>
  <x:c r="AY35" i="8" a="1"/>
  <x:c r="AY35" i="8"/>
  <x:c r="BD35" i="8"/>
  <x:c r="BE35" i="8" a="1"/>
  <x:c r="BE35" i="8"/>
  <x:c r="BJ35" i="8"/>
  <x:c r="BK35" i="8" a="1"/>
  <x:c r="BK35" i="8"/>
  <x:c r="BP35" i="8"/>
  <x:c r="BQ35" i="8" a="1"/>
  <x:c r="BQ35" i="8"/>
  <x:c r="BV35" i="8"/>
  <x:c r="C25" i="9"/>
  <x:c r="H25" i="9"/>
  <x:c r="I25" i="9"/>
  <x:c r="N25" i="9"/>
  <x:c r="O25" i="9"/>
  <x:c r="T25" i="9"/>
  <x:c r="U25" i="9"/>
  <x:c r="Z25" i="9"/>
  <x:c r="AA25" i="9"/>
  <x:c r="AF25" i="9"/>
  <x:c r="AG25" i="9"/>
  <x:c r="AL25" i="9"/>
  <x:c r="AM25" i="9"/>
  <x:c r="AR25" i="9"/>
  <x:c r="AS25" i="9"/>
  <x:c r="AX25" i="9"/>
  <x:c r="AY25" i="9"/>
  <x:c r="BD25" i="9"/>
  <x:c r="BE25" i="9"/>
  <x:c r="BJ25" i="9"/>
  <x:c r="BK25" i="9"/>
  <x:c r="BP25" i="9"/>
  <x:c r="BQ25" i="9"/>
  <x:c r="BV25" i="9"/>
  <x:c r="C30" i="30"/>
  <x:c r="H30" i="30"/>
  <x:c r="I30" i="30"/>
  <x:c r="N30" i="30"/>
  <x:c r="O30" i="30"/>
  <x:c r="T30" i="30"/>
  <x:c r="U30" i="30"/>
  <x:c r="Z30" i="30"/>
  <x:c r="AA30" i="30"/>
  <x:c r="AF30" i="30"/>
  <x:c r="AG30" i="30"/>
  <x:c r="AL30" i="30"/>
  <x:c r="AM30" i="30"/>
  <x:c r="AR30" i="30"/>
  <x:c r="AS30" i="30"/>
  <x:c r="AX30" i="30"/>
  <x:c r="AY30" i="30"/>
  <x:c r="BD30" i="30"/>
  <x:c r="BE30" i="30"/>
  <x:c r="BJ30" i="30"/>
  <x:c r="BK30" i="30"/>
  <x:c r="BP30" i="30"/>
  <x:c r="BQ30" i="30"/>
  <x:c r="BV30" i="30"/>
  <x:c r="C25" i="10" a="1"/>
  <x:c r="C25" i="10"/>
  <x:c r="H25" i="10"/>
  <x:c r="I25" i="10" a="1"/>
  <x:c r="I25" i="10"/>
  <x:c r="N25" i="10"/>
  <x:c r="O25" i="10" a="1"/>
  <x:c r="O25" i="10"/>
  <x:c r="T25" i="10"/>
  <x:c r="U25" i="10" a="1"/>
  <x:c r="U25" i="10"/>
  <x:c r="Z25" i="10"/>
  <x:c r="AA25" i="10" a="1"/>
  <x:c r="AA25" i="10"/>
  <x:c r="AF25" i="10"/>
  <x:c r="AG25" i="10" a="1"/>
  <x:c r="AG25" i="10"/>
  <x:c r="AL25" i="10"/>
  <x:c r="AM25" i="10" a="1"/>
  <x:c r="AM25" i="10"/>
  <x:c r="AR25" i="10"/>
  <x:c r="AS25" i="10" a="1"/>
  <x:c r="AS25" i="10"/>
  <x:c r="AX25" i="10"/>
  <x:c r="AY25" i="10" a="1"/>
  <x:c r="AY25" i="10"/>
  <x:c r="BD25" i="10"/>
  <x:c r="BE25" i="10" a="1"/>
  <x:c r="BE25" i="10"/>
  <x:c r="BJ25" i="10"/>
  <x:c r="BK25" i="10" a="1"/>
  <x:c r="BK25" i="10"/>
  <x:c r="BP25" i="10"/>
  <x:c r="BQ25" i="10" a="1"/>
  <x:c r="BQ25" i="10"/>
  <x:c r="BV25" i="10"/>
  <x:c r="C25" i="11"/>
  <x:c r="H25" i="11"/>
  <x:c r="I25" i="11"/>
  <x:c r="N25" i="11"/>
  <x:c r="O25" i="11"/>
  <x:c r="T25" i="11"/>
  <x:c r="U25" i="11"/>
  <x:c r="Z25" i="11"/>
  <x:c r="AA25" i="11"/>
  <x:c r="AF25" i="11"/>
  <x:c r="AG25" i="11"/>
  <x:c r="AL25" i="11"/>
  <x:c r="AM25" i="11"/>
  <x:c r="AR25" i="11"/>
  <x:c r="AS25" i="11"/>
  <x:c r="AX25" i="11"/>
  <x:c r="AY25" i="11"/>
  <x:c r="BD25" i="11"/>
  <x:c r="BE25" i="11"/>
  <x:c r="BJ25" i="11"/>
  <x:c r="BK25" i="11"/>
  <x:c r="BP25" i="11"/>
  <x:c r="BQ25" i="11"/>
  <x:c r="BV25" i="11"/>
  <x:c r="C55" i="12"/>
  <x:c r="H55" i="12"/>
  <x:c r="I55" i="12"/>
  <x:c r="N55" i="12"/>
  <x:c r="O55" i="12"/>
  <x:c r="T55" i="12"/>
  <x:c r="U55" i="12"/>
  <x:c r="Z55" i="12"/>
  <x:c r="AA55" i="12"/>
  <x:c r="AF55" i="12"/>
  <x:c r="AG55" i="12"/>
  <x:c r="AL55" i="12"/>
  <x:c r="AM55" i="12"/>
  <x:c r="AR55" i="12"/>
  <x:c r="AS55" i="12"/>
  <x:c r="AX55" i="12"/>
  <x:c r="AY55" i="12"/>
  <x:c r="BD55" i="12"/>
  <x:c r="BE55" i="12"/>
  <x:c r="BJ55" i="12"/>
  <x:c r="BK55" i="12"/>
  <x:c r="BP55" i="12"/>
  <x:c r="BQ55" i="12"/>
  <x:c r="BV55" i="12"/>
  <x:c r="C23" i="13" a="1"/>
  <x:c r="C23" i="13"/>
  <x:c r="H23" i="13"/>
  <x:c r="I23" i="13" a="1"/>
  <x:c r="I23" i="13"/>
  <x:c r="N23" i="13"/>
  <x:c r="O23" i="13" a="1"/>
  <x:c r="O23" i="13"/>
  <x:c r="T23" i="13"/>
  <x:c r="U23" i="13" a="1"/>
  <x:c r="U23" i="13"/>
  <x:c r="Z23" i="13"/>
  <x:c r="AA23" i="13" a="1"/>
  <x:c r="AA23" i="13"/>
  <x:c r="AF23" i="13"/>
  <x:c r="AG23" i="13" a="1"/>
  <x:c r="AG23" i="13"/>
  <x:c r="AL23" i="13"/>
  <x:c r="AM23" i="13" a="1"/>
  <x:c r="AM23" i="13"/>
  <x:c r="AR23" i="13"/>
  <x:c r="AS23" i="13" a="1"/>
  <x:c r="AS23" i="13"/>
  <x:c r="AX23" i="13"/>
  <x:c r="AY23" i="13" a="1"/>
  <x:c r="AY23" i="13"/>
  <x:c r="BD23" i="13"/>
  <x:c r="BE23" i="13" a="1"/>
  <x:c r="BE23" i="13"/>
  <x:c r="BJ23" i="13"/>
  <x:c r="BK23" i="13" a="1"/>
  <x:c r="BK23" i="13"/>
  <x:c r="BP23" i="13"/>
  <x:c r="BQ23" i="13" a="1"/>
  <x:c r="BQ23" i="13"/>
  <x:c r="BV23" i="13"/>
  <x:c r="C15" i="14" a="1"/>
  <x:c r="C15" i="14"/>
  <x:c r="H15" i="14"/>
  <x:c r="I15" i="14" a="1"/>
  <x:c r="I15" i="14"/>
  <x:c r="N15" i="14"/>
  <x:c r="O15" i="14" a="1"/>
  <x:c r="O15" i="14"/>
  <x:c r="T15" i="14"/>
  <x:c r="U15" i="14" a="1"/>
  <x:c r="U15" i="14"/>
  <x:c r="Z15" i="14"/>
  <x:c r="AA15" i="14" a="1"/>
  <x:c r="AA15" i="14"/>
  <x:c r="AF15" i="14"/>
  <x:c r="AG15" i="14" a="1"/>
  <x:c r="AG15" i="14"/>
  <x:c r="AL15" i="14"/>
  <x:c r="AM15" i="14" a="1"/>
  <x:c r="AM15" i="14"/>
  <x:c r="AR15" i="14"/>
  <x:c r="AS15" i="14" a="1"/>
  <x:c r="AS15" i="14"/>
  <x:c r="AX15" i="14"/>
  <x:c r="AY15" i="14" a="1"/>
  <x:c r="AY15" i="14"/>
  <x:c r="BD15" i="14"/>
  <x:c r="BE15" i="14" a="1"/>
  <x:c r="BE15" i="14"/>
  <x:c r="BJ15" i="14"/>
  <x:c r="BK15" i="14" a="1"/>
  <x:c r="BK15" i="14"/>
  <x:c r="BP15" i="14"/>
  <x:c r="BQ15" i="14" a="1"/>
  <x:c r="BQ15" i="14"/>
  <x:c r="BV15" i="14"/>
  <x:c r="C24" i="31" a="1"/>
  <x:c r="C24" i="31"/>
  <x:c r="H24" i="31"/>
  <x:c r="I24" i="31" a="1"/>
  <x:c r="I24" i="31"/>
  <x:c r="N24" i="31"/>
  <x:c r="O24" i="31" a="1"/>
  <x:c r="O24" i="31"/>
  <x:c r="T24" i="31"/>
  <x:c r="U24" i="31" a="1"/>
  <x:c r="U24" i="31"/>
  <x:c r="Z24" i="31"/>
  <x:c r="AA24" i="31" a="1"/>
  <x:c r="AA24" i="31"/>
  <x:c r="AF24" i="31"/>
  <x:c r="AG24" i="31" a="1"/>
  <x:c r="AG24" i="31"/>
  <x:c r="AL24" i="31"/>
  <x:c r="AM24" i="31" a="1"/>
  <x:c r="AM24" i="31"/>
  <x:c r="AR24" i="31"/>
  <x:c r="AS24" i="31" a="1"/>
  <x:c r="AS24" i="31"/>
  <x:c r="AX24" i="31"/>
  <x:c r="AY24" i="31" a="1"/>
  <x:c r="AY24" i="31"/>
  <x:c r="BD24" i="31"/>
  <x:c r="BE24" i="31" a="1"/>
  <x:c r="BE24" i="31"/>
  <x:c r="BJ24" i="31"/>
  <x:c r="BK24" i="31" a="1"/>
  <x:c r="BK24" i="31"/>
  <x:c r="BP24" i="31"/>
  <x:c r="BQ24" i="31" a="1"/>
  <x:c r="BQ24" i="31"/>
  <x:c r="BV24" i="31"/>
  <x:c r="C96" i="15" a="1"/>
  <x:c r="C96" i="15"/>
  <x:c r="H96" i="15"/>
  <x:c r="I96" i="15" a="1"/>
  <x:c r="I96" i="15"/>
  <x:c r="N96" i="15"/>
  <x:c r="O96" i="15" a="1"/>
  <x:c r="O96" i="15"/>
  <x:c r="T96" i="15"/>
  <x:c r="U96" i="15" a="1"/>
  <x:c r="U96" i="15"/>
  <x:c r="Z96" i="15"/>
  <x:c r="AA96" i="15" a="1"/>
  <x:c r="AA96" i="15"/>
  <x:c r="AF96" i="15"/>
  <x:c r="AG96" i="15" a="1"/>
  <x:c r="AG96" i="15"/>
  <x:c r="AL96" i="15"/>
  <x:c r="AM96" i="15" a="1"/>
  <x:c r="AM96" i="15"/>
  <x:c r="AR96" i="15"/>
  <x:c r="AS96" i="15" a="1"/>
  <x:c r="AS96" i="15"/>
  <x:c r="AX96" i="15"/>
  <x:c r="AY96" i="15" a="1"/>
  <x:c r="AY96" i="15"/>
  <x:c r="BD96" i="15"/>
  <x:c r="BE96" i="15" a="1"/>
  <x:c r="BE96" i="15"/>
  <x:c r="BJ96" i="15"/>
  <x:c r="BK96" i="15" a="1"/>
  <x:c r="BK96" i="15"/>
  <x:c r="BP96" i="15"/>
  <x:c r="BQ96" i="15" a="1"/>
  <x:c r="BQ96" i="15"/>
  <x:c r="BV96" i="15"/>
  <x:c r="C109" i="16"/>
  <x:c r="H109" i="16"/>
  <x:c r="I109" i="16"/>
  <x:c r="N109" i="16"/>
  <x:c r="O109" i="16"/>
  <x:c r="T109" i="16"/>
  <x:c r="U109" i="16"/>
  <x:c r="Z109" i="16"/>
  <x:c r="AA109" i="16"/>
  <x:c r="AF109" i="16"/>
  <x:c r="AG109" i="16"/>
  <x:c r="AL109" i="16"/>
  <x:c r="AM109" i="16"/>
  <x:c r="AR109" i="16"/>
  <x:c r="AS109" i="16"/>
  <x:c r="AX109" i="16"/>
  <x:c r="AY109" i="16"/>
  <x:c r="BD109" i="16"/>
  <x:c r="BE109" i="16"/>
  <x:c r="BJ109" i="16"/>
  <x:c r="BK109" i="16"/>
  <x:c r="BP109" i="16"/>
  <x:c r="BQ109" i="16"/>
  <x:c r="BV109" i="16"/>
  <x:c r="C14" i="17"/>
  <x:c r="H14" i="17"/>
  <x:c r="I14" i="17"/>
  <x:c r="N14" i="17"/>
  <x:c r="O14" i="17"/>
  <x:c r="T14" i="17"/>
  <x:c r="U14" i="17"/>
  <x:c r="Z14" i="17"/>
  <x:c r="AA14" i="17"/>
  <x:c r="AF14" i="17"/>
  <x:c r="AG14" i="17"/>
  <x:c r="AL14" i="17"/>
  <x:c r="AM14" i="17"/>
  <x:c r="AR14" i="17"/>
  <x:c r="AS14" i="17"/>
  <x:c r="AX14" i="17"/>
  <x:c r="AY14" i="17"/>
  <x:c r="BD14" i="17"/>
  <x:c r="BE14" i="17"/>
  <x:c r="BJ14" i="17"/>
  <x:c r="BK14" i="17"/>
  <x:c r="BP14" i="17"/>
  <x:c r="BQ14" i="17"/>
  <x:c r="BV14" i="17"/>
  <x:c r="C30" i="18" a="1"/>
  <x:c r="C30" i="18"/>
  <x:c r="H30" i="18"/>
  <x:c r="I30" i="18" a="1"/>
  <x:c r="I30" i="18"/>
  <x:c r="N30" i="18"/>
  <x:c r="O30" i="18" a="1"/>
  <x:c r="O30" i="18"/>
  <x:c r="T30" i="18"/>
  <x:c r="U30" i="18" a="1"/>
  <x:c r="U30" i="18"/>
  <x:c r="Z30" i="18"/>
  <x:c r="AA30" i="18" a="1"/>
  <x:c r="AA30" i="18"/>
  <x:c r="AF30" i="18"/>
  <x:c r="AG30" i="18" a="1"/>
  <x:c r="AG30" i="18"/>
  <x:c r="AL30" i="18"/>
  <x:c r="AM30" i="18" a="1"/>
  <x:c r="AM30" i="18"/>
  <x:c r="AR30" i="18"/>
  <x:c r="AS30" i="18" a="1"/>
  <x:c r="AS30" i="18"/>
  <x:c r="AX30" i="18"/>
  <x:c r="AY30" i="18" a="1"/>
  <x:c r="AY30" i="18"/>
  <x:c r="BD30" i="18"/>
  <x:c r="BE30" i="18" a="1"/>
  <x:c r="BE30" i="18"/>
  <x:c r="BJ30" i="18"/>
  <x:c r="BK30" i="18" a="1"/>
  <x:c r="BK30" i="18"/>
  <x:c r="BP30" i="18"/>
  <x:c r="BQ30" i="18" a="1"/>
  <x:c r="BQ30" i="18"/>
  <x:c r="BV30" i="18"/>
  <x:c r="C13" i="19"/>
  <x:c r="H13" i="19"/>
  <x:c r="I13" i="19"/>
  <x:c r="N13" i="19"/>
  <x:c r="O13" i="19"/>
  <x:c r="T13" i="19"/>
  <x:c r="U13" i="19"/>
  <x:c r="Z13" i="19"/>
  <x:c r="AA13" i="19"/>
  <x:c r="AF13" i="19"/>
  <x:c r="AG13" i="19"/>
  <x:c r="AL13" i="19"/>
  <x:c r="AM13" i="19"/>
  <x:c r="AR13" i="19"/>
  <x:c r="AS13" i="19"/>
  <x:c r="AX13" i="19"/>
  <x:c r="AY13" i="19"/>
  <x:c r="BD13" i="19"/>
  <x:c r="BE13" i="19"/>
  <x:c r="BJ13" i="19"/>
  <x:c r="BK13" i="19"/>
  <x:c r="BP13" i="19"/>
  <x:c r="BQ13" i="19"/>
  <x:c r="BV13" i="19"/>
  <x:c r="C24" i="20" a="1"/>
  <x:c r="C24" i="20"/>
  <x:c r="H24" i="20"/>
  <x:c r="I24" i="20" a="1"/>
  <x:c r="I24" i="20"/>
  <x:c r="N24" i="20"/>
  <x:c r="O24" i="20" a="1"/>
  <x:c r="O24" i="20"/>
  <x:c r="T24" i="20"/>
  <x:c r="U24" i="20" a="1"/>
  <x:c r="U24" i="20"/>
  <x:c r="Z24" i="20"/>
  <x:c r="AA24" i="20" a="1"/>
  <x:c r="AA24" i="20"/>
  <x:c r="AF24" i="20"/>
  <x:c r="AG24" i="20" a="1"/>
  <x:c r="AG24" i="20"/>
  <x:c r="AL24" i="20"/>
  <x:c r="AM24" i="20" a="1"/>
  <x:c r="AM24" i="20"/>
  <x:c r="AR24" i="20"/>
  <x:c r="AS24" i="20" a="1"/>
  <x:c r="AS24" i="20"/>
  <x:c r="AX24" i="20"/>
  <x:c r="AY24" i="20" a="1"/>
  <x:c r="AY24" i="20"/>
  <x:c r="BD24" i="20"/>
  <x:c r="BE24" i="20" a="1"/>
  <x:c r="BE24" i="20"/>
  <x:c r="BJ24" i="20"/>
  <x:c r="BK24" i="20" a="1"/>
  <x:c r="BK24" i="20"/>
  <x:c r="BP24" i="20"/>
  <x:c r="BQ24" i="20" a="1"/>
  <x:c r="BQ24" i="20"/>
  <x:c r="BV24" i="20"/>
  <x:c r="C24" i="21" a="1"/>
  <x:c r="C24" i="21"/>
  <x:c r="H24" i="21"/>
  <x:c r="I24" i="21" a="1"/>
  <x:c r="I24" i="21"/>
  <x:c r="N24" i="21"/>
  <x:c r="O24" i="21" a="1"/>
  <x:c r="O24" i="21"/>
  <x:c r="T24" i="21"/>
  <x:c r="U24" i="21" a="1"/>
  <x:c r="U24" i="21"/>
  <x:c r="Z24" i="21"/>
  <x:c r="AA24" i="21" a="1"/>
  <x:c r="AA24" i="21"/>
  <x:c r="AF24" i="21"/>
  <x:c r="AG24" i="21" a="1"/>
  <x:c r="AG24" i="21"/>
  <x:c r="AL24" i="21"/>
  <x:c r="AM24" i="21" a="1"/>
  <x:c r="AM24" i="21"/>
  <x:c r="AR24" i="21"/>
  <x:c r="AS24" i="21" a="1"/>
  <x:c r="AS24" i="21"/>
  <x:c r="AX24" i="21"/>
  <x:c r="AY24" i="21" a="1"/>
  <x:c r="AY24" i="21"/>
  <x:c r="BD24" i="21"/>
  <x:c r="BE24" i="21" a="1"/>
  <x:c r="BE24" i="21"/>
  <x:c r="BJ24" i="21"/>
  <x:c r="BK24" i="21" a="1"/>
  <x:c r="BK24" i="21"/>
  <x:c r="BP24" i="21"/>
  <x:c r="BQ24" i="21" a="1"/>
  <x:c r="BQ24" i="21"/>
  <x:c r="BV24" i="21"/>
  <x:c r="C18" i="22" a="1"/>
  <x:c r="C18" i="22"/>
  <x:c r="H18" i="22"/>
  <x:c r="I18" i="22" a="1"/>
  <x:c r="I18" i="22"/>
  <x:c r="N18" i="22"/>
  <x:c r="O18" i="22" a="1"/>
  <x:c r="O18" i="22"/>
  <x:c r="T18" i="22"/>
  <x:c r="U18" i="22" a="1"/>
  <x:c r="U18" i="22"/>
  <x:c r="Z18" i="22"/>
  <x:c r="AA18" i="22" a="1"/>
  <x:c r="AA18" i="22"/>
  <x:c r="AF18" i="22"/>
  <x:c r="AG18" i="22" a="1"/>
  <x:c r="AG18" i="22"/>
  <x:c r="AL18" i="22"/>
  <x:c r="AM18" i="22" a="1"/>
  <x:c r="AM18" i="22"/>
  <x:c r="AR18" i="22"/>
  <x:c r="AS18" i="22" a="1"/>
  <x:c r="AS18" i="22"/>
  <x:c r="AX18" i="22"/>
  <x:c r="AY18" i="22" a="1"/>
  <x:c r="AY18" i="22"/>
  <x:c r="BD18" i="22"/>
  <x:c r="BE18" i="22" a="1"/>
  <x:c r="BE18" i="22"/>
  <x:c r="BJ18" i="22"/>
  <x:c r="BK18" i="22" a="1"/>
  <x:c r="BK18" i="22"/>
  <x:c r="BP18" i="22"/>
  <x:c r="BQ18" i="22" a="1"/>
  <x:c r="BQ18" i="22"/>
  <x:c r="BV18" i="22"/>
  <x:c r="C29" i="23" a="1"/>
  <x:c r="C29" i="23"/>
  <x:c r="H29" i="23"/>
  <x:c r="I29" i="23" a="1"/>
  <x:c r="I29" i="23"/>
  <x:c r="N29" i="23"/>
  <x:c r="O29" i="23" a="1"/>
  <x:c r="O29" i="23"/>
  <x:c r="T29" i="23"/>
  <x:c r="U29" i="23" a="1"/>
  <x:c r="U29" i="23"/>
  <x:c r="Z29" i="23"/>
  <x:c r="AA29" i="23" a="1"/>
  <x:c r="AA29" i="23"/>
  <x:c r="AF29" i="23"/>
  <x:c r="AG29" i="23" a="1"/>
  <x:c r="AG29" i="23"/>
  <x:c r="AL29" i="23"/>
  <x:c r="AM29" i="23" a="1"/>
  <x:c r="AM29" i="23"/>
  <x:c r="AR29" i="23"/>
  <x:c r="AS29" i="23" a="1"/>
  <x:c r="AS29" i="23"/>
  <x:c r="AX29" i="23"/>
  <x:c r="AY29" i="23" a="1"/>
  <x:c r="AY29" i="23"/>
  <x:c r="BD29" i="23"/>
  <x:c r="BE29" i="23" a="1"/>
  <x:c r="BE29" i="23"/>
  <x:c r="BJ29" i="23"/>
  <x:c r="BK29" i="23" a="1"/>
  <x:c r="BK29" i="23"/>
  <x:c r="BP29" i="23"/>
  <x:c r="BQ29" i="23" a="1"/>
  <x:c r="BQ29" i="23"/>
  <x:c r="BV29" i="23"/>
  <x:c r="C32" i="24" a="1"/>
  <x:c r="C32" i="24"/>
  <x:c r="H32" i="24"/>
  <x:c r="I32" i="24" a="1"/>
  <x:c r="I32" i="24"/>
  <x:c r="N32" i="24"/>
  <x:c r="O32" i="24" a="1"/>
  <x:c r="O32" i="24"/>
  <x:c r="T32" i="24"/>
  <x:c r="U32" i="24" a="1"/>
  <x:c r="U32" i="24"/>
  <x:c r="Z32" i="24"/>
  <x:c r="AA32" i="24" a="1"/>
  <x:c r="AA32" i="24"/>
  <x:c r="AF32" i="24"/>
  <x:c r="AG32" i="24" a="1"/>
  <x:c r="AG32" i="24"/>
  <x:c r="AL32" i="24"/>
  <x:c r="AM32" i="24" a="1"/>
  <x:c r="AM32" i="24"/>
  <x:c r="AR32" i="24"/>
  <x:c r="AS32" i="24" a="1"/>
  <x:c r="AS32" i="24"/>
  <x:c r="AX32" i="24"/>
  <x:c r="AY32" i="24" a="1"/>
  <x:c r="AY32" i="24"/>
  <x:c r="BD32" i="24"/>
  <x:c r="BE32" i="24" a="1"/>
  <x:c r="BE32" i="24"/>
  <x:c r="BJ32" i="24"/>
  <x:c r="BK32" i="24" a="1"/>
  <x:c r="BK32" i="24"/>
  <x:c r="BP32" i="24"/>
  <x:c r="BQ32" i="24" a="1"/>
  <x:c r="BQ32" i="24"/>
  <x:c r="BV32" i="24"/>
  <x:c r="C24" i="25" a="1"/>
  <x:c r="C24" i="25"/>
  <x:c r="H24" i="25"/>
  <x:c r="I24" i="25" a="1"/>
  <x:c r="I24" i="25"/>
  <x:c r="N24" i="25"/>
  <x:c r="O24" i="25" a="1"/>
  <x:c r="O24" i="25"/>
  <x:c r="T24" i="25"/>
  <x:c r="U24" i="25" a="1"/>
  <x:c r="U24" i="25"/>
  <x:c r="Z24" i="25"/>
  <x:c r="AA24" i="25" a="1"/>
  <x:c r="AA24" i="25"/>
  <x:c r="AF24" i="25"/>
  <x:c r="AG24" i="25" a="1"/>
  <x:c r="AG24" i="25"/>
  <x:c r="AL24" i="25"/>
  <x:c r="AM24" i="25" a="1"/>
  <x:c r="AM24" i="25"/>
  <x:c r="AR24" i="25"/>
  <x:c r="AS24" i="25" a="1"/>
  <x:c r="AS24" i="25"/>
  <x:c r="AX24" i="25"/>
  <x:c r="AY24" i="25" a="1"/>
  <x:c r="AY24" i="25"/>
  <x:c r="BD24" i="25"/>
  <x:c r="BE24" i="25" a="1"/>
  <x:c r="BE24" i="25"/>
  <x:c r="BJ24" i="25"/>
  <x:c r="BK24" i="25" a="1"/>
  <x:c r="BK24" i="25"/>
  <x:c r="BP24" i="25"/>
  <x:c r="BQ24" i="25" a="1"/>
  <x:c r="BQ24" i="25"/>
  <x:c r="BV24" i="25"/>
  <x:c r="C18" i="26" a="1"/>
  <x:c r="C18" i="26"/>
  <x:c r="H18" i="26"/>
  <x:c r="I18" i="26" a="1"/>
  <x:c r="I18" i="26"/>
  <x:c r="N18" i="26"/>
  <x:c r="O18" i="26" a="1"/>
  <x:c r="O18" i="26"/>
  <x:c r="T18" i="26"/>
  <x:c r="U18" i="26" a="1"/>
  <x:c r="U18" i="26"/>
  <x:c r="Z18" i="26"/>
  <x:c r="AA18" i="26" a="1"/>
  <x:c r="AA18" i="26"/>
  <x:c r="AF18" i="26"/>
  <x:c r="AG18" i="26" a="1"/>
  <x:c r="AG18" i="26"/>
  <x:c r="AL18" i="26"/>
  <x:c r="AM18" i="26" a="1"/>
  <x:c r="AM18" i="26"/>
  <x:c r="AR18" i="26"/>
  <x:c r="AS18" i="26" a="1"/>
  <x:c r="AS18" i="26"/>
  <x:c r="AX18" i="26"/>
  <x:c r="AY18" i="26" a="1"/>
  <x:c r="AY18" i="26"/>
  <x:c r="BD18" i="26"/>
  <x:c r="BE18" i="26" a="1"/>
  <x:c r="BE18" i="26"/>
  <x:c r="BJ18" i="26"/>
  <x:c r="BK18" i="26" a="1"/>
  <x:c r="BK18" i="26"/>
  <x:c r="BP18" i="26"/>
  <x:c r="BQ18" i="26" a="1"/>
  <x:c r="BQ18" i="26"/>
  <x:c r="BV18" i="26"/>
  <x:c r="C58" i="27"/>
  <x:c r="H58" i="27"/>
  <x:c r="I58" i="27"/>
  <x:c r="N58" i="27"/>
  <x:c r="O58" i="27"/>
  <x:c r="T58" i="27"/>
  <x:c r="U58" i="27"/>
  <x:c r="Z58" i="27"/>
  <x:c r="AA58" i="27"/>
  <x:c r="AF58" i="27"/>
  <x:c r="AG58" i="27"/>
  <x:c r="AL58" i="27"/>
  <x:c r="AM58" i="27"/>
  <x:c r="AR58" i="27"/>
  <x:c r="AS58" i="27"/>
  <x:c r="AX58" i="27"/>
  <x:c r="AY58" i="27"/>
  <x:c r="BD58" i="27"/>
  <x:c r="BE58" i="27"/>
  <x:c r="BJ58" i="27"/>
  <x:c r="BK58" i="27"/>
  <x:c r="BP58" i="27"/>
  <x:c r="BQ58" i="27"/>
  <x:c r="BV58" i="27"/>
  <x:c r="C50" i="28"/>
  <x:c r="H50" i="28"/>
  <x:c r="I50" i="28"/>
  <x:c r="N50" i="28"/>
  <x:c r="O50" i="28"/>
  <x:c r="T50" i="28"/>
  <x:c r="U50" i="28"/>
  <x:c r="Z50" i="28"/>
  <x:c r="AA50" i="28"/>
  <x:c r="AF50" i="28"/>
  <x:c r="AG50" i="28"/>
  <x:c r="AL50" i="28"/>
  <x:c r="AM50" i="28"/>
  <x:c r="AR50" i="28"/>
  <x:c r="AS50" i="28"/>
  <x:c r="AX50" i="28"/>
  <x:c r="AY50" i="28"/>
  <x:c r="BD50" i="28"/>
  <x:c r="BE50" i="28"/>
  <x:c r="BJ50" i="28"/>
  <x:c r="BK50" i="28"/>
  <x:c r="BP50" i="28"/>
  <x:c r="BQ50" i="28"/>
  <x:c r="BV50" i="28"/>
  <x:c r="C22" i="29" a="1"/>
  <x:c r="C22" i="29"/>
  <x:c r="H22" i="29"/>
  <x:c r="I22" i="29" a="1"/>
  <x:c r="I22" i="29"/>
  <x:c r="N22" i="29"/>
  <x:c r="O22" i="29" a="1"/>
  <x:c r="O22" i="29"/>
  <x:c r="T22" i="29"/>
  <x:c r="U22" i="29" a="1"/>
  <x:c r="U22" i="29"/>
  <x:c r="Z22" i="29"/>
  <x:c r="AA22" i="29" a="1"/>
  <x:c r="AA22" i="29"/>
  <x:c r="AF22" i="29"/>
  <x:c r="AG22" i="29" a="1"/>
  <x:c r="AG22" i="29"/>
  <x:c r="AL22" i="29"/>
  <x:c r="AM22" i="29" a="1"/>
  <x:c r="AM22" i="29"/>
  <x:c r="AR22" i="29"/>
  <x:c r="AS22" i="29" a="1"/>
  <x:c r="AS22" i="29"/>
  <x:c r="AX22" i="29"/>
  <x:c r="AY22" i="29" a="1"/>
  <x:c r="AY22" i="29"/>
  <x:c r="BD22" i="29"/>
  <x:c r="BE22" i="29" a="1"/>
  <x:c r="BE22" i="29"/>
  <x:c r="BJ22" i="29"/>
  <x:c r="BK22" i="29" a="1"/>
  <x:c r="BK22" i="29"/>
  <x:c r="BP22" i="29"/>
  <x:c r="BQ22" i="29" a="1"/>
  <x:c r="BQ22" i="29"/>
  <x:c r="BV22" i="29"/>
  <x:c r="C47" i="32" a="1"/>
  <x:c r="C47" i="32"/>
  <x:c r="H47" i="32"/>
  <x:c r="I47" i="32" a="1"/>
  <x:c r="I47" i="32"/>
  <x:c r="N47" i="32"/>
  <x:c r="O47" i="32" a="1"/>
  <x:c r="O47" i="32"/>
  <x:c r="T47" i="32"/>
  <x:c r="U47" i="32" a="1"/>
  <x:c r="U47" i="32"/>
  <x:c r="Z47" i="32"/>
  <x:c r="AA47" i="32" a="1"/>
  <x:c r="AA47" i="32"/>
  <x:c r="AF47" i="32"/>
  <x:c r="AG47" i="32" a="1"/>
  <x:c r="AG47" i="32"/>
  <x:c r="AL47" i="32"/>
  <x:c r="AM47" i="32" a="1"/>
  <x:c r="AM47" i="32"/>
  <x:c r="AR47" i="32"/>
  <x:c r="AS47" i="32" a="1"/>
  <x:c r="AS47" i="32"/>
  <x:c r="AX47" i="32"/>
  <x:c r="AY47" i="32" a="1"/>
  <x:c r="AY47" i="32"/>
  <x:c r="BD47" i="32"/>
  <x:c r="BE47" i="32" a="1"/>
  <x:c r="BE47" i="32"/>
  <x:c r="BJ47" i="32"/>
  <x:c r="BK47" i="32" a="1"/>
  <x:c r="BK47" i="32"/>
  <x:c r="BP47" i="32"/>
  <x:c r="BQ47" i="32" a="1"/>
  <x:c r="BQ47" i="32"/>
  <x:c r="BV47" i="32"/>
  <x:c r="C3" i="35"/>
  <x:c r="D3" i="35"/>
  <x:c r="E3" i="35"/>
  <x:c r="F3" i="35"/>
  <x:c r="G3" i="35"/>
  <x:c r="H3" i="35"/>
  <x:c r="I3" i="35"/>
  <x:c r="J3" i="35"/>
  <x:c r="K3" i="35"/>
  <x:c r="L3" i="35"/>
  <x:c r="M3" i="35"/>
  <x:c r="N3" i="35"/>
  <x:c r="O3" i="35"/>
  <x:c r="S3" i="35"/>
  <x:c r="C4" i="35"/>
  <x:c r="D4" i="35"/>
  <x:c r="E4" i="35"/>
  <x:c r="F4" i="35"/>
  <x:c r="G4" i="35"/>
  <x:c r="H4" i="35"/>
  <x:c r="I4" i="35"/>
  <x:c r="J4" i="35"/>
  <x:c r="K4" i="35"/>
  <x:c r="L4" i="35"/>
  <x:c r="M4" i="35"/>
  <x:c r="N4" i="35"/>
  <x:c r="O4" i="35"/>
  <x:c r="C5" i="35"/>
  <x:c r="D5" i="35"/>
  <x:c r="E5" i="35"/>
  <x:c r="F5" i="35"/>
  <x:c r="G5" i="35"/>
  <x:c r="H5" i="35"/>
  <x:c r="I5" i="35"/>
  <x:c r="J5" i="35"/>
  <x:c r="K5" i="35"/>
  <x:c r="L5" i="35"/>
  <x:c r="M5" i="35"/>
  <x:c r="N5" i="35"/>
  <x:c r="O5" i="35"/>
  <x:c r="C6" i="35"/>
  <x:c r="D6" i="35"/>
  <x:c r="E6" i="35"/>
  <x:c r="F6" i="35"/>
  <x:c r="G6" i="35"/>
  <x:c r="H6" i="35"/>
  <x:c r="I6" i="35"/>
  <x:c r="J6" i="35"/>
  <x:c r="K6" i="35"/>
  <x:c r="L6" i="35"/>
  <x:c r="M6" i="35"/>
  <x:c r="N6" i="35"/>
  <x:c r="O6" i="35"/>
  <x:c r="C7" i="35"/>
  <x:c r="D7" i="35"/>
  <x:c r="E7" i="35"/>
  <x:c r="F7" i="35"/>
  <x:c r="G7" i="35"/>
  <x:c r="H7" i="35"/>
  <x:c r="I7" i="35"/>
  <x:c r="J7" i="35"/>
  <x:c r="K7" i="35"/>
  <x:c r="L7" i="35"/>
  <x:c r="M7" i="35"/>
  <x:c r="N7" i="35"/>
  <x:c r="O7" i="35"/>
  <x:c r="C8" i="35"/>
  <x:c r="D8" i="35"/>
  <x:c r="E8" i="35"/>
  <x:c r="F8" i="35"/>
  <x:c r="G8" i="35"/>
  <x:c r="H8" i="35"/>
  <x:c r="I8" i="35"/>
  <x:c r="J8" i="35"/>
  <x:c r="K8" i="35"/>
  <x:c r="L8" i="35"/>
  <x:c r="M8" i="35"/>
  <x:c r="N8" i="35"/>
  <x:c r="O8" i="35"/>
  <x:c r="C9" i="35"/>
  <x:c r="D9" i="35"/>
  <x:c r="E9" i="35"/>
  <x:c r="F9" i="35"/>
  <x:c r="G9" i="35"/>
  <x:c r="H9" i="35"/>
  <x:c r="I9" i="35"/>
  <x:c r="J9" i="35"/>
  <x:c r="K9" i="35"/>
  <x:c r="L9" i="35"/>
  <x:c r="M9" i="35"/>
  <x:c r="N9" i="35"/>
  <x:c r="O9" i="35"/>
  <x:c r="C10" i="35"/>
  <x:c r="D10" i="35"/>
  <x:c r="E10" i="35"/>
  <x:c r="F10" i="35"/>
  <x:c r="G10" i="35"/>
  <x:c r="H10" i="35"/>
  <x:c r="I10" i="35"/>
  <x:c r="J10" i="35"/>
  <x:c r="K10" i="35"/>
  <x:c r="L10" i="35"/>
  <x:c r="M10" i="35"/>
  <x:c r="N10" i="35"/>
  <x:c r="O10" i="35"/>
  <x:c r="C11" i="35"/>
  <x:c r="D11" i="35"/>
  <x:c r="E11" i="35"/>
  <x:c r="F11" i="35"/>
  <x:c r="G11" i="35"/>
  <x:c r="H11" i="35"/>
  <x:c r="I11" i="35"/>
  <x:c r="J11" i="35"/>
  <x:c r="K11" i="35"/>
  <x:c r="L11" i="35"/>
  <x:c r="M11" i="35"/>
  <x:c r="N11" i="35"/>
  <x:c r="O11" i="35"/>
  <x:c r="C12" i="35"/>
  <x:c r="D12" i="35"/>
  <x:c r="E12" i="35"/>
  <x:c r="F12" i="35"/>
  <x:c r="G12" i="35"/>
  <x:c r="H12" i="35"/>
  <x:c r="I12" i="35"/>
  <x:c r="J12" i="35"/>
  <x:c r="K12" i="35"/>
  <x:c r="L12" i="35"/>
  <x:c r="M12" i="35"/>
  <x:c r="N12" i="35"/>
  <x:c r="O12" i="35"/>
  <x:c r="C13" i="35"/>
  <x:c r="D13" i="35"/>
  <x:c r="E13" i="35"/>
  <x:c r="F13" i="35"/>
  <x:c r="G13" i="35"/>
  <x:c r="H13" i="35"/>
  <x:c r="I13" i="35"/>
  <x:c r="J13" i="35"/>
  <x:c r="K13" i="35"/>
  <x:c r="L13" i="35"/>
  <x:c r="M13" i="35"/>
  <x:c r="N13" i="35"/>
  <x:c r="O13" i="35"/>
  <x:c r="C14" i="35"/>
  <x:c r="D14" i="35"/>
  <x:c r="E14" i="35"/>
  <x:c r="F14" i="35"/>
  <x:c r="G14" i="35"/>
  <x:c r="H14" i="35"/>
  <x:c r="I14" i="35"/>
  <x:c r="J14" i="35"/>
  <x:c r="K14" i="35"/>
  <x:c r="L14" i="35"/>
  <x:c r="M14" i="35"/>
  <x:c r="N14" i="35"/>
  <x:c r="O14" i="35"/>
  <x:c r="C15" i="35"/>
  <x:c r="D15" i="35"/>
  <x:c r="E15" i="35"/>
  <x:c r="F15" i="35"/>
  <x:c r="G15" i="35"/>
  <x:c r="H15" i="35"/>
  <x:c r="I15" i="35"/>
  <x:c r="J15" i="35"/>
  <x:c r="K15" i="35"/>
  <x:c r="L15" i="35"/>
  <x:c r="M15" i="35"/>
  <x:c r="N15" i="35"/>
  <x:c r="O15" i="35"/>
  <x:c r="C16" i="35"/>
  <x:c r="D16" i="35"/>
  <x:c r="E16" i="35"/>
  <x:c r="F16" i="35"/>
  <x:c r="G16" i="35"/>
  <x:c r="H16" i="35"/>
  <x:c r="I16" i="35"/>
  <x:c r="J16" i="35"/>
  <x:c r="K16" i="35"/>
  <x:c r="L16" i="35"/>
  <x:c r="M16" i="35"/>
  <x:c r="N16" i="35"/>
  <x:c r="O16" i="35"/>
  <x:c r="C17" i="35"/>
  <x:c r="D17" i="35"/>
  <x:c r="E17" i="35"/>
  <x:c r="F17" i="35"/>
  <x:c r="G17" i="35"/>
  <x:c r="H17" i="35"/>
  <x:c r="I17" i="35"/>
  <x:c r="J17" i="35"/>
  <x:c r="K17" i="35"/>
  <x:c r="L17" i="35"/>
  <x:c r="M17" i="35"/>
  <x:c r="N17" i="35"/>
  <x:c r="O17" i="35"/>
  <x:c r="C18" i="35"/>
  <x:c r="D18" i="35"/>
  <x:c r="E18" i="35"/>
  <x:c r="F18" i="35"/>
  <x:c r="G18" i="35"/>
  <x:c r="H18" i="35"/>
  <x:c r="I18" i="35"/>
  <x:c r="J18" i="35"/>
  <x:c r="K18" i="35"/>
  <x:c r="L18" i="35"/>
  <x:c r="M18" i="35"/>
  <x:c r="N18" i="35"/>
  <x:c r="O18" i="35"/>
  <x:c r="C19" i="35"/>
  <x:c r="D19" i="35"/>
  <x:c r="E19" i="35"/>
  <x:c r="F19" i="35"/>
  <x:c r="G19" i="35"/>
  <x:c r="H19" i="35"/>
  <x:c r="I19" i="35"/>
  <x:c r="J19" i="35"/>
  <x:c r="K19" i="35"/>
  <x:c r="L19" i="35"/>
  <x:c r="M19" i="35"/>
  <x:c r="N19" i="35"/>
  <x:c r="O19" i="35"/>
  <x:c r="C20" i="35"/>
  <x:c r="D20" i="35"/>
  <x:c r="E20" i="35"/>
  <x:c r="F20" i="35"/>
  <x:c r="G20" i="35"/>
  <x:c r="H20" i="35"/>
  <x:c r="I20" i="35"/>
  <x:c r="J20" i="35"/>
  <x:c r="K20" i="35"/>
  <x:c r="L20" i="35"/>
  <x:c r="M20" i="35"/>
  <x:c r="N20" i="35"/>
  <x:c r="O20" i="35"/>
  <x:c r="C21" i="35"/>
  <x:c r="D21" i="35"/>
  <x:c r="E21" i="35"/>
  <x:c r="F21" i="35"/>
  <x:c r="G21" i="35"/>
  <x:c r="H21" i="35"/>
  <x:c r="I21" i="35"/>
  <x:c r="J21" i="35"/>
  <x:c r="K21" i="35"/>
  <x:c r="L21" i="35"/>
  <x:c r="M21" i="35"/>
  <x:c r="N21" i="35"/>
  <x:c r="O21" i="35"/>
  <x:c r="C22" i="35"/>
  <x:c r="D22" i="35"/>
  <x:c r="E22" i="35"/>
  <x:c r="F22" i="35"/>
  <x:c r="G22" i="35"/>
  <x:c r="H22" i="35"/>
  <x:c r="I22" i="35"/>
  <x:c r="J22" i="35"/>
  <x:c r="K22" i="35"/>
  <x:c r="L22" i="35"/>
  <x:c r="M22" i="35"/>
  <x:c r="N22" i="35"/>
  <x:c r="O22" i="35"/>
  <x:c r="C23" i="35"/>
  <x:c r="D23" i="35"/>
  <x:c r="E23" i="35"/>
  <x:c r="F23" i="35"/>
  <x:c r="G23" i="35"/>
  <x:c r="H23" i="35"/>
  <x:c r="I23" i="35"/>
  <x:c r="J23" i="35"/>
  <x:c r="K23" i="35"/>
  <x:c r="L23" i="35"/>
  <x:c r="M23" i="35"/>
  <x:c r="N23" i="35"/>
  <x:c r="O23" i="35"/>
  <x:c r="C24" i="35"/>
  <x:c r="D24" i="35"/>
  <x:c r="E24" i="35"/>
  <x:c r="F24" i="35"/>
  <x:c r="G24" i="35"/>
  <x:c r="H24" i="35"/>
  <x:c r="I24" i="35"/>
  <x:c r="J24" i="35"/>
  <x:c r="K24" i="35"/>
  <x:c r="L24" i="35"/>
  <x:c r="M24" i="35"/>
  <x:c r="N24" i="35"/>
  <x:c r="O24" i="35"/>
  <x:c r="C25" i="35"/>
  <x:c r="D25" i="35"/>
  <x:c r="E25" i="35"/>
  <x:c r="F25" i="35"/>
  <x:c r="G25" i="35"/>
  <x:c r="H25" i="35"/>
  <x:c r="I25" i="35"/>
  <x:c r="J25" i="35"/>
  <x:c r="K25" i="35"/>
  <x:c r="L25" i="35"/>
  <x:c r="M25" i="35"/>
  <x:c r="N25" i="35"/>
  <x:c r="O25" i="35"/>
  <x:c r="C26" i="35"/>
  <x:c r="D26" i="35"/>
  <x:c r="E26" i="35"/>
  <x:c r="F26" i="35"/>
  <x:c r="G26" i="35"/>
  <x:c r="H26" i="35"/>
  <x:c r="I26" i="35"/>
  <x:c r="J26" i="35"/>
  <x:c r="K26" i="35"/>
  <x:c r="L26" i="35"/>
  <x:c r="M26" i="35"/>
  <x:c r="N26" i="35"/>
  <x:c r="O26" i="35"/>
  <x:c r="C27" i="35"/>
  <x:c r="D27" i="35"/>
  <x:c r="E27" i="35"/>
  <x:c r="F27" i="35"/>
  <x:c r="G27" i="35"/>
  <x:c r="H27" i="35"/>
  <x:c r="I27" i="35"/>
  <x:c r="J27" i="35"/>
  <x:c r="K27" i="35"/>
  <x:c r="L27" i="35"/>
  <x:c r="M27" i="35"/>
  <x:c r="N27" i="35"/>
  <x:c r="O27" i="35"/>
  <x:c r="C28" i="35"/>
  <x:c r="D28" i="35"/>
  <x:c r="E28" i="35"/>
  <x:c r="F28" i="35"/>
  <x:c r="G28" i="35"/>
  <x:c r="H28" i="35"/>
  <x:c r="I28" i="35"/>
  <x:c r="J28" i="35"/>
  <x:c r="K28" i="35"/>
  <x:c r="L28" i="35"/>
  <x:c r="M28" i="35"/>
  <x:c r="N28" i="35"/>
  <x:c r="O28" i="35"/>
  <x:c r="C29" i="35"/>
  <x:c r="D29" i="35"/>
  <x:c r="E29" i="35"/>
  <x:c r="F29" i="35"/>
  <x:c r="G29" i="35"/>
  <x:c r="H29" i="35"/>
  <x:c r="I29" i="35"/>
  <x:c r="J29" i="35"/>
  <x:c r="K29" i="35"/>
  <x:c r="L29" i="35"/>
  <x:c r="M29" i="35"/>
  <x:c r="N29" i="35"/>
  <x:c r="O29" i="35"/>
  <x:c r="C30" i="35"/>
  <x:c r="D30" i="35"/>
  <x:c r="E30" i="35"/>
  <x:c r="F30" i="35"/>
  <x:c r="G30" i="35"/>
  <x:c r="H30" i="35"/>
  <x:c r="I30" i="35"/>
  <x:c r="J30" i="35"/>
  <x:c r="K30" i="35"/>
  <x:c r="L30" i="35"/>
  <x:c r="M30" i="35"/>
  <x:c r="N30" i="35"/>
  <x:c r="O30" i="35"/>
  <x:c r="C31" i="35"/>
  <x:c r="D31" i="35"/>
  <x:c r="E31" i="35"/>
  <x:c r="F31" i="35"/>
  <x:c r="G31" i="35"/>
  <x:c r="H31" i="35"/>
  <x:c r="I31" i="35"/>
  <x:c r="J31" i="35"/>
  <x:c r="K31" i="35"/>
  <x:c r="L31" i="35"/>
  <x:c r="M31" i="35"/>
  <x:c r="N31" i="35"/>
  <x:c r="O31" i="35"/>
  <x:c r="C32" i="35"/>
  <x:c r="D32" i="35"/>
  <x:c r="E32" i="35"/>
  <x:c r="F32" i="35"/>
  <x:c r="G32" i="35"/>
  <x:c r="H32" i="35"/>
  <x:c r="I32" i="35"/>
  <x:c r="J32" i="35"/>
  <x:c r="K32" i="35"/>
  <x:c r="L32" i="35"/>
  <x:c r="M32" i="35"/>
  <x:c r="N32" i="35"/>
  <x:c r="O32" i="35"/>
  <x:c r="C33" i="35"/>
  <x:c r="D33" i="35"/>
  <x:c r="E33" i="35"/>
  <x:c r="F33" i="35"/>
  <x:c r="G33" i="35"/>
  <x:c r="H33" i="35"/>
  <x:c r="I33" i="35"/>
  <x:c r="J33" i="35"/>
  <x:c r="K33" i="35"/>
  <x:c r="L33" i="35"/>
  <x:c r="M33" i="35"/>
  <x:c r="N33" i="35"/>
  <x:c r="O33" i="35"/>
  <x:c r="C34" i="35"/>
  <x:c r="D34" i="35"/>
  <x:c r="E34" i="35"/>
  <x:c r="F34" i="35"/>
  <x:c r="G34" i="35"/>
  <x:c r="H34" i="35"/>
  <x:c r="I34" i="35"/>
  <x:c r="J34" i="35"/>
  <x:c r="K34" i="35"/>
  <x:c r="L34" i="35"/>
  <x:c r="M34" i="35"/>
  <x:c r="N34" i="35"/>
  <x:c r="O34" i="35"/>
  <x:c r="C35" i="35"/>
  <x:c r="D35" i="35"/>
  <x:c r="E35" i="35"/>
  <x:c r="F35" i="35"/>
  <x:c r="G35" i="35"/>
  <x:c r="H35" i="35"/>
  <x:c r="I35" i="35"/>
  <x:c r="J35" i="35"/>
  <x:c r="K35" i="35"/>
  <x:c r="L35" i="35"/>
  <x:c r="M35" i="35"/>
  <x:c r="N35" i="35"/>
  <x:c r="O35" i="35"/>
  <x:c r="C36" i="35"/>
  <x:c r="D36" i="35"/>
  <x:c r="E36" i="35"/>
  <x:c r="F36" i="35"/>
  <x:c r="G36" i="35"/>
  <x:c r="H36" i="35"/>
  <x:c r="I36" i="35"/>
  <x:c r="J36" i="35"/>
  <x:c r="K36" i="35"/>
  <x:c r="L36" i="35"/>
  <x:c r="M36" i="35"/>
  <x:c r="N36" i="35"/>
  <x:c r="O36" i="35"/>
  <x:c r="C37" i="35"/>
  <x:c r="D37" i="35"/>
  <x:c r="E37" i="35"/>
  <x:c r="F37" i="35"/>
  <x:c r="G37" i="35"/>
  <x:c r="H37" i="35"/>
  <x:c r="I37" i="35"/>
  <x:c r="J37" i="35"/>
  <x:c r="K37" i="35"/>
  <x:c r="L37" i="35"/>
  <x:c r="M37" i="35"/>
  <x:c r="N37" i="35"/>
  <x:c r="O37" i="35"/>
  <x:c r="C38" i="35"/>
  <x:c r="D38" i="35"/>
  <x:c r="E38" i="35"/>
  <x:c r="F38" i="35"/>
  <x:c r="G38" i="35"/>
  <x:c r="H38" i="35"/>
  <x:c r="I38" i="35"/>
  <x:c r="J38" i="35"/>
  <x:c r="K38" i="35"/>
  <x:c r="L38" i="35"/>
  <x:c r="M38" i="35"/>
  <x:c r="N38" i="35"/>
  <x:c r="O38" i="35"/>
  <x:c r="C39" i="35"/>
  <x:c r="D39" i="35"/>
  <x:c r="E39" i="35"/>
  <x:c r="F39" i="35"/>
  <x:c r="G39" i="35"/>
  <x:c r="H39" i="35"/>
  <x:c r="I39" i="35"/>
  <x:c r="J39" i="35"/>
  <x:c r="K39" i="35"/>
  <x:c r="L39" i="35"/>
  <x:c r="M39" i="35"/>
  <x:c r="N39" i="35"/>
  <x:c r="O39" i="35"/>
  <x:c r="C40" i="35"/>
  <x:c r="D40" i="35"/>
  <x:c r="E40" i="35"/>
  <x:c r="F40" i="35"/>
  <x:c r="G40" i="35"/>
  <x:c r="H40" i="35"/>
  <x:c r="I40" i="35"/>
  <x:c r="J40" i="35"/>
  <x:c r="K40" i="35"/>
  <x:c r="L40" i="35"/>
  <x:c r="M40" i="35"/>
  <x:c r="N40" i="35"/>
  <x:c r="O40" i="35"/>
  <x:c r="C41" i="35"/>
  <x:c r="D41" i="35"/>
  <x:c r="E41" i="35"/>
  <x:c r="F41" i="35"/>
  <x:c r="G41" i="35"/>
  <x:c r="H41" i="35"/>
  <x:c r="I41" i="35"/>
  <x:c r="J41" i="35"/>
  <x:c r="K41" i="35"/>
  <x:c r="L41" i="35"/>
  <x:c r="M41" i="35"/>
  <x:c r="N41" i="35"/>
  <x:c r="O41" i="35"/>
  <x:c r="C42" i="35"/>
  <x:c r="D42" i="35"/>
  <x:c r="E42" i="35"/>
  <x:c r="F42" i="35"/>
  <x:c r="G42" i="35"/>
  <x:c r="H42" i="35"/>
  <x:c r="I42" i="35"/>
  <x:c r="J42" i="35"/>
  <x:c r="K42" i="35"/>
  <x:c r="L42" i="35"/>
  <x:c r="M42" i="35"/>
  <x:c r="N42" i="35"/>
  <x:c r="O42" i="35"/>
  <x:c r="C43" i="35"/>
  <x:c r="D43" i="35"/>
  <x:c r="E43" i="35"/>
  <x:c r="F43" i="35"/>
  <x:c r="G43" i="35"/>
  <x:c r="H43" i="35"/>
  <x:c r="I43" i="35"/>
  <x:c r="J43" i="35"/>
  <x:c r="K43" i="35"/>
  <x:c r="L43" i="35"/>
  <x:c r="M43" i="35"/>
  <x:c r="N43" i="35"/>
  <x:c r="O43" i="35"/>
  <x:c r="C44" i="35"/>
  <x:c r="D44" i="35"/>
  <x:c r="E44" i="35"/>
  <x:c r="F44" i="35"/>
  <x:c r="G44" i="35"/>
  <x:c r="H44" i="35"/>
  <x:c r="I44" i="35"/>
  <x:c r="J44" i="35"/>
  <x:c r="K44" i="35"/>
  <x:c r="L44" i="35"/>
  <x:c r="M44" i="35"/>
  <x:c r="N44" i="35"/>
  <x:c r="O44" i="35"/>
  <x:c r="C45" i="35"/>
  <x:c r="D45" i="35"/>
  <x:c r="E45" i="35"/>
  <x:c r="F45" i="35"/>
  <x:c r="G45" i="35"/>
  <x:c r="H45" i="35"/>
  <x:c r="I45" i="35"/>
  <x:c r="J45" i="35"/>
  <x:c r="K45" i="35"/>
  <x:c r="L45" i="35"/>
  <x:c r="M45" i="35"/>
  <x:c r="N45" i="35"/>
  <x:c r="O45" i="35"/>
  <x:c r="C46" i="35"/>
  <x:c r="D46" i="35"/>
  <x:c r="E46" i="35"/>
  <x:c r="F46" i="35"/>
  <x:c r="G46" i="35"/>
  <x:c r="H46" i="35"/>
  <x:c r="I46" i="35"/>
  <x:c r="J46" i="35"/>
  <x:c r="K46" i="35"/>
  <x:c r="L46" i="35"/>
  <x:c r="M46" i="35"/>
  <x:c r="N46" i="35"/>
  <x:c r="O46" i="35"/>
  <x:c r="C47" i="35"/>
  <x:c r="D47" i="35"/>
  <x:c r="E47" i="35"/>
  <x:c r="F47" i="35"/>
  <x:c r="G47" i="35"/>
  <x:c r="H47" i="35"/>
  <x:c r="I47" i="35"/>
  <x:c r="J47" i="35"/>
  <x:c r="K47" i="35"/>
  <x:c r="L47" i="35"/>
  <x:c r="M47" i="35"/>
  <x:c r="N47" i="35"/>
  <x:c r="O47" i="35"/>
  <x:c r="S47" i="35"/>
  <x:c r="C48" i="35"/>
  <x:c r="D48" i="35"/>
  <x:c r="E48" i="35"/>
  <x:c r="F48" i="35"/>
  <x:c r="G48" i="35"/>
  <x:c r="H48" i="35"/>
  <x:c r="I48" i="35"/>
  <x:c r="J48" i="35"/>
  <x:c r="K48" i="35"/>
  <x:c r="L48" i="35"/>
  <x:c r="M48" i="35"/>
  <x:c r="N48" i="35"/>
  <x:c r="O48" i="35"/>
  <x:c r="C49" i="35"/>
  <x:c r="D49" i="35"/>
  <x:c r="E49" i="35"/>
  <x:c r="F49" i="35"/>
  <x:c r="G49" i="35"/>
  <x:c r="H49" i="35"/>
  <x:c r="I49" i="35"/>
  <x:c r="J49" i="35"/>
  <x:c r="K49" i="35"/>
  <x:c r="L49" i="35"/>
  <x:c r="M49" i="35"/>
  <x:c r="N49" i="35"/>
  <x:c r="O49" i="35"/>
  <x:c r="C50" i="35"/>
  <x:c r="D50" i="35"/>
  <x:c r="E50" i="35"/>
  <x:c r="F50" i="35"/>
  <x:c r="G50" i="35"/>
  <x:c r="H50" i="35"/>
  <x:c r="I50" i="35"/>
  <x:c r="J50" i="35"/>
  <x:c r="K50" i="35"/>
  <x:c r="L50" i="35"/>
  <x:c r="M50" i="35"/>
  <x:c r="N50" i="35"/>
  <x:c r="O50" i="35"/>
  <x:c r="C51" i="35"/>
  <x:c r="D51" i="35"/>
  <x:c r="E51" i="35"/>
  <x:c r="F51" i="35"/>
  <x:c r="G51" i="35"/>
  <x:c r="H51" i="35"/>
  <x:c r="I51" i="35"/>
  <x:c r="J51" i="35"/>
  <x:c r="K51" i="35"/>
  <x:c r="L51" i="35"/>
  <x:c r="M51" i="35"/>
  <x:c r="N51" i="35"/>
  <x:c r="O51" i="35"/>
  <x:c r="C52" i="35"/>
  <x:c r="D52" i="35"/>
  <x:c r="E52" i="35"/>
  <x:c r="F52" i="35"/>
  <x:c r="G52" i="35"/>
  <x:c r="H52" i="35"/>
  <x:c r="I52" i="35"/>
  <x:c r="J52" i="35"/>
  <x:c r="K52" i="35"/>
  <x:c r="L52" i="35"/>
  <x:c r="M52" i="35"/>
  <x:c r="N52" i="35"/>
  <x:c r="O52" i="35"/>
  <x:c r="C53" i="35"/>
  <x:c r="D53" i="35"/>
  <x:c r="E53" i="35"/>
  <x:c r="F53" i="35"/>
  <x:c r="G53" i="35"/>
  <x:c r="H53" i="35"/>
  <x:c r="I53" i="35"/>
  <x:c r="J53" i="35"/>
  <x:c r="K53" i="35"/>
  <x:c r="L53" i="35"/>
  <x:c r="M53" i="35"/>
  <x:c r="N53" i="35"/>
  <x:c r="O53" i="35"/>
  <x:c r="C54" i="35"/>
  <x:c r="D54" i="35"/>
  <x:c r="E54" i="35"/>
  <x:c r="F54" i="35"/>
  <x:c r="G54" i="35"/>
  <x:c r="H54" i="35"/>
  <x:c r="I54" i="35"/>
  <x:c r="J54" i="35"/>
  <x:c r="K54" i="35"/>
  <x:c r="L54" i="35"/>
  <x:c r="M54" i="35"/>
  <x:c r="N54" i="35"/>
  <x:c r="O54" i="35"/>
  <x:c r="C55" i="35"/>
  <x:c r="D55" i="35"/>
  <x:c r="E55" i="35"/>
  <x:c r="F55" i="35"/>
  <x:c r="G55" i="35"/>
  <x:c r="H55" i="35"/>
  <x:c r="I55" i="35"/>
  <x:c r="J55" i="35"/>
  <x:c r="K55" i="35"/>
  <x:c r="L55" i="35"/>
  <x:c r="M55" i="35"/>
  <x:c r="N55" i="35"/>
  <x:c r="O55" i="35"/>
  <x:c r="C56" i="35"/>
  <x:c r="D56" i="35"/>
  <x:c r="E56" i="35"/>
  <x:c r="F56" i="35"/>
  <x:c r="G56" i="35"/>
  <x:c r="H56" i="35"/>
  <x:c r="I56" i="35"/>
  <x:c r="J56" i="35"/>
  <x:c r="K56" i="35"/>
  <x:c r="L56" i="35"/>
  <x:c r="M56" i="35"/>
  <x:c r="N56" i="35"/>
  <x:c r="O56" i="35"/>
  <x:c r="C57" i="35"/>
  <x:c r="D57" i="35"/>
  <x:c r="E57" i="35"/>
  <x:c r="F57" i="35"/>
  <x:c r="G57" i="35"/>
  <x:c r="H57" i="35"/>
  <x:c r="I57" i="35"/>
  <x:c r="J57" i="35"/>
  <x:c r="K57" i="35"/>
  <x:c r="L57" i="35"/>
  <x:c r="M57" i="35"/>
  <x:c r="N57" i="35"/>
  <x:c r="O57" i="35"/>
  <x:c r="C58" i="35"/>
  <x:c r="D58" i="35"/>
  <x:c r="E58" i="35"/>
  <x:c r="F58" i="35"/>
  <x:c r="G58" i="35"/>
  <x:c r="H58" i="35"/>
  <x:c r="I58" i="35"/>
  <x:c r="J58" i="35"/>
  <x:c r="K58" i="35"/>
  <x:c r="L58" i="35"/>
  <x:c r="M58" i="35"/>
  <x:c r="N58" i="35"/>
  <x:c r="O58" i="35"/>
  <x:c r="C59" i="35"/>
  <x:c r="D59" i="35"/>
  <x:c r="E59" i="35"/>
  <x:c r="F59" i="35"/>
  <x:c r="G59" i="35"/>
  <x:c r="H59" i="35"/>
  <x:c r="I59" i="35"/>
  <x:c r="J59" i="35"/>
  <x:c r="K59" i="35"/>
  <x:c r="L59" i="35"/>
  <x:c r="M59" i="35"/>
  <x:c r="N59" i="35"/>
  <x:c r="O59" i="35"/>
  <x:c r="C60" i="35"/>
  <x:c r="D60" i="35"/>
  <x:c r="E60" i="35"/>
  <x:c r="F60" i="35"/>
  <x:c r="G60" i="35"/>
  <x:c r="H60" i="35"/>
  <x:c r="I60" i="35"/>
  <x:c r="J60" i="35"/>
  <x:c r="K60" i="35"/>
  <x:c r="L60" i="35"/>
  <x:c r="M60" i="35"/>
  <x:c r="N60" i="35"/>
  <x:c r="O60" i="35"/>
  <x:c r="C61" i="35"/>
  <x:c r="D61" i="35"/>
  <x:c r="E61" i="35"/>
  <x:c r="F61" i="35"/>
  <x:c r="G61" i="35"/>
  <x:c r="H61" i="35"/>
  <x:c r="I61" i="35"/>
  <x:c r="J61" i="35"/>
  <x:c r="K61" i="35"/>
  <x:c r="L61" i="35"/>
  <x:c r="M61" i="35"/>
  <x:c r="N61" i="35"/>
  <x:c r="O61" i="35"/>
  <x:c r="C62" i="35"/>
  <x:c r="D62" i="35"/>
  <x:c r="E62" i="35"/>
  <x:c r="F62" i="35"/>
  <x:c r="G62" i="35"/>
  <x:c r="H62" i="35"/>
  <x:c r="I62" i="35"/>
  <x:c r="J62" i="35"/>
  <x:c r="K62" i="35"/>
  <x:c r="L62" i="35"/>
  <x:c r="M62" i="35"/>
  <x:c r="N62" i="35"/>
  <x:c r="O62" i="35"/>
  <x:c r="C63" i="35"/>
  <x:c r="D63" i="35"/>
  <x:c r="E63" i="35"/>
  <x:c r="F63" i="35"/>
  <x:c r="G63" i="35"/>
  <x:c r="H63" i="35"/>
  <x:c r="I63" i="35"/>
  <x:c r="J63" i="35"/>
  <x:c r="K63" i="35"/>
  <x:c r="L63" i="35"/>
  <x:c r="M63" i="35"/>
  <x:c r="N63" i="35"/>
  <x:c r="O63" i="35"/>
  <x:c r="C64" i="35"/>
  <x:c r="D64" i="35"/>
  <x:c r="E64" i="35"/>
  <x:c r="F64" i="35"/>
  <x:c r="G64" i="35"/>
  <x:c r="H64" i="35"/>
  <x:c r="I64" i="35"/>
  <x:c r="J64" i="35"/>
  <x:c r="K64" i="35"/>
  <x:c r="L64" i="35"/>
  <x:c r="M64" i="35"/>
  <x:c r="N64" i="35"/>
  <x:c r="O64" i="35"/>
  <x:c r="C65" i="35"/>
  <x:c r="D65" i="35"/>
  <x:c r="E65" i="35"/>
  <x:c r="F65" i="35"/>
  <x:c r="G65" i="35"/>
  <x:c r="H65" i="35"/>
  <x:c r="I65" i="35"/>
  <x:c r="J65" i="35"/>
  <x:c r="K65" i="35"/>
  <x:c r="L65" i="35"/>
  <x:c r="M65" i="35"/>
  <x:c r="N65" i="35"/>
  <x:c r="O65" i="35"/>
  <x:c r="C66" i="35"/>
  <x:c r="D66" i="35"/>
  <x:c r="E66" i="35"/>
  <x:c r="F66" i="35"/>
  <x:c r="G66" i="35"/>
  <x:c r="H66" i="35"/>
  <x:c r="I66" i="35"/>
  <x:c r="J66" i="35"/>
  <x:c r="K66" i="35"/>
  <x:c r="L66" i="35"/>
  <x:c r="M66" i="35"/>
  <x:c r="N66" i="35"/>
  <x:c r="O66" i="35"/>
  <x:c r="C67" i="35"/>
  <x:c r="D67" i="35"/>
  <x:c r="E67" i="35"/>
  <x:c r="F67" i="35"/>
  <x:c r="G67" i="35"/>
  <x:c r="H67" i="35"/>
  <x:c r="I67" i="35"/>
  <x:c r="J67" i="35"/>
  <x:c r="K67" i="35"/>
  <x:c r="L67" i="35"/>
  <x:c r="M67" i="35"/>
  <x:c r="N67" i="35"/>
  <x:c r="O67" i="35"/>
  <x:c r="C68" i="35"/>
  <x:c r="D68" i="35"/>
  <x:c r="E68" i="35"/>
  <x:c r="F68" i="35"/>
  <x:c r="G68" i="35"/>
  <x:c r="H68" i="35"/>
  <x:c r="I68" i="35"/>
  <x:c r="J68" i="35"/>
  <x:c r="K68" i="35"/>
  <x:c r="L68" i="35"/>
  <x:c r="M68" i="35"/>
  <x:c r="N68" i="35"/>
  <x:c r="O68" i="35"/>
  <x:c r="S68" i="35"/>
  <x:c r="C69" i="35"/>
  <x:c r="D69" i="35"/>
  <x:c r="E69" i="35"/>
  <x:c r="F69" i="35"/>
  <x:c r="G69" i="35"/>
  <x:c r="H69" i="35"/>
  <x:c r="I69" i="35"/>
  <x:c r="J69" i="35"/>
  <x:c r="K69" i="35"/>
  <x:c r="L69" i="35"/>
  <x:c r="M69" i="35"/>
  <x:c r="N69" i="35"/>
  <x:c r="O69" i="35"/>
  <x:c r="C70" i="35"/>
  <x:c r="D70" i="35"/>
  <x:c r="E70" i="35"/>
  <x:c r="F70" i="35"/>
  <x:c r="G70" i="35"/>
  <x:c r="H70" i="35"/>
  <x:c r="I70" i="35"/>
  <x:c r="J70" i="35"/>
  <x:c r="K70" i="35"/>
  <x:c r="L70" i="35"/>
  <x:c r="M70" i="35"/>
  <x:c r="N70" i="35"/>
  <x:c r="O70" i="35"/>
  <x:c r="C71" i="35"/>
  <x:c r="D71" i="35"/>
  <x:c r="E71" i="35"/>
  <x:c r="F71" i="35"/>
  <x:c r="G71" i="35"/>
  <x:c r="H71" i="35"/>
  <x:c r="I71" i="35"/>
  <x:c r="J71" i="35"/>
  <x:c r="K71" i="35"/>
  <x:c r="L71" i="35"/>
  <x:c r="M71" i="35"/>
  <x:c r="N71" i="35"/>
  <x:c r="O71" i="35"/>
  <x:c r="C72" i="35"/>
  <x:c r="D72" i="35"/>
  <x:c r="E72" i="35"/>
  <x:c r="F72" i="35"/>
  <x:c r="G72" i="35"/>
  <x:c r="H72" i="35"/>
  <x:c r="I72" i="35"/>
  <x:c r="J72" i="35"/>
  <x:c r="K72" i="35"/>
  <x:c r="L72" i="35"/>
  <x:c r="M72" i="35"/>
  <x:c r="N72" i="35"/>
  <x:c r="O72" i="35"/>
  <x:c r="C73" i="35"/>
  <x:c r="D73" i="35"/>
  <x:c r="E73" i="35"/>
  <x:c r="F73" i="35"/>
  <x:c r="G73" i="35"/>
  <x:c r="H73" i="35"/>
  <x:c r="I73" i="35"/>
  <x:c r="J73" i="35"/>
  <x:c r="K73" i="35"/>
  <x:c r="L73" i="35"/>
  <x:c r="M73" i="35"/>
  <x:c r="N73" i="35"/>
  <x:c r="O73" i="35"/>
  <x:c r="C74" i="35"/>
  <x:c r="D74" i="35"/>
  <x:c r="E74" i="35"/>
  <x:c r="F74" i="35"/>
  <x:c r="G74" i="35"/>
  <x:c r="H74" i="35"/>
  <x:c r="I74" i="35"/>
  <x:c r="J74" i="35"/>
  <x:c r="K74" i="35"/>
  <x:c r="L74" i="35"/>
  <x:c r="M74" i="35"/>
  <x:c r="N74" i="35"/>
  <x:c r="O74" i="35"/>
  <x:c r="C75" i="35"/>
  <x:c r="D75" i="35"/>
  <x:c r="E75" i="35"/>
  <x:c r="F75" i="35"/>
  <x:c r="G75" i="35"/>
  <x:c r="H75" i="35"/>
  <x:c r="I75" i="35"/>
  <x:c r="J75" i="35"/>
  <x:c r="K75" i="35"/>
  <x:c r="L75" i="35"/>
  <x:c r="M75" i="35"/>
  <x:c r="N75" i="35"/>
  <x:c r="O75" i="35"/>
  <x:c r="C76" i="35"/>
  <x:c r="D76" i="35"/>
  <x:c r="E76" i="35"/>
  <x:c r="F76" i="35"/>
  <x:c r="G76" i="35"/>
  <x:c r="H76" i="35"/>
  <x:c r="I76" i="35"/>
  <x:c r="J76" i="35"/>
  <x:c r="K76" i="35"/>
  <x:c r="L76" i="35"/>
  <x:c r="M76" i="35"/>
  <x:c r="N76" i="35"/>
  <x:c r="O76" i="35"/>
  <x:c r="C77" i="35"/>
  <x:c r="D77" i="35"/>
  <x:c r="E77" i="35"/>
  <x:c r="F77" i="35"/>
  <x:c r="G77" i="35"/>
  <x:c r="H77" i="35"/>
  <x:c r="I77" i="35"/>
  <x:c r="J77" i="35"/>
  <x:c r="K77" i="35"/>
  <x:c r="L77" i="35"/>
  <x:c r="M77" i="35"/>
  <x:c r="N77" i="35"/>
  <x:c r="O77" i="35"/>
  <x:c r="C78" i="35"/>
  <x:c r="D78" i="35"/>
  <x:c r="E78" i="35"/>
  <x:c r="F78" i="35"/>
  <x:c r="G78" i="35"/>
  <x:c r="H78" i="35"/>
  <x:c r="I78" i="35"/>
  <x:c r="J78" i="35"/>
  <x:c r="K78" i="35"/>
  <x:c r="L78" i="35"/>
  <x:c r="M78" i="35"/>
  <x:c r="N78" i="35"/>
  <x:c r="O78" i="35"/>
  <x:c r="C79" i="35"/>
  <x:c r="D79" i="35"/>
  <x:c r="E79" i="35"/>
  <x:c r="F79" i="35"/>
  <x:c r="G79" i="35"/>
  <x:c r="H79" i="35"/>
  <x:c r="I79" i="35"/>
  <x:c r="J79" i="35"/>
  <x:c r="K79" i="35"/>
  <x:c r="L79" i="35"/>
  <x:c r="M79" i="35"/>
  <x:c r="N79" i="35"/>
  <x:c r="O79" i="35"/>
  <x:c r="C80" i="35"/>
  <x:c r="D80" i="35"/>
  <x:c r="E80" i="35"/>
  <x:c r="F80" i="35"/>
  <x:c r="G80" i="35"/>
  <x:c r="H80" i="35"/>
  <x:c r="I80" i="35"/>
  <x:c r="J80" i="35"/>
  <x:c r="K80" i="35"/>
  <x:c r="L80" i="35"/>
  <x:c r="M80" i="35"/>
  <x:c r="N80" i="35"/>
  <x:c r="O80" i="35"/>
  <x:c r="C81" i="35"/>
  <x:c r="D81" i="35"/>
  <x:c r="E81" i="35"/>
  <x:c r="F81" i="35"/>
  <x:c r="G81" i="35"/>
  <x:c r="H81" i="35"/>
  <x:c r="I81" i="35"/>
  <x:c r="J81" i="35"/>
  <x:c r="K81" i="35"/>
  <x:c r="L81" i="35"/>
  <x:c r="M81" i="35"/>
  <x:c r="N81" i="35"/>
  <x:c r="O81" i="35"/>
  <x:c r="C82" i="35"/>
  <x:c r="D82" i="35"/>
  <x:c r="E82" i="35"/>
  <x:c r="F82" i="35"/>
  <x:c r="G82" i="35"/>
  <x:c r="H82" i="35"/>
  <x:c r="I82" i="35"/>
  <x:c r="J82" i="35"/>
  <x:c r="K82" i="35"/>
  <x:c r="L82" i="35"/>
  <x:c r="M82" i="35"/>
  <x:c r="N82" i="35"/>
  <x:c r="O82" i="35"/>
  <x:c r="C83" i="35"/>
  <x:c r="D83" i="35"/>
  <x:c r="E83" i="35"/>
  <x:c r="F83" i="35"/>
  <x:c r="G83" i="35"/>
  <x:c r="H83" i="35"/>
  <x:c r="I83" i="35"/>
  <x:c r="J83" i="35"/>
  <x:c r="K83" i="35"/>
  <x:c r="L83" i="35"/>
  <x:c r="M83" i="35"/>
  <x:c r="N83" i="35"/>
  <x:c r="O83" i="35"/>
  <x:c r="C84" i="35"/>
  <x:c r="D84" i="35"/>
  <x:c r="E84" i="35"/>
  <x:c r="F84" i="35"/>
  <x:c r="G84" i="35"/>
  <x:c r="H84" i="35"/>
  <x:c r="I84" i="35"/>
  <x:c r="J84" i="35"/>
  <x:c r="K84" i="35"/>
  <x:c r="L84" i="35"/>
  <x:c r="M84" i="35"/>
  <x:c r="N84" i="35"/>
  <x:c r="O84" i="35"/>
  <x:c r="C85" i="35"/>
  <x:c r="D85" i="35"/>
  <x:c r="E85" i="35"/>
  <x:c r="F85" i="35"/>
  <x:c r="G85" i="35"/>
  <x:c r="H85" i="35"/>
  <x:c r="I85" i="35"/>
  <x:c r="J85" i="35"/>
  <x:c r="K85" i="35"/>
  <x:c r="L85" i="35"/>
  <x:c r="M85" i="35"/>
  <x:c r="N85" i="35"/>
  <x:c r="O85" i="35"/>
  <x:c r="C86" i="35"/>
  <x:c r="D86" i="35"/>
  <x:c r="E86" i="35"/>
  <x:c r="F86" i="35"/>
  <x:c r="G86" i="35"/>
  <x:c r="H86" i="35"/>
  <x:c r="I86" i="35"/>
  <x:c r="J86" i="35"/>
  <x:c r="K86" i="35"/>
  <x:c r="L86" i="35"/>
  <x:c r="M86" i="35"/>
  <x:c r="N86" i="35"/>
  <x:c r="O86" i="35"/>
  <x:c r="C87" i="35"/>
  <x:c r="D87" i="35"/>
  <x:c r="E87" i="35"/>
  <x:c r="F87" i="35"/>
  <x:c r="G87" i="35"/>
  <x:c r="H87" i="35"/>
  <x:c r="I87" i="35"/>
  <x:c r="J87" i="35"/>
  <x:c r="K87" i="35"/>
  <x:c r="L87" i="35"/>
  <x:c r="M87" i="35"/>
  <x:c r="N87" i="35"/>
  <x:c r="O87" i="35"/>
  <x:c r="C88" i="35"/>
  <x:c r="D88" i="35"/>
  <x:c r="E88" i="35"/>
  <x:c r="F88" i="35"/>
  <x:c r="G88" i="35"/>
  <x:c r="H88" i="35"/>
  <x:c r="I88" i="35"/>
  <x:c r="J88" i="35"/>
  <x:c r="K88" i="35"/>
  <x:c r="L88" i="35"/>
  <x:c r="M88" i="35"/>
  <x:c r="N88" i="35"/>
  <x:c r="O88" i="35"/>
  <x:c r="C89" i="35"/>
  <x:c r="D89" i="35"/>
  <x:c r="E89" i="35"/>
  <x:c r="F89" i="35"/>
  <x:c r="G89" i="35"/>
  <x:c r="H89" i="35"/>
  <x:c r="I89" i="35"/>
  <x:c r="J89" i="35"/>
  <x:c r="K89" i="35"/>
  <x:c r="L89" i="35"/>
  <x:c r="M89" i="35"/>
  <x:c r="N89" i="35"/>
  <x:c r="O89" i="35"/>
  <x:c r="C90" i="35"/>
  <x:c r="D90" i="35"/>
  <x:c r="E90" i="35"/>
  <x:c r="F90" i="35"/>
  <x:c r="G90" i="35"/>
  <x:c r="H90" i="35"/>
  <x:c r="I90" i="35"/>
  <x:c r="J90" i="35"/>
  <x:c r="K90" i="35"/>
  <x:c r="L90" i="35"/>
  <x:c r="M90" i="35"/>
  <x:c r="N90" i="35"/>
  <x:c r="O90" i="35"/>
  <x:c r="C91" i="35"/>
  <x:c r="D91" i="35"/>
  <x:c r="E91" i="35"/>
  <x:c r="F91" i="35"/>
  <x:c r="G91" i="35"/>
  <x:c r="H91" i="35"/>
  <x:c r="I91" i="35"/>
  <x:c r="J91" i="35"/>
  <x:c r="K91" i="35"/>
  <x:c r="L91" i="35"/>
  <x:c r="M91" i="35"/>
  <x:c r="N91" i="35"/>
  <x:c r="O91" i="35"/>
  <x:c r="C92" i="35"/>
  <x:c r="D92" i="35"/>
  <x:c r="E92" i="35"/>
  <x:c r="F92" i="35"/>
  <x:c r="G92" i="35"/>
  <x:c r="H92" i="35"/>
  <x:c r="I92" i="35"/>
  <x:c r="J92" i="35"/>
  <x:c r="K92" i="35"/>
  <x:c r="L92" i="35"/>
  <x:c r="M92" i="35"/>
  <x:c r="N92" i="35"/>
  <x:c r="O92" i="35"/>
  <x:c r="C93" i="35"/>
  <x:c r="D93" i="35"/>
  <x:c r="E93" i="35"/>
  <x:c r="F93" i="35"/>
  <x:c r="G93" i="35"/>
  <x:c r="H93" i="35"/>
  <x:c r="I93" i="35"/>
  <x:c r="J93" i="35"/>
  <x:c r="K93" i="35"/>
  <x:c r="L93" i="35"/>
  <x:c r="M93" i="35"/>
  <x:c r="N93" i="35"/>
  <x:c r="O93" i="35"/>
  <x:c r="C94" i="35"/>
  <x:c r="D94" i="35"/>
  <x:c r="E94" i="35"/>
  <x:c r="F94" i="35"/>
  <x:c r="G94" i="35"/>
  <x:c r="H94" i="35"/>
  <x:c r="I94" i="35"/>
  <x:c r="J94" i="35"/>
  <x:c r="K94" i="35"/>
  <x:c r="L94" i="35"/>
  <x:c r="M94" i="35"/>
  <x:c r="N94" i="35"/>
  <x:c r="O94" i="35"/>
  <x:c r="C95" i="35"/>
  <x:c r="D95" i="35"/>
  <x:c r="E95" i="35"/>
  <x:c r="F95" i="35"/>
  <x:c r="G95" i="35"/>
  <x:c r="H95" i="35"/>
  <x:c r="I95" i="35"/>
  <x:c r="J95" i="35"/>
  <x:c r="K95" i="35"/>
  <x:c r="L95" i="35"/>
  <x:c r="M95" i="35"/>
  <x:c r="N95" i="35"/>
  <x:c r="O95" i="35"/>
  <x:c r="C96" i="35"/>
  <x:c r="D96" i="35"/>
  <x:c r="E96" i="35"/>
  <x:c r="F96" i="35"/>
  <x:c r="G96" i="35"/>
  <x:c r="H96" i="35"/>
  <x:c r="I96" i="35"/>
  <x:c r="J96" i="35"/>
  <x:c r="K96" i="35"/>
  <x:c r="L96" i="35"/>
  <x:c r="M96" i="35"/>
  <x:c r="N96" i="35"/>
  <x:c r="O96" i="35"/>
  <x:c r="S96" i="35"/>
  <x:c r="C97" i="35"/>
  <x:c r="D97" i="35"/>
  <x:c r="E97" i="35"/>
  <x:c r="F97" i="35"/>
  <x:c r="G97" i="35"/>
  <x:c r="H97" i="35"/>
  <x:c r="I97" i="35"/>
  <x:c r="J97" i="35"/>
  <x:c r="K97" i="35"/>
  <x:c r="L97" i="35"/>
  <x:c r="M97" i="35"/>
  <x:c r="N97" i="35"/>
  <x:c r="O97" i="35"/>
  <x:c r="C98" i="35"/>
  <x:c r="D98" i="35"/>
  <x:c r="E98" i="35"/>
  <x:c r="F98" i="35"/>
  <x:c r="G98" i="35"/>
  <x:c r="H98" i="35"/>
  <x:c r="I98" i="35"/>
  <x:c r="J98" i="35"/>
  <x:c r="K98" i="35"/>
  <x:c r="L98" i="35"/>
  <x:c r="M98" i="35"/>
  <x:c r="N98" i="35"/>
  <x:c r="O98" i="35"/>
  <x:c r="C99" i="35"/>
  <x:c r="D99" i="35"/>
  <x:c r="E99" i="35"/>
  <x:c r="F99" i="35"/>
  <x:c r="G99" i="35"/>
  <x:c r="H99" i="35"/>
  <x:c r="I99" i="35"/>
  <x:c r="J99" i="35"/>
  <x:c r="K99" i="35"/>
  <x:c r="L99" i="35"/>
  <x:c r="M99" i="35"/>
  <x:c r="N99" i="35"/>
  <x:c r="O99" i="35"/>
  <x:c r="C100" i="35"/>
  <x:c r="D100" i="35"/>
  <x:c r="E100" i="35"/>
  <x:c r="F100" i="35"/>
  <x:c r="G100" i="35"/>
  <x:c r="H100" i="35"/>
  <x:c r="I100" i="35"/>
  <x:c r="J100" i="35"/>
  <x:c r="K100" i="35"/>
  <x:c r="L100" i="35"/>
  <x:c r="M100" i="35"/>
  <x:c r="N100" i="35"/>
  <x:c r="O100" i="35"/>
  <x:c r="C101" i="35"/>
  <x:c r="D101" i="35"/>
  <x:c r="E101" i="35"/>
  <x:c r="F101" i="35"/>
  <x:c r="G101" i="35"/>
  <x:c r="H101" i="35"/>
  <x:c r="I101" i="35"/>
  <x:c r="J101" i="35"/>
  <x:c r="K101" i="35"/>
  <x:c r="L101" i="35"/>
  <x:c r="M101" i="35"/>
  <x:c r="N101" i="35"/>
  <x:c r="O101" i="35"/>
  <x:c r="C102" i="35"/>
  <x:c r="D102" i="35"/>
  <x:c r="E102" i="35"/>
  <x:c r="F102" i="35"/>
  <x:c r="G102" i="35"/>
  <x:c r="H102" i="35"/>
  <x:c r="I102" i="35"/>
  <x:c r="J102" i="35"/>
  <x:c r="K102" i="35"/>
  <x:c r="L102" i="35"/>
  <x:c r="M102" i="35"/>
  <x:c r="N102" i="35"/>
  <x:c r="O102" i="35"/>
  <x:c r="C103" i="35"/>
  <x:c r="D103" i="35"/>
  <x:c r="E103" i="35"/>
  <x:c r="F103" i="35"/>
  <x:c r="G103" i="35"/>
  <x:c r="H103" i="35"/>
  <x:c r="I103" i="35"/>
  <x:c r="J103" i="35"/>
  <x:c r="K103" i="35"/>
  <x:c r="L103" i="35"/>
  <x:c r="M103" i="35"/>
  <x:c r="N103" i="35"/>
  <x:c r="O103" i="35"/>
  <x:c r="C104" i="35"/>
  <x:c r="D104" i="35"/>
  <x:c r="E104" i="35"/>
  <x:c r="F104" i="35"/>
  <x:c r="G104" i="35"/>
  <x:c r="H104" i="35"/>
  <x:c r="I104" i="35"/>
  <x:c r="J104" i="35"/>
  <x:c r="K104" i="35"/>
  <x:c r="L104" i="35"/>
  <x:c r="M104" i="35"/>
  <x:c r="N104" i="35"/>
  <x:c r="O104" i="35"/>
  <x:c r="C105" i="35"/>
  <x:c r="D105" i="35"/>
  <x:c r="E105" i="35"/>
  <x:c r="F105" i="35"/>
  <x:c r="G105" i="35"/>
  <x:c r="H105" i="35"/>
  <x:c r="I105" i="35"/>
  <x:c r="J105" i="35"/>
  <x:c r="K105" i="35"/>
  <x:c r="L105" i="35"/>
  <x:c r="M105" i="35"/>
  <x:c r="N105" i="35"/>
  <x:c r="O105" i="35"/>
  <x:c r="C106" i="35"/>
  <x:c r="D106" i="35"/>
  <x:c r="E106" i="35"/>
  <x:c r="F106" i="35"/>
  <x:c r="G106" i="35"/>
  <x:c r="H106" i="35"/>
  <x:c r="I106" i="35"/>
  <x:c r="J106" i="35"/>
  <x:c r="K106" i="35"/>
  <x:c r="L106" i="35"/>
  <x:c r="M106" i="35"/>
  <x:c r="N106" i="35"/>
  <x:c r="O106" i="35"/>
  <x:c r="C107" i="35"/>
  <x:c r="D107" i="35"/>
  <x:c r="E107" i="35"/>
  <x:c r="F107" i="35"/>
  <x:c r="G107" i="35"/>
  <x:c r="H107" i="35"/>
  <x:c r="I107" i="35"/>
  <x:c r="J107" i="35"/>
  <x:c r="K107" i="35"/>
  <x:c r="L107" i="35"/>
  <x:c r="M107" i="35"/>
  <x:c r="N107" i="35"/>
  <x:c r="O107" i="35"/>
  <x:c r="C108" i="35"/>
  <x:c r="D108" i="35"/>
  <x:c r="E108" i="35"/>
  <x:c r="F108" i="35"/>
  <x:c r="G108" i="35"/>
  <x:c r="H108" i="35"/>
  <x:c r="I108" i="35"/>
  <x:c r="J108" i="35"/>
  <x:c r="K108" i="35"/>
  <x:c r="L108" i="35"/>
  <x:c r="M108" i="35"/>
  <x:c r="N108" i="35"/>
  <x:c r="O108" i="35"/>
  <x:c r="C109" i="35"/>
  <x:c r="D109" i="35"/>
  <x:c r="E109" i="35"/>
  <x:c r="F109" i="35"/>
  <x:c r="G109" i="35"/>
  <x:c r="H109" i="35"/>
  <x:c r="I109" i="35"/>
  <x:c r="J109" i="35"/>
  <x:c r="K109" i="35"/>
  <x:c r="L109" i="35"/>
  <x:c r="M109" i="35"/>
  <x:c r="N109" i="35"/>
  <x:c r="O109" i="35"/>
  <x:c r="C110" i="35"/>
  <x:c r="D110" i="35"/>
  <x:c r="E110" i="35"/>
  <x:c r="F110" i="35"/>
  <x:c r="G110" i="35"/>
  <x:c r="H110" i="35"/>
  <x:c r="I110" i="35"/>
  <x:c r="J110" i="35"/>
  <x:c r="K110" i="35"/>
  <x:c r="L110" i="35"/>
  <x:c r="M110" i="35"/>
  <x:c r="N110" i="35"/>
  <x:c r="O110" i="35"/>
  <x:c r="C111" i="35"/>
  <x:c r="D111" i="35"/>
  <x:c r="E111" i="35"/>
  <x:c r="F111" i="35"/>
  <x:c r="G111" i="35"/>
  <x:c r="H111" i="35"/>
  <x:c r="I111" i="35"/>
  <x:c r="J111" i="35"/>
  <x:c r="K111" i="35"/>
  <x:c r="L111" i="35"/>
  <x:c r="M111" i="35"/>
  <x:c r="N111" i="35"/>
  <x:c r="O111" i="35"/>
  <x:c r="C112" i="35"/>
  <x:c r="D112" i="35"/>
  <x:c r="E112" i="35"/>
  <x:c r="F112" i="35"/>
  <x:c r="G112" i="35"/>
  <x:c r="H112" i="35"/>
  <x:c r="I112" i="35"/>
  <x:c r="J112" i="35"/>
  <x:c r="K112" i="35"/>
  <x:c r="L112" i="35"/>
  <x:c r="M112" i="35"/>
  <x:c r="N112" i="35"/>
  <x:c r="O112" i="35"/>
  <x:c r="C113" i="35"/>
  <x:c r="D113" i="35"/>
  <x:c r="E113" i="35"/>
  <x:c r="F113" i="35"/>
  <x:c r="G113" i="35"/>
  <x:c r="H113" i="35"/>
  <x:c r="I113" i="35"/>
  <x:c r="J113" i="35"/>
  <x:c r="K113" i="35"/>
  <x:c r="L113" i="35"/>
  <x:c r="M113" i="35"/>
  <x:c r="N113" i="35"/>
  <x:c r="O113" i="35"/>
  <x:c r="C114" i="35"/>
  <x:c r="D114" i="35"/>
  <x:c r="E114" i="35"/>
  <x:c r="F114" i="35"/>
  <x:c r="G114" i="35"/>
  <x:c r="H114" i="35"/>
  <x:c r="I114" i="35"/>
  <x:c r="J114" i="35"/>
  <x:c r="K114" i="35"/>
  <x:c r="L114" i="35"/>
  <x:c r="M114" i="35"/>
  <x:c r="N114" i="35"/>
  <x:c r="O114" i="35"/>
  <x:c r="C115" i="35"/>
  <x:c r="D115" i="35"/>
  <x:c r="E115" i="35"/>
  <x:c r="F115" i="35"/>
  <x:c r="G115" i="35"/>
  <x:c r="H115" i="35"/>
  <x:c r="I115" i="35"/>
  <x:c r="J115" i="35"/>
  <x:c r="K115" i="35"/>
  <x:c r="L115" i="35"/>
  <x:c r="M115" i="35"/>
  <x:c r="N115" i="35"/>
  <x:c r="O115" i="35"/>
  <x:c r="C116" i="35"/>
  <x:c r="D116" i="35"/>
  <x:c r="E116" i="35"/>
  <x:c r="F116" i="35"/>
  <x:c r="G116" i="35"/>
  <x:c r="H116" i="35"/>
  <x:c r="I116" i="35"/>
  <x:c r="J116" i="35"/>
  <x:c r="K116" i="35"/>
  <x:c r="L116" i="35"/>
  <x:c r="M116" i="35"/>
  <x:c r="N116" i="35"/>
  <x:c r="O116" i="35"/>
  <x:c r="C117" i="35"/>
  <x:c r="D117" i="35"/>
  <x:c r="E117" i="35"/>
  <x:c r="F117" i="35"/>
  <x:c r="G117" i="35"/>
  <x:c r="H117" i="35"/>
  <x:c r="I117" i="35"/>
  <x:c r="J117" i="35"/>
  <x:c r="K117" i="35"/>
  <x:c r="L117" i="35"/>
  <x:c r="M117" i="35"/>
  <x:c r="N117" i="35"/>
  <x:c r="O117" i="35"/>
  <x:c r="C118" i="35"/>
  <x:c r="D118" i="35"/>
  <x:c r="E118" i="35"/>
  <x:c r="F118" i="35"/>
  <x:c r="G118" i="35"/>
  <x:c r="H118" i="35"/>
  <x:c r="I118" i="35"/>
  <x:c r="J118" i="35"/>
  <x:c r="K118" i="35"/>
  <x:c r="L118" i="35"/>
  <x:c r="M118" i="35"/>
  <x:c r="N118" i="35"/>
  <x:c r="O118" i="35"/>
  <x:c r="C119" i="35"/>
  <x:c r="D119" i="35"/>
  <x:c r="E119" i="35"/>
  <x:c r="F119" i="35"/>
  <x:c r="G119" i="35"/>
  <x:c r="H119" i="35"/>
  <x:c r="I119" i="35"/>
  <x:c r="J119" i="35"/>
  <x:c r="K119" i="35"/>
  <x:c r="L119" i="35"/>
  <x:c r="M119" i="35"/>
  <x:c r="N119" i="35"/>
  <x:c r="O119" i="35"/>
  <x:c r="C120" i="35"/>
  <x:c r="D120" i="35"/>
  <x:c r="E120" i="35"/>
  <x:c r="F120" i="35"/>
  <x:c r="G120" i="35"/>
  <x:c r="H120" i="35"/>
  <x:c r="I120" i="35"/>
  <x:c r="J120" i="35"/>
  <x:c r="K120" i="35"/>
  <x:c r="L120" i="35"/>
  <x:c r="M120" i="35"/>
  <x:c r="N120" i="35"/>
  <x:c r="O120" i="35"/>
  <x:c r="C121" i="35"/>
  <x:c r="D121" i="35"/>
  <x:c r="E121" i="35"/>
  <x:c r="F121" i="35"/>
  <x:c r="G121" i="35"/>
  <x:c r="H121" i="35"/>
  <x:c r="I121" i="35"/>
  <x:c r="J121" i="35"/>
  <x:c r="K121" i="35"/>
  <x:c r="L121" i="35"/>
  <x:c r="M121" i="35"/>
  <x:c r="N121" i="35"/>
  <x:c r="O121" i="35"/>
  <x:c r="C122" i="35"/>
  <x:c r="D122" i="35"/>
  <x:c r="E122" i="35"/>
  <x:c r="F122" i="35"/>
  <x:c r="G122" i="35"/>
  <x:c r="H122" i="35"/>
  <x:c r="I122" i="35"/>
  <x:c r="J122" i="35"/>
  <x:c r="K122" i="35"/>
  <x:c r="L122" i="35"/>
  <x:c r="M122" i="35"/>
  <x:c r="N122" i="35"/>
  <x:c r="O122" i="35"/>
  <x:c r="C123" i="35"/>
  <x:c r="D123" i="35"/>
  <x:c r="E123" i="35"/>
  <x:c r="F123" i="35"/>
  <x:c r="G123" i="35"/>
  <x:c r="H123" i="35"/>
  <x:c r="I123" i="35"/>
  <x:c r="J123" i="35"/>
  <x:c r="K123" i="35"/>
  <x:c r="L123" i="35"/>
  <x:c r="M123" i="35"/>
  <x:c r="N123" i="35"/>
  <x:c r="O123" i="35"/>
  <x:c r="C124" i="35"/>
  <x:c r="D124" i="35"/>
  <x:c r="E124" i="35"/>
  <x:c r="F124" i="35"/>
  <x:c r="G124" i="35"/>
  <x:c r="H124" i="35"/>
  <x:c r="I124" i="35"/>
  <x:c r="J124" i="35"/>
  <x:c r="K124" i="35"/>
  <x:c r="L124" i="35"/>
  <x:c r="M124" i="35"/>
  <x:c r="N124" i="35"/>
  <x:c r="O124" i="35"/>
  <x:c r="C125" i="35"/>
  <x:c r="D125" i="35"/>
  <x:c r="E125" i="35"/>
  <x:c r="F125" i="35"/>
  <x:c r="G125" i="35"/>
  <x:c r="H125" i="35"/>
  <x:c r="I125" i="35"/>
  <x:c r="J125" i="35"/>
  <x:c r="K125" i="35"/>
  <x:c r="L125" i="35"/>
  <x:c r="M125" i="35"/>
  <x:c r="N125" i="35"/>
  <x:c r="O125" i="35"/>
  <x:c r="C126" i="35"/>
  <x:c r="D126" i="35"/>
  <x:c r="E126" i="35"/>
  <x:c r="F126" i="35"/>
  <x:c r="G126" i="35"/>
  <x:c r="H126" i="35"/>
  <x:c r="I126" i="35"/>
  <x:c r="J126" i="35"/>
  <x:c r="K126" i="35"/>
  <x:c r="L126" i="35"/>
  <x:c r="M126" i="35"/>
  <x:c r="N126" i="35"/>
  <x:c r="O126" i="35"/>
  <x:c r="C127" i="35"/>
  <x:c r="D127" i="35"/>
  <x:c r="E127" i="35"/>
  <x:c r="F127" i="35"/>
  <x:c r="G127" i="35"/>
  <x:c r="H127" i="35"/>
  <x:c r="I127" i="35"/>
  <x:c r="J127" i="35"/>
  <x:c r="K127" i="35"/>
  <x:c r="L127" i="35"/>
  <x:c r="M127" i="35"/>
  <x:c r="N127" i="35"/>
  <x:c r="O127" i="35"/>
  <x:c r="C128" i="35"/>
  <x:c r="D128" i="35"/>
  <x:c r="E128" i="35"/>
  <x:c r="F128" i="35"/>
  <x:c r="G128" i="35"/>
  <x:c r="H128" i="35"/>
  <x:c r="I128" i="35"/>
  <x:c r="J128" i="35"/>
  <x:c r="K128" i="35"/>
  <x:c r="L128" i="35"/>
  <x:c r="M128" i="35"/>
  <x:c r="N128" i="35"/>
  <x:c r="O128" i="35"/>
  <x:c r="C129" i="35"/>
  <x:c r="D129" i="35"/>
  <x:c r="E129" i="35"/>
  <x:c r="F129" i="35"/>
  <x:c r="G129" i="35"/>
  <x:c r="H129" i="35"/>
  <x:c r="I129" i="35"/>
  <x:c r="J129" i="35"/>
  <x:c r="K129" i="35"/>
  <x:c r="L129" i="35"/>
  <x:c r="M129" i="35"/>
  <x:c r="N129" i="35"/>
  <x:c r="O129" i="35"/>
  <x:c r="C130" i="35"/>
  <x:c r="D130" i="35"/>
  <x:c r="E130" i="35"/>
  <x:c r="F130" i="35"/>
  <x:c r="G130" i="35"/>
  <x:c r="H130" i="35"/>
  <x:c r="I130" i="35"/>
  <x:c r="J130" i="35"/>
  <x:c r="K130" i="35"/>
  <x:c r="L130" i="35"/>
  <x:c r="M130" i="35"/>
  <x:c r="N130" i="35"/>
  <x:c r="O130" i="35"/>
  <x:c r="C131" i="35"/>
  <x:c r="D131" i="35"/>
  <x:c r="E131" i="35"/>
  <x:c r="F131" i="35"/>
  <x:c r="G131" i="35"/>
  <x:c r="H131" i="35"/>
  <x:c r="I131" i="35"/>
  <x:c r="J131" i="35"/>
  <x:c r="K131" i="35"/>
  <x:c r="L131" i="35"/>
  <x:c r="M131" i="35"/>
  <x:c r="N131" i="35"/>
  <x:c r="O131" i="35"/>
  <x:c r="C132" i="35"/>
  <x:c r="D132" i="35"/>
  <x:c r="E132" i="35"/>
  <x:c r="F132" i="35"/>
  <x:c r="G132" i="35"/>
  <x:c r="H132" i="35"/>
  <x:c r="I132" i="35"/>
  <x:c r="J132" i="35"/>
  <x:c r="K132" i="35"/>
  <x:c r="L132" i="35"/>
  <x:c r="M132" i="35"/>
  <x:c r="N132" i="35"/>
  <x:c r="O132" i="35"/>
  <x:c r="C133" i="35"/>
  <x:c r="D133" i="35"/>
  <x:c r="E133" i="35"/>
  <x:c r="F133" i="35"/>
  <x:c r="G133" i="35"/>
  <x:c r="H133" i="35"/>
  <x:c r="I133" i="35"/>
  <x:c r="J133" i="35"/>
  <x:c r="K133" i="35"/>
  <x:c r="L133" i="35"/>
  <x:c r="M133" i="35"/>
  <x:c r="N133" i="35"/>
  <x:c r="O133" i="35"/>
  <x:c r="C134" i="35"/>
  <x:c r="D134" i="35"/>
  <x:c r="E134" i="35"/>
  <x:c r="F134" i="35"/>
  <x:c r="G134" i="35"/>
  <x:c r="H134" i="35"/>
  <x:c r="I134" i="35"/>
  <x:c r="J134" i="35"/>
  <x:c r="K134" i="35"/>
  <x:c r="L134" i="35"/>
  <x:c r="M134" i="35"/>
  <x:c r="N134" i="35"/>
  <x:c r="O134" i="35"/>
  <x:c r="C135" i="35"/>
  <x:c r="D135" i="35"/>
  <x:c r="E135" i="35"/>
  <x:c r="F135" i="35"/>
  <x:c r="G135" i="35"/>
  <x:c r="H135" i="35"/>
  <x:c r="I135" i="35"/>
  <x:c r="J135" i="35"/>
  <x:c r="K135" i="35"/>
  <x:c r="L135" i="35"/>
  <x:c r="M135" i="35"/>
  <x:c r="N135" i="35"/>
  <x:c r="O135" i="35"/>
  <x:c r="C136" i="35"/>
  <x:c r="D136" i="35"/>
  <x:c r="E136" i="35"/>
  <x:c r="F136" i="35"/>
  <x:c r="G136" i="35"/>
  <x:c r="H136" i="35"/>
  <x:c r="I136" i="35"/>
  <x:c r="J136" i="35"/>
  <x:c r="K136" i="35"/>
  <x:c r="L136" i="35"/>
  <x:c r="M136" i="35"/>
  <x:c r="N136" i="35"/>
  <x:c r="O136" i="35"/>
  <x:c r="C137" i="35"/>
  <x:c r="D137" i="35"/>
  <x:c r="E137" i="35"/>
  <x:c r="F137" i="35"/>
  <x:c r="G137" i="35"/>
  <x:c r="H137" i="35"/>
  <x:c r="I137" i="35"/>
  <x:c r="J137" i="35"/>
  <x:c r="K137" i="35"/>
  <x:c r="L137" i="35"/>
  <x:c r="M137" i="35"/>
  <x:c r="N137" i="35"/>
  <x:c r="O137" i="35"/>
  <x:c r="C138" i="35"/>
  <x:c r="D138" i="35"/>
  <x:c r="E138" i="35"/>
  <x:c r="F138" i="35"/>
  <x:c r="G138" i="35"/>
  <x:c r="H138" i="35"/>
  <x:c r="I138" i="35"/>
  <x:c r="J138" i="35"/>
  <x:c r="K138" i="35"/>
  <x:c r="L138" i="35"/>
  <x:c r="M138" i="35"/>
  <x:c r="N138" i="35"/>
  <x:c r="O138" i="35"/>
  <x:c r="C139" i="35"/>
  <x:c r="D139" i="35"/>
  <x:c r="E139" i="35"/>
  <x:c r="F139" i="35"/>
  <x:c r="G139" i="35"/>
  <x:c r="H139" i="35"/>
  <x:c r="I139" i="35"/>
  <x:c r="J139" i="35"/>
  <x:c r="K139" i="35"/>
  <x:c r="L139" i="35"/>
  <x:c r="M139" i="35"/>
  <x:c r="N139" i="35"/>
  <x:c r="O139" i="35"/>
  <x:c r="C140" i="35"/>
  <x:c r="D140" i="35"/>
  <x:c r="E140" i="35"/>
  <x:c r="F140" i="35"/>
  <x:c r="G140" i="35"/>
  <x:c r="H140" i="35"/>
  <x:c r="I140" i="35"/>
  <x:c r="J140" i="35"/>
  <x:c r="K140" i="35"/>
  <x:c r="L140" i="35"/>
  <x:c r="M140" i="35"/>
  <x:c r="N140" i="35"/>
  <x:c r="O140" i="35"/>
  <x:c r="C141" i="35"/>
  <x:c r="D141" i="35"/>
  <x:c r="E141" i="35"/>
  <x:c r="F141" i="35"/>
  <x:c r="G141" i="35"/>
  <x:c r="H141" i="35"/>
  <x:c r="I141" i="35"/>
  <x:c r="J141" i="35"/>
  <x:c r="K141" i="35"/>
  <x:c r="L141" i="35"/>
  <x:c r="M141" i="35"/>
  <x:c r="N141" i="35"/>
  <x:c r="O141" i="35"/>
  <x:c r="C142" i="35"/>
  <x:c r="D142" i="35"/>
  <x:c r="E142" i="35"/>
  <x:c r="F142" i="35"/>
  <x:c r="G142" i="35"/>
  <x:c r="H142" i="35"/>
  <x:c r="I142" i="35"/>
  <x:c r="J142" i="35"/>
  <x:c r="K142" i="35"/>
  <x:c r="L142" i="35"/>
  <x:c r="M142" i="35"/>
  <x:c r="N142" i="35"/>
  <x:c r="O142" i="35"/>
  <x:c r="C143" i="35"/>
  <x:c r="D143" i="35"/>
  <x:c r="E143" i="35"/>
  <x:c r="F143" i="35"/>
  <x:c r="G143" i="35"/>
  <x:c r="H143" i="35"/>
  <x:c r="I143" i="35"/>
  <x:c r="J143" i="35"/>
  <x:c r="K143" i="35"/>
  <x:c r="L143" i="35"/>
  <x:c r="M143" i="35"/>
  <x:c r="N143" i="35"/>
  <x:c r="O143" i="35"/>
  <x:c r="S143" i="35"/>
  <x:c r="C144" i="35"/>
  <x:c r="D144" i="35"/>
  <x:c r="E144" i="35"/>
  <x:c r="F144" i="35"/>
  <x:c r="G144" i="35"/>
  <x:c r="H144" i="35"/>
  <x:c r="I144" i="35"/>
  <x:c r="J144" i="35"/>
  <x:c r="K144" i="35"/>
  <x:c r="L144" i="35"/>
  <x:c r="M144" i="35"/>
  <x:c r="N144" i="35"/>
  <x:c r="O144" i="35"/>
  <x:c r="C145" i="35"/>
  <x:c r="D145" i="35"/>
  <x:c r="E145" i="35"/>
  <x:c r="F145" i="35"/>
  <x:c r="G145" i="35"/>
  <x:c r="H145" i="35"/>
  <x:c r="I145" i="35"/>
  <x:c r="J145" i="35"/>
  <x:c r="K145" i="35"/>
  <x:c r="L145" i="35"/>
  <x:c r="M145" i="35"/>
  <x:c r="N145" i="35"/>
  <x:c r="O145" i="35"/>
  <x:c r="C146" i="35"/>
  <x:c r="D146" i="35"/>
  <x:c r="E146" i="35"/>
  <x:c r="F146" i="35"/>
  <x:c r="G146" i="35"/>
  <x:c r="H146" i="35"/>
  <x:c r="I146" i="35"/>
  <x:c r="J146" i="35"/>
  <x:c r="K146" i="35"/>
  <x:c r="L146" i="35"/>
  <x:c r="M146" i="35"/>
  <x:c r="N146" i="35"/>
  <x:c r="O146" i="35"/>
  <x:c r="C147" i="35"/>
  <x:c r="D147" i="35"/>
  <x:c r="E147" i="35"/>
  <x:c r="F147" i="35"/>
  <x:c r="G147" i="35"/>
  <x:c r="H147" i="35"/>
  <x:c r="I147" i="35"/>
  <x:c r="J147" i="35"/>
  <x:c r="K147" i="35"/>
  <x:c r="L147" i="35"/>
  <x:c r="M147" i="35"/>
  <x:c r="N147" i="35"/>
  <x:c r="O147" i="35"/>
  <x:c r="C148" i="35"/>
  <x:c r="D148" i="35"/>
  <x:c r="E148" i="35"/>
  <x:c r="F148" i="35"/>
  <x:c r="G148" i="35"/>
  <x:c r="H148" i="35"/>
  <x:c r="I148" i="35"/>
  <x:c r="J148" i="35"/>
  <x:c r="K148" i="35"/>
  <x:c r="L148" i="35"/>
  <x:c r="M148" i="35"/>
  <x:c r="N148" i="35"/>
  <x:c r="O148" i="35"/>
  <x:c r="C149" i="35"/>
  <x:c r="D149" i="35"/>
  <x:c r="E149" i="35"/>
  <x:c r="F149" i="35"/>
  <x:c r="G149" i="35"/>
  <x:c r="H149" i="35"/>
  <x:c r="I149" i="35"/>
  <x:c r="J149" i="35"/>
  <x:c r="K149" i="35"/>
  <x:c r="L149" i="35"/>
  <x:c r="M149" i="35"/>
  <x:c r="N149" i="35"/>
  <x:c r="O149" i="35"/>
  <x:c r="C150" i="35"/>
  <x:c r="D150" i="35"/>
  <x:c r="E150" i="35"/>
  <x:c r="F150" i="35"/>
  <x:c r="G150" i="35"/>
  <x:c r="H150" i="35"/>
  <x:c r="I150" i="35"/>
  <x:c r="J150" i="35"/>
  <x:c r="K150" i="35"/>
  <x:c r="L150" i="35"/>
  <x:c r="M150" i="35"/>
  <x:c r="N150" i="35"/>
  <x:c r="O150" i="35"/>
  <x:c r="C151" i="35"/>
  <x:c r="D151" i="35"/>
  <x:c r="E151" i="35"/>
  <x:c r="F151" i="35"/>
  <x:c r="G151" i="35"/>
  <x:c r="H151" i="35"/>
  <x:c r="I151" i="35"/>
  <x:c r="J151" i="35"/>
  <x:c r="K151" i="35"/>
  <x:c r="L151" i="35"/>
  <x:c r="M151" i="35"/>
  <x:c r="N151" i="35"/>
  <x:c r="O151" i="35"/>
  <x:c r="C152" i="35"/>
  <x:c r="D152" i="35"/>
  <x:c r="E152" i="35"/>
  <x:c r="F152" i="35"/>
  <x:c r="G152" i="35"/>
  <x:c r="H152" i="35"/>
  <x:c r="I152" i="35"/>
  <x:c r="J152" i="35"/>
  <x:c r="K152" i="35"/>
  <x:c r="L152" i="35"/>
  <x:c r="M152" i="35"/>
  <x:c r="N152" i="35"/>
  <x:c r="O152" i="35"/>
  <x:c r="C153" i="35"/>
  <x:c r="D153" i="35"/>
  <x:c r="E153" i="35"/>
  <x:c r="F153" i="35"/>
  <x:c r="G153" i="35"/>
  <x:c r="H153" i="35"/>
  <x:c r="I153" i="35"/>
  <x:c r="J153" i="35"/>
  <x:c r="K153" i="35"/>
  <x:c r="L153" i="35"/>
  <x:c r="M153" i="35"/>
  <x:c r="N153" i="35"/>
  <x:c r="O153" i="35"/>
  <x:c r="C154" i="35"/>
  <x:c r="D154" i="35"/>
  <x:c r="E154" i="35"/>
  <x:c r="F154" i="35"/>
  <x:c r="G154" i="35"/>
  <x:c r="H154" i="35"/>
  <x:c r="I154" i="35"/>
  <x:c r="J154" i="35"/>
  <x:c r="K154" i="35"/>
  <x:c r="L154" i="35"/>
  <x:c r="M154" i="35"/>
  <x:c r="N154" i="35"/>
  <x:c r="O154" i="35"/>
  <x:c r="C155" i="35"/>
  <x:c r="D155" i="35"/>
  <x:c r="E155" i="35"/>
  <x:c r="F155" i="35"/>
  <x:c r="G155" i="35"/>
  <x:c r="H155" i="35"/>
  <x:c r="I155" i="35"/>
  <x:c r="J155" i="35"/>
  <x:c r="K155" i="35"/>
  <x:c r="L155" i="35"/>
  <x:c r="M155" i="35"/>
  <x:c r="N155" i="35"/>
  <x:c r="O155" i="35"/>
  <x:c r="C156" i="35"/>
  <x:c r="D156" i="35"/>
  <x:c r="E156" i="35"/>
  <x:c r="F156" i="35"/>
  <x:c r="G156" i="35"/>
  <x:c r="H156" i="35"/>
  <x:c r="I156" i="35"/>
  <x:c r="J156" i="35"/>
  <x:c r="K156" i="35"/>
  <x:c r="L156" i="35"/>
  <x:c r="M156" i="35"/>
  <x:c r="N156" i="35"/>
  <x:c r="O156" i="35"/>
  <x:c r="C157" i="35"/>
  <x:c r="D157" i="35"/>
  <x:c r="E157" i="35"/>
  <x:c r="F157" i="35"/>
  <x:c r="G157" i="35"/>
  <x:c r="H157" i="35"/>
  <x:c r="I157" i="35"/>
  <x:c r="J157" i="35"/>
  <x:c r="K157" i="35"/>
  <x:c r="L157" i="35"/>
  <x:c r="M157" i="35"/>
  <x:c r="N157" i="35"/>
  <x:c r="O157" i="35"/>
  <x:c r="C158" i="35"/>
  <x:c r="D158" i="35"/>
  <x:c r="E158" i="35"/>
  <x:c r="F158" i="35"/>
  <x:c r="G158" i="35"/>
  <x:c r="H158" i="35"/>
  <x:c r="I158" i="35"/>
  <x:c r="J158" i="35"/>
  <x:c r="K158" i="35"/>
  <x:c r="L158" i="35"/>
  <x:c r="M158" i="35"/>
  <x:c r="N158" i="35"/>
  <x:c r="O158" i="35"/>
  <x:c r="C159" i="35"/>
  <x:c r="D159" i="35"/>
  <x:c r="E159" i="35"/>
  <x:c r="F159" i="35"/>
  <x:c r="G159" i="35"/>
  <x:c r="H159" i="35"/>
  <x:c r="I159" i="35"/>
  <x:c r="J159" i="35"/>
  <x:c r="K159" i="35"/>
  <x:c r="L159" i="35"/>
  <x:c r="M159" i="35"/>
  <x:c r="N159" i="35"/>
  <x:c r="O159" i="35"/>
  <x:c r="C160" i="35"/>
  <x:c r="D160" i="35"/>
  <x:c r="E160" i="35"/>
  <x:c r="F160" i="35"/>
  <x:c r="G160" i="35"/>
  <x:c r="H160" i="35"/>
  <x:c r="I160" i="35"/>
  <x:c r="J160" i="35"/>
  <x:c r="K160" i="35"/>
  <x:c r="L160" i="35"/>
  <x:c r="M160" i="35"/>
  <x:c r="N160" i="35"/>
  <x:c r="O160" i="35"/>
  <x:c r="C161" i="35"/>
  <x:c r="D161" i="35"/>
  <x:c r="E161" i="35"/>
  <x:c r="F161" i="35"/>
  <x:c r="G161" i="35"/>
  <x:c r="H161" i="35"/>
  <x:c r="I161" i="35"/>
  <x:c r="J161" i="35"/>
  <x:c r="K161" i="35"/>
  <x:c r="L161" i="35"/>
  <x:c r="M161" i="35"/>
  <x:c r="N161" i="35"/>
  <x:c r="O161" i="35"/>
  <x:c r="C162" i="35"/>
  <x:c r="D162" i="35"/>
  <x:c r="E162" i="35"/>
  <x:c r="F162" i="35"/>
  <x:c r="G162" i="35"/>
  <x:c r="H162" i="35"/>
  <x:c r="I162" i="35"/>
  <x:c r="J162" i="35"/>
  <x:c r="K162" i="35"/>
  <x:c r="L162" i="35"/>
  <x:c r="M162" i="35"/>
  <x:c r="N162" i="35"/>
  <x:c r="O162" i="35"/>
  <x:c r="C163" i="35"/>
  <x:c r="D163" i="35"/>
  <x:c r="E163" i="35"/>
  <x:c r="F163" i="35"/>
  <x:c r="G163" i="35"/>
  <x:c r="H163" i="35"/>
  <x:c r="I163" i="35"/>
  <x:c r="J163" i="35"/>
  <x:c r="K163" i="35"/>
  <x:c r="L163" i="35"/>
  <x:c r="M163" i="35"/>
  <x:c r="N163" i="35"/>
  <x:c r="O163" i="35"/>
  <x:c r="C164" i="35"/>
  <x:c r="D164" i="35"/>
  <x:c r="E164" i="35"/>
  <x:c r="F164" i="35"/>
  <x:c r="G164" i="35"/>
  <x:c r="H164" i="35"/>
  <x:c r="I164" i="35"/>
  <x:c r="J164" i="35"/>
  <x:c r="K164" i="35"/>
  <x:c r="L164" i="35"/>
  <x:c r="M164" i="35"/>
  <x:c r="N164" i="35"/>
  <x:c r="O164" i="35"/>
  <x:c r="C165" i="35"/>
  <x:c r="D165" i="35"/>
  <x:c r="E165" i="35"/>
  <x:c r="F165" i="35"/>
  <x:c r="G165" i="35"/>
  <x:c r="H165" i="35"/>
  <x:c r="I165" i="35"/>
  <x:c r="J165" i="35"/>
  <x:c r="K165" i="35"/>
  <x:c r="L165" i="35"/>
  <x:c r="M165" i="35"/>
  <x:c r="N165" i="35"/>
  <x:c r="O165" i="35"/>
  <x:c r="C166" i="35"/>
  <x:c r="D166" i="35"/>
  <x:c r="E166" i="35"/>
  <x:c r="F166" i="35"/>
  <x:c r="G166" i="35"/>
  <x:c r="H166" i="35"/>
  <x:c r="I166" i="35"/>
  <x:c r="J166" i="35"/>
  <x:c r="K166" i="35"/>
  <x:c r="L166" i="35"/>
  <x:c r="M166" i="35"/>
  <x:c r="N166" i="35"/>
  <x:c r="O166" i="35"/>
  <x:c r="C167" i="35"/>
  <x:c r="D167" i="35"/>
  <x:c r="E167" i="35"/>
  <x:c r="F167" i="35"/>
  <x:c r="G167" i="35"/>
  <x:c r="H167" i="35"/>
  <x:c r="I167" i="35"/>
  <x:c r="J167" i="35"/>
  <x:c r="K167" i="35"/>
  <x:c r="L167" i="35"/>
  <x:c r="M167" i="35"/>
  <x:c r="N167" i="35"/>
  <x:c r="O167" i="35"/>
  <x:c r="C168" i="35"/>
  <x:c r="D168" i="35"/>
  <x:c r="E168" i="35"/>
  <x:c r="F168" i="35"/>
  <x:c r="G168" i="35"/>
  <x:c r="H168" i="35"/>
  <x:c r="I168" i="35"/>
  <x:c r="J168" i="35"/>
  <x:c r="K168" i="35"/>
  <x:c r="L168" i="35"/>
  <x:c r="M168" i="35"/>
  <x:c r="N168" i="35"/>
  <x:c r="O168" i="35"/>
  <x:c r="C169" i="35"/>
  <x:c r="D169" i="35"/>
  <x:c r="E169" i="35"/>
  <x:c r="F169" i="35"/>
  <x:c r="G169" i="35"/>
  <x:c r="H169" i="35"/>
  <x:c r="I169" i="35"/>
  <x:c r="J169" i="35"/>
  <x:c r="K169" i="35"/>
  <x:c r="L169" i="35"/>
  <x:c r="M169" i="35"/>
  <x:c r="N169" i="35"/>
  <x:c r="O169" i="35"/>
  <x:c r="C170" i="35"/>
  <x:c r="D170" i="35"/>
  <x:c r="E170" i="35"/>
  <x:c r="F170" i="35"/>
  <x:c r="G170" i="35"/>
  <x:c r="H170" i="35"/>
  <x:c r="I170" i="35"/>
  <x:c r="J170" i="35"/>
  <x:c r="K170" i="35"/>
  <x:c r="L170" i="35"/>
  <x:c r="M170" i="35"/>
  <x:c r="N170" i="35"/>
  <x:c r="O170" i="35"/>
  <x:c r="C171" i="35"/>
  <x:c r="D171" i="35"/>
  <x:c r="E171" i="35"/>
  <x:c r="F171" i="35"/>
  <x:c r="G171" i="35"/>
  <x:c r="H171" i="35"/>
  <x:c r="I171" i="35"/>
  <x:c r="J171" i="35"/>
  <x:c r="K171" i="35"/>
  <x:c r="L171" i="35"/>
  <x:c r="M171" i="35"/>
  <x:c r="N171" i="35"/>
  <x:c r="O171" i="35"/>
  <x:c r="C172" i="35"/>
  <x:c r="D172" i="35"/>
  <x:c r="E172" i="35"/>
  <x:c r="F172" i="35"/>
  <x:c r="G172" i="35"/>
  <x:c r="H172" i="35"/>
  <x:c r="I172" i="35"/>
  <x:c r="J172" i="35"/>
  <x:c r="K172" i="35"/>
  <x:c r="L172" i="35"/>
  <x:c r="M172" i="35"/>
  <x:c r="N172" i="35"/>
  <x:c r="O172" i="35"/>
  <x:c r="C173" i="35"/>
  <x:c r="D173" i="35"/>
  <x:c r="E173" i="35"/>
  <x:c r="F173" i="35"/>
  <x:c r="G173" i="35"/>
  <x:c r="H173" i="35"/>
  <x:c r="I173" i="35"/>
  <x:c r="J173" i="35"/>
  <x:c r="K173" i="35"/>
  <x:c r="L173" i="35"/>
  <x:c r="M173" i="35"/>
  <x:c r="N173" i="35"/>
  <x:c r="O173" i="35"/>
  <x:c r="C174" i="35"/>
  <x:c r="D174" i="35"/>
  <x:c r="E174" i="35"/>
  <x:c r="F174" i="35"/>
  <x:c r="G174" i="35"/>
  <x:c r="H174" i="35"/>
  <x:c r="I174" i="35"/>
  <x:c r="J174" i="35"/>
  <x:c r="K174" i="35"/>
  <x:c r="L174" i="35"/>
  <x:c r="M174" i="35"/>
  <x:c r="N174" i="35"/>
  <x:c r="O174" i="35"/>
  <x:c r="C175" i="35"/>
  <x:c r="D175" i="35"/>
  <x:c r="E175" i="35"/>
  <x:c r="F175" i="35"/>
  <x:c r="G175" i="35"/>
  <x:c r="H175" i="35"/>
  <x:c r="I175" i="35"/>
  <x:c r="J175" i="35"/>
  <x:c r="K175" i="35"/>
  <x:c r="L175" i="35"/>
  <x:c r="M175" i="35"/>
  <x:c r="N175" i="35"/>
  <x:c r="O175" i="35"/>
  <x:c r="C176" i="35"/>
  <x:c r="D176" i="35"/>
  <x:c r="E176" i="35"/>
  <x:c r="F176" i="35"/>
  <x:c r="G176" i="35"/>
  <x:c r="H176" i="35"/>
  <x:c r="I176" i="35"/>
  <x:c r="J176" i="35"/>
  <x:c r="K176" i="35"/>
  <x:c r="L176" i="35"/>
  <x:c r="M176" i="35"/>
  <x:c r="N176" i="35"/>
  <x:c r="O176" i="35"/>
  <x:c r="C177" i="35"/>
  <x:c r="D177" i="35"/>
  <x:c r="E177" i="35"/>
  <x:c r="F177" i="35"/>
  <x:c r="G177" i="35"/>
  <x:c r="H177" i="35"/>
  <x:c r="I177" i="35"/>
  <x:c r="J177" i="35"/>
  <x:c r="K177" i="35"/>
  <x:c r="L177" i="35"/>
  <x:c r="M177" i="35"/>
  <x:c r="N177" i="35"/>
  <x:c r="O177" i="35"/>
  <x:c r="C178" i="35"/>
  <x:c r="D178" i="35"/>
  <x:c r="E178" i="35"/>
  <x:c r="F178" i="35"/>
  <x:c r="G178" i="35"/>
  <x:c r="H178" i="35"/>
  <x:c r="I178" i="35"/>
  <x:c r="J178" i="35"/>
  <x:c r="K178" i="35"/>
  <x:c r="L178" i="35"/>
  <x:c r="M178" i="35"/>
  <x:c r="N178" i="35"/>
  <x:c r="O178" i="35"/>
  <x:c r="C179" i="35"/>
  <x:c r="D179" i="35"/>
  <x:c r="E179" i="35"/>
  <x:c r="F179" i="35"/>
  <x:c r="G179" i="35"/>
  <x:c r="H179" i="35"/>
  <x:c r="I179" i="35"/>
  <x:c r="J179" i="35"/>
  <x:c r="K179" i="35"/>
  <x:c r="L179" i="35"/>
  <x:c r="M179" i="35"/>
  <x:c r="N179" i="35"/>
  <x:c r="O179" i="35"/>
  <x:c r="C180" i="35"/>
  <x:c r="D180" i="35"/>
  <x:c r="E180" i="35"/>
  <x:c r="F180" i="35"/>
  <x:c r="G180" i="35"/>
  <x:c r="H180" i="35"/>
  <x:c r="I180" i="35"/>
  <x:c r="J180" i="35"/>
  <x:c r="K180" i="35"/>
  <x:c r="L180" i="35"/>
  <x:c r="M180" i="35"/>
  <x:c r="N180" i="35"/>
  <x:c r="O180" i="35"/>
  <x:c r="C181" i="35"/>
  <x:c r="D181" i="35"/>
  <x:c r="E181" i="35"/>
  <x:c r="F181" i="35"/>
  <x:c r="G181" i="35"/>
  <x:c r="H181" i="35"/>
  <x:c r="I181" i="35"/>
  <x:c r="J181" i="35"/>
  <x:c r="K181" i="35"/>
  <x:c r="L181" i="35"/>
  <x:c r="M181" i="35"/>
  <x:c r="N181" i="35"/>
  <x:c r="O181" i="35"/>
  <x:c r="C182" i="35"/>
  <x:c r="D182" i="35"/>
  <x:c r="E182" i="35"/>
  <x:c r="F182" i="35"/>
  <x:c r="G182" i="35"/>
  <x:c r="H182" i="35"/>
  <x:c r="I182" i="35"/>
  <x:c r="J182" i="35"/>
  <x:c r="K182" i="35"/>
  <x:c r="L182" i="35"/>
  <x:c r="M182" i="35"/>
  <x:c r="N182" i="35"/>
  <x:c r="O182" i="35"/>
  <x:c r="C183" i="35"/>
  <x:c r="D183" i="35"/>
  <x:c r="E183" i="35"/>
  <x:c r="F183" i="35"/>
  <x:c r="G183" i="35"/>
  <x:c r="H183" i="35"/>
  <x:c r="I183" i="35"/>
  <x:c r="J183" i="35"/>
  <x:c r="K183" i="35"/>
  <x:c r="L183" i="35"/>
  <x:c r="M183" i="35"/>
  <x:c r="N183" i="35"/>
  <x:c r="O183" i="35"/>
  <x:c r="C184" i="35"/>
  <x:c r="D184" i="35"/>
  <x:c r="E184" i="35"/>
  <x:c r="F184" i="35"/>
  <x:c r="G184" i="35"/>
  <x:c r="H184" i="35"/>
  <x:c r="I184" i="35"/>
  <x:c r="J184" i="35"/>
  <x:c r="K184" i="35"/>
  <x:c r="L184" i="35"/>
  <x:c r="M184" i="35"/>
  <x:c r="N184" i="35"/>
  <x:c r="O184" i="35"/>
  <x:c r="C185" i="35"/>
  <x:c r="D185" i="35"/>
  <x:c r="E185" i="35"/>
  <x:c r="F185" i="35"/>
  <x:c r="G185" i="35"/>
  <x:c r="H185" i="35"/>
  <x:c r="I185" i="35"/>
  <x:c r="J185" i="35"/>
  <x:c r="K185" i="35"/>
  <x:c r="L185" i="35"/>
  <x:c r="M185" i="35"/>
  <x:c r="N185" i="35"/>
  <x:c r="O185" i="35"/>
  <x:c r="C186" i="35"/>
  <x:c r="D186" i="35"/>
  <x:c r="E186" i="35"/>
  <x:c r="F186" i="35"/>
  <x:c r="G186" i="35"/>
  <x:c r="H186" i="35"/>
  <x:c r="I186" i="35"/>
  <x:c r="J186" i="35"/>
  <x:c r="K186" i="35"/>
  <x:c r="L186" i="35"/>
  <x:c r="M186" i="35"/>
  <x:c r="N186" i="35"/>
  <x:c r="O186" i="35"/>
  <x:c r="S186" i="35"/>
  <x:c r="C187" i="35"/>
  <x:c r="D187" i="35"/>
  <x:c r="E187" i="35"/>
  <x:c r="F187" i="35"/>
  <x:c r="G187" i="35"/>
  <x:c r="H187" i="35"/>
  <x:c r="I187" i="35"/>
  <x:c r="J187" i="35"/>
  <x:c r="K187" i="35"/>
  <x:c r="L187" i="35"/>
  <x:c r="M187" i="35"/>
  <x:c r="N187" i="35"/>
  <x:c r="O187" i="35"/>
  <x:c r="C188" i="35"/>
  <x:c r="D188" i="35"/>
  <x:c r="E188" i="35"/>
  <x:c r="F188" i="35"/>
  <x:c r="G188" i="35"/>
  <x:c r="H188" i="35"/>
  <x:c r="I188" i="35"/>
  <x:c r="J188" i="35"/>
  <x:c r="K188" i="35"/>
  <x:c r="L188" i="35"/>
  <x:c r="M188" i="35"/>
  <x:c r="N188" i="35"/>
  <x:c r="O188" i="35"/>
  <x:c r="C189" i="35"/>
  <x:c r="D189" i="35"/>
  <x:c r="E189" i="35"/>
  <x:c r="F189" i="35"/>
  <x:c r="G189" i="35"/>
  <x:c r="H189" i="35"/>
  <x:c r="I189" i="35"/>
  <x:c r="J189" i="35"/>
  <x:c r="K189" i="35"/>
  <x:c r="L189" i="35"/>
  <x:c r="M189" i="35"/>
  <x:c r="N189" i="35"/>
  <x:c r="O189" i="35"/>
  <x:c r="C190" i="35"/>
  <x:c r="D190" i="35"/>
  <x:c r="E190" i="35"/>
  <x:c r="F190" i="35"/>
  <x:c r="G190" i="35"/>
  <x:c r="H190" i="35"/>
  <x:c r="I190" i="35"/>
  <x:c r="J190" i="35"/>
  <x:c r="K190" i="35"/>
  <x:c r="L190" i="35"/>
  <x:c r="M190" i="35"/>
  <x:c r="N190" i="35"/>
  <x:c r="O190" i="35"/>
  <x:c r="C191" i="35"/>
  <x:c r="D191" i="35"/>
  <x:c r="E191" i="35"/>
  <x:c r="F191" i="35"/>
  <x:c r="G191" i="35"/>
  <x:c r="H191" i="35"/>
  <x:c r="I191" i="35"/>
  <x:c r="J191" i="35"/>
  <x:c r="K191" i="35"/>
  <x:c r="L191" i="35"/>
  <x:c r="M191" i="35"/>
  <x:c r="N191" i="35"/>
  <x:c r="O191" i="35"/>
  <x:c r="C192" i="35"/>
  <x:c r="D192" i="35"/>
  <x:c r="E192" i="35"/>
  <x:c r="F192" i="35"/>
  <x:c r="G192" i="35"/>
  <x:c r="H192" i="35"/>
  <x:c r="I192" i="35"/>
  <x:c r="J192" i="35"/>
  <x:c r="K192" i="35"/>
  <x:c r="L192" i="35"/>
  <x:c r="M192" i="35"/>
  <x:c r="N192" i="35"/>
  <x:c r="O192" i="35"/>
  <x:c r="C193" i="35"/>
  <x:c r="D193" i="35"/>
  <x:c r="E193" i="35"/>
  <x:c r="F193" i="35"/>
  <x:c r="G193" i="35"/>
  <x:c r="H193" i="35"/>
  <x:c r="I193" i="35"/>
  <x:c r="J193" i="35"/>
  <x:c r="K193" i="35"/>
  <x:c r="L193" i="35"/>
  <x:c r="M193" i="35"/>
  <x:c r="N193" i="35"/>
  <x:c r="O193" i="35"/>
  <x:c r="C194" i="35"/>
  <x:c r="D194" i="35"/>
  <x:c r="E194" i="35"/>
  <x:c r="F194" i="35"/>
  <x:c r="G194" i="35"/>
  <x:c r="H194" i="35"/>
  <x:c r="I194" i="35"/>
  <x:c r="J194" i="35"/>
  <x:c r="K194" i="35"/>
  <x:c r="L194" i="35"/>
  <x:c r="M194" i="35"/>
  <x:c r="N194" i="35"/>
  <x:c r="O194" i="35"/>
  <x:c r="C195" i="35"/>
  <x:c r="D195" i="35"/>
  <x:c r="E195" i="35"/>
  <x:c r="F195" i="35"/>
  <x:c r="G195" i="35"/>
  <x:c r="H195" i="35"/>
  <x:c r="I195" i="35"/>
  <x:c r="J195" i="35"/>
  <x:c r="K195" i="35"/>
  <x:c r="L195" i="35"/>
  <x:c r="M195" i="35"/>
  <x:c r="N195" i="35"/>
  <x:c r="O195" i="35"/>
  <x:c r="C196" i="35"/>
  <x:c r="D196" i="35"/>
  <x:c r="E196" i="35"/>
  <x:c r="F196" i="35"/>
  <x:c r="G196" i="35"/>
  <x:c r="H196" i="35"/>
  <x:c r="I196" i="35"/>
  <x:c r="J196" i="35"/>
  <x:c r="K196" i="35"/>
  <x:c r="L196" i="35"/>
  <x:c r="M196" i="35"/>
  <x:c r="N196" i="35"/>
  <x:c r="O196" i="35"/>
  <x:c r="C197" i="35"/>
  <x:c r="D197" i="35"/>
  <x:c r="E197" i="35"/>
  <x:c r="F197" i="35"/>
  <x:c r="G197" i="35"/>
  <x:c r="H197" i="35"/>
  <x:c r="I197" i="35"/>
  <x:c r="J197" i="35"/>
  <x:c r="K197" i="35"/>
  <x:c r="L197" i="35"/>
  <x:c r="M197" i="35"/>
  <x:c r="N197" i="35"/>
  <x:c r="O197" i="35"/>
  <x:c r="C198" i="35"/>
  <x:c r="D198" i="35"/>
  <x:c r="E198" i="35"/>
  <x:c r="F198" i="35"/>
  <x:c r="G198" i="35"/>
  <x:c r="H198" i="35"/>
  <x:c r="I198" i="35"/>
  <x:c r="J198" i="35"/>
  <x:c r="K198" i="35"/>
  <x:c r="L198" i="35"/>
  <x:c r="M198" i="35"/>
  <x:c r="N198" i="35"/>
  <x:c r="O198" i="35"/>
  <x:c r="C199" i="35"/>
  <x:c r="D199" i="35"/>
  <x:c r="E199" i="35"/>
  <x:c r="F199" i="35"/>
  <x:c r="G199" i="35"/>
  <x:c r="H199" i="35"/>
  <x:c r="I199" i="35"/>
  <x:c r="J199" i="35"/>
  <x:c r="K199" i="35"/>
  <x:c r="L199" i="35"/>
  <x:c r="M199" i="35"/>
  <x:c r="N199" i="35"/>
  <x:c r="O199" i="35"/>
  <x:c r="C200" i="35"/>
  <x:c r="D200" i="35"/>
  <x:c r="E200" i="35"/>
  <x:c r="F200" i="35"/>
  <x:c r="G200" i="35"/>
  <x:c r="H200" i="35"/>
  <x:c r="I200" i="35"/>
  <x:c r="J200" i="35"/>
  <x:c r="K200" i="35"/>
  <x:c r="L200" i="35"/>
  <x:c r="M200" i="35"/>
  <x:c r="N200" i="35"/>
  <x:c r="O200" i="35"/>
  <x:c r="C201" i="35"/>
  <x:c r="D201" i="35"/>
  <x:c r="E201" i="35"/>
  <x:c r="F201" i="35"/>
  <x:c r="G201" i="35"/>
  <x:c r="H201" i="35"/>
  <x:c r="I201" i="35"/>
  <x:c r="J201" i="35"/>
  <x:c r="K201" i="35"/>
  <x:c r="L201" i="35"/>
  <x:c r="M201" i="35"/>
  <x:c r="N201" i="35"/>
  <x:c r="O201" i="35"/>
  <x:c r="C202" i="35"/>
  <x:c r="D202" i="35"/>
  <x:c r="E202" i="35"/>
  <x:c r="F202" i="35"/>
  <x:c r="G202" i="35"/>
  <x:c r="H202" i="35"/>
  <x:c r="I202" i="35"/>
  <x:c r="J202" i="35"/>
  <x:c r="K202" i="35"/>
  <x:c r="L202" i="35"/>
  <x:c r="M202" i="35"/>
  <x:c r="N202" i="35"/>
  <x:c r="O202" i="35"/>
  <x:c r="C203" i="35"/>
  <x:c r="D203" i="35"/>
  <x:c r="E203" i="35"/>
  <x:c r="F203" i="35"/>
  <x:c r="G203" i="35"/>
  <x:c r="H203" i="35"/>
  <x:c r="I203" i="35"/>
  <x:c r="J203" i="35"/>
  <x:c r="K203" i="35"/>
  <x:c r="L203" i="35"/>
  <x:c r="M203" i="35"/>
  <x:c r="N203" i="35"/>
  <x:c r="O203" i="35"/>
  <x:c r="C204" i="35"/>
  <x:c r="D204" i="35"/>
  <x:c r="E204" i="35"/>
  <x:c r="F204" i="35"/>
  <x:c r="G204" i="35"/>
  <x:c r="H204" i="35"/>
  <x:c r="I204" i="35"/>
  <x:c r="J204" i="35"/>
  <x:c r="K204" i="35"/>
  <x:c r="L204" i="35"/>
  <x:c r="M204" i="35"/>
  <x:c r="N204" i="35"/>
  <x:c r="O204" i="35"/>
  <x:c r="C205" i="35"/>
  <x:c r="D205" i="35"/>
  <x:c r="E205" i="35"/>
  <x:c r="F205" i="35"/>
  <x:c r="G205" i="35"/>
  <x:c r="H205" i="35"/>
  <x:c r="I205" i="35"/>
  <x:c r="J205" i="35"/>
  <x:c r="K205" i="35"/>
  <x:c r="L205" i="35"/>
  <x:c r="M205" i="35"/>
  <x:c r="N205" i="35"/>
  <x:c r="O205" i="35"/>
  <x:c r="C206" i="35"/>
  <x:c r="D206" i="35"/>
  <x:c r="E206" i="35"/>
  <x:c r="F206" i="35"/>
  <x:c r="G206" i="35"/>
  <x:c r="H206" i="35"/>
  <x:c r="I206" i="35"/>
  <x:c r="J206" i="35"/>
  <x:c r="K206" i="35"/>
  <x:c r="L206" i="35"/>
  <x:c r="M206" i="35"/>
  <x:c r="N206" i="35"/>
  <x:c r="O206" i="35"/>
  <x:c r="C207" i="35"/>
  <x:c r="D207" i="35"/>
  <x:c r="E207" i="35"/>
  <x:c r="F207" i="35"/>
  <x:c r="G207" i="35"/>
  <x:c r="H207" i="35"/>
  <x:c r="I207" i="35"/>
  <x:c r="J207" i="35"/>
  <x:c r="K207" i="35"/>
  <x:c r="L207" i="35"/>
  <x:c r="M207" i="35"/>
  <x:c r="N207" i="35"/>
  <x:c r="O207" i="35"/>
  <x:c r="C208" i="35"/>
  <x:c r="D208" i="35"/>
  <x:c r="E208" i="35"/>
  <x:c r="F208" i="35"/>
  <x:c r="G208" i="35"/>
  <x:c r="H208" i="35"/>
  <x:c r="I208" i="35"/>
  <x:c r="J208" i="35"/>
  <x:c r="K208" i="35"/>
  <x:c r="L208" i="35"/>
  <x:c r="M208" i="35"/>
  <x:c r="N208" i="35"/>
  <x:c r="O208" i="35"/>
  <x:c r="C209" i="35"/>
  <x:c r="D209" i="35"/>
  <x:c r="E209" i="35"/>
  <x:c r="F209" i="35"/>
  <x:c r="G209" i="35"/>
  <x:c r="H209" i="35"/>
  <x:c r="I209" i="35"/>
  <x:c r="J209" i="35"/>
  <x:c r="K209" i="35"/>
  <x:c r="L209" i="35"/>
  <x:c r="M209" i="35"/>
  <x:c r="N209" i="35"/>
  <x:c r="O209" i="35"/>
  <x:c r="C210" i="35"/>
  <x:c r="D210" i="35"/>
  <x:c r="E210" i="35"/>
  <x:c r="F210" i="35"/>
  <x:c r="G210" i="35"/>
  <x:c r="H210" i="35"/>
  <x:c r="I210" i="35"/>
  <x:c r="J210" i="35"/>
  <x:c r="K210" i="35"/>
  <x:c r="L210" i="35"/>
  <x:c r="M210" i="35"/>
  <x:c r="N210" i="35"/>
  <x:c r="O210" i="35"/>
  <x:c r="C211" i="35"/>
  <x:c r="D211" i="35"/>
  <x:c r="E211" i="35"/>
  <x:c r="F211" i="35"/>
  <x:c r="G211" i="35"/>
  <x:c r="H211" i="35"/>
  <x:c r="I211" i="35"/>
  <x:c r="J211" i="35"/>
  <x:c r="K211" i="35"/>
  <x:c r="L211" i="35"/>
  <x:c r="M211" i="35"/>
  <x:c r="N211" i="35"/>
  <x:c r="O211" i="35"/>
  <x:c r="C212" i="35"/>
  <x:c r="D212" i="35"/>
  <x:c r="E212" i="35"/>
  <x:c r="F212" i="35"/>
  <x:c r="G212" i="35"/>
  <x:c r="H212" i="35"/>
  <x:c r="I212" i="35"/>
  <x:c r="J212" i="35"/>
  <x:c r="K212" i="35"/>
  <x:c r="L212" i="35"/>
  <x:c r="M212" i="35"/>
  <x:c r="N212" i="35"/>
  <x:c r="O212" i="35"/>
  <x:c r="C213" i="35"/>
  <x:c r="D213" i="35"/>
  <x:c r="E213" i="35"/>
  <x:c r="F213" i="35"/>
  <x:c r="G213" i="35"/>
  <x:c r="H213" i="35"/>
  <x:c r="I213" i="35"/>
  <x:c r="J213" i="35"/>
  <x:c r="K213" i="35"/>
  <x:c r="L213" i="35"/>
  <x:c r="M213" i="35"/>
  <x:c r="N213" i="35"/>
  <x:c r="O213" i="35"/>
  <x:c r="C214" i="35"/>
  <x:c r="D214" i="35"/>
  <x:c r="E214" i="35"/>
  <x:c r="F214" i="35"/>
  <x:c r="G214" i="35"/>
  <x:c r="H214" i="35"/>
  <x:c r="I214" i="35"/>
  <x:c r="J214" i="35"/>
  <x:c r="K214" i="35"/>
  <x:c r="L214" i="35"/>
  <x:c r="M214" i="35"/>
  <x:c r="N214" i="35"/>
  <x:c r="O214" i="35"/>
  <x:c r="C215" i="35"/>
  <x:c r="D215" i="35"/>
  <x:c r="E215" i="35"/>
  <x:c r="F215" i="35"/>
  <x:c r="G215" i="35"/>
  <x:c r="H215" i="35"/>
  <x:c r="I215" i="35"/>
  <x:c r="J215" i="35"/>
  <x:c r="K215" i="35"/>
  <x:c r="L215" i="35"/>
  <x:c r="M215" i="35"/>
  <x:c r="N215" i="35"/>
  <x:c r="O215" i="35"/>
  <x:c r="C216" i="35"/>
  <x:c r="D216" i="35"/>
  <x:c r="E216" i="35"/>
  <x:c r="F216" i="35"/>
  <x:c r="G216" i="35"/>
  <x:c r="H216" i="35"/>
  <x:c r="I216" i="35"/>
  <x:c r="J216" i="35"/>
  <x:c r="K216" i="35"/>
  <x:c r="L216" i="35"/>
  <x:c r="M216" i="35"/>
  <x:c r="N216" i="35"/>
  <x:c r="O216" i="35"/>
  <x:c r="C217" i="35"/>
  <x:c r="D217" i="35"/>
  <x:c r="E217" i="35"/>
  <x:c r="F217" i="35"/>
  <x:c r="G217" i="35"/>
  <x:c r="H217" i="35"/>
  <x:c r="I217" i="35"/>
  <x:c r="J217" i="35"/>
  <x:c r="K217" i="35"/>
  <x:c r="L217" i="35"/>
  <x:c r="M217" i="35"/>
  <x:c r="N217" i="35"/>
  <x:c r="O217" i="35"/>
  <x:c r="C218" i="35"/>
  <x:c r="D218" i="35"/>
  <x:c r="E218" i="35"/>
  <x:c r="F218" i="35"/>
  <x:c r="G218" i="35"/>
  <x:c r="H218" i="35"/>
  <x:c r="I218" i="35"/>
  <x:c r="J218" i="35"/>
  <x:c r="K218" i="35"/>
  <x:c r="L218" i="35"/>
  <x:c r="M218" i="35"/>
  <x:c r="N218" i="35"/>
  <x:c r="O218" i="35"/>
  <x:c r="S218" i="35"/>
  <x:c r="C219" i="35"/>
  <x:c r="D219" i="35"/>
  <x:c r="E219" i="35"/>
  <x:c r="F219" i="35"/>
  <x:c r="G219" i="35"/>
  <x:c r="H219" i="35"/>
  <x:c r="I219" i="35"/>
  <x:c r="J219" i="35"/>
  <x:c r="K219" i="35"/>
  <x:c r="L219" i="35"/>
  <x:c r="M219" i="35"/>
  <x:c r="N219" i="35"/>
  <x:c r="O219" i="35"/>
  <x:c r="C220" i="35"/>
  <x:c r="D220" i="35"/>
  <x:c r="E220" i="35"/>
  <x:c r="F220" i="35"/>
  <x:c r="G220" i="35"/>
  <x:c r="H220" i="35"/>
  <x:c r="I220" i="35"/>
  <x:c r="J220" i="35"/>
  <x:c r="K220" i="35"/>
  <x:c r="L220" i="35"/>
  <x:c r="M220" i="35"/>
  <x:c r="N220" i="35"/>
  <x:c r="O220" i="35"/>
  <x:c r="C221" i="35"/>
  <x:c r="D221" i="35"/>
  <x:c r="E221" i="35"/>
  <x:c r="F221" i="35"/>
  <x:c r="G221" i="35"/>
  <x:c r="H221" i="35"/>
  <x:c r="I221" i="35"/>
  <x:c r="J221" i="35"/>
  <x:c r="K221" i="35"/>
  <x:c r="L221" i="35"/>
  <x:c r="M221" i="35"/>
  <x:c r="N221" i="35"/>
  <x:c r="O221" i="35"/>
  <x:c r="C222" i="35"/>
  <x:c r="D222" i="35"/>
  <x:c r="E222" i="35"/>
  <x:c r="F222" i="35"/>
  <x:c r="G222" i="35"/>
  <x:c r="H222" i="35"/>
  <x:c r="I222" i="35"/>
  <x:c r="J222" i="35"/>
  <x:c r="K222" i="35"/>
  <x:c r="L222" i="35"/>
  <x:c r="M222" i="35"/>
  <x:c r="N222" i="35"/>
  <x:c r="O222" i="35"/>
  <x:c r="C223" i="35"/>
  <x:c r="D223" i="35"/>
  <x:c r="E223" i="35"/>
  <x:c r="F223" i="35"/>
  <x:c r="G223" i="35"/>
  <x:c r="H223" i="35"/>
  <x:c r="I223" i="35"/>
  <x:c r="J223" i="35"/>
  <x:c r="K223" i="35"/>
  <x:c r="L223" i="35"/>
  <x:c r="M223" i="35"/>
  <x:c r="N223" i="35"/>
  <x:c r="O223" i="35"/>
  <x:c r="C224" i="35"/>
  <x:c r="D224" i="35"/>
  <x:c r="E224" i="35"/>
  <x:c r="F224" i="35"/>
  <x:c r="G224" i="35"/>
  <x:c r="H224" i="35"/>
  <x:c r="I224" i="35"/>
  <x:c r="J224" i="35"/>
  <x:c r="K224" i="35"/>
  <x:c r="L224" i="35"/>
  <x:c r="M224" i="35"/>
  <x:c r="N224" i="35"/>
  <x:c r="O224" i="35"/>
  <x:c r="C225" i="35"/>
  <x:c r="D225" i="35"/>
  <x:c r="E225" i="35"/>
  <x:c r="F225" i="35"/>
  <x:c r="G225" i="35"/>
  <x:c r="H225" i="35"/>
  <x:c r="I225" i="35"/>
  <x:c r="J225" i="35"/>
  <x:c r="K225" i="35"/>
  <x:c r="L225" i="35"/>
  <x:c r="M225" i="35"/>
  <x:c r="N225" i="35"/>
  <x:c r="O225" i="35"/>
  <x:c r="C226" i="35"/>
  <x:c r="D226" i="35"/>
  <x:c r="E226" i="35"/>
  <x:c r="F226" i="35"/>
  <x:c r="G226" i="35"/>
  <x:c r="H226" i="35"/>
  <x:c r="I226" i="35"/>
  <x:c r="J226" i="35"/>
  <x:c r="K226" i="35"/>
  <x:c r="L226" i="35"/>
  <x:c r="M226" i="35"/>
  <x:c r="N226" i="35"/>
  <x:c r="O226" i="35"/>
  <x:c r="C227" i="35"/>
  <x:c r="D227" i="35"/>
  <x:c r="E227" i="35"/>
  <x:c r="F227" i="35"/>
  <x:c r="G227" i="35"/>
  <x:c r="H227" i="35"/>
  <x:c r="I227" i="35"/>
  <x:c r="J227" i="35"/>
  <x:c r="K227" i="35"/>
  <x:c r="L227" i="35"/>
  <x:c r="M227" i="35"/>
  <x:c r="N227" i="35"/>
  <x:c r="O227" i="35"/>
  <x:c r="C228" i="35"/>
  <x:c r="D228" i="35"/>
  <x:c r="E228" i="35"/>
  <x:c r="F228" i="35"/>
  <x:c r="G228" i="35"/>
  <x:c r="H228" i="35"/>
  <x:c r="I228" i="35"/>
  <x:c r="J228" i="35"/>
  <x:c r="K228" i="35"/>
  <x:c r="L228" i="35"/>
  <x:c r="M228" i="35"/>
  <x:c r="N228" i="35"/>
  <x:c r="O228" i="35"/>
  <x:c r="C229" i="35"/>
  <x:c r="D229" i="35"/>
  <x:c r="E229" i="35"/>
  <x:c r="F229" i="35"/>
  <x:c r="G229" i="35"/>
  <x:c r="H229" i="35"/>
  <x:c r="I229" i="35"/>
  <x:c r="J229" i="35"/>
  <x:c r="K229" i="35"/>
  <x:c r="L229" i="35"/>
  <x:c r="M229" i="35"/>
  <x:c r="N229" i="35"/>
  <x:c r="O229" i="35"/>
  <x:c r="C230" i="35"/>
  <x:c r="D230" i="35"/>
  <x:c r="E230" i="35"/>
  <x:c r="F230" i="35"/>
  <x:c r="G230" i="35"/>
  <x:c r="H230" i="35"/>
  <x:c r="I230" i="35"/>
  <x:c r="J230" i="35"/>
  <x:c r="K230" i="35"/>
  <x:c r="L230" i="35"/>
  <x:c r="M230" i="35"/>
  <x:c r="N230" i="35"/>
  <x:c r="O230" i="35"/>
  <x:c r="C231" i="35"/>
  <x:c r="D231" i="35"/>
  <x:c r="E231" i="35"/>
  <x:c r="F231" i="35"/>
  <x:c r="G231" i="35"/>
  <x:c r="H231" i="35"/>
  <x:c r="I231" i="35"/>
  <x:c r="J231" i="35"/>
  <x:c r="K231" i="35"/>
  <x:c r="L231" i="35"/>
  <x:c r="M231" i="35"/>
  <x:c r="N231" i="35"/>
  <x:c r="O231" i="35"/>
  <x:c r="C232" i="35"/>
  <x:c r="D232" i="35"/>
  <x:c r="E232" i="35"/>
  <x:c r="F232" i="35"/>
  <x:c r="G232" i="35"/>
  <x:c r="H232" i="35"/>
  <x:c r="I232" i="35"/>
  <x:c r="J232" i="35"/>
  <x:c r="K232" i="35"/>
  <x:c r="L232" i="35"/>
  <x:c r="M232" i="35"/>
  <x:c r="N232" i="35"/>
  <x:c r="O232" i="35"/>
  <x:c r="C233" i="35"/>
  <x:c r="D233" i="35"/>
  <x:c r="E233" i="35"/>
  <x:c r="F233" i="35"/>
  <x:c r="G233" i="35"/>
  <x:c r="H233" i="35"/>
  <x:c r="I233" i="35"/>
  <x:c r="J233" i="35"/>
  <x:c r="K233" i="35"/>
  <x:c r="L233" i="35"/>
  <x:c r="M233" i="35"/>
  <x:c r="N233" i="35"/>
  <x:c r="O233" i="35"/>
  <x:c r="C234" i="35"/>
  <x:c r="D234" i="35"/>
  <x:c r="E234" i="35"/>
  <x:c r="F234" i="35"/>
  <x:c r="G234" i="35"/>
  <x:c r="H234" i="35"/>
  <x:c r="I234" i="35"/>
  <x:c r="J234" i="35"/>
  <x:c r="K234" i="35"/>
  <x:c r="L234" i="35"/>
  <x:c r="M234" i="35"/>
  <x:c r="N234" i="35"/>
  <x:c r="O234" i="35"/>
  <x:c r="C235" i="35"/>
  <x:c r="D235" i="35"/>
  <x:c r="E235" i="35"/>
  <x:c r="F235" i="35"/>
  <x:c r="G235" i="35"/>
  <x:c r="H235" i="35"/>
  <x:c r="I235" i="35"/>
  <x:c r="J235" i="35"/>
  <x:c r="K235" i="35"/>
  <x:c r="L235" i="35"/>
  <x:c r="M235" i="35"/>
  <x:c r="N235" i="35"/>
  <x:c r="O235" i="35"/>
  <x:c r="C236" i="35"/>
  <x:c r="D236" i="35"/>
  <x:c r="E236" i="35"/>
  <x:c r="F236" i="35"/>
  <x:c r="G236" i="35"/>
  <x:c r="H236" i="35"/>
  <x:c r="I236" i="35"/>
  <x:c r="J236" i="35"/>
  <x:c r="K236" i="35"/>
  <x:c r="L236" i="35"/>
  <x:c r="M236" i="35"/>
  <x:c r="N236" i="35"/>
  <x:c r="O236" i="35"/>
  <x:c r="C237" i="35"/>
  <x:c r="D237" i="35"/>
  <x:c r="E237" i="35"/>
  <x:c r="F237" i="35"/>
  <x:c r="G237" i="35"/>
  <x:c r="H237" i="35"/>
  <x:c r="I237" i="35"/>
  <x:c r="J237" i="35"/>
  <x:c r="K237" i="35"/>
  <x:c r="L237" i="35"/>
  <x:c r="M237" i="35"/>
  <x:c r="N237" i="35"/>
  <x:c r="O237" i="35"/>
  <x:c r="C238" i="35"/>
  <x:c r="D238" i="35"/>
  <x:c r="E238" i="35"/>
  <x:c r="F238" i="35"/>
  <x:c r="G238" i="35"/>
  <x:c r="H238" i="35"/>
  <x:c r="I238" i="35"/>
  <x:c r="J238" i="35"/>
  <x:c r="K238" i="35"/>
  <x:c r="L238" i="35"/>
  <x:c r="M238" i="35"/>
  <x:c r="N238" i="35"/>
  <x:c r="O238" i="35"/>
  <x:c r="C239" i="35"/>
  <x:c r="D239" i="35"/>
  <x:c r="E239" i="35"/>
  <x:c r="F239" i="35"/>
  <x:c r="G239" i="35"/>
  <x:c r="H239" i="35"/>
  <x:c r="I239" i="35"/>
  <x:c r="J239" i="35"/>
  <x:c r="K239" i="35"/>
  <x:c r="L239" i="35"/>
  <x:c r="M239" i="35"/>
  <x:c r="N239" i="35"/>
  <x:c r="O239" i="35"/>
  <x:c r="C240" i="35"/>
  <x:c r="D240" i="35"/>
  <x:c r="E240" i="35"/>
  <x:c r="F240" i="35"/>
  <x:c r="G240" i="35"/>
  <x:c r="H240" i="35"/>
  <x:c r="I240" i="35"/>
  <x:c r="J240" i="35"/>
  <x:c r="K240" i="35"/>
  <x:c r="L240" i="35"/>
  <x:c r="M240" i="35"/>
  <x:c r="N240" i="35"/>
  <x:c r="O240" i="35"/>
  <x:c r="S240" i="35"/>
  <x:c r="C241" i="35"/>
  <x:c r="D241" i="35"/>
  <x:c r="E241" i="35"/>
  <x:c r="F241" i="35"/>
  <x:c r="G241" i="35"/>
  <x:c r="H241" i="35"/>
  <x:c r="I241" i="35"/>
  <x:c r="J241" i="35"/>
  <x:c r="K241" i="35"/>
  <x:c r="L241" i="35"/>
  <x:c r="M241" i="35"/>
  <x:c r="N241" i="35"/>
  <x:c r="O241" i="35"/>
  <x:c r="C242" i="35"/>
  <x:c r="D242" i="35"/>
  <x:c r="E242" i="35"/>
  <x:c r="F242" i="35"/>
  <x:c r="G242" i="35"/>
  <x:c r="H242" i="35"/>
  <x:c r="I242" i="35"/>
  <x:c r="J242" i="35"/>
  <x:c r="K242" i="35"/>
  <x:c r="L242" i="35"/>
  <x:c r="M242" i="35"/>
  <x:c r="N242" i="35"/>
  <x:c r="O242" i="35"/>
  <x:c r="C243" i="35"/>
  <x:c r="D243" i="35"/>
  <x:c r="E243" i="35"/>
  <x:c r="F243" i="35"/>
  <x:c r="G243" i="35"/>
  <x:c r="H243" i="35"/>
  <x:c r="I243" i="35"/>
  <x:c r="J243" i="35"/>
  <x:c r="K243" i="35"/>
  <x:c r="L243" i="35"/>
  <x:c r="M243" i="35"/>
  <x:c r="N243" i="35"/>
  <x:c r="O243" i="35"/>
  <x:c r="C244" i="35"/>
  <x:c r="D244" i="35"/>
  <x:c r="E244" i="35"/>
  <x:c r="F244" i="35"/>
  <x:c r="G244" i="35"/>
  <x:c r="H244" i="35"/>
  <x:c r="I244" i="35"/>
  <x:c r="J244" i="35"/>
  <x:c r="K244" i="35"/>
  <x:c r="L244" i="35"/>
  <x:c r="M244" i="35"/>
  <x:c r="N244" i="35"/>
  <x:c r="O244" i="35"/>
  <x:c r="C245" i="35"/>
  <x:c r="D245" i="35"/>
  <x:c r="E245" i="35"/>
  <x:c r="F245" i="35"/>
  <x:c r="G245" i="35"/>
  <x:c r="H245" i="35"/>
  <x:c r="I245" i="35"/>
  <x:c r="J245" i="35"/>
  <x:c r="K245" i="35"/>
  <x:c r="L245" i="35"/>
  <x:c r="M245" i="35"/>
  <x:c r="N245" i="35"/>
  <x:c r="O245" i="35"/>
  <x:c r="C246" i="35"/>
  <x:c r="D246" i="35"/>
  <x:c r="E246" i="35"/>
  <x:c r="F246" i="35"/>
  <x:c r="G246" i="35"/>
  <x:c r="H246" i="35"/>
  <x:c r="I246" i="35"/>
  <x:c r="J246" i="35"/>
  <x:c r="K246" i="35"/>
  <x:c r="L246" i="35"/>
  <x:c r="M246" i="35"/>
  <x:c r="N246" i="35"/>
  <x:c r="O246" i="35"/>
  <x:c r="C247" i="35"/>
  <x:c r="D247" i="35"/>
  <x:c r="E247" i="35"/>
  <x:c r="F247" i="35"/>
  <x:c r="G247" i="35"/>
  <x:c r="H247" i="35"/>
  <x:c r="I247" i="35"/>
  <x:c r="J247" i="35"/>
  <x:c r="K247" i="35"/>
  <x:c r="L247" i="35"/>
  <x:c r="M247" i="35"/>
  <x:c r="N247" i="35"/>
  <x:c r="O247" i="35"/>
  <x:c r="C248" i="35"/>
  <x:c r="D248" i="35"/>
  <x:c r="E248" i="35"/>
  <x:c r="F248" i="35"/>
  <x:c r="G248" i="35"/>
  <x:c r="H248" i="35"/>
  <x:c r="I248" i="35"/>
  <x:c r="J248" i="35"/>
  <x:c r="K248" i="35"/>
  <x:c r="L248" i="35"/>
  <x:c r="M248" i="35"/>
  <x:c r="N248" i="35"/>
  <x:c r="O248" i="35"/>
  <x:c r="C249" i="35"/>
  <x:c r="D249" i="35"/>
  <x:c r="E249" i="35"/>
  <x:c r="F249" i="35"/>
  <x:c r="G249" i="35"/>
  <x:c r="H249" i="35"/>
  <x:c r="I249" i="35"/>
  <x:c r="J249" i="35"/>
  <x:c r="K249" i="35"/>
  <x:c r="L249" i="35"/>
  <x:c r="M249" i="35"/>
  <x:c r="N249" i="35"/>
  <x:c r="O249" i="35"/>
  <x:c r="C250" i="35"/>
  <x:c r="D250" i="35"/>
  <x:c r="E250" i="35"/>
  <x:c r="F250" i="35"/>
  <x:c r="G250" i="35"/>
  <x:c r="H250" i="35"/>
  <x:c r="I250" i="35"/>
  <x:c r="J250" i="35"/>
  <x:c r="K250" i="35"/>
  <x:c r="L250" i="35"/>
  <x:c r="M250" i="35"/>
  <x:c r="N250" i="35"/>
  <x:c r="O250" i="35"/>
  <x:c r="C251" i="35"/>
  <x:c r="D251" i="35"/>
  <x:c r="E251" i="35"/>
  <x:c r="F251" i="35"/>
  <x:c r="G251" i="35"/>
  <x:c r="H251" i="35"/>
  <x:c r="I251" i="35"/>
  <x:c r="J251" i="35"/>
  <x:c r="K251" i="35"/>
  <x:c r="L251" i="35"/>
  <x:c r="M251" i="35"/>
  <x:c r="N251" i="35"/>
  <x:c r="O251" i="35"/>
  <x:c r="C252" i="35"/>
  <x:c r="D252" i="35"/>
  <x:c r="E252" i="35"/>
  <x:c r="F252" i="35"/>
  <x:c r="G252" i="35"/>
  <x:c r="H252" i="35"/>
  <x:c r="I252" i="35"/>
  <x:c r="J252" i="35"/>
  <x:c r="K252" i="35"/>
  <x:c r="L252" i="35"/>
  <x:c r="M252" i="35"/>
  <x:c r="N252" i="35"/>
  <x:c r="O252" i="35"/>
  <x:c r="C253" i="35"/>
  <x:c r="D253" i="35"/>
  <x:c r="E253" i="35"/>
  <x:c r="F253" i="35"/>
  <x:c r="G253" i="35"/>
  <x:c r="H253" i="35"/>
  <x:c r="I253" i="35"/>
  <x:c r="J253" i="35"/>
  <x:c r="K253" i="35"/>
  <x:c r="L253" i="35"/>
  <x:c r="M253" i="35"/>
  <x:c r="N253" i="35"/>
  <x:c r="O253" i="35"/>
  <x:c r="C254" i="35"/>
  <x:c r="D254" i="35"/>
  <x:c r="E254" i="35"/>
  <x:c r="F254" i="35"/>
  <x:c r="G254" i="35"/>
  <x:c r="H254" i="35"/>
  <x:c r="I254" i="35"/>
  <x:c r="J254" i="35"/>
  <x:c r="K254" i="35"/>
  <x:c r="L254" i="35"/>
  <x:c r="M254" i="35"/>
  <x:c r="N254" i="35"/>
  <x:c r="O254" i="35"/>
  <x:c r="C255" i="35"/>
  <x:c r="D255" i="35"/>
  <x:c r="E255" i="35"/>
  <x:c r="F255" i="35"/>
  <x:c r="G255" i="35"/>
  <x:c r="H255" i="35"/>
  <x:c r="I255" i="35"/>
  <x:c r="J255" i="35"/>
  <x:c r="K255" i="35"/>
  <x:c r="L255" i="35"/>
  <x:c r="M255" i="35"/>
  <x:c r="N255" i="35"/>
  <x:c r="O255" i="35"/>
  <x:c r="C256" i="35"/>
  <x:c r="D256" i="35"/>
  <x:c r="E256" i="35"/>
  <x:c r="F256" i="35"/>
  <x:c r="G256" i="35"/>
  <x:c r="H256" i="35"/>
  <x:c r="I256" i="35"/>
  <x:c r="J256" i="35"/>
  <x:c r="K256" i="35"/>
  <x:c r="L256" i="35"/>
  <x:c r="M256" i="35"/>
  <x:c r="N256" i="35"/>
  <x:c r="O256" i="35"/>
  <x:c r="C257" i="35"/>
  <x:c r="D257" i="35"/>
  <x:c r="E257" i="35"/>
  <x:c r="F257" i="35"/>
  <x:c r="G257" i="35"/>
  <x:c r="H257" i="35"/>
  <x:c r="I257" i="35"/>
  <x:c r="J257" i="35"/>
  <x:c r="K257" i="35"/>
  <x:c r="L257" i="35"/>
  <x:c r="M257" i="35"/>
  <x:c r="N257" i="35"/>
  <x:c r="O257" i="35"/>
  <x:c r="C258" i="35"/>
  <x:c r="D258" i="35"/>
  <x:c r="E258" i="35"/>
  <x:c r="F258" i="35"/>
  <x:c r="G258" i="35"/>
  <x:c r="H258" i="35"/>
  <x:c r="I258" i="35"/>
  <x:c r="J258" i="35"/>
  <x:c r="K258" i="35"/>
  <x:c r="L258" i="35"/>
  <x:c r="M258" i="35"/>
  <x:c r="N258" i="35"/>
  <x:c r="O258" i="35"/>
  <x:c r="C259" i="35"/>
  <x:c r="D259" i="35"/>
  <x:c r="E259" i="35"/>
  <x:c r="F259" i="35"/>
  <x:c r="G259" i="35"/>
  <x:c r="H259" i="35"/>
  <x:c r="I259" i="35"/>
  <x:c r="J259" i="35"/>
  <x:c r="K259" i="35"/>
  <x:c r="L259" i="35"/>
  <x:c r="M259" i="35"/>
  <x:c r="N259" i="35"/>
  <x:c r="O259" i="35"/>
  <x:c r="C260" i="35"/>
  <x:c r="D260" i="35"/>
  <x:c r="E260" i="35"/>
  <x:c r="F260" i="35"/>
  <x:c r="G260" i="35"/>
  <x:c r="H260" i="35"/>
  <x:c r="I260" i="35"/>
  <x:c r="J260" i="35"/>
  <x:c r="K260" i="35"/>
  <x:c r="L260" i="35"/>
  <x:c r="M260" i="35"/>
  <x:c r="N260" i="35"/>
  <x:c r="O260" i="35"/>
  <x:c r="C261" i="35"/>
  <x:c r="D261" i="35"/>
  <x:c r="E261" i="35"/>
  <x:c r="F261" i="35"/>
  <x:c r="G261" i="35"/>
  <x:c r="H261" i="35"/>
  <x:c r="I261" i="35"/>
  <x:c r="J261" i="35"/>
  <x:c r="K261" i="35"/>
  <x:c r="L261" i="35"/>
  <x:c r="M261" i="35"/>
  <x:c r="N261" i="35"/>
  <x:c r="O261" i="35"/>
  <x:c r="C262" i="35"/>
  <x:c r="D262" i="35"/>
  <x:c r="E262" i="35"/>
  <x:c r="F262" i="35"/>
  <x:c r="G262" i="35"/>
  <x:c r="H262" i="35"/>
  <x:c r="I262" i="35"/>
  <x:c r="J262" i="35"/>
  <x:c r="K262" i="35"/>
  <x:c r="L262" i="35"/>
  <x:c r="M262" i="35"/>
  <x:c r="N262" i="35"/>
  <x:c r="O262" i="35"/>
  <x:c r="C263" i="35"/>
  <x:c r="D263" i="35"/>
  <x:c r="E263" i="35"/>
  <x:c r="F263" i="35"/>
  <x:c r="G263" i="35"/>
  <x:c r="H263" i="35"/>
  <x:c r="I263" i="35"/>
  <x:c r="J263" i="35"/>
  <x:c r="K263" i="35"/>
  <x:c r="L263" i="35"/>
  <x:c r="M263" i="35"/>
  <x:c r="N263" i="35"/>
  <x:c r="O263" i="35"/>
  <x:c r="C264" i="35"/>
  <x:c r="D264" i="35"/>
  <x:c r="E264" i="35"/>
  <x:c r="F264" i="35"/>
  <x:c r="G264" i="35"/>
  <x:c r="H264" i="35"/>
  <x:c r="I264" i="35"/>
  <x:c r="J264" i="35"/>
  <x:c r="K264" i="35"/>
  <x:c r="L264" i="35"/>
  <x:c r="M264" i="35"/>
  <x:c r="N264" i="35"/>
  <x:c r="O264" i="35"/>
  <x:c r="C265" i="35"/>
  <x:c r="D265" i="35"/>
  <x:c r="E265" i="35"/>
  <x:c r="F265" i="35"/>
  <x:c r="G265" i="35"/>
  <x:c r="H265" i="35"/>
  <x:c r="I265" i="35"/>
  <x:c r="J265" i="35"/>
  <x:c r="K265" i="35"/>
  <x:c r="L265" i="35"/>
  <x:c r="M265" i="35"/>
  <x:c r="N265" i="35"/>
  <x:c r="O265" i="35"/>
  <x:c r="C266" i="35"/>
  <x:c r="D266" i="35"/>
  <x:c r="E266" i="35"/>
  <x:c r="F266" i="35"/>
  <x:c r="G266" i="35"/>
  <x:c r="H266" i="35"/>
  <x:c r="I266" i="35"/>
  <x:c r="J266" i="35"/>
  <x:c r="K266" i="35"/>
  <x:c r="L266" i="35"/>
  <x:c r="M266" i="35"/>
  <x:c r="N266" i="35"/>
  <x:c r="O266" i="35"/>
  <x:c r="C267" i="35"/>
  <x:c r="D267" i="35"/>
  <x:c r="E267" i="35"/>
  <x:c r="F267" i="35"/>
  <x:c r="G267" i="35"/>
  <x:c r="H267" i="35"/>
  <x:c r="I267" i="35"/>
  <x:c r="J267" i="35"/>
  <x:c r="K267" i="35"/>
  <x:c r="L267" i="35"/>
  <x:c r="M267" i="35"/>
  <x:c r="N267" i="35"/>
  <x:c r="O267" i="35"/>
  <x:c r="S267" i="35"/>
  <x:c r="C268" i="35"/>
  <x:c r="D268" i="35"/>
  <x:c r="E268" i="35"/>
  <x:c r="F268" i="35"/>
  <x:c r="G268" i="35"/>
  <x:c r="H268" i="35"/>
  <x:c r="I268" i="35"/>
  <x:c r="J268" i="35"/>
  <x:c r="K268" i="35"/>
  <x:c r="L268" i="35"/>
  <x:c r="M268" i="35"/>
  <x:c r="N268" i="35"/>
  <x:c r="O268" i="35"/>
  <x:c r="C269" i="35"/>
  <x:c r="D269" i="35"/>
  <x:c r="E269" i="35"/>
  <x:c r="F269" i="35"/>
  <x:c r="G269" i="35"/>
  <x:c r="H269" i="35"/>
  <x:c r="I269" i="35"/>
  <x:c r="J269" i="35"/>
  <x:c r="K269" i="35"/>
  <x:c r="L269" i="35"/>
  <x:c r="M269" i="35"/>
  <x:c r="N269" i="35"/>
  <x:c r="O269" i="35"/>
  <x:c r="C270" i="35"/>
  <x:c r="D270" i="35"/>
  <x:c r="E270" i="35"/>
  <x:c r="F270" i="35"/>
  <x:c r="G270" i="35"/>
  <x:c r="H270" i="35"/>
  <x:c r="I270" i="35"/>
  <x:c r="J270" i="35"/>
  <x:c r="K270" i="35"/>
  <x:c r="L270" i="35"/>
  <x:c r="M270" i="35"/>
  <x:c r="N270" i="35"/>
  <x:c r="O270" i="35"/>
  <x:c r="C271" i="35"/>
  <x:c r="D271" i="35"/>
  <x:c r="E271" i="35"/>
  <x:c r="F271" i="35"/>
  <x:c r="G271" i="35"/>
  <x:c r="H271" i="35"/>
  <x:c r="I271" i="35"/>
  <x:c r="J271" i="35"/>
  <x:c r="K271" i="35"/>
  <x:c r="L271" i="35"/>
  <x:c r="M271" i="35"/>
  <x:c r="N271" i="35"/>
  <x:c r="O271" i="35"/>
  <x:c r="C272" i="35"/>
  <x:c r="D272" i="35"/>
  <x:c r="E272" i="35"/>
  <x:c r="F272" i="35"/>
  <x:c r="G272" i="35"/>
  <x:c r="H272" i="35"/>
  <x:c r="I272" i="35"/>
  <x:c r="J272" i="35"/>
  <x:c r="K272" i="35"/>
  <x:c r="L272" i="35"/>
  <x:c r="M272" i="35"/>
  <x:c r="N272" i="35"/>
  <x:c r="O272" i="35"/>
  <x:c r="C273" i="35"/>
  <x:c r="D273" i="35"/>
  <x:c r="E273" i="35"/>
  <x:c r="F273" i="35"/>
  <x:c r="G273" i="35"/>
  <x:c r="H273" i="35"/>
  <x:c r="I273" i="35"/>
  <x:c r="J273" i="35"/>
  <x:c r="K273" i="35"/>
  <x:c r="L273" i="35"/>
  <x:c r="M273" i="35"/>
  <x:c r="N273" i="35"/>
  <x:c r="O273" i="35"/>
  <x:c r="C274" i="35"/>
  <x:c r="D274" i="35"/>
  <x:c r="E274" i="35"/>
  <x:c r="F274" i="35"/>
  <x:c r="G274" i="35"/>
  <x:c r="H274" i="35"/>
  <x:c r="I274" i="35"/>
  <x:c r="J274" i="35"/>
  <x:c r="K274" i="35"/>
  <x:c r="L274" i="35"/>
  <x:c r="M274" i="35"/>
  <x:c r="N274" i="35"/>
  <x:c r="O274" i="35"/>
  <x:c r="C275" i="35"/>
  <x:c r="D275" i="35"/>
  <x:c r="E275" i="35"/>
  <x:c r="F275" i="35"/>
  <x:c r="G275" i="35"/>
  <x:c r="H275" i="35"/>
  <x:c r="I275" i="35"/>
  <x:c r="J275" i="35"/>
  <x:c r="K275" i="35"/>
  <x:c r="L275" i="35"/>
  <x:c r="M275" i="35"/>
  <x:c r="N275" i="35"/>
  <x:c r="O275" i="35"/>
  <x:c r="C276" i="35"/>
  <x:c r="D276" i="35"/>
  <x:c r="E276" i="35"/>
  <x:c r="F276" i="35"/>
  <x:c r="G276" i="35"/>
  <x:c r="H276" i="35"/>
  <x:c r="I276" i="35"/>
  <x:c r="J276" i="35"/>
  <x:c r="K276" i="35"/>
  <x:c r="L276" i="35"/>
  <x:c r="M276" i="35"/>
  <x:c r="N276" i="35"/>
  <x:c r="O276" i="35"/>
  <x:c r="C277" i="35"/>
  <x:c r="D277" i="35"/>
  <x:c r="E277" i="35"/>
  <x:c r="F277" i="35"/>
  <x:c r="G277" i="35"/>
  <x:c r="H277" i="35"/>
  <x:c r="I277" i="35"/>
  <x:c r="J277" i="35"/>
  <x:c r="K277" i="35"/>
  <x:c r="L277" i="35"/>
  <x:c r="M277" i="35"/>
  <x:c r="N277" i="35"/>
  <x:c r="O277" i="35"/>
  <x:c r="C278" i="35"/>
  <x:c r="D278" i="35"/>
  <x:c r="E278" i="35"/>
  <x:c r="F278" i="35"/>
  <x:c r="G278" i="35"/>
  <x:c r="H278" i="35"/>
  <x:c r="I278" i="35"/>
  <x:c r="J278" i="35"/>
  <x:c r="K278" i="35"/>
  <x:c r="L278" i="35"/>
  <x:c r="M278" i="35"/>
  <x:c r="N278" i="35"/>
  <x:c r="O278" i="35"/>
  <x:c r="C279" i="35"/>
  <x:c r="D279" i="35"/>
  <x:c r="E279" i="35"/>
  <x:c r="F279" i="35"/>
  <x:c r="G279" i="35"/>
  <x:c r="H279" i="35"/>
  <x:c r="I279" i="35"/>
  <x:c r="J279" i="35"/>
  <x:c r="K279" i="35"/>
  <x:c r="L279" i="35"/>
  <x:c r="M279" i="35"/>
  <x:c r="N279" i="35"/>
  <x:c r="O279" i="35"/>
  <x:c r="C280" i="35"/>
  <x:c r="D280" i="35"/>
  <x:c r="E280" i="35"/>
  <x:c r="F280" i="35"/>
  <x:c r="G280" i="35"/>
  <x:c r="H280" i="35"/>
  <x:c r="I280" i="35"/>
  <x:c r="J280" i="35"/>
  <x:c r="K280" i="35"/>
  <x:c r="L280" i="35"/>
  <x:c r="M280" i="35"/>
  <x:c r="N280" i="35"/>
  <x:c r="O280" i="35"/>
  <x:c r="C281" i="35"/>
  <x:c r="D281" i="35"/>
  <x:c r="E281" i="35"/>
  <x:c r="F281" i="35"/>
  <x:c r="G281" i="35"/>
  <x:c r="H281" i="35"/>
  <x:c r="I281" i="35"/>
  <x:c r="J281" i="35"/>
  <x:c r="K281" i="35"/>
  <x:c r="L281" i="35"/>
  <x:c r="M281" i="35"/>
  <x:c r="N281" i="35"/>
  <x:c r="O281" i="35"/>
  <x:c r="C282" i="35"/>
  <x:c r="D282" i="35"/>
  <x:c r="E282" i="35"/>
  <x:c r="F282" i="35"/>
  <x:c r="G282" i="35"/>
  <x:c r="H282" i="35"/>
  <x:c r="I282" i="35"/>
  <x:c r="J282" i="35"/>
  <x:c r="K282" i="35"/>
  <x:c r="L282" i="35"/>
  <x:c r="M282" i="35"/>
  <x:c r="N282" i="35"/>
  <x:c r="O282" i="35"/>
  <x:c r="C283" i="35"/>
  <x:c r="D283" i="35"/>
  <x:c r="E283" i="35"/>
  <x:c r="F283" i="35"/>
  <x:c r="G283" i="35"/>
  <x:c r="H283" i="35"/>
  <x:c r="I283" i="35"/>
  <x:c r="J283" i="35"/>
  <x:c r="K283" i="35"/>
  <x:c r="L283" i="35"/>
  <x:c r="M283" i="35"/>
  <x:c r="N283" i="35"/>
  <x:c r="O283" i="35"/>
  <x:c r="C284" i="35"/>
  <x:c r="D284" i="35"/>
  <x:c r="E284" i="35"/>
  <x:c r="F284" i="35"/>
  <x:c r="G284" i="35"/>
  <x:c r="H284" i="35"/>
  <x:c r="I284" i="35"/>
  <x:c r="J284" i="35"/>
  <x:c r="K284" i="35"/>
  <x:c r="L284" i="35"/>
  <x:c r="M284" i="35"/>
  <x:c r="N284" i="35"/>
  <x:c r="O284" i="35"/>
  <x:c r="C285" i="35"/>
  <x:c r="D285" i="35"/>
  <x:c r="E285" i="35"/>
  <x:c r="F285" i="35"/>
  <x:c r="G285" i="35"/>
  <x:c r="H285" i="35"/>
  <x:c r="I285" i="35"/>
  <x:c r="J285" i="35"/>
  <x:c r="K285" i="35"/>
  <x:c r="L285" i="35"/>
  <x:c r="M285" i="35"/>
  <x:c r="N285" i="35"/>
  <x:c r="O285" i="35"/>
  <x:c r="C286" i="35"/>
  <x:c r="D286" i="35"/>
  <x:c r="E286" i="35"/>
  <x:c r="F286" i="35"/>
  <x:c r="G286" i="35"/>
  <x:c r="H286" i="35"/>
  <x:c r="I286" i="35"/>
  <x:c r="J286" i="35"/>
  <x:c r="K286" i="35"/>
  <x:c r="L286" i="35"/>
  <x:c r="M286" i="35"/>
  <x:c r="N286" i="35"/>
  <x:c r="O286" i="35"/>
  <x:c r="C287" i="35"/>
  <x:c r="D287" i="35"/>
  <x:c r="E287" i="35"/>
  <x:c r="F287" i="35"/>
  <x:c r="G287" i="35"/>
  <x:c r="H287" i="35"/>
  <x:c r="I287" i="35"/>
  <x:c r="J287" i="35"/>
  <x:c r="K287" i="35"/>
  <x:c r="L287" i="35"/>
  <x:c r="M287" i="35"/>
  <x:c r="N287" i="35"/>
  <x:c r="O287" i="35"/>
  <x:c r="C288" i="35"/>
  <x:c r="D288" i="35"/>
  <x:c r="E288" i="35"/>
  <x:c r="F288" i="35"/>
  <x:c r="G288" i="35"/>
  <x:c r="H288" i="35"/>
  <x:c r="I288" i="35"/>
  <x:c r="J288" i="35"/>
  <x:c r="K288" i="35"/>
  <x:c r="L288" i="35"/>
  <x:c r="M288" i="35"/>
  <x:c r="N288" i="35"/>
  <x:c r="O288" i="35"/>
  <x:c r="C289" i="35"/>
  <x:c r="D289" i="35"/>
  <x:c r="E289" i="35"/>
  <x:c r="F289" i="35"/>
  <x:c r="G289" i="35"/>
  <x:c r="H289" i="35"/>
  <x:c r="I289" i="35"/>
  <x:c r="J289" i="35"/>
  <x:c r="K289" i="35"/>
  <x:c r="L289" i="35"/>
  <x:c r="M289" i="35"/>
  <x:c r="N289" i="35"/>
  <x:c r="O289" i="35"/>
  <x:c r="S289" i="35"/>
  <x:c r="C290" i="35"/>
  <x:c r="D290" i="35"/>
  <x:c r="E290" i="35"/>
  <x:c r="F290" i="35"/>
  <x:c r="G290" i="35"/>
  <x:c r="H290" i="35"/>
  <x:c r="I290" i="35"/>
  <x:c r="J290" i="35"/>
  <x:c r="K290" i="35"/>
  <x:c r="L290" i="35"/>
  <x:c r="M290" i="35"/>
  <x:c r="N290" i="35"/>
  <x:c r="O290" i="35"/>
  <x:c r="C291" i="35"/>
  <x:c r="D291" i="35"/>
  <x:c r="E291" i="35"/>
  <x:c r="F291" i="35"/>
  <x:c r="G291" i="35"/>
  <x:c r="H291" i="35"/>
  <x:c r="I291" i="35"/>
  <x:c r="J291" i="35"/>
  <x:c r="K291" i="35"/>
  <x:c r="L291" i="35"/>
  <x:c r="M291" i="35"/>
  <x:c r="N291" i="35"/>
  <x:c r="O291" i="35"/>
  <x:c r="C292" i="35"/>
  <x:c r="D292" i="35"/>
  <x:c r="E292" i="35"/>
  <x:c r="F292" i="35"/>
  <x:c r="G292" i="35"/>
  <x:c r="H292" i="35"/>
  <x:c r="I292" i="35"/>
  <x:c r="J292" i="35"/>
  <x:c r="K292" i="35"/>
  <x:c r="L292" i="35"/>
  <x:c r="M292" i="35"/>
  <x:c r="N292" i="35"/>
  <x:c r="O292" i="35"/>
  <x:c r="C293" i="35"/>
  <x:c r="D293" i="35"/>
  <x:c r="E293" i="35"/>
  <x:c r="F293" i="35"/>
  <x:c r="G293" i="35"/>
  <x:c r="H293" i="35"/>
  <x:c r="I293" i="35"/>
  <x:c r="J293" i="35"/>
  <x:c r="K293" i="35"/>
  <x:c r="L293" i="35"/>
  <x:c r="M293" i="35"/>
  <x:c r="N293" i="35"/>
  <x:c r="O293" i="35"/>
  <x:c r="C294" i="35"/>
  <x:c r="D294" i="35"/>
  <x:c r="E294" i="35"/>
  <x:c r="F294" i="35"/>
  <x:c r="G294" i="35"/>
  <x:c r="H294" i="35"/>
  <x:c r="I294" i="35"/>
  <x:c r="J294" i="35"/>
  <x:c r="K294" i="35"/>
  <x:c r="L294" i="35"/>
  <x:c r="M294" i="35"/>
  <x:c r="N294" i="35"/>
  <x:c r="O294" i="35"/>
  <x:c r="C295" i="35"/>
  <x:c r="D295" i="35"/>
  <x:c r="E295" i="35"/>
  <x:c r="F295" i="35"/>
  <x:c r="G295" i="35"/>
  <x:c r="H295" i="35"/>
  <x:c r="I295" i="35"/>
  <x:c r="J295" i="35"/>
  <x:c r="K295" i="35"/>
  <x:c r="L295" i="35"/>
  <x:c r="M295" i="35"/>
  <x:c r="N295" i="35"/>
  <x:c r="O295" i="35"/>
  <x:c r="C296" i="35"/>
  <x:c r="D296" i="35"/>
  <x:c r="E296" i="35"/>
  <x:c r="F296" i="35"/>
  <x:c r="G296" i="35"/>
  <x:c r="H296" i="35"/>
  <x:c r="I296" i="35"/>
  <x:c r="J296" i="35"/>
  <x:c r="K296" i="35"/>
  <x:c r="L296" i="35"/>
  <x:c r="M296" i="35"/>
  <x:c r="N296" i="35"/>
  <x:c r="O296" i="35"/>
  <x:c r="C297" i="35"/>
  <x:c r="D297" i="35"/>
  <x:c r="E297" i="35"/>
  <x:c r="F297" i="35"/>
  <x:c r="G297" i="35"/>
  <x:c r="H297" i="35"/>
  <x:c r="I297" i="35"/>
  <x:c r="J297" i="35"/>
  <x:c r="K297" i="35"/>
  <x:c r="L297" i="35"/>
  <x:c r="M297" i="35"/>
  <x:c r="N297" i="35"/>
  <x:c r="O297" i="35"/>
  <x:c r="C298" i="35"/>
  <x:c r="D298" i="35"/>
  <x:c r="E298" i="35"/>
  <x:c r="F298" i="35"/>
  <x:c r="G298" i="35"/>
  <x:c r="H298" i="35"/>
  <x:c r="I298" i="35"/>
  <x:c r="J298" i="35"/>
  <x:c r="K298" i="35"/>
  <x:c r="L298" i="35"/>
  <x:c r="M298" i="35"/>
  <x:c r="N298" i="35"/>
  <x:c r="O298" i="35"/>
  <x:c r="C299" i="35"/>
  <x:c r="D299" i="35"/>
  <x:c r="E299" i="35"/>
  <x:c r="F299" i="35"/>
  <x:c r="G299" i="35"/>
  <x:c r="H299" i="35"/>
  <x:c r="I299" i="35"/>
  <x:c r="J299" i="35"/>
  <x:c r="K299" i="35"/>
  <x:c r="L299" i="35"/>
  <x:c r="M299" i="35"/>
  <x:c r="N299" i="35"/>
  <x:c r="O299" i="35"/>
  <x:c r="C300" i="35"/>
  <x:c r="D300" i="35"/>
  <x:c r="E300" i="35"/>
  <x:c r="F300" i="35"/>
  <x:c r="G300" i="35"/>
  <x:c r="H300" i="35"/>
  <x:c r="I300" i="35"/>
  <x:c r="J300" i="35"/>
  <x:c r="K300" i="35"/>
  <x:c r="L300" i="35"/>
  <x:c r="M300" i="35"/>
  <x:c r="N300" i="35"/>
  <x:c r="O300" i="35"/>
  <x:c r="C301" i="35"/>
  <x:c r="D301" i="35"/>
  <x:c r="E301" i="35"/>
  <x:c r="F301" i="35"/>
  <x:c r="G301" i="35"/>
  <x:c r="H301" i="35"/>
  <x:c r="I301" i="35"/>
  <x:c r="J301" i="35"/>
  <x:c r="K301" i="35"/>
  <x:c r="L301" i="35"/>
  <x:c r="M301" i="35"/>
  <x:c r="N301" i="35"/>
  <x:c r="O301" i="35"/>
  <x:c r="C302" i="35"/>
  <x:c r="D302" i="35"/>
  <x:c r="E302" i="35"/>
  <x:c r="F302" i="35"/>
  <x:c r="G302" i="35"/>
  <x:c r="H302" i="35"/>
  <x:c r="I302" i="35"/>
  <x:c r="J302" i="35"/>
  <x:c r="K302" i="35"/>
  <x:c r="L302" i="35"/>
  <x:c r="M302" i="35"/>
  <x:c r="N302" i="35"/>
  <x:c r="O302" i="35"/>
  <x:c r="C303" i="35"/>
  <x:c r="D303" i="35"/>
  <x:c r="E303" i="35"/>
  <x:c r="F303" i="35"/>
  <x:c r="G303" i="35"/>
  <x:c r="H303" i="35"/>
  <x:c r="I303" i="35"/>
  <x:c r="J303" i="35"/>
  <x:c r="K303" i="35"/>
  <x:c r="L303" i="35"/>
  <x:c r="M303" i="35"/>
  <x:c r="N303" i="35"/>
  <x:c r="O303" i="35"/>
  <x:c r="C304" i="35"/>
  <x:c r="D304" i="35"/>
  <x:c r="E304" i="35"/>
  <x:c r="F304" i="35"/>
  <x:c r="G304" i="35"/>
  <x:c r="H304" i="35"/>
  <x:c r="I304" i="35"/>
  <x:c r="J304" i="35"/>
  <x:c r="K304" i="35"/>
  <x:c r="L304" i="35"/>
  <x:c r="M304" i="35"/>
  <x:c r="N304" i="35"/>
  <x:c r="O304" i="35"/>
  <x:c r="C305" i="35"/>
  <x:c r="D305" i="35"/>
  <x:c r="E305" i="35"/>
  <x:c r="F305" i="35"/>
  <x:c r="G305" i="35"/>
  <x:c r="H305" i="35"/>
  <x:c r="I305" i="35"/>
  <x:c r="J305" i="35"/>
  <x:c r="K305" i="35"/>
  <x:c r="L305" i="35"/>
  <x:c r="M305" i="35"/>
  <x:c r="N305" i="35"/>
  <x:c r="O305" i="35"/>
  <x:c r="C306" i="35"/>
  <x:c r="D306" i="35"/>
  <x:c r="E306" i="35"/>
  <x:c r="F306" i="35"/>
  <x:c r="G306" i="35"/>
  <x:c r="H306" i="35"/>
  <x:c r="I306" i="35"/>
  <x:c r="J306" i="35"/>
  <x:c r="K306" i="35"/>
  <x:c r="L306" i="35"/>
  <x:c r="M306" i="35"/>
  <x:c r="N306" i="35"/>
  <x:c r="O306" i="35"/>
  <x:c r="C307" i="35"/>
  <x:c r="D307" i="35"/>
  <x:c r="E307" i="35"/>
  <x:c r="F307" i="35"/>
  <x:c r="G307" i="35"/>
  <x:c r="H307" i="35"/>
  <x:c r="I307" i="35"/>
  <x:c r="J307" i="35"/>
  <x:c r="K307" i="35"/>
  <x:c r="L307" i="35"/>
  <x:c r="M307" i="35"/>
  <x:c r="N307" i="35"/>
  <x:c r="O307" i="35"/>
  <x:c r="C308" i="35"/>
  <x:c r="D308" i="35"/>
  <x:c r="E308" i="35"/>
  <x:c r="F308" i="35"/>
  <x:c r="G308" i="35"/>
  <x:c r="H308" i="35"/>
  <x:c r="I308" i="35"/>
  <x:c r="J308" i="35"/>
  <x:c r="K308" i="35"/>
  <x:c r="L308" i="35"/>
  <x:c r="M308" i="35"/>
  <x:c r="N308" i="35"/>
  <x:c r="O308" i="35"/>
  <x:c r="C309" i="35"/>
  <x:c r="D309" i="35"/>
  <x:c r="E309" i="35"/>
  <x:c r="F309" i="35"/>
  <x:c r="G309" i="35"/>
  <x:c r="H309" i="35"/>
  <x:c r="I309" i="35"/>
  <x:c r="J309" i="35"/>
  <x:c r="K309" i="35"/>
  <x:c r="L309" i="35"/>
  <x:c r="M309" i="35"/>
  <x:c r="N309" i="35"/>
  <x:c r="O309" i="35"/>
  <x:c r="C310" i="35"/>
  <x:c r="D310" i="35"/>
  <x:c r="E310" i="35"/>
  <x:c r="F310" i="35"/>
  <x:c r="G310" i="35"/>
  <x:c r="H310" i="35"/>
  <x:c r="I310" i="35"/>
  <x:c r="J310" i="35"/>
  <x:c r="K310" i="35"/>
  <x:c r="L310" i="35"/>
  <x:c r="M310" i="35"/>
  <x:c r="N310" i="35"/>
  <x:c r="O310" i="35"/>
  <x:c r="C311" i="35"/>
  <x:c r="D311" i="35"/>
  <x:c r="E311" i="35"/>
  <x:c r="F311" i="35"/>
  <x:c r="G311" i="35"/>
  <x:c r="H311" i="35"/>
  <x:c r="I311" i="35"/>
  <x:c r="J311" i="35"/>
  <x:c r="K311" i="35"/>
  <x:c r="L311" i="35"/>
  <x:c r="M311" i="35"/>
  <x:c r="N311" i="35"/>
  <x:c r="O311" i="35"/>
  <x:c r="S311" i="35"/>
  <x:c r="C312" i="35"/>
  <x:c r="D312" i="35"/>
  <x:c r="E312" i="35"/>
  <x:c r="F312" i="35"/>
  <x:c r="G312" i="35"/>
  <x:c r="H312" i="35"/>
  <x:c r="I312" i="35"/>
  <x:c r="J312" i="35"/>
  <x:c r="K312" i="35"/>
  <x:c r="L312" i="35"/>
  <x:c r="M312" i="35"/>
  <x:c r="N312" i="35"/>
  <x:c r="O312" i="35"/>
  <x:c r="C313" i="35"/>
  <x:c r="D313" i="35"/>
  <x:c r="E313" i="35"/>
  <x:c r="F313" i="35"/>
  <x:c r="G313" i="35"/>
  <x:c r="H313" i="35"/>
  <x:c r="I313" i="35"/>
  <x:c r="J313" i="35"/>
  <x:c r="K313" i="35"/>
  <x:c r="L313" i="35"/>
  <x:c r="M313" i="35"/>
  <x:c r="N313" i="35"/>
  <x:c r="O313" i="35"/>
  <x:c r="C314" i="35"/>
  <x:c r="D314" i="35"/>
  <x:c r="E314" i="35"/>
  <x:c r="F314" i="35"/>
  <x:c r="G314" i="35"/>
  <x:c r="H314" i="35"/>
  <x:c r="I314" i="35"/>
  <x:c r="J314" i="35"/>
  <x:c r="K314" i="35"/>
  <x:c r="L314" i="35"/>
  <x:c r="M314" i="35"/>
  <x:c r="N314" i="35"/>
  <x:c r="O314" i="35"/>
  <x:c r="C315" i="35"/>
  <x:c r="D315" i="35"/>
  <x:c r="E315" i="35"/>
  <x:c r="F315" i="35"/>
  <x:c r="G315" i="35"/>
  <x:c r="H315" i="35"/>
  <x:c r="I315" i="35"/>
  <x:c r="J315" i="35"/>
  <x:c r="K315" i="35"/>
  <x:c r="L315" i="35"/>
  <x:c r="M315" i="35"/>
  <x:c r="N315" i="35"/>
  <x:c r="O315" i="35"/>
  <x:c r="C316" i="35"/>
  <x:c r="D316" i="35"/>
  <x:c r="E316" i="35"/>
  <x:c r="F316" i="35"/>
  <x:c r="G316" i="35"/>
  <x:c r="H316" i="35"/>
  <x:c r="I316" i="35"/>
  <x:c r="J316" i="35"/>
  <x:c r="K316" i="35"/>
  <x:c r="L316" i="35"/>
  <x:c r="M316" i="35"/>
  <x:c r="N316" i="35"/>
  <x:c r="O316" i="35"/>
  <x:c r="C317" i="35"/>
  <x:c r="D317" i="35"/>
  <x:c r="E317" i="35"/>
  <x:c r="F317" i="35"/>
  <x:c r="G317" i="35"/>
  <x:c r="H317" i="35"/>
  <x:c r="I317" i="35"/>
  <x:c r="J317" i="35"/>
  <x:c r="K317" i="35"/>
  <x:c r="L317" i="35"/>
  <x:c r="M317" i="35"/>
  <x:c r="N317" i="35"/>
  <x:c r="O317" i="35"/>
  <x:c r="C318" i="35"/>
  <x:c r="D318" i="35"/>
  <x:c r="E318" i="35"/>
  <x:c r="F318" i="35"/>
  <x:c r="G318" i="35"/>
  <x:c r="H318" i="35"/>
  <x:c r="I318" i="35"/>
  <x:c r="J318" i="35"/>
  <x:c r="K318" i="35"/>
  <x:c r="L318" i="35"/>
  <x:c r="M318" i="35"/>
  <x:c r="N318" i="35"/>
  <x:c r="O318" i="35"/>
  <x:c r="C319" i="35"/>
  <x:c r="D319" i="35"/>
  <x:c r="E319" i="35"/>
  <x:c r="F319" i="35"/>
  <x:c r="G319" i="35"/>
  <x:c r="H319" i="35"/>
  <x:c r="I319" i="35"/>
  <x:c r="J319" i="35"/>
  <x:c r="K319" i="35"/>
  <x:c r="L319" i="35"/>
  <x:c r="M319" i="35"/>
  <x:c r="N319" i="35"/>
  <x:c r="O319" i="35"/>
  <x:c r="C320" i="35"/>
  <x:c r="D320" i="35"/>
  <x:c r="E320" i="35"/>
  <x:c r="F320" i="35"/>
  <x:c r="G320" i="35"/>
  <x:c r="H320" i="35"/>
  <x:c r="I320" i="35"/>
  <x:c r="J320" i="35"/>
  <x:c r="K320" i="35"/>
  <x:c r="L320" i="35"/>
  <x:c r="M320" i="35"/>
  <x:c r="N320" i="35"/>
  <x:c r="O320" i="35"/>
  <x:c r="C321" i="35"/>
  <x:c r="D321" i="35"/>
  <x:c r="E321" i="35"/>
  <x:c r="F321" i="35"/>
  <x:c r="G321" i="35"/>
  <x:c r="H321" i="35"/>
  <x:c r="I321" i="35"/>
  <x:c r="J321" i="35"/>
  <x:c r="K321" i="35"/>
  <x:c r="L321" i="35"/>
  <x:c r="M321" i="35"/>
  <x:c r="N321" i="35"/>
  <x:c r="O321" i="35"/>
  <x:c r="C322" i="35"/>
  <x:c r="D322" i="35"/>
  <x:c r="E322" i="35"/>
  <x:c r="F322" i="35"/>
  <x:c r="G322" i="35"/>
  <x:c r="H322" i="35"/>
  <x:c r="I322" i="35"/>
  <x:c r="J322" i="35"/>
  <x:c r="K322" i="35"/>
  <x:c r="L322" i="35"/>
  <x:c r="M322" i="35"/>
  <x:c r="N322" i="35"/>
  <x:c r="O322" i="35"/>
  <x:c r="C323" i="35"/>
  <x:c r="D323" i="35"/>
  <x:c r="E323" i="35"/>
  <x:c r="F323" i="35"/>
  <x:c r="G323" i="35"/>
  <x:c r="H323" i="35"/>
  <x:c r="I323" i="35"/>
  <x:c r="J323" i="35"/>
  <x:c r="K323" i="35"/>
  <x:c r="L323" i="35"/>
  <x:c r="M323" i="35"/>
  <x:c r="N323" i="35"/>
  <x:c r="O323" i="35"/>
  <x:c r="C324" i="35"/>
  <x:c r="D324" i="35"/>
  <x:c r="E324" i="35"/>
  <x:c r="F324" i="35"/>
  <x:c r="G324" i="35"/>
  <x:c r="H324" i="35"/>
  <x:c r="I324" i="35"/>
  <x:c r="J324" i="35"/>
  <x:c r="K324" i="35"/>
  <x:c r="L324" i="35"/>
  <x:c r="M324" i="35"/>
  <x:c r="N324" i="35"/>
  <x:c r="O324" i="35"/>
  <x:c r="C325" i="35"/>
  <x:c r="D325" i="35"/>
  <x:c r="E325" i="35"/>
  <x:c r="F325" i="35"/>
  <x:c r="G325" i="35"/>
  <x:c r="H325" i="35"/>
  <x:c r="I325" i="35"/>
  <x:c r="J325" i="35"/>
  <x:c r="K325" i="35"/>
  <x:c r="L325" i="35"/>
  <x:c r="M325" i="35"/>
  <x:c r="N325" i="35"/>
  <x:c r="O325" i="35"/>
  <x:c r="C326" i="35"/>
  <x:c r="D326" i="35"/>
  <x:c r="E326" i="35"/>
  <x:c r="F326" i="35"/>
  <x:c r="G326" i="35"/>
  <x:c r="H326" i="35"/>
  <x:c r="I326" i="35"/>
  <x:c r="J326" i="35"/>
  <x:c r="K326" i="35"/>
  <x:c r="L326" i="35"/>
  <x:c r="M326" i="35"/>
  <x:c r="N326" i="35"/>
  <x:c r="O326" i="35"/>
  <x:c r="C327" i="35"/>
  <x:c r="D327" i="35"/>
  <x:c r="E327" i="35"/>
  <x:c r="F327" i="35"/>
  <x:c r="G327" i="35"/>
  <x:c r="H327" i="35"/>
  <x:c r="I327" i="35"/>
  <x:c r="J327" i="35"/>
  <x:c r="K327" i="35"/>
  <x:c r="L327" i="35"/>
  <x:c r="M327" i="35"/>
  <x:c r="N327" i="35"/>
  <x:c r="O327" i="35"/>
  <x:c r="C328" i="35"/>
  <x:c r="D328" i="35"/>
  <x:c r="E328" i="35"/>
  <x:c r="F328" i="35"/>
  <x:c r="G328" i="35"/>
  <x:c r="H328" i="35"/>
  <x:c r="I328" i="35"/>
  <x:c r="J328" i="35"/>
  <x:c r="K328" i="35"/>
  <x:c r="L328" i="35"/>
  <x:c r="M328" i="35"/>
  <x:c r="N328" i="35"/>
  <x:c r="O328" i="35"/>
  <x:c r="C329" i="35"/>
  <x:c r="D329" i="35"/>
  <x:c r="E329" i="35"/>
  <x:c r="F329" i="35"/>
  <x:c r="G329" i="35"/>
  <x:c r="H329" i="35"/>
  <x:c r="I329" i="35"/>
  <x:c r="J329" i="35"/>
  <x:c r="K329" i="35"/>
  <x:c r="L329" i="35"/>
  <x:c r="M329" i="35"/>
  <x:c r="N329" i="35"/>
  <x:c r="O329" i="35"/>
  <x:c r="C330" i="35"/>
  <x:c r="D330" i="35"/>
  <x:c r="E330" i="35"/>
  <x:c r="F330" i="35"/>
  <x:c r="G330" i="35"/>
  <x:c r="H330" i="35"/>
  <x:c r="I330" i="35"/>
  <x:c r="J330" i="35"/>
  <x:c r="K330" i="35"/>
  <x:c r="L330" i="35"/>
  <x:c r="M330" i="35"/>
  <x:c r="N330" i="35"/>
  <x:c r="O330" i="35"/>
  <x:c r="C331" i="35"/>
  <x:c r="D331" i="35"/>
  <x:c r="E331" i="35"/>
  <x:c r="F331" i="35"/>
  <x:c r="G331" i="35"/>
  <x:c r="H331" i="35"/>
  <x:c r="I331" i="35"/>
  <x:c r="J331" i="35"/>
  <x:c r="K331" i="35"/>
  <x:c r="L331" i="35"/>
  <x:c r="M331" i="35"/>
  <x:c r="N331" i="35"/>
  <x:c r="O331" i="35"/>
  <x:c r="C332" i="35"/>
  <x:c r="D332" i="35"/>
  <x:c r="E332" i="35"/>
  <x:c r="F332" i="35"/>
  <x:c r="G332" i="35"/>
  <x:c r="H332" i="35"/>
  <x:c r="I332" i="35"/>
  <x:c r="J332" i="35"/>
  <x:c r="K332" i="35"/>
  <x:c r="L332" i="35"/>
  <x:c r="M332" i="35"/>
  <x:c r="N332" i="35"/>
  <x:c r="O332" i="35"/>
  <x:c r="C333" i="35"/>
  <x:c r="D333" i="35"/>
  <x:c r="E333" i="35"/>
  <x:c r="F333" i="35"/>
  <x:c r="G333" i="35"/>
  <x:c r="H333" i="35"/>
  <x:c r="I333" i="35"/>
  <x:c r="J333" i="35"/>
  <x:c r="K333" i="35"/>
  <x:c r="L333" i="35"/>
  <x:c r="M333" i="35"/>
  <x:c r="N333" i="35"/>
  <x:c r="O333" i="35"/>
  <x:c r="C334" i="35"/>
  <x:c r="D334" i="35"/>
  <x:c r="E334" i="35"/>
  <x:c r="F334" i="35"/>
  <x:c r="G334" i="35"/>
  <x:c r="H334" i="35"/>
  <x:c r="I334" i="35"/>
  <x:c r="J334" i="35"/>
  <x:c r="K334" i="35"/>
  <x:c r="L334" i="35"/>
  <x:c r="M334" i="35"/>
  <x:c r="N334" i="35"/>
  <x:c r="O334" i="35"/>
  <x:c r="C335" i="35"/>
  <x:c r="D335" i="35"/>
  <x:c r="E335" i="35"/>
  <x:c r="F335" i="35"/>
  <x:c r="G335" i="35"/>
  <x:c r="H335" i="35"/>
  <x:c r="I335" i="35"/>
  <x:c r="J335" i="35"/>
  <x:c r="K335" i="35"/>
  <x:c r="L335" i="35"/>
  <x:c r="M335" i="35"/>
  <x:c r="N335" i="35"/>
  <x:c r="O335" i="35"/>
  <x:c r="C336" i="35"/>
  <x:c r="D336" i="35"/>
  <x:c r="E336" i="35"/>
  <x:c r="F336" i="35"/>
  <x:c r="G336" i="35"/>
  <x:c r="H336" i="35"/>
  <x:c r="I336" i="35"/>
  <x:c r="J336" i="35"/>
  <x:c r="K336" i="35"/>
  <x:c r="L336" i="35"/>
  <x:c r="M336" i="35"/>
  <x:c r="N336" i="35"/>
  <x:c r="O336" i="35"/>
  <x:c r="C337" i="35"/>
  <x:c r="D337" i="35"/>
  <x:c r="E337" i="35"/>
  <x:c r="F337" i="35"/>
  <x:c r="G337" i="35"/>
  <x:c r="H337" i="35"/>
  <x:c r="I337" i="35"/>
  <x:c r="J337" i="35"/>
  <x:c r="K337" i="35"/>
  <x:c r="L337" i="35"/>
  <x:c r="M337" i="35"/>
  <x:c r="N337" i="35"/>
  <x:c r="O337" i="35"/>
  <x:c r="C338" i="35"/>
  <x:c r="D338" i="35"/>
  <x:c r="E338" i="35"/>
  <x:c r="F338" i="35"/>
  <x:c r="G338" i="35"/>
  <x:c r="H338" i="35"/>
  <x:c r="I338" i="35"/>
  <x:c r="J338" i="35"/>
  <x:c r="K338" i="35"/>
  <x:c r="L338" i="35"/>
  <x:c r="M338" i="35"/>
  <x:c r="N338" i="35"/>
  <x:c r="O338" i="35"/>
  <x:c r="C339" i="35"/>
  <x:c r="D339" i="35"/>
  <x:c r="E339" i="35"/>
  <x:c r="F339" i="35"/>
  <x:c r="G339" i="35"/>
  <x:c r="H339" i="35"/>
  <x:c r="I339" i="35"/>
  <x:c r="J339" i="35"/>
  <x:c r="K339" i="35"/>
  <x:c r="L339" i="35"/>
  <x:c r="M339" i="35"/>
  <x:c r="N339" i="35"/>
  <x:c r="O339" i="35"/>
  <x:c r="C340" i="35"/>
  <x:c r="D340" i="35"/>
  <x:c r="E340" i="35"/>
  <x:c r="F340" i="35"/>
  <x:c r="G340" i="35"/>
  <x:c r="H340" i="35"/>
  <x:c r="I340" i="35"/>
  <x:c r="J340" i="35"/>
  <x:c r="K340" i="35"/>
  <x:c r="L340" i="35"/>
  <x:c r="M340" i="35"/>
  <x:c r="N340" i="35"/>
  <x:c r="O340" i="35"/>
  <x:c r="C341" i="35"/>
  <x:c r="D341" i="35"/>
  <x:c r="E341" i="35"/>
  <x:c r="F341" i="35"/>
  <x:c r="G341" i="35"/>
  <x:c r="H341" i="35"/>
  <x:c r="I341" i="35"/>
  <x:c r="J341" i="35"/>
  <x:c r="K341" i="35"/>
  <x:c r="L341" i="35"/>
  <x:c r="M341" i="35"/>
  <x:c r="N341" i="35"/>
  <x:c r="O341" i="35"/>
  <x:c r="C342" i="35"/>
  <x:c r="D342" i="35"/>
  <x:c r="E342" i="35"/>
  <x:c r="F342" i="35"/>
  <x:c r="G342" i="35"/>
  <x:c r="H342" i="35"/>
  <x:c r="I342" i="35"/>
  <x:c r="J342" i="35"/>
  <x:c r="K342" i="35"/>
  <x:c r="L342" i="35"/>
  <x:c r="M342" i="35"/>
  <x:c r="N342" i="35"/>
  <x:c r="O342" i="35"/>
  <x:c r="C343" i="35"/>
  <x:c r="D343" i="35"/>
  <x:c r="E343" i="35"/>
  <x:c r="F343" i="35"/>
  <x:c r="G343" i="35"/>
  <x:c r="H343" i="35"/>
  <x:c r="I343" i="35"/>
  <x:c r="J343" i="35"/>
  <x:c r="K343" i="35"/>
  <x:c r="L343" i="35"/>
  <x:c r="M343" i="35"/>
  <x:c r="N343" i="35"/>
  <x:c r="O343" i="35"/>
  <x:c r="C344" i="35"/>
  <x:c r="D344" i="35"/>
  <x:c r="E344" i="35"/>
  <x:c r="F344" i="35"/>
  <x:c r="G344" i="35"/>
  <x:c r="H344" i="35"/>
  <x:c r="I344" i="35"/>
  <x:c r="J344" i="35"/>
  <x:c r="K344" i="35"/>
  <x:c r="L344" i="35"/>
  <x:c r="M344" i="35"/>
  <x:c r="N344" i="35"/>
  <x:c r="O344" i="35"/>
  <x:c r="C345" i="35"/>
  <x:c r="D345" i="35"/>
  <x:c r="E345" i="35"/>
  <x:c r="F345" i="35"/>
  <x:c r="G345" i="35"/>
  <x:c r="H345" i="35"/>
  <x:c r="I345" i="35"/>
  <x:c r="J345" i="35"/>
  <x:c r="K345" i="35"/>
  <x:c r="L345" i="35"/>
  <x:c r="M345" i="35"/>
  <x:c r="N345" i="35"/>
  <x:c r="O345" i="35"/>
  <x:c r="C346" i="35"/>
  <x:c r="D346" i="35"/>
  <x:c r="E346" i="35"/>
  <x:c r="F346" i="35"/>
  <x:c r="G346" i="35"/>
  <x:c r="H346" i="35"/>
  <x:c r="I346" i="35"/>
  <x:c r="J346" i="35"/>
  <x:c r="K346" i="35"/>
  <x:c r="L346" i="35"/>
  <x:c r="M346" i="35"/>
  <x:c r="N346" i="35"/>
  <x:c r="O346" i="35"/>
  <x:c r="C347" i="35"/>
  <x:c r="D347" i="35"/>
  <x:c r="E347" i="35"/>
  <x:c r="F347" i="35"/>
  <x:c r="G347" i="35"/>
  <x:c r="H347" i="35"/>
  <x:c r="I347" i="35"/>
  <x:c r="J347" i="35"/>
  <x:c r="K347" i="35"/>
  <x:c r="L347" i="35"/>
  <x:c r="M347" i="35"/>
  <x:c r="N347" i="35"/>
  <x:c r="O347" i="35"/>
  <x:c r="C348" i="35"/>
  <x:c r="D348" i="35"/>
  <x:c r="E348" i="35"/>
  <x:c r="F348" i="35"/>
  <x:c r="G348" i="35"/>
  <x:c r="H348" i="35"/>
  <x:c r="I348" i="35"/>
  <x:c r="J348" i="35"/>
  <x:c r="K348" i="35"/>
  <x:c r="L348" i="35"/>
  <x:c r="M348" i="35"/>
  <x:c r="N348" i="35"/>
  <x:c r="O348" i="35"/>
  <x:c r="C349" i="35"/>
  <x:c r="D349" i="35"/>
  <x:c r="E349" i="35"/>
  <x:c r="F349" i="35"/>
  <x:c r="G349" i="35"/>
  <x:c r="H349" i="35"/>
  <x:c r="I349" i="35"/>
  <x:c r="J349" i="35"/>
  <x:c r="K349" i="35"/>
  <x:c r="L349" i="35"/>
  <x:c r="M349" i="35"/>
  <x:c r="N349" i="35"/>
  <x:c r="O349" i="35"/>
  <x:c r="C350" i="35"/>
  <x:c r="D350" i="35"/>
  <x:c r="E350" i="35"/>
  <x:c r="F350" i="35"/>
  <x:c r="G350" i="35"/>
  <x:c r="H350" i="35"/>
  <x:c r="I350" i="35"/>
  <x:c r="J350" i="35"/>
  <x:c r="K350" i="35"/>
  <x:c r="L350" i="35"/>
  <x:c r="M350" i="35"/>
  <x:c r="N350" i="35"/>
  <x:c r="O350" i="35"/>
  <x:c r="C351" i="35"/>
  <x:c r="D351" i="35"/>
  <x:c r="E351" i="35"/>
  <x:c r="F351" i="35"/>
  <x:c r="G351" i="35"/>
  <x:c r="H351" i="35"/>
  <x:c r="I351" i="35"/>
  <x:c r="J351" i="35"/>
  <x:c r="K351" i="35"/>
  <x:c r="L351" i="35"/>
  <x:c r="M351" i="35"/>
  <x:c r="N351" i="35"/>
  <x:c r="O351" i="35"/>
  <x:c r="C352" i="35"/>
  <x:c r="D352" i="35"/>
  <x:c r="E352" i="35"/>
  <x:c r="F352" i="35"/>
  <x:c r="G352" i="35"/>
  <x:c r="H352" i="35"/>
  <x:c r="I352" i="35"/>
  <x:c r="J352" i="35"/>
  <x:c r="K352" i="35"/>
  <x:c r="L352" i="35"/>
  <x:c r="M352" i="35"/>
  <x:c r="N352" i="35"/>
  <x:c r="O352" i="35"/>
  <x:c r="C353" i="35"/>
  <x:c r="D353" i="35"/>
  <x:c r="E353" i="35"/>
  <x:c r="F353" i="35"/>
  <x:c r="G353" i="35"/>
  <x:c r="H353" i="35"/>
  <x:c r="I353" i="35"/>
  <x:c r="J353" i="35"/>
  <x:c r="K353" i="35"/>
  <x:c r="L353" i="35"/>
  <x:c r="M353" i="35"/>
  <x:c r="N353" i="35"/>
  <x:c r="O353" i="35"/>
  <x:c r="C354" i="35"/>
  <x:c r="D354" i="35"/>
  <x:c r="E354" i="35"/>
  <x:c r="F354" i="35"/>
  <x:c r="G354" i="35"/>
  <x:c r="H354" i="35"/>
  <x:c r="I354" i="35"/>
  <x:c r="J354" i="35"/>
  <x:c r="K354" i="35"/>
  <x:c r="L354" i="35"/>
  <x:c r="M354" i="35"/>
  <x:c r="N354" i="35"/>
  <x:c r="O354" i="35"/>
  <x:c r="C355" i="35"/>
  <x:c r="D355" i="35"/>
  <x:c r="E355" i="35"/>
  <x:c r="F355" i="35"/>
  <x:c r="G355" i="35"/>
  <x:c r="H355" i="35"/>
  <x:c r="I355" i="35"/>
  <x:c r="J355" i="35"/>
  <x:c r="K355" i="35"/>
  <x:c r="L355" i="35"/>
  <x:c r="M355" i="35"/>
  <x:c r="N355" i="35"/>
  <x:c r="O355" i="35"/>
  <x:c r="C356" i="35"/>
  <x:c r="D356" i="35"/>
  <x:c r="E356" i="35"/>
  <x:c r="F356" i="35"/>
  <x:c r="G356" i="35"/>
  <x:c r="H356" i="35"/>
  <x:c r="I356" i="35"/>
  <x:c r="J356" i="35"/>
  <x:c r="K356" i="35"/>
  <x:c r="L356" i="35"/>
  <x:c r="M356" i="35"/>
  <x:c r="N356" i="35"/>
  <x:c r="O356" i="35"/>
  <x:c r="C357" i="35"/>
  <x:c r="D357" i="35"/>
  <x:c r="E357" i="35"/>
  <x:c r="F357" i="35"/>
  <x:c r="G357" i="35"/>
  <x:c r="H357" i="35"/>
  <x:c r="I357" i="35"/>
  <x:c r="J357" i="35"/>
  <x:c r="K357" i="35"/>
  <x:c r="L357" i="35"/>
  <x:c r="M357" i="35"/>
  <x:c r="N357" i="35"/>
  <x:c r="O357" i="35"/>
  <x:c r="C358" i="35"/>
  <x:c r="D358" i="35"/>
  <x:c r="E358" i="35"/>
  <x:c r="F358" i="35"/>
  <x:c r="G358" i="35"/>
  <x:c r="H358" i="35"/>
  <x:c r="I358" i="35"/>
  <x:c r="J358" i="35"/>
  <x:c r="K358" i="35"/>
  <x:c r="L358" i="35"/>
  <x:c r="M358" i="35"/>
  <x:c r="N358" i="35"/>
  <x:c r="O358" i="35"/>
  <x:c r="C359" i="35"/>
  <x:c r="D359" i="35"/>
  <x:c r="E359" i="35"/>
  <x:c r="F359" i="35"/>
  <x:c r="G359" i="35"/>
  <x:c r="H359" i="35"/>
  <x:c r="I359" i="35"/>
  <x:c r="J359" i="35"/>
  <x:c r="K359" i="35"/>
  <x:c r="L359" i="35"/>
  <x:c r="M359" i="35"/>
  <x:c r="N359" i="35"/>
  <x:c r="O359" i="35"/>
  <x:c r="C360" i="35"/>
  <x:c r="D360" i="35"/>
  <x:c r="E360" i="35"/>
  <x:c r="F360" i="35"/>
  <x:c r="G360" i="35"/>
  <x:c r="H360" i="35"/>
  <x:c r="I360" i="35"/>
  <x:c r="J360" i="35"/>
  <x:c r="K360" i="35"/>
  <x:c r="L360" i="35"/>
  <x:c r="M360" i="35"/>
  <x:c r="N360" i="35"/>
  <x:c r="O360" i="35"/>
  <x:c r="C361" i="35"/>
  <x:c r="D361" i="35"/>
  <x:c r="E361" i="35"/>
  <x:c r="F361" i="35"/>
  <x:c r="G361" i="35"/>
  <x:c r="H361" i="35"/>
  <x:c r="I361" i="35"/>
  <x:c r="J361" i="35"/>
  <x:c r="K361" i="35"/>
  <x:c r="L361" i="35"/>
  <x:c r="M361" i="35"/>
  <x:c r="N361" i="35"/>
  <x:c r="O361" i="35"/>
  <x:c r="C362" i="35"/>
  <x:c r="D362" i="35"/>
  <x:c r="E362" i="35"/>
  <x:c r="F362" i="35"/>
  <x:c r="G362" i="35"/>
  <x:c r="H362" i="35"/>
  <x:c r="I362" i="35"/>
  <x:c r="J362" i="35"/>
  <x:c r="K362" i="35"/>
  <x:c r="L362" i="35"/>
  <x:c r="M362" i="35"/>
  <x:c r="N362" i="35"/>
  <x:c r="O362" i="35"/>
  <x:c r="C363" i="35"/>
  <x:c r="D363" i="35"/>
  <x:c r="E363" i="35"/>
  <x:c r="F363" i="35"/>
  <x:c r="G363" i="35"/>
  <x:c r="H363" i="35"/>
  <x:c r="I363" i="35"/>
  <x:c r="J363" i="35"/>
  <x:c r="K363" i="35"/>
  <x:c r="L363" i="35"/>
  <x:c r="M363" i="35"/>
  <x:c r="N363" i="35"/>
  <x:c r="O363" i="35"/>
  <x:c r="S363" i="35"/>
  <x:c r="C364" i="35"/>
  <x:c r="D364" i="35"/>
  <x:c r="E364" i="35"/>
  <x:c r="F364" i="35"/>
  <x:c r="G364" i="35"/>
  <x:c r="H364" i="35"/>
  <x:c r="I364" i="35"/>
  <x:c r="J364" i="35"/>
  <x:c r="K364" i="35"/>
  <x:c r="L364" i="35"/>
  <x:c r="M364" i="35"/>
  <x:c r="N364" i="35"/>
  <x:c r="O364" i="35"/>
  <x:c r="C365" i="35"/>
  <x:c r="D365" i="35"/>
  <x:c r="E365" i="35"/>
  <x:c r="F365" i="35"/>
  <x:c r="G365" i="35"/>
  <x:c r="H365" i="35"/>
  <x:c r="I365" i="35"/>
  <x:c r="J365" i="35"/>
  <x:c r="K365" i="35"/>
  <x:c r="L365" i="35"/>
  <x:c r="M365" i="35"/>
  <x:c r="N365" i="35"/>
  <x:c r="O365" i="35"/>
  <x:c r="C366" i="35"/>
  <x:c r="D366" i="35"/>
  <x:c r="E366" i="35"/>
  <x:c r="F366" i="35"/>
  <x:c r="G366" i="35"/>
  <x:c r="H366" i="35"/>
  <x:c r="I366" i="35"/>
  <x:c r="J366" i="35"/>
  <x:c r="K366" i="35"/>
  <x:c r="L366" i="35"/>
  <x:c r="M366" i="35"/>
  <x:c r="N366" i="35"/>
  <x:c r="O366" i="35"/>
  <x:c r="C367" i="35"/>
  <x:c r="D367" i="35"/>
  <x:c r="E367" i="35"/>
  <x:c r="F367" i="35"/>
  <x:c r="G367" i="35"/>
  <x:c r="H367" i="35"/>
  <x:c r="I367" i="35"/>
  <x:c r="J367" i="35"/>
  <x:c r="K367" i="35"/>
  <x:c r="L367" i="35"/>
  <x:c r="M367" i="35"/>
  <x:c r="N367" i="35"/>
  <x:c r="O367" i="35"/>
  <x:c r="C368" i="35"/>
  <x:c r="D368" i="35"/>
  <x:c r="E368" i="35"/>
  <x:c r="F368" i="35"/>
  <x:c r="G368" i="35"/>
  <x:c r="H368" i="35"/>
  <x:c r="I368" i="35"/>
  <x:c r="J368" i="35"/>
  <x:c r="K368" i="35"/>
  <x:c r="L368" i="35"/>
  <x:c r="M368" i="35"/>
  <x:c r="N368" i="35"/>
  <x:c r="O368" i="35"/>
  <x:c r="C369" i="35"/>
  <x:c r="D369" i="35"/>
  <x:c r="E369" i="35"/>
  <x:c r="F369" i="35"/>
  <x:c r="G369" i="35"/>
  <x:c r="H369" i="35"/>
  <x:c r="I369" i="35"/>
  <x:c r="J369" i="35"/>
  <x:c r="K369" i="35"/>
  <x:c r="L369" i="35"/>
  <x:c r="M369" i="35"/>
  <x:c r="N369" i="35"/>
  <x:c r="O369" i="35"/>
  <x:c r="C370" i="35"/>
  <x:c r="D370" i="35"/>
  <x:c r="E370" i="35"/>
  <x:c r="F370" i="35"/>
  <x:c r="G370" i="35"/>
  <x:c r="H370" i="35"/>
  <x:c r="I370" i="35"/>
  <x:c r="J370" i="35"/>
  <x:c r="K370" i="35"/>
  <x:c r="L370" i="35"/>
  <x:c r="M370" i="35"/>
  <x:c r="N370" i="35"/>
  <x:c r="O370" i="35"/>
  <x:c r="C371" i="35"/>
  <x:c r="D371" i="35"/>
  <x:c r="E371" i="35"/>
  <x:c r="F371" i="35"/>
  <x:c r="G371" i="35"/>
  <x:c r="H371" i="35"/>
  <x:c r="I371" i="35"/>
  <x:c r="J371" i="35"/>
  <x:c r="K371" i="35"/>
  <x:c r="L371" i="35"/>
  <x:c r="M371" i="35"/>
  <x:c r="N371" i="35"/>
  <x:c r="O371" i="35"/>
  <x:c r="C372" i="35"/>
  <x:c r="D372" i="35"/>
  <x:c r="E372" i="35"/>
  <x:c r="F372" i="35"/>
  <x:c r="G372" i="35"/>
  <x:c r="H372" i="35"/>
  <x:c r="I372" i="35"/>
  <x:c r="J372" i="35"/>
  <x:c r="K372" i="35"/>
  <x:c r="L372" i="35"/>
  <x:c r="M372" i="35"/>
  <x:c r="N372" i="35"/>
  <x:c r="O372" i="35"/>
  <x:c r="C373" i="35"/>
  <x:c r="D373" i="35"/>
  <x:c r="E373" i="35"/>
  <x:c r="F373" i="35"/>
  <x:c r="G373" i="35"/>
  <x:c r="H373" i="35"/>
  <x:c r="I373" i="35"/>
  <x:c r="J373" i="35"/>
  <x:c r="K373" i="35"/>
  <x:c r="L373" i="35"/>
  <x:c r="M373" i="35"/>
  <x:c r="N373" i="35"/>
  <x:c r="O373" i="35"/>
  <x:c r="C374" i="35"/>
  <x:c r="D374" i="35"/>
  <x:c r="E374" i="35"/>
  <x:c r="F374" i="35"/>
  <x:c r="G374" i="35"/>
  <x:c r="H374" i="35"/>
  <x:c r="I374" i="35"/>
  <x:c r="J374" i="35"/>
  <x:c r="K374" i="35"/>
  <x:c r="L374" i="35"/>
  <x:c r="M374" i="35"/>
  <x:c r="N374" i="35"/>
  <x:c r="O374" i="35"/>
  <x:c r="C375" i="35"/>
  <x:c r="D375" i="35"/>
  <x:c r="E375" i="35"/>
  <x:c r="F375" i="35"/>
  <x:c r="G375" i="35"/>
  <x:c r="H375" i="35"/>
  <x:c r="I375" i="35"/>
  <x:c r="J375" i="35"/>
  <x:c r="K375" i="35"/>
  <x:c r="L375" i="35"/>
  <x:c r="M375" i="35"/>
  <x:c r="N375" i="35"/>
  <x:c r="O375" i="35"/>
  <x:c r="C376" i="35"/>
  <x:c r="D376" i="35"/>
  <x:c r="E376" i="35"/>
  <x:c r="F376" i="35"/>
  <x:c r="G376" i="35"/>
  <x:c r="H376" i="35"/>
  <x:c r="I376" i="35"/>
  <x:c r="J376" i="35"/>
  <x:c r="K376" i="35"/>
  <x:c r="L376" i="35"/>
  <x:c r="M376" i="35"/>
  <x:c r="N376" i="35"/>
  <x:c r="O376" i="35"/>
  <x:c r="C377" i="35"/>
  <x:c r="D377" i="35"/>
  <x:c r="E377" i="35"/>
  <x:c r="F377" i="35"/>
  <x:c r="G377" i="35"/>
  <x:c r="H377" i="35"/>
  <x:c r="I377" i="35"/>
  <x:c r="J377" i="35"/>
  <x:c r="K377" i="35"/>
  <x:c r="L377" i="35"/>
  <x:c r="M377" i="35"/>
  <x:c r="N377" i="35"/>
  <x:c r="O377" i="35"/>
  <x:c r="C378" i="35"/>
  <x:c r="D378" i="35"/>
  <x:c r="E378" i="35"/>
  <x:c r="F378" i="35"/>
  <x:c r="G378" i="35"/>
  <x:c r="H378" i="35"/>
  <x:c r="I378" i="35"/>
  <x:c r="J378" i="35"/>
  <x:c r="K378" i="35"/>
  <x:c r="L378" i="35"/>
  <x:c r="M378" i="35"/>
  <x:c r="N378" i="35"/>
  <x:c r="O378" i="35"/>
  <x:c r="C379" i="35"/>
  <x:c r="D379" i="35"/>
  <x:c r="E379" i="35"/>
  <x:c r="F379" i="35"/>
  <x:c r="G379" i="35"/>
  <x:c r="H379" i="35"/>
  <x:c r="I379" i="35"/>
  <x:c r="J379" i="35"/>
  <x:c r="K379" i="35"/>
  <x:c r="L379" i="35"/>
  <x:c r="M379" i="35"/>
  <x:c r="N379" i="35"/>
  <x:c r="O379" i="35"/>
  <x:c r="C380" i="35"/>
  <x:c r="D380" i="35"/>
  <x:c r="E380" i="35"/>
  <x:c r="F380" i="35"/>
  <x:c r="G380" i="35"/>
  <x:c r="H380" i="35"/>
  <x:c r="I380" i="35"/>
  <x:c r="J380" i="35"/>
  <x:c r="K380" i="35"/>
  <x:c r="L380" i="35"/>
  <x:c r="M380" i="35"/>
  <x:c r="N380" i="35"/>
  <x:c r="O380" i="35"/>
  <x:c r="C381" i="35"/>
  <x:c r="D381" i="35"/>
  <x:c r="E381" i="35"/>
  <x:c r="F381" i="35"/>
  <x:c r="G381" i="35"/>
  <x:c r="H381" i="35"/>
  <x:c r="I381" i="35"/>
  <x:c r="J381" i="35"/>
  <x:c r="K381" i="35"/>
  <x:c r="L381" i="35"/>
  <x:c r="M381" i="35"/>
  <x:c r="N381" i="35"/>
  <x:c r="O381" i="35"/>
  <x:c r="C382" i="35"/>
  <x:c r="D382" i="35"/>
  <x:c r="E382" i="35"/>
  <x:c r="F382" i="35"/>
  <x:c r="G382" i="35"/>
  <x:c r="H382" i="35"/>
  <x:c r="I382" i="35"/>
  <x:c r="J382" i="35"/>
  <x:c r="K382" i="35"/>
  <x:c r="L382" i="35"/>
  <x:c r="M382" i="35"/>
  <x:c r="N382" i="35"/>
  <x:c r="O382" i="35"/>
  <x:c r="C383" i="35"/>
  <x:c r="D383" i="35"/>
  <x:c r="E383" i="35"/>
  <x:c r="F383" i="35"/>
  <x:c r="G383" i="35"/>
  <x:c r="H383" i="35"/>
  <x:c r="I383" i="35"/>
  <x:c r="J383" i="35"/>
  <x:c r="K383" i="35"/>
  <x:c r="L383" i="35"/>
  <x:c r="M383" i="35"/>
  <x:c r="N383" i="35"/>
  <x:c r="O383" i="35"/>
  <x:c r="S383" i="35"/>
  <x:c r="C384" i="35"/>
  <x:c r="D384" i="35"/>
  <x:c r="E384" i="35"/>
  <x:c r="F384" i="35"/>
  <x:c r="G384" i="35"/>
  <x:c r="H384" i="35"/>
  <x:c r="I384" i="35"/>
  <x:c r="J384" i="35"/>
  <x:c r="K384" i="35"/>
  <x:c r="L384" i="35"/>
  <x:c r="M384" i="35"/>
  <x:c r="N384" i="35"/>
  <x:c r="O384" i="35"/>
  <x:c r="C385" i="35"/>
  <x:c r="D385" i="35"/>
  <x:c r="E385" i="35"/>
  <x:c r="F385" i="35"/>
  <x:c r="G385" i="35"/>
  <x:c r="H385" i="35"/>
  <x:c r="I385" i="35"/>
  <x:c r="J385" i="35"/>
  <x:c r="K385" i="35"/>
  <x:c r="L385" i="35"/>
  <x:c r="M385" i="35"/>
  <x:c r="N385" i="35"/>
  <x:c r="O385" i="35"/>
  <x:c r="C386" i="35"/>
  <x:c r="D386" i="35"/>
  <x:c r="E386" i="35"/>
  <x:c r="F386" i="35"/>
  <x:c r="G386" i="35"/>
  <x:c r="H386" i="35"/>
  <x:c r="I386" i="35"/>
  <x:c r="J386" i="35"/>
  <x:c r="K386" i="35"/>
  <x:c r="L386" i="35"/>
  <x:c r="M386" i="35"/>
  <x:c r="N386" i="35"/>
  <x:c r="O386" i="35"/>
  <x:c r="C387" i="35"/>
  <x:c r="D387" i="35"/>
  <x:c r="E387" i="35"/>
  <x:c r="F387" i="35"/>
  <x:c r="G387" i="35"/>
  <x:c r="H387" i="35"/>
  <x:c r="I387" i="35"/>
  <x:c r="J387" i="35"/>
  <x:c r="K387" i="35"/>
  <x:c r="L387" i="35"/>
  <x:c r="M387" i="35"/>
  <x:c r="N387" i="35"/>
  <x:c r="O387" i="35"/>
  <x:c r="C388" i="35"/>
  <x:c r="D388" i="35"/>
  <x:c r="E388" i="35"/>
  <x:c r="F388" i="35"/>
  <x:c r="G388" i="35"/>
  <x:c r="H388" i="35"/>
  <x:c r="I388" i="35"/>
  <x:c r="J388" i="35"/>
  <x:c r="K388" i="35"/>
  <x:c r="L388" i="35"/>
  <x:c r="M388" i="35"/>
  <x:c r="N388" i="35"/>
  <x:c r="O388" i="35"/>
  <x:c r="C389" i="35"/>
  <x:c r="D389" i="35"/>
  <x:c r="E389" i="35"/>
  <x:c r="F389" i="35"/>
  <x:c r="G389" i="35"/>
  <x:c r="H389" i="35"/>
  <x:c r="I389" i="35"/>
  <x:c r="J389" i="35"/>
  <x:c r="K389" i="35"/>
  <x:c r="L389" i="35"/>
  <x:c r="M389" i="35"/>
  <x:c r="N389" i="35"/>
  <x:c r="O389" i="35"/>
  <x:c r="C390" i="35"/>
  <x:c r="D390" i="35"/>
  <x:c r="E390" i="35"/>
  <x:c r="F390" i="35"/>
  <x:c r="G390" i="35"/>
  <x:c r="H390" i="35"/>
  <x:c r="I390" i="35"/>
  <x:c r="J390" i="35"/>
  <x:c r="K390" i="35"/>
  <x:c r="L390" i="35"/>
  <x:c r="M390" i="35"/>
  <x:c r="N390" i="35"/>
  <x:c r="O390" i="35"/>
  <x:c r="C391" i="35"/>
  <x:c r="D391" i="35"/>
  <x:c r="E391" i="35"/>
  <x:c r="F391" i="35"/>
  <x:c r="G391" i="35"/>
  <x:c r="H391" i="35"/>
  <x:c r="I391" i="35"/>
  <x:c r="J391" i="35"/>
  <x:c r="K391" i="35"/>
  <x:c r="L391" i="35"/>
  <x:c r="M391" i="35"/>
  <x:c r="N391" i="35"/>
  <x:c r="O391" i="35"/>
  <x:c r="C392" i="35"/>
  <x:c r="D392" i="35"/>
  <x:c r="E392" i="35"/>
  <x:c r="F392" i="35"/>
  <x:c r="G392" i="35"/>
  <x:c r="H392" i="35"/>
  <x:c r="I392" i="35"/>
  <x:c r="J392" i="35"/>
  <x:c r="K392" i="35"/>
  <x:c r="L392" i="35"/>
  <x:c r="M392" i="35"/>
  <x:c r="N392" i="35"/>
  <x:c r="O392" i="35"/>
  <x:c r="C393" i="35"/>
  <x:c r="D393" i="35"/>
  <x:c r="E393" i="35"/>
  <x:c r="F393" i="35"/>
  <x:c r="G393" i="35"/>
  <x:c r="H393" i="35"/>
  <x:c r="I393" i="35"/>
  <x:c r="J393" i="35"/>
  <x:c r="K393" i="35"/>
  <x:c r="L393" i="35"/>
  <x:c r="M393" i="35"/>
  <x:c r="N393" i="35"/>
  <x:c r="O393" i="35"/>
  <x:c r="C394" i="35"/>
  <x:c r="D394" i="35"/>
  <x:c r="E394" i="35"/>
  <x:c r="F394" i="35"/>
  <x:c r="G394" i="35"/>
  <x:c r="H394" i="35"/>
  <x:c r="I394" i="35"/>
  <x:c r="J394" i="35"/>
  <x:c r="K394" i="35"/>
  <x:c r="L394" i="35"/>
  <x:c r="M394" i="35"/>
  <x:c r="N394" i="35"/>
  <x:c r="O394" i="35"/>
  <x:c r="C395" i="35"/>
  <x:c r="D395" i="35"/>
  <x:c r="E395" i="35"/>
  <x:c r="F395" i="35"/>
  <x:c r="G395" i="35"/>
  <x:c r="H395" i="35"/>
  <x:c r="I395" i="35"/>
  <x:c r="J395" i="35"/>
  <x:c r="K395" i="35"/>
  <x:c r="L395" i="35"/>
  <x:c r="M395" i="35"/>
  <x:c r="N395" i="35"/>
  <x:c r="O395" i="35"/>
  <x:c r="S395" i="35"/>
  <x:c r="C396" i="35"/>
  <x:c r="D396" i="35"/>
  <x:c r="E396" i="35"/>
  <x:c r="F396" i="35"/>
  <x:c r="G396" i="35"/>
  <x:c r="H396" i="35"/>
  <x:c r="I396" i="35"/>
  <x:c r="J396" i="35"/>
  <x:c r="K396" i="35"/>
  <x:c r="L396" i="35"/>
  <x:c r="M396" i="35"/>
  <x:c r="N396" i="35"/>
  <x:c r="O396" i="35"/>
  <x:c r="C397" i="35"/>
  <x:c r="D397" i="35"/>
  <x:c r="E397" i="35"/>
  <x:c r="F397" i="35"/>
  <x:c r="G397" i="35"/>
  <x:c r="H397" i="35"/>
  <x:c r="I397" i="35"/>
  <x:c r="J397" i="35"/>
  <x:c r="K397" i="35"/>
  <x:c r="L397" i="35"/>
  <x:c r="M397" i="35"/>
  <x:c r="N397" i="35"/>
  <x:c r="O397" i="35"/>
  <x:c r="C398" i="35"/>
  <x:c r="D398" i="35"/>
  <x:c r="E398" i="35"/>
  <x:c r="F398" i="35"/>
  <x:c r="G398" i="35"/>
  <x:c r="H398" i="35"/>
  <x:c r="I398" i="35"/>
  <x:c r="J398" i="35"/>
  <x:c r="K398" i="35"/>
  <x:c r="L398" i="35"/>
  <x:c r="M398" i="35"/>
  <x:c r="N398" i="35"/>
  <x:c r="O398" i="35"/>
  <x:c r="C399" i="35"/>
  <x:c r="D399" i="35"/>
  <x:c r="E399" i="35"/>
  <x:c r="F399" i="35"/>
  <x:c r="G399" i="35"/>
  <x:c r="H399" i="35"/>
  <x:c r="I399" i="35"/>
  <x:c r="J399" i="35"/>
  <x:c r="K399" i="35"/>
  <x:c r="L399" i="35"/>
  <x:c r="M399" i="35"/>
  <x:c r="N399" i="35"/>
  <x:c r="O399" i="35"/>
  <x:c r="C400" i="35"/>
  <x:c r="D400" i="35"/>
  <x:c r="E400" i="35"/>
  <x:c r="F400" i="35"/>
  <x:c r="G400" i="35"/>
  <x:c r="H400" i="35"/>
  <x:c r="I400" i="35"/>
  <x:c r="J400" i="35"/>
  <x:c r="K400" i="35"/>
  <x:c r="L400" i="35"/>
  <x:c r="M400" i="35"/>
  <x:c r="N400" i="35"/>
  <x:c r="O400" i="35"/>
  <x:c r="C401" i="35"/>
  <x:c r="D401" i="35"/>
  <x:c r="E401" i="35"/>
  <x:c r="F401" i="35"/>
  <x:c r="G401" i="35"/>
  <x:c r="H401" i="35"/>
  <x:c r="I401" i="35"/>
  <x:c r="J401" i="35"/>
  <x:c r="K401" i="35"/>
  <x:c r="L401" i="35"/>
  <x:c r="M401" i="35"/>
  <x:c r="N401" i="35"/>
  <x:c r="O401" i="35"/>
  <x:c r="C402" i="35"/>
  <x:c r="D402" i="35"/>
  <x:c r="E402" i="35"/>
  <x:c r="F402" i="35"/>
  <x:c r="G402" i="35"/>
  <x:c r="H402" i="35"/>
  <x:c r="I402" i="35"/>
  <x:c r="J402" i="35"/>
  <x:c r="K402" i="35"/>
  <x:c r="L402" i="35"/>
  <x:c r="M402" i="35"/>
  <x:c r="N402" i="35"/>
  <x:c r="O402" i="35"/>
  <x:c r="C403" i="35"/>
  <x:c r="D403" i="35"/>
  <x:c r="E403" i="35"/>
  <x:c r="F403" i="35"/>
  <x:c r="G403" i="35"/>
  <x:c r="H403" i="35"/>
  <x:c r="I403" i="35"/>
  <x:c r="J403" i="35"/>
  <x:c r="K403" i="35"/>
  <x:c r="L403" i="35"/>
  <x:c r="M403" i="35"/>
  <x:c r="N403" i="35"/>
  <x:c r="O403" i="35"/>
  <x:c r="C404" i="35"/>
  <x:c r="D404" i="35"/>
  <x:c r="E404" i="35"/>
  <x:c r="F404" i="35"/>
  <x:c r="G404" i="35"/>
  <x:c r="H404" i="35"/>
  <x:c r="I404" i="35"/>
  <x:c r="J404" i="35"/>
  <x:c r="K404" i="35"/>
  <x:c r="L404" i="35"/>
  <x:c r="M404" i="35"/>
  <x:c r="N404" i="35"/>
  <x:c r="O404" i="35"/>
  <x:c r="C405" i="35"/>
  <x:c r="D405" i="35"/>
  <x:c r="E405" i="35"/>
  <x:c r="F405" i="35"/>
  <x:c r="G405" i="35"/>
  <x:c r="H405" i="35"/>
  <x:c r="I405" i="35"/>
  <x:c r="J405" i="35"/>
  <x:c r="K405" i="35"/>
  <x:c r="L405" i="35"/>
  <x:c r="M405" i="35"/>
  <x:c r="N405" i="35"/>
  <x:c r="O405" i="35"/>
  <x:c r="C406" i="35"/>
  <x:c r="D406" i="35"/>
  <x:c r="E406" i="35"/>
  <x:c r="F406" i="35"/>
  <x:c r="G406" i="35"/>
  <x:c r="H406" i="35"/>
  <x:c r="I406" i="35"/>
  <x:c r="J406" i="35"/>
  <x:c r="K406" i="35"/>
  <x:c r="L406" i="35"/>
  <x:c r="M406" i="35"/>
  <x:c r="N406" i="35"/>
  <x:c r="O406" i="35"/>
  <x:c r="C407" i="35"/>
  <x:c r="D407" i="35"/>
  <x:c r="E407" i="35"/>
  <x:c r="F407" i="35"/>
  <x:c r="G407" i="35"/>
  <x:c r="H407" i="35"/>
  <x:c r="I407" i="35"/>
  <x:c r="J407" i="35"/>
  <x:c r="K407" i="35"/>
  <x:c r="L407" i="35"/>
  <x:c r="M407" i="35"/>
  <x:c r="N407" i="35"/>
  <x:c r="O407" i="35"/>
  <x:c r="C408" i="35"/>
  <x:c r="D408" i="35"/>
  <x:c r="E408" i="35"/>
  <x:c r="F408" i="35"/>
  <x:c r="G408" i="35"/>
  <x:c r="H408" i="35"/>
  <x:c r="I408" i="35"/>
  <x:c r="J408" i="35"/>
  <x:c r="K408" i="35"/>
  <x:c r="L408" i="35"/>
  <x:c r="M408" i="35"/>
  <x:c r="N408" i="35"/>
  <x:c r="O408" i="35"/>
  <x:c r="C409" i="35"/>
  <x:c r="D409" i="35"/>
  <x:c r="E409" i="35"/>
  <x:c r="F409" i="35"/>
  <x:c r="G409" i="35"/>
  <x:c r="H409" i="35"/>
  <x:c r="I409" i="35"/>
  <x:c r="J409" i="35"/>
  <x:c r="K409" i="35"/>
  <x:c r="L409" i="35"/>
  <x:c r="M409" i="35"/>
  <x:c r="N409" i="35"/>
  <x:c r="O409" i="35"/>
  <x:c r="C410" i="35"/>
  <x:c r="D410" i="35"/>
  <x:c r="E410" i="35"/>
  <x:c r="F410" i="35"/>
  <x:c r="G410" i="35"/>
  <x:c r="H410" i="35"/>
  <x:c r="I410" i="35"/>
  <x:c r="J410" i="35"/>
  <x:c r="K410" i="35"/>
  <x:c r="L410" i="35"/>
  <x:c r="M410" i="35"/>
  <x:c r="N410" i="35"/>
  <x:c r="O410" i="35"/>
  <x:c r="C411" i="35"/>
  <x:c r="D411" i="35"/>
  <x:c r="E411" i="35"/>
  <x:c r="F411" i="35"/>
  <x:c r="G411" i="35"/>
  <x:c r="H411" i="35"/>
  <x:c r="I411" i="35"/>
  <x:c r="J411" i="35"/>
  <x:c r="K411" i="35"/>
  <x:c r="L411" i="35"/>
  <x:c r="M411" i="35"/>
  <x:c r="N411" i="35"/>
  <x:c r="O411" i="35"/>
  <x:c r="C412" i="35"/>
  <x:c r="D412" i="35"/>
  <x:c r="E412" i="35"/>
  <x:c r="F412" i="35"/>
  <x:c r="G412" i="35"/>
  <x:c r="H412" i="35"/>
  <x:c r="I412" i="35"/>
  <x:c r="J412" i="35"/>
  <x:c r="K412" i="35"/>
  <x:c r="L412" i="35"/>
  <x:c r="M412" i="35"/>
  <x:c r="N412" i="35"/>
  <x:c r="O412" i="35"/>
  <x:c r="C413" i="35"/>
  <x:c r="D413" i="35"/>
  <x:c r="E413" i="35"/>
  <x:c r="F413" i="35"/>
  <x:c r="G413" i="35"/>
  <x:c r="H413" i="35"/>
  <x:c r="I413" i="35"/>
  <x:c r="J413" i="35"/>
  <x:c r="K413" i="35"/>
  <x:c r="L413" i="35"/>
  <x:c r="M413" i="35"/>
  <x:c r="N413" i="35"/>
  <x:c r="O413" i="35"/>
  <x:c r="C414" i="35"/>
  <x:c r="D414" i="35"/>
  <x:c r="E414" i="35"/>
  <x:c r="F414" i="35"/>
  <x:c r="G414" i="35"/>
  <x:c r="H414" i="35"/>
  <x:c r="I414" i="35"/>
  <x:c r="J414" i="35"/>
  <x:c r="K414" i="35"/>
  <x:c r="L414" i="35"/>
  <x:c r="M414" i="35"/>
  <x:c r="N414" i="35"/>
  <x:c r="O414" i="35"/>
  <x:c r="C415" i="35"/>
  <x:c r="D415" i="35"/>
  <x:c r="E415" i="35"/>
  <x:c r="F415" i="35"/>
  <x:c r="G415" i="35"/>
  <x:c r="H415" i="35"/>
  <x:c r="I415" i="35"/>
  <x:c r="J415" i="35"/>
  <x:c r="K415" i="35"/>
  <x:c r="L415" i="35"/>
  <x:c r="M415" i="35"/>
  <x:c r="N415" i="35"/>
  <x:c r="O415" i="35"/>
  <x:c r="C416" i="35"/>
  <x:c r="D416" i="35"/>
  <x:c r="E416" i="35"/>
  <x:c r="F416" i="35"/>
  <x:c r="G416" i="35"/>
  <x:c r="H416" i="35"/>
  <x:c r="I416" i="35"/>
  <x:c r="J416" i="35"/>
  <x:c r="K416" i="35"/>
  <x:c r="L416" i="35"/>
  <x:c r="M416" i="35"/>
  <x:c r="N416" i="35"/>
  <x:c r="O416" i="35"/>
  <x:c r="S416" i="35"/>
  <x:c r="C417" i="35"/>
  <x:c r="D417" i="35"/>
  <x:c r="E417" i="35"/>
  <x:c r="F417" i="35"/>
  <x:c r="G417" i="35"/>
  <x:c r="H417" i="35"/>
  <x:c r="I417" i="35"/>
  <x:c r="J417" i="35"/>
  <x:c r="K417" i="35"/>
  <x:c r="L417" i="35"/>
  <x:c r="M417" i="35"/>
  <x:c r="N417" i="35"/>
  <x:c r="O417" i="35"/>
  <x:c r="C418" i="35"/>
  <x:c r="D418" i="35"/>
  <x:c r="E418" i="35"/>
  <x:c r="F418" i="35"/>
  <x:c r="G418" i="35"/>
  <x:c r="H418" i="35"/>
  <x:c r="I418" i="35"/>
  <x:c r="J418" i="35"/>
  <x:c r="K418" i="35"/>
  <x:c r="L418" i="35"/>
  <x:c r="M418" i="35"/>
  <x:c r="N418" i="35"/>
  <x:c r="O418" i="35"/>
  <x:c r="C419" i="35"/>
  <x:c r="D419" i="35"/>
  <x:c r="E419" i="35"/>
  <x:c r="F419" i="35"/>
  <x:c r="G419" i="35"/>
  <x:c r="H419" i="35"/>
  <x:c r="I419" i="35"/>
  <x:c r="J419" i="35"/>
  <x:c r="K419" i="35"/>
  <x:c r="L419" i="35"/>
  <x:c r="M419" i="35"/>
  <x:c r="N419" i="35"/>
  <x:c r="O419" i="35"/>
  <x:c r="C420" i="35"/>
  <x:c r="D420" i="35"/>
  <x:c r="E420" i="35"/>
  <x:c r="F420" i="35"/>
  <x:c r="G420" i="35"/>
  <x:c r="H420" i="35"/>
  <x:c r="I420" i="35"/>
  <x:c r="J420" i="35"/>
  <x:c r="K420" i="35"/>
  <x:c r="L420" i="35"/>
  <x:c r="M420" i="35"/>
  <x:c r="N420" i="35"/>
  <x:c r="O420" i="35"/>
  <x:c r="C421" i="35"/>
  <x:c r="D421" i="35"/>
  <x:c r="E421" i="35"/>
  <x:c r="F421" i="35"/>
  <x:c r="G421" i="35"/>
  <x:c r="H421" i="35"/>
  <x:c r="I421" i="35"/>
  <x:c r="J421" i="35"/>
  <x:c r="K421" i="35"/>
  <x:c r="L421" i="35"/>
  <x:c r="M421" i="35"/>
  <x:c r="N421" i="35"/>
  <x:c r="O421" i="35"/>
  <x:c r="C422" i="35"/>
  <x:c r="D422" i="35"/>
  <x:c r="E422" i="35"/>
  <x:c r="F422" i="35"/>
  <x:c r="G422" i="35"/>
  <x:c r="H422" i="35"/>
  <x:c r="I422" i="35"/>
  <x:c r="J422" i="35"/>
  <x:c r="K422" i="35"/>
  <x:c r="L422" i="35"/>
  <x:c r="M422" i="35"/>
  <x:c r="N422" i="35"/>
  <x:c r="O422" i="35"/>
  <x:c r="C423" i="35"/>
  <x:c r="D423" i="35"/>
  <x:c r="E423" i="35"/>
  <x:c r="F423" i="35"/>
  <x:c r="G423" i="35"/>
  <x:c r="H423" i="35"/>
  <x:c r="I423" i="35"/>
  <x:c r="J423" i="35"/>
  <x:c r="K423" i="35"/>
  <x:c r="L423" i="35"/>
  <x:c r="M423" i="35"/>
  <x:c r="N423" i="35"/>
  <x:c r="O423" i="35"/>
  <x:c r="C424" i="35"/>
  <x:c r="D424" i="35"/>
  <x:c r="E424" i="35"/>
  <x:c r="F424" i="35"/>
  <x:c r="G424" i="35"/>
  <x:c r="H424" i="35"/>
  <x:c r="I424" i="35"/>
  <x:c r="J424" i="35"/>
  <x:c r="K424" i="35"/>
  <x:c r="L424" i="35"/>
  <x:c r="M424" i="35"/>
  <x:c r="N424" i="35"/>
  <x:c r="O424" i="35"/>
  <x:c r="C425" i="35"/>
  <x:c r="D425" i="35"/>
  <x:c r="E425" i="35"/>
  <x:c r="F425" i="35"/>
  <x:c r="G425" i="35"/>
  <x:c r="H425" i="35"/>
  <x:c r="I425" i="35"/>
  <x:c r="J425" i="35"/>
  <x:c r="K425" i="35"/>
  <x:c r="L425" i="35"/>
  <x:c r="M425" i="35"/>
  <x:c r="N425" i="35"/>
  <x:c r="O425" i="35"/>
  <x:c r="C426" i="35"/>
  <x:c r="D426" i="35"/>
  <x:c r="E426" i="35"/>
  <x:c r="F426" i="35"/>
  <x:c r="G426" i="35"/>
  <x:c r="H426" i="35"/>
  <x:c r="I426" i="35"/>
  <x:c r="J426" i="35"/>
  <x:c r="K426" i="35"/>
  <x:c r="L426" i="35"/>
  <x:c r="M426" i="35"/>
  <x:c r="N426" i="35"/>
  <x:c r="O426" i="35"/>
  <x:c r="C427" i="35"/>
  <x:c r="D427" i="35"/>
  <x:c r="E427" i="35"/>
  <x:c r="F427" i="35"/>
  <x:c r="G427" i="35"/>
  <x:c r="H427" i="35"/>
  <x:c r="I427" i="35"/>
  <x:c r="J427" i="35"/>
  <x:c r="K427" i="35"/>
  <x:c r="L427" i="35"/>
  <x:c r="M427" i="35"/>
  <x:c r="N427" i="35"/>
  <x:c r="O427" i="35"/>
  <x:c r="C428" i="35"/>
  <x:c r="D428" i="35"/>
  <x:c r="E428" i="35"/>
  <x:c r="F428" i="35"/>
  <x:c r="G428" i="35"/>
  <x:c r="H428" i="35"/>
  <x:c r="I428" i="35"/>
  <x:c r="J428" i="35"/>
  <x:c r="K428" i="35"/>
  <x:c r="L428" i="35"/>
  <x:c r="M428" i="35"/>
  <x:c r="N428" i="35"/>
  <x:c r="O428" i="35"/>
  <x:c r="C429" i="35"/>
  <x:c r="D429" i="35"/>
  <x:c r="E429" i="35"/>
  <x:c r="F429" i="35"/>
  <x:c r="G429" i="35"/>
  <x:c r="H429" i="35"/>
  <x:c r="I429" i="35"/>
  <x:c r="J429" i="35"/>
  <x:c r="K429" i="35"/>
  <x:c r="L429" i="35"/>
  <x:c r="M429" i="35"/>
  <x:c r="N429" i="35"/>
  <x:c r="O429" i="35"/>
  <x:c r="C430" i="35"/>
  <x:c r="D430" i="35"/>
  <x:c r="E430" i="35"/>
  <x:c r="F430" i="35"/>
  <x:c r="G430" i="35"/>
  <x:c r="H430" i="35"/>
  <x:c r="I430" i="35"/>
  <x:c r="J430" i="35"/>
  <x:c r="K430" i="35"/>
  <x:c r="L430" i="35"/>
  <x:c r="M430" i="35"/>
  <x:c r="N430" i="35"/>
  <x:c r="O430" i="35"/>
  <x:c r="C431" i="35"/>
  <x:c r="D431" i="35"/>
  <x:c r="E431" i="35"/>
  <x:c r="F431" i="35"/>
  <x:c r="G431" i="35"/>
  <x:c r="H431" i="35"/>
  <x:c r="I431" i="35"/>
  <x:c r="J431" i="35"/>
  <x:c r="K431" i="35"/>
  <x:c r="L431" i="35"/>
  <x:c r="M431" i="35"/>
  <x:c r="N431" i="35"/>
  <x:c r="O431" i="35"/>
  <x:c r="C432" i="35"/>
  <x:c r="D432" i="35"/>
  <x:c r="E432" i="35"/>
  <x:c r="F432" i="35"/>
  <x:c r="G432" i="35"/>
  <x:c r="H432" i="35"/>
  <x:c r="I432" i="35"/>
  <x:c r="J432" i="35"/>
  <x:c r="K432" i="35"/>
  <x:c r="L432" i="35"/>
  <x:c r="M432" i="35"/>
  <x:c r="N432" i="35"/>
  <x:c r="O432" i="35"/>
  <x:c r="C433" i="35"/>
  <x:c r="D433" i="35"/>
  <x:c r="E433" i="35"/>
  <x:c r="F433" i="35"/>
  <x:c r="G433" i="35"/>
  <x:c r="H433" i="35"/>
  <x:c r="I433" i="35"/>
  <x:c r="J433" i="35"/>
  <x:c r="K433" i="35"/>
  <x:c r="L433" i="35"/>
  <x:c r="M433" i="35"/>
  <x:c r="N433" i="35"/>
  <x:c r="O433" i="35"/>
  <x:c r="C434" i="35"/>
  <x:c r="D434" i="35"/>
  <x:c r="E434" i="35"/>
  <x:c r="F434" i="35"/>
  <x:c r="G434" i="35"/>
  <x:c r="H434" i="35"/>
  <x:c r="I434" i="35"/>
  <x:c r="J434" i="35"/>
  <x:c r="K434" i="35"/>
  <x:c r="L434" i="35"/>
  <x:c r="M434" i="35"/>
  <x:c r="N434" i="35"/>
  <x:c r="O434" i="35"/>
  <x:c r="C435" i="35"/>
  <x:c r="D435" i="35"/>
  <x:c r="E435" i="35"/>
  <x:c r="F435" i="35"/>
  <x:c r="G435" i="35"/>
  <x:c r="H435" i="35"/>
  <x:c r="I435" i="35"/>
  <x:c r="J435" i="35"/>
  <x:c r="K435" i="35"/>
  <x:c r="L435" i="35"/>
  <x:c r="M435" i="35"/>
  <x:c r="N435" i="35"/>
  <x:c r="O435" i="35"/>
  <x:c r="C436" i="35"/>
  <x:c r="D436" i="35"/>
  <x:c r="E436" i="35"/>
  <x:c r="F436" i="35"/>
  <x:c r="G436" i="35"/>
  <x:c r="H436" i="35"/>
  <x:c r="I436" i="35"/>
  <x:c r="J436" i="35"/>
  <x:c r="K436" i="35"/>
  <x:c r="L436" i="35"/>
  <x:c r="M436" i="35"/>
  <x:c r="N436" i="35"/>
  <x:c r="O436" i="35"/>
  <x:c r="C437" i="35"/>
  <x:c r="D437" i="35"/>
  <x:c r="E437" i="35"/>
  <x:c r="F437" i="35"/>
  <x:c r="G437" i="35"/>
  <x:c r="H437" i="35"/>
  <x:c r="I437" i="35"/>
  <x:c r="J437" i="35"/>
  <x:c r="K437" i="35"/>
  <x:c r="L437" i="35"/>
  <x:c r="M437" i="35"/>
  <x:c r="N437" i="35"/>
  <x:c r="O437" i="35"/>
  <x:c r="C438" i="35"/>
  <x:c r="D438" i="35"/>
  <x:c r="E438" i="35"/>
  <x:c r="F438" i="35"/>
  <x:c r="G438" i="35"/>
  <x:c r="H438" i="35"/>
  <x:c r="I438" i="35"/>
  <x:c r="J438" i="35"/>
  <x:c r="K438" i="35"/>
  <x:c r="L438" i="35"/>
  <x:c r="M438" i="35"/>
  <x:c r="N438" i="35"/>
  <x:c r="O438" i="35"/>
  <x:c r="C439" i="35"/>
  <x:c r="D439" i="35"/>
  <x:c r="E439" i="35"/>
  <x:c r="F439" i="35"/>
  <x:c r="G439" i="35"/>
  <x:c r="H439" i="35"/>
  <x:c r="I439" i="35"/>
  <x:c r="J439" i="35"/>
  <x:c r="K439" i="35"/>
  <x:c r="L439" i="35"/>
  <x:c r="M439" i="35"/>
  <x:c r="N439" i="35"/>
  <x:c r="O439" i="35"/>
  <x:c r="C440" i="35"/>
  <x:c r="D440" i="35"/>
  <x:c r="E440" i="35"/>
  <x:c r="F440" i="35"/>
  <x:c r="G440" i="35"/>
  <x:c r="H440" i="35"/>
  <x:c r="I440" i="35"/>
  <x:c r="J440" i="35"/>
  <x:c r="K440" i="35"/>
  <x:c r="L440" i="35"/>
  <x:c r="M440" i="35"/>
  <x:c r="N440" i="35"/>
  <x:c r="O440" i="35"/>
  <x:c r="C441" i="35"/>
  <x:c r="D441" i="35"/>
  <x:c r="E441" i="35"/>
  <x:c r="F441" i="35"/>
  <x:c r="G441" i="35"/>
  <x:c r="H441" i="35"/>
  <x:c r="I441" i="35"/>
  <x:c r="J441" i="35"/>
  <x:c r="K441" i="35"/>
  <x:c r="L441" i="35"/>
  <x:c r="M441" i="35"/>
  <x:c r="N441" i="35"/>
  <x:c r="O441" i="35"/>
  <x:c r="C442" i="35"/>
  <x:c r="D442" i="35"/>
  <x:c r="E442" i="35"/>
  <x:c r="F442" i="35"/>
  <x:c r="G442" i="35"/>
  <x:c r="H442" i="35"/>
  <x:c r="I442" i="35"/>
  <x:c r="J442" i="35"/>
  <x:c r="K442" i="35"/>
  <x:c r="L442" i="35"/>
  <x:c r="M442" i="35"/>
  <x:c r="N442" i="35"/>
  <x:c r="O442" i="35"/>
  <x:c r="C443" i="35"/>
  <x:c r="D443" i="35"/>
  <x:c r="E443" i="35"/>
  <x:c r="F443" i="35"/>
  <x:c r="G443" i="35"/>
  <x:c r="H443" i="35"/>
  <x:c r="I443" i="35"/>
  <x:c r="J443" i="35"/>
  <x:c r="K443" i="35"/>
  <x:c r="L443" i="35"/>
  <x:c r="M443" i="35"/>
  <x:c r="N443" i="35"/>
  <x:c r="O443" i="35"/>
  <x:c r="C444" i="35"/>
  <x:c r="D444" i="35"/>
  <x:c r="E444" i="35"/>
  <x:c r="F444" i="35"/>
  <x:c r="G444" i="35"/>
  <x:c r="H444" i="35"/>
  <x:c r="I444" i="35"/>
  <x:c r="J444" i="35"/>
  <x:c r="K444" i="35"/>
  <x:c r="L444" i="35"/>
  <x:c r="M444" i="35"/>
  <x:c r="N444" i="35"/>
  <x:c r="O444" i="35"/>
  <x:c r="C445" i="35"/>
  <x:c r="D445" i="35"/>
  <x:c r="E445" i="35"/>
  <x:c r="F445" i="35"/>
  <x:c r="G445" i="35"/>
  <x:c r="H445" i="35"/>
  <x:c r="I445" i="35"/>
  <x:c r="J445" i="35"/>
  <x:c r="K445" i="35"/>
  <x:c r="L445" i="35"/>
  <x:c r="M445" i="35"/>
  <x:c r="N445" i="35"/>
  <x:c r="O445" i="35"/>
  <x:c r="C446" i="35"/>
  <x:c r="D446" i="35"/>
  <x:c r="E446" i="35"/>
  <x:c r="F446" i="35"/>
  <x:c r="G446" i="35"/>
  <x:c r="H446" i="35"/>
  <x:c r="I446" i="35"/>
  <x:c r="J446" i="35"/>
  <x:c r="K446" i="35"/>
  <x:c r="L446" i="35"/>
  <x:c r="M446" i="35"/>
  <x:c r="N446" i="35"/>
  <x:c r="O446" i="35"/>
  <x:c r="C447" i="35"/>
  <x:c r="D447" i="35"/>
  <x:c r="E447" i="35"/>
  <x:c r="F447" i="35"/>
  <x:c r="G447" i="35"/>
  <x:c r="H447" i="35"/>
  <x:c r="I447" i="35"/>
  <x:c r="J447" i="35"/>
  <x:c r="K447" i="35"/>
  <x:c r="L447" i="35"/>
  <x:c r="M447" i="35"/>
  <x:c r="N447" i="35"/>
  <x:c r="O447" i="35"/>
  <x:c r="C448" i="35"/>
  <x:c r="D448" i="35"/>
  <x:c r="E448" i="35"/>
  <x:c r="F448" i="35"/>
  <x:c r="G448" i="35"/>
  <x:c r="H448" i="35"/>
  <x:c r="I448" i="35"/>
  <x:c r="J448" i="35"/>
  <x:c r="K448" i="35"/>
  <x:c r="L448" i="35"/>
  <x:c r="M448" i="35"/>
  <x:c r="N448" i="35"/>
  <x:c r="O448" i="35"/>
  <x:c r="C449" i="35"/>
  <x:c r="D449" i="35"/>
  <x:c r="E449" i="35"/>
  <x:c r="F449" i="35"/>
  <x:c r="G449" i="35"/>
  <x:c r="H449" i="35"/>
  <x:c r="I449" i="35"/>
  <x:c r="J449" i="35"/>
  <x:c r="K449" i="35"/>
  <x:c r="L449" i="35"/>
  <x:c r="M449" i="35"/>
  <x:c r="N449" i="35"/>
  <x:c r="O449" i="35"/>
  <x:c r="C450" i="35"/>
  <x:c r="D450" i="35"/>
  <x:c r="E450" i="35"/>
  <x:c r="F450" i="35"/>
  <x:c r="G450" i="35"/>
  <x:c r="H450" i="35"/>
  <x:c r="I450" i="35"/>
  <x:c r="J450" i="35"/>
  <x:c r="K450" i="35"/>
  <x:c r="L450" i="35"/>
  <x:c r="M450" i="35"/>
  <x:c r="N450" i="35"/>
  <x:c r="O450" i="35"/>
  <x:c r="C451" i="35"/>
  <x:c r="D451" i="35"/>
  <x:c r="E451" i="35"/>
  <x:c r="F451" i="35"/>
  <x:c r="G451" i="35"/>
  <x:c r="H451" i="35"/>
  <x:c r="I451" i="35"/>
  <x:c r="J451" i="35"/>
  <x:c r="K451" i="35"/>
  <x:c r="L451" i="35"/>
  <x:c r="M451" i="35"/>
  <x:c r="N451" i="35"/>
  <x:c r="O451" i="35"/>
  <x:c r="C452" i="35"/>
  <x:c r="D452" i="35"/>
  <x:c r="E452" i="35"/>
  <x:c r="F452" i="35"/>
  <x:c r="G452" i="35"/>
  <x:c r="H452" i="35"/>
  <x:c r="I452" i="35"/>
  <x:c r="J452" i="35"/>
  <x:c r="K452" i="35"/>
  <x:c r="L452" i="35"/>
  <x:c r="M452" i="35"/>
  <x:c r="N452" i="35"/>
  <x:c r="O452" i="35"/>
  <x:c r="C453" i="35"/>
  <x:c r="D453" i="35"/>
  <x:c r="E453" i="35"/>
  <x:c r="F453" i="35"/>
  <x:c r="G453" i="35"/>
  <x:c r="H453" i="35"/>
  <x:c r="I453" i="35"/>
  <x:c r="J453" i="35"/>
  <x:c r="K453" i="35"/>
  <x:c r="L453" i="35"/>
  <x:c r="M453" i="35"/>
  <x:c r="N453" i="35"/>
  <x:c r="O453" i="35"/>
  <x:c r="C454" i="35"/>
  <x:c r="D454" i="35"/>
  <x:c r="E454" i="35"/>
  <x:c r="F454" i="35"/>
  <x:c r="G454" i="35"/>
  <x:c r="H454" i="35"/>
  <x:c r="I454" i="35"/>
  <x:c r="J454" i="35"/>
  <x:c r="K454" i="35"/>
  <x:c r="L454" i="35"/>
  <x:c r="M454" i="35"/>
  <x:c r="N454" i="35"/>
  <x:c r="O454" i="35"/>
  <x:c r="C455" i="35"/>
  <x:c r="D455" i="35"/>
  <x:c r="E455" i="35"/>
  <x:c r="F455" i="35"/>
  <x:c r="G455" i="35"/>
  <x:c r="H455" i="35"/>
  <x:c r="I455" i="35"/>
  <x:c r="J455" i="35"/>
  <x:c r="K455" i="35"/>
  <x:c r="L455" i="35"/>
  <x:c r="M455" i="35"/>
  <x:c r="N455" i="35"/>
  <x:c r="O455" i="35"/>
  <x:c r="C456" i="35"/>
  <x:c r="D456" i="35"/>
  <x:c r="E456" i="35"/>
  <x:c r="F456" i="35"/>
  <x:c r="G456" i="35"/>
  <x:c r="H456" i="35"/>
  <x:c r="I456" i="35"/>
  <x:c r="J456" i="35"/>
  <x:c r="K456" i="35"/>
  <x:c r="L456" i="35"/>
  <x:c r="M456" i="35"/>
  <x:c r="N456" i="35"/>
  <x:c r="O456" i="35"/>
  <x:c r="C457" i="35"/>
  <x:c r="D457" i="35"/>
  <x:c r="E457" i="35"/>
  <x:c r="F457" i="35"/>
  <x:c r="G457" i="35"/>
  <x:c r="H457" i="35"/>
  <x:c r="I457" i="35"/>
  <x:c r="J457" i="35"/>
  <x:c r="K457" i="35"/>
  <x:c r="L457" i="35"/>
  <x:c r="M457" i="35"/>
  <x:c r="N457" i="35"/>
  <x:c r="O457" i="35"/>
  <x:c r="C458" i="35"/>
  <x:c r="D458" i="35"/>
  <x:c r="E458" i="35"/>
  <x:c r="F458" i="35"/>
  <x:c r="G458" i="35"/>
  <x:c r="H458" i="35"/>
  <x:c r="I458" i="35"/>
  <x:c r="J458" i="35"/>
  <x:c r="K458" i="35"/>
  <x:c r="L458" i="35"/>
  <x:c r="M458" i="35"/>
  <x:c r="N458" i="35"/>
  <x:c r="O458" i="35"/>
  <x:c r="C459" i="35"/>
  <x:c r="D459" i="35"/>
  <x:c r="E459" i="35"/>
  <x:c r="F459" i="35"/>
  <x:c r="G459" i="35"/>
  <x:c r="H459" i="35"/>
  <x:c r="I459" i="35"/>
  <x:c r="J459" i="35"/>
  <x:c r="K459" i="35"/>
  <x:c r="L459" i="35"/>
  <x:c r="M459" i="35"/>
  <x:c r="N459" i="35"/>
  <x:c r="O459" i="35"/>
  <x:c r="C460" i="35"/>
  <x:c r="D460" i="35"/>
  <x:c r="E460" i="35"/>
  <x:c r="F460" i="35"/>
  <x:c r="G460" i="35"/>
  <x:c r="H460" i="35"/>
  <x:c r="I460" i="35"/>
  <x:c r="J460" i="35"/>
  <x:c r="K460" i="35"/>
  <x:c r="L460" i="35"/>
  <x:c r="M460" i="35"/>
  <x:c r="N460" i="35"/>
  <x:c r="O460" i="35"/>
  <x:c r="C461" i="35"/>
  <x:c r="D461" i="35"/>
  <x:c r="E461" i="35"/>
  <x:c r="F461" i="35"/>
  <x:c r="G461" i="35"/>
  <x:c r="H461" i="35"/>
  <x:c r="I461" i="35"/>
  <x:c r="J461" i="35"/>
  <x:c r="K461" i="35"/>
  <x:c r="L461" i="35"/>
  <x:c r="M461" i="35"/>
  <x:c r="N461" i="35"/>
  <x:c r="O461" i="35"/>
  <x:c r="C462" i="35"/>
  <x:c r="D462" i="35"/>
  <x:c r="E462" i="35"/>
  <x:c r="F462" i="35"/>
  <x:c r="G462" i="35"/>
  <x:c r="H462" i="35"/>
  <x:c r="I462" i="35"/>
  <x:c r="J462" i="35"/>
  <x:c r="K462" i="35"/>
  <x:c r="L462" i="35"/>
  <x:c r="M462" i="35"/>
  <x:c r="N462" i="35"/>
  <x:c r="O462" i="35"/>
  <x:c r="C463" i="35"/>
  <x:c r="D463" i="35"/>
  <x:c r="E463" i="35"/>
  <x:c r="F463" i="35"/>
  <x:c r="G463" i="35"/>
  <x:c r="H463" i="35"/>
  <x:c r="I463" i="35"/>
  <x:c r="J463" i="35"/>
  <x:c r="K463" i="35"/>
  <x:c r="L463" i="35"/>
  <x:c r="M463" i="35"/>
  <x:c r="N463" i="35"/>
  <x:c r="O463" i="35"/>
  <x:c r="C464" i="35"/>
  <x:c r="D464" i="35"/>
  <x:c r="E464" i="35"/>
  <x:c r="F464" i="35"/>
  <x:c r="G464" i="35"/>
  <x:c r="H464" i="35"/>
  <x:c r="I464" i="35"/>
  <x:c r="J464" i="35"/>
  <x:c r="K464" i="35"/>
  <x:c r="L464" i="35"/>
  <x:c r="M464" i="35"/>
  <x:c r="N464" i="35"/>
  <x:c r="O464" i="35"/>
  <x:c r="C465" i="35"/>
  <x:c r="D465" i="35"/>
  <x:c r="E465" i="35"/>
  <x:c r="F465" i="35"/>
  <x:c r="G465" i="35"/>
  <x:c r="H465" i="35"/>
  <x:c r="I465" i="35"/>
  <x:c r="J465" i="35"/>
  <x:c r="K465" i="35"/>
  <x:c r="L465" i="35"/>
  <x:c r="M465" i="35"/>
  <x:c r="N465" i="35"/>
  <x:c r="O465" i="35"/>
  <x:c r="C466" i="35"/>
  <x:c r="D466" i="35"/>
  <x:c r="E466" i="35"/>
  <x:c r="F466" i="35"/>
  <x:c r="G466" i="35"/>
  <x:c r="H466" i="35"/>
  <x:c r="I466" i="35"/>
  <x:c r="J466" i="35"/>
  <x:c r="K466" i="35"/>
  <x:c r="L466" i="35"/>
  <x:c r="M466" i="35"/>
  <x:c r="N466" i="35"/>
  <x:c r="O466" i="35"/>
  <x:c r="C467" i="35"/>
  <x:c r="D467" i="35"/>
  <x:c r="E467" i="35"/>
  <x:c r="F467" i="35"/>
  <x:c r="G467" i="35"/>
  <x:c r="H467" i="35"/>
  <x:c r="I467" i="35"/>
  <x:c r="J467" i="35"/>
  <x:c r="K467" i="35"/>
  <x:c r="L467" i="35"/>
  <x:c r="M467" i="35"/>
  <x:c r="N467" i="35"/>
  <x:c r="O467" i="35"/>
  <x:c r="C468" i="35"/>
  <x:c r="D468" i="35"/>
  <x:c r="E468" i="35"/>
  <x:c r="F468" i="35"/>
  <x:c r="G468" i="35"/>
  <x:c r="H468" i="35"/>
  <x:c r="I468" i="35"/>
  <x:c r="J468" i="35"/>
  <x:c r="K468" i="35"/>
  <x:c r="L468" i="35"/>
  <x:c r="M468" i="35"/>
  <x:c r="N468" i="35"/>
  <x:c r="O468" i="35"/>
  <x:c r="C469" i="35"/>
  <x:c r="D469" i="35"/>
  <x:c r="E469" i="35"/>
  <x:c r="F469" i="35"/>
  <x:c r="G469" i="35"/>
  <x:c r="H469" i="35"/>
  <x:c r="I469" i="35"/>
  <x:c r="J469" i="35"/>
  <x:c r="K469" i="35"/>
  <x:c r="L469" i="35"/>
  <x:c r="M469" i="35"/>
  <x:c r="N469" i="35"/>
  <x:c r="O469" i="35"/>
  <x:c r="C470" i="35"/>
  <x:c r="D470" i="35"/>
  <x:c r="E470" i="35"/>
  <x:c r="F470" i="35"/>
  <x:c r="G470" i="35"/>
  <x:c r="H470" i="35"/>
  <x:c r="I470" i="35"/>
  <x:c r="J470" i="35"/>
  <x:c r="K470" i="35"/>
  <x:c r="L470" i="35"/>
  <x:c r="M470" i="35"/>
  <x:c r="N470" i="35"/>
  <x:c r="O470" i="35"/>
  <x:c r="C471" i="35"/>
  <x:c r="D471" i="35"/>
  <x:c r="E471" i="35"/>
  <x:c r="F471" i="35"/>
  <x:c r="G471" i="35"/>
  <x:c r="H471" i="35"/>
  <x:c r="I471" i="35"/>
  <x:c r="J471" i="35"/>
  <x:c r="K471" i="35"/>
  <x:c r="L471" i="35"/>
  <x:c r="M471" i="35"/>
  <x:c r="N471" i="35"/>
  <x:c r="O471" i="35"/>
  <x:c r="C472" i="35"/>
  <x:c r="D472" i="35"/>
  <x:c r="E472" i="35"/>
  <x:c r="F472" i="35"/>
  <x:c r="G472" i="35"/>
  <x:c r="H472" i="35"/>
  <x:c r="I472" i="35"/>
  <x:c r="J472" i="35"/>
  <x:c r="K472" i="35"/>
  <x:c r="L472" i="35"/>
  <x:c r="M472" i="35"/>
  <x:c r="N472" i="35"/>
  <x:c r="O472" i="35"/>
  <x:c r="C473" i="35"/>
  <x:c r="D473" i="35"/>
  <x:c r="E473" i="35"/>
  <x:c r="F473" i="35"/>
  <x:c r="G473" i="35"/>
  <x:c r="H473" i="35"/>
  <x:c r="I473" i="35"/>
  <x:c r="J473" i="35"/>
  <x:c r="K473" i="35"/>
  <x:c r="L473" i="35"/>
  <x:c r="M473" i="35"/>
  <x:c r="N473" i="35"/>
  <x:c r="O473" i="35"/>
  <x:c r="C474" i="35"/>
  <x:c r="D474" i="35"/>
  <x:c r="E474" i="35"/>
  <x:c r="F474" i="35"/>
  <x:c r="G474" i="35"/>
  <x:c r="H474" i="35"/>
  <x:c r="I474" i="35"/>
  <x:c r="J474" i="35"/>
  <x:c r="K474" i="35"/>
  <x:c r="L474" i="35"/>
  <x:c r="M474" i="35"/>
  <x:c r="N474" i="35"/>
  <x:c r="O474" i="35"/>
  <x:c r="C475" i="35"/>
  <x:c r="D475" i="35"/>
  <x:c r="E475" i="35"/>
  <x:c r="F475" i="35"/>
  <x:c r="G475" i="35"/>
  <x:c r="H475" i="35"/>
  <x:c r="I475" i="35"/>
  <x:c r="J475" i="35"/>
  <x:c r="K475" i="35"/>
  <x:c r="L475" i="35"/>
  <x:c r="M475" i="35"/>
  <x:c r="N475" i="35"/>
  <x:c r="O475" i="35"/>
  <x:c r="C476" i="35"/>
  <x:c r="D476" i="35"/>
  <x:c r="E476" i="35"/>
  <x:c r="F476" i="35"/>
  <x:c r="G476" i="35"/>
  <x:c r="H476" i="35"/>
  <x:c r="I476" i="35"/>
  <x:c r="J476" i="35"/>
  <x:c r="K476" i="35"/>
  <x:c r="L476" i="35"/>
  <x:c r="M476" i="35"/>
  <x:c r="N476" i="35"/>
  <x:c r="O476" i="35"/>
  <x:c r="C477" i="35"/>
  <x:c r="D477" i="35"/>
  <x:c r="E477" i="35"/>
  <x:c r="F477" i="35"/>
  <x:c r="G477" i="35"/>
  <x:c r="H477" i="35"/>
  <x:c r="I477" i="35"/>
  <x:c r="J477" i="35"/>
  <x:c r="K477" i="35"/>
  <x:c r="L477" i="35"/>
  <x:c r="M477" i="35"/>
  <x:c r="N477" i="35"/>
  <x:c r="O477" i="35"/>
  <x:c r="C478" i="35"/>
  <x:c r="D478" i="35"/>
  <x:c r="E478" i="35"/>
  <x:c r="F478" i="35"/>
  <x:c r="G478" i="35"/>
  <x:c r="H478" i="35"/>
  <x:c r="I478" i="35"/>
  <x:c r="J478" i="35"/>
  <x:c r="K478" i="35"/>
  <x:c r="L478" i="35"/>
  <x:c r="M478" i="35"/>
  <x:c r="N478" i="35"/>
  <x:c r="O478" i="35"/>
  <x:c r="C479" i="35"/>
  <x:c r="D479" i="35"/>
  <x:c r="E479" i="35"/>
  <x:c r="F479" i="35"/>
  <x:c r="G479" i="35"/>
  <x:c r="H479" i="35"/>
  <x:c r="I479" i="35"/>
  <x:c r="J479" i="35"/>
  <x:c r="K479" i="35"/>
  <x:c r="L479" i="35"/>
  <x:c r="M479" i="35"/>
  <x:c r="N479" i="35"/>
  <x:c r="O479" i="35"/>
  <x:c r="C480" i="35"/>
  <x:c r="D480" i="35"/>
  <x:c r="E480" i="35"/>
  <x:c r="F480" i="35"/>
  <x:c r="G480" i="35"/>
  <x:c r="H480" i="35"/>
  <x:c r="I480" i="35"/>
  <x:c r="J480" i="35"/>
  <x:c r="K480" i="35"/>
  <x:c r="L480" i="35"/>
  <x:c r="M480" i="35"/>
  <x:c r="N480" i="35"/>
  <x:c r="O480" i="35"/>
  <x:c r="C481" i="35"/>
  <x:c r="D481" i="35"/>
  <x:c r="E481" i="35"/>
  <x:c r="F481" i="35"/>
  <x:c r="G481" i="35"/>
  <x:c r="H481" i="35"/>
  <x:c r="I481" i="35"/>
  <x:c r="J481" i="35"/>
  <x:c r="K481" i="35"/>
  <x:c r="L481" i="35"/>
  <x:c r="M481" i="35"/>
  <x:c r="N481" i="35"/>
  <x:c r="O481" i="35"/>
  <x:c r="C482" i="35"/>
  <x:c r="D482" i="35"/>
  <x:c r="E482" i="35"/>
  <x:c r="F482" i="35"/>
  <x:c r="G482" i="35"/>
  <x:c r="H482" i="35"/>
  <x:c r="I482" i="35"/>
  <x:c r="J482" i="35"/>
  <x:c r="K482" i="35"/>
  <x:c r="L482" i="35"/>
  <x:c r="M482" i="35"/>
  <x:c r="N482" i="35"/>
  <x:c r="O482" i="35"/>
  <x:c r="C483" i="35"/>
  <x:c r="D483" i="35"/>
  <x:c r="E483" i="35"/>
  <x:c r="F483" i="35"/>
  <x:c r="G483" i="35"/>
  <x:c r="H483" i="35"/>
  <x:c r="I483" i="35"/>
  <x:c r="J483" i="35"/>
  <x:c r="K483" i="35"/>
  <x:c r="L483" i="35"/>
  <x:c r="M483" i="35"/>
  <x:c r="N483" i="35"/>
  <x:c r="O483" i="35"/>
  <x:c r="C484" i="35"/>
  <x:c r="D484" i="35"/>
  <x:c r="E484" i="35"/>
  <x:c r="F484" i="35"/>
  <x:c r="G484" i="35"/>
  <x:c r="H484" i="35"/>
  <x:c r="I484" i="35"/>
  <x:c r="J484" i="35"/>
  <x:c r="K484" i="35"/>
  <x:c r="L484" i="35"/>
  <x:c r="M484" i="35"/>
  <x:c r="N484" i="35"/>
  <x:c r="O484" i="35"/>
  <x:c r="C485" i="35"/>
  <x:c r="D485" i="35"/>
  <x:c r="E485" i="35"/>
  <x:c r="F485" i="35"/>
  <x:c r="G485" i="35"/>
  <x:c r="H485" i="35"/>
  <x:c r="I485" i="35"/>
  <x:c r="J485" i="35"/>
  <x:c r="K485" i="35"/>
  <x:c r="L485" i="35"/>
  <x:c r="M485" i="35"/>
  <x:c r="N485" i="35"/>
  <x:c r="O485" i="35"/>
  <x:c r="C486" i="35"/>
  <x:c r="D486" i="35"/>
  <x:c r="E486" i="35"/>
  <x:c r="F486" i="35"/>
  <x:c r="G486" i="35"/>
  <x:c r="H486" i="35"/>
  <x:c r="I486" i="35"/>
  <x:c r="J486" i="35"/>
  <x:c r="K486" i="35"/>
  <x:c r="L486" i="35"/>
  <x:c r="M486" i="35"/>
  <x:c r="N486" i="35"/>
  <x:c r="O486" i="35"/>
  <x:c r="C487" i="35"/>
  <x:c r="D487" i="35"/>
  <x:c r="E487" i="35"/>
  <x:c r="F487" i="35"/>
  <x:c r="G487" i="35"/>
  <x:c r="H487" i="35"/>
  <x:c r="I487" i="35"/>
  <x:c r="J487" i="35"/>
  <x:c r="K487" i="35"/>
  <x:c r="L487" i="35"/>
  <x:c r="M487" i="35"/>
  <x:c r="N487" i="35"/>
  <x:c r="O487" i="35"/>
  <x:c r="C488" i="35"/>
  <x:c r="D488" i="35"/>
  <x:c r="E488" i="35"/>
  <x:c r="F488" i="35"/>
  <x:c r="G488" i="35"/>
  <x:c r="H488" i="35"/>
  <x:c r="I488" i="35"/>
  <x:c r="J488" i="35"/>
  <x:c r="K488" i="35"/>
  <x:c r="L488" i="35"/>
  <x:c r="M488" i="35"/>
  <x:c r="N488" i="35"/>
  <x:c r="O488" i="35"/>
  <x:c r="C489" i="35"/>
  <x:c r="D489" i="35"/>
  <x:c r="E489" i="35"/>
  <x:c r="F489" i="35"/>
  <x:c r="G489" i="35"/>
  <x:c r="H489" i="35"/>
  <x:c r="I489" i="35"/>
  <x:c r="J489" i="35"/>
  <x:c r="K489" i="35"/>
  <x:c r="L489" i="35"/>
  <x:c r="M489" i="35"/>
  <x:c r="N489" i="35"/>
  <x:c r="O489" i="35"/>
  <x:c r="C490" i="35"/>
  <x:c r="D490" i="35"/>
  <x:c r="E490" i="35"/>
  <x:c r="F490" i="35"/>
  <x:c r="G490" i="35"/>
  <x:c r="H490" i="35"/>
  <x:c r="I490" i="35"/>
  <x:c r="J490" i="35"/>
  <x:c r="K490" i="35"/>
  <x:c r="L490" i="35"/>
  <x:c r="M490" i="35"/>
  <x:c r="N490" i="35"/>
  <x:c r="O490" i="35"/>
  <x:c r="C491" i="35"/>
  <x:c r="D491" i="35"/>
  <x:c r="E491" i="35"/>
  <x:c r="F491" i="35"/>
  <x:c r="G491" i="35"/>
  <x:c r="H491" i="35"/>
  <x:c r="I491" i="35"/>
  <x:c r="J491" i="35"/>
  <x:c r="K491" i="35"/>
  <x:c r="L491" i="35"/>
  <x:c r="M491" i="35"/>
  <x:c r="N491" i="35"/>
  <x:c r="O491" i="35"/>
  <x:c r="C492" i="35"/>
  <x:c r="D492" i="35"/>
  <x:c r="E492" i="35"/>
  <x:c r="F492" i="35"/>
  <x:c r="G492" i="35"/>
  <x:c r="H492" i="35"/>
  <x:c r="I492" i="35"/>
  <x:c r="J492" i="35"/>
  <x:c r="K492" i="35"/>
  <x:c r="L492" i="35"/>
  <x:c r="M492" i="35"/>
  <x:c r="N492" i="35"/>
  <x:c r="O492" i="35"/>
  <x:c r="C493" i="35"/>
  <x:c r="D493" i="35"/>
  <x:c r="E493" i="35"/>
  <x:c r="F493" i="35"/>
  <x:c r="G493" i="35"/>
  <x:c r="H493" i="35"/>
  <x:c r="I493" i="35"/>
  <x:c r="J493" i="35"/>
  <x:c r="K493" i="35"/>
  <x:c r="L493" i="35"/>
  <x:c r="M493" i="35"/>
  <x:c r="N493" i="35"/>
  <x:c r="O493" i="35"/>
  <x:c r="C494" i="35"/>
  <x:c r="D494" i="35"/>
  <x:c r="E494" i="35"/>
  <x:c r="F494" i="35"/>
  <x:c r="G494" i="35"/>
  <x:c r="H494" i="35"/>
  <x:c r="I494" i="35"/>
  <x:c r="J494" i="35"/>
  <x:c r="K494" i="35"/>
  <x:c r="L494" i="35"/>
  <x:c r="M494" i="35"/>
  <x:c r="N494" i="35"/>
  <x:c r="O494" i="35"/>
  <x:c r="C495" i="35"/>
  <x:c r="D495" i="35"/>
  <x:c r="E495" i="35"/>
  <x:c r="F495" i="35"/>
  <x:c r="G495" i="35"/>
  <x:c r="H495" i="35"/>
  <x:c r="I495" i="35"/>
  <x:c r="J495" i="35"/>
  <x:c r="K495" i="35"/>
  <x:c r="L495" i="35"/>
  <x:c r="M495" i="35"/>
  <x:c r="N495" i="35"/>
  <x:c r="O495" i="35"/>
  <x:c r="C496" i="35"/>
  <x:c r="D496" i="35"/>
  <x:c r="E496" i="35"/>
  <x:c r="F496" i="35"/>
  <x:c r="G496" i="35"/>
  <x:c r="H496" i="35"/>
  <x:c r="I496" i="35"/>
  <x:c r="J496" i="35"/>
  <x:c r="K496" i="35"/>
  <x:c r="L496" i="35"/>
  <x:c r="M496" i="35"/>
  <x:c r="N496" i="35"/>
  <x:c r="O496" i="35"/>
  <x:c r="C497" i="35"/>
  <x:c r="D497" i="35"/>
  <x:c r="E497" i="35"/>
  <x:c r="F497" i="35"/>
  <x:c r="G497" i="35"/>
  <x:c r="H497" i="35"/>
  <x:c r="I497" i="35"/>
  <x:c r="J497" i="35"/>
  <x:c r="K497" i="35"/>
  <x:c r="L497" i="35"/>
  <x:c r="M497" i="35"/>
  <x:c r="N497" i="35"/>
  <x:c r="O497" i="35"/>
  <x:c r="C498" i="35"/>
  <x:c r="D498" i="35"/>
  <x:c r="E498" i="35"/>
  <x:c r="F498" i="35"/>
  <x:c r="G498" i="35"/>
  <x:c r="H498" i="35"/>
  <x:c r="I498" i="35"/>
  <x:c r="J498" i="35"/>
  <x:c r="K498" i="35"/>
  <x:c r="L498" i="35"/>
  <x:c r="M498" i="35"/>
  <x:c r="N498" i="35"/>
  <x:c r="O498" i="35"/>
  <x:c r="C499" i="35"/>
  <x:c r="D499" i="35"/>
  <x:c r="E499" i="35"/>
  <x:c r="F499" i="35"/>
  <x:c r="G499" i="35"/>
  <x:c r="H499" i="35"/>
  <x:c r="I499" i="35"/>
  <x:c r="J499" i="35"/>
  <x:c r="K499" i="35"/>
  <x:c r="L499" i="35"/>
  <x:c r="M499" i="35"/>
  <x:c r="N499" i="35"/>
  <x:c r="O499" i="35"/>
  <x:c r="C500" i="35"/>
  <x:c r="D500" i="35"/>
  <x:c r="E500" i="35"/>
  <x:c r="F500" i="35"/>
  <x:c r="G500" i="35"/>
  <x:c r="H500" i="35"/>
  <x:c r="I500" i="35"/>
  <x:c r="J500" i="35"/>
  <x:c r="K500" i="35"/>
  <x:c r="L500" i="35"/>
  <x:c r="M500" i="35"/>
  <x:c r="N500" i="35"/>
  <x:c r="O500" i="35"/>
  <x:c r="C501" i="35"/>
  <x:c r="D501" i="35"/>
  <x:c r="E501" i="35"/>
  <x:c r="F501" i="35"/>
  <x:c r="G501" i="35"/>
  <x:c r="H501" i="35"/>
  <x:c r="I501" i="35"/>
  <x:c r="J501" i="35"/>
  <x:c r="K501" i="35"/>
  <x:c r="L501" i="35"/>
  <x:c r="M501" i="35"/>
  <x:c r="N501" i="35"/>
  <x:c r="O501" i="35"/>
  <x:c r="C502" i="35"/>
  <x:c r="D502" i="35"/>
  <x:c r="E502" i="35"/>
  <x:c r="F502" i="35"/>
  <x:c r="G502" i="35"/>
  <x:c r="H502" i="35"/>
  <x:c r="I502" i="35"/>
  <x:c r="J502" i="35"/>
  <x:c r="K502" i="35"/>
  <x:c r="L502" i="35"/>
  <x:c r="M502" i="35"/>
  <x:c r="N502" i="35"/>
  <x:c r="O502" i="35"/>
  <x:c r="C503" i="35"/>
  <x:c r="D503" i="35"/>
  <x:c r="E503" i="35"/>
  <x:c r="F503" i="35"/>
  <x:c r="G503" i="35"/>
  <x:c r="H503" i="35"/>
  <x:c r="I503" i="35"/>
  <x:c r="J503" i="35"/>
  <x:c r="K503" i="35"/>
  <x:c r="L503" i="35"/>
  <x:c r="M503" i="35"/>
  <x:c r="N503" i="35"/>
  <x:c r="O503" i="35"/>
  <x:c r="C504" i="35"/>
  <x:c r="D504" i="35"/>
  <x:c r="E504" i="35"/>
  <x:c r="F504" i="35"/>
  <x:c r="G504" i="35"/>
  <x:c r="H504" i="35"/>
  <x:c r="I504" i="35"/>
  <x:c r="J504" i="35"/>
  <x:c r="K504" i="35"/>
  <x:c r="L504" i="35"/>
  <x:c r="M504" i="35"/>
  <x:c r="N504" i="35"/>
  <x:c r="O504" i="35"/>
  <x:c r="C505" i="35"/>
  <x:c r="D505" i="35"/>
  <x:c r="E505" i="35"/>
  <x:c r="F505" i="35"/>
  <x:c r="G505" i="35"/>
  <x:c r="H505" i="35"/>
  <x:c r="I505" i="35"/>
  <x:c r="J505" i="35"/>
  <x:c r="K505" i="35"/>
  <x:c r="L505" i="35"/>
  <x:c r="M505" i="35"/>
  <x:c r="N505" i="35"/>
  <x:c r="O505" i="35"/>
  <x:c r="C506" i="35"/>
  <x:c r="D506" i="35"/>
  <x:c r="E506" i="35"/>
  <x:c r="F506" i="35"/>
  <x:c r="G506" i="35"/>
  <x:c r="H506" i="35"/>
  <x:c r="I506" i="35"/>
  <x:c r="J506" i="35"/>
  <x:c r="K506" i="35"/>
  <x:c r="L506" i="35"/>
  <x:c r="M506" i="35"/>
  <x:c r="N506" i="35"/>
  <x:c r="O506" i="35"/>
  <x:c r="C507" i="35"/>
  <x:c r="D507" i="35"/>
  <x:c r="E507" i="35"/>
  <x:c r="F507" i="35"/>
  <x:c r="G507" i="35"/>
  <x:c r="H507" i="35"/>
  <x:c r="I507" i="35"/>
  <x:c r="J507" i="35"/>
  <x:c r="K507" i="35"/>
  <x:c r="L507" i="35"/>
  <x:c r="M507" i="35"/>
  <x:c r="N507" i="35"/>
  <x:c r="O507" i="35"/>
  <x:c r="C508" i="35"/>
  <x:c r="D508" i="35"/>
  <x:c r="E508" i="35"/>
  <x:c r="F508" i="35"/>
  <x:c r="G508" i="35"/>
  <x:c r="H508" i="35"/>
  <x:c r="I508" i="35"/>
  <x:c r="J508" i="35"/>
  <x:c r="K508" i="35"/>
  <x:c r="L508" i="35"/>
  <x:c r="M508" i="35"/>
  <x:c r="N508" i="35"/>
  <x:c r="O508" i="35"/>
  <x:c r="C509" i="35"/>
  <x:c r="D509" i="35"/>
  <x:c r="E509" i="35"/>
  <x:c r="F509" i="35"/>
  <x:c r="G509" i="35"/>
  <x:c r="H509" i="35"/>
  <x:c r="I509" i="35"/>
  <x:c r="J509" i="35"/>
  <x:c r="K509" i="35"/>
  <x:c r="L509" i="35"/>
  <x:c r="M509" i="35"/>
  <x:c r="N509" i="35"/>
  <x:c r="O509" i="35"/>
  <x:c r="S509" i="35"/>
  <x:c r="C510" i="35"/>
  <x:c r="D510" i="35"/>
  <x:c r="E510" i="35"/>
  <x:c r="F510" i="35"/>
  <x:c r="G510" i="35"/>
  <x:c r="H510" i="35"/>
  <x:c r="I510" i="35"/>
  <x:c r="J510" i="35"/>
  <x:c r="K510" i="35"/>
  <x:c r="L510" i="35"/>
  <x:c r="M510" i="35"/>
  <x:c r="N510" i="35"/>
  <x:c r="O510" i="35"/>
  <x:c r="C511" i="35"/>
  <x:c r="D511" i="35"/>
  <x:c r="E511" i="35"/>
  <x:c r="F511" i="35"/>
  <x:c r="G511" i="35"/>
  <x:c r="H511" i="35"/>
  <x:c r="I511" i="35"/>
  <x:c r="J511" i="35"/>
  <x:c r="K511" i="35"/>
  <x:c r="L511" i="35"/>
  <x:c r="M511" i="35"/>
  <x:c r="N511" i="35"/>
  <x:c r="O511" i="35"/>
  <x:c r="C512" i="35"/>
  <x:c r="D512" i="35"/>
  <x:c r="E512" i="35"/>
  <x:c r="F512" i="35"/>
  <x:c r="G512" i="35"/>
  <x:c r="H512" i="35"/>
  <x:c r="I512" i="35"/>
  <x:c r="J512" i="35"/>
  <x:c r="K512" i="35"/>
  <x:c r="L512" i="35"/>
  <x:c r="M512" i="35"/>
  <x:c r="N512" i="35"/>
  <x:c r="O512" i="35"/>
  <x:c r="C513" i="35"/>
  <x:c r="D513" i="35"/>
  <x:c r="E513" i="35"/>
  <x:c r="F513" i="35"/>
  <x:c r="G513" i="35"/>
  <x:c r="H513" i="35"/>
  <x:c r="I513" i="35"/>
  <x:c r="J513" i="35"/>
  <x:c r="K513" i="35"/>
  <x:c r="L513" i="35"/>
  <x:c r="M513" i="35"/>
  <x:c r="N513" i="35"/>
  <x:c r="O513" i="35"/>
  <x:c r="C514" i="35"/>
  <x:c r="D514" i="35"/>
  <x:c r="E514" i="35"/>
  <x:c r="F514" i="35"/>
  <x:c r="G514" i="35"/>
  <x:c r="H514" i="35"/>
  <x:c r="I514" i="35"/>
  <x:c r="J514" i="35"/>
  <x:c r="K514" i="35"/>
  <x:c r="L514" i="35"/>
  <x:c r="M514" i="35"/>
  <x:c r="N514" i="35"/>
  <x:c r="O514" i="35"/>
  <x:c r="C515" i="35"/>
  <x:c r="D515" i="35"/>
  <x:c r="E515" i="35"/>
  <x:c r="F515" i="35"/>
  <x:c r="G515" i="35"/>
  <x:c r="H515" i="35"/>
  <x:c r="I515" i="35"/>
  <x:c r="J515" i="35"/>
  <x:c r="K515" i="35"/>
  <x:c r="L515" i="35"/>
  <x:c r="M515" i="35"/>
  <x:c r="N515" i="35"/>
  <x:c r="O515" i="35"/>
  <x:c r="C516" i="35"/>
  <x:c r="D516" i="35"/>
  <x:c r="E516" i="35"/>
  <x:c r="F516" i="35"/>
  <x:c r="G516" i="35"/>
  <x:c r="H516" i="35"/>
  <x:c r="I516" i="35"/>
  <x:c r="J516" i="35"/>
  <x:c r="K516" i="35"/>
  <x:c r="L516" i="35"/>
  <x:c r="M516" i="35"/>
  <x:c r="N516" i="35"/>
  <x:c r="O516" i="35"/>
  <x:c r="C517" i="35"/>
  <x:c r="D517" i="35"/>
  <x:c r="E517" i="35"/>
  <x:c r="F517" i="35"/>
  <x:c r="G517" i="35"/>
  <x:c r="H517" i="35"/>
  <x:c r="I517" i="35"/>
  <x:c r="J517" i="35"/>
  <x:c r="K517" i="35"/>
  <x:c r="L517" i="35"/>
  <x:c r="M517" i="35"/>
  <x:c r="N517" i="35"/>
  <x:c r="O517" i="35"/>
  <x:c r="C518" i="35"/>
  <x:c r="D518" i="35"/>
  <x:c r="E518" i="35"/>
  <x:c r="F518" i="35"/>
  <x:c r="G518" i="35"/>
  <x:c r="H518" i="35"/>
  <x:c r="I518" i="35"/>
  <x:c r="J518" i="35"/>
  <x:c r="K518" i="35"/>
  <x:c r="L518" i="35"/>
  <x:c r="M518" i="35"/>
  <x:c r="N518" i="35"/>
  <x:c r="O518" i="35"/>
  <x:c r="C519" i="35"/>
  <x:c r="D519" i="35"/>
  <x:c r="E519" i="35"/>
  <x:c r="F519" i="35"/>
  <x:c r="G519" i="35"/>
  <x:c r="H519" i="35"/>
  <x:c r="I519" i="35"/>
  <x:c r="J519" i="35"/>
  <x:c r="K519" i="35"/>
  <x:c r="L519" i="35"/>
  <x:c r="M519" i="35"/>
  <x:c r="N519" i="35"/>
  <x:c r="O519" i="35"/>
  <x:c r="C520" i="35"/>
  <x:c r="D520" i="35"/>
  <x:c r="E520" i="35"/>
  <x:c r="F520" i="35"/>
  <x:c r="G520" i="35"/>
  <x:c r="H520" i="35"/>
  <x:c r="I520" i="35"/>
  <x:c r="J520" i="35"/>
  <x:c r="K520" i="35"/>
  <x:c r="L520" i="35"/>
  <x:c r="M520" i="35"/>
  <x:c r="N520" i="35"/>
  <x:c r="O520" i="35"/>
  <x:c r="C521" i="35"/>
  <x:c r="D521" i="35"/>
  <x:c r="E521" i="35"/>
  <x:c r="F521" i="35"/>
  <x:c r="G521" i="35"/>
  <x:c r="H521" i="35"/>
  <x:c r="I521" i="35"/>
  <x:c r="J521" i="35"/>
  <x:c r="K521" i="35"/>
  <x:c r="L521" i="35"/>
  <x:c r="M521" i="35"/>
  <x:c r="N521" i="35"/>
  <x:c r="O521" i="35"/>
  <x:c r="C522" i="35"/>
  <x:c r="D522" i="35"/>
  <x:c r="E522" i="35"/>
  <x:c r="F522" i="35"/>
  <x:c r="G522" i="35"/>
  <x:c r="H522" i="35"/>
  <x:c r="I522" i="35"/>
  <x:c r="J522" i="35"/>
  <x:c r="K522" i="35"/>
  <x:c r="L522" i="35"/>
  <x:c r="M522" i="35"/>
  <x:c r="N522" i="35"/>
  <x:c r="O522" i="35"/>
  <x:c r="C523" i="35"/>
  <x:c r="D523" i="35"/>
  <x:c r="E523" i="35"/>
  <x:c r="F523" i="35"/>
  <x:c r="G523" i="35"/>
  <x:c r="H523" i="35"/>
  <x:c r="I523" i="35"/>
  <x:c r="J523" i="35"/>
  <x:c r="K523" i="35"/>
  <x:c r="L523" i="35"/>
  <x:c r="M523" i="35"/>
  <x:c r="N523" i="35"/>
  <x:c r="O523" i="35"/>
  <x:c r="C524" i="35"/>
  <x:c r="D524" i="35"/>
  <x:c r="E524" i="35"/>
  <x:c r="F524" i="35"/>
  <x:c r="G524" i="35"/>
  <x:c r="H524" i="35"/>
  <x:c r="I524" i="35"/>
  <x:c r="J524" i="35"/>
  <x:c r="K524" i="35"/>
  <x:c r="L524" i="35"/>
  <x:c r="M524" i="35"/>
  <x:c r="N524" i="35"/>
  <x:c r="O524" i="35"/>
  <x:c r="C525" i="35"/>
  <x:c r="D525" i="35"/>
  <x:c r="E525" i="35"/>
  <x:c r="F525" i="35"/>
  <x:c r="G525" i="35"/>
  <x:c r="H525" i="35"/>
  <x:c r="I525" i="35"/>
  <x:c r="J525" i="35"/>
  <x:c r="K525" i="35"/>
  <x:c r="L525" i="35"/>
  <x:c r="M525" i="35"/>
  <x:c r="N525" i="35"/>
  <x:c r="O525" i="35"/>
  <x:c r="C526" i="35"/>
  <x:c r="D526" i="35"/>
  <x:c r="E526" i="35"/>
  <x:c r="F526" i="35"/>
  <x:c r="G526" i="35"/>
  <x:c r="H526" i="35"/>
  <x:c r="I526" i="35"/>
  <x:c r="J526" i="35"/>
  <x:c r="K526" i="35"/>
  <x:c r="L526" i="35"/>
  <x:c r="M526" i="35"/>
  <x:c r="N526" i="35"/>
  <x:c r="O526" i="35"/>
  <x:c r="C527" i="35"/>
  <x:c r="D527" i="35"/>
  <x:c r="E527" i="35"/>
  <x:c r="F527" i="35"/>
  <x:c r="G527" i="35"/>
  <x:c r="H527" i="35"/>
  <x:c r="I527" i="35"/>
  <x:c r="J527" i="35"/>
  <x:c r="K527" i="35"/>
  <x:c r="L527" i="35"/>
  <x:c r="M527" i="35"/>
  <x:c r="N527" i="35"/>
  <x:c r="O527" i="35"/>
  <x:c r="C528" i="35"/>
  <x:c r="D528" i="35"/>
  <x:c r="E528" i="35"/>
  <x:c r="F528" i="35"/>
  <x:c r="G528" i="35"/>
  <x:c r="H528" i="35"/>
  <x:c r="I528" i="35"/>
  <x:c r="J528" i="35"/>
  <x:c r="K528" i="35"/>
  <x:c r="L528" i="35"/>
  <x:c r="M528" i="35"/>
  <x:c r="N528" i="35"/>
  <x:c r="O528" i="35"/>
  <x:c r="C529" i="35"/>
  <x:c r="D529" i="35"/>
  <x:c r="E529" i="35"/>
  <x:c r="F529" i="35"/>
  <x:c r="G529" i="35"/>
  <x:c r="H529" i="35"/>
  <x:c r="I529" i="35"/>
  <x:c r="J529" i="35"/>
  <x:c r="K529" i="35"/>
  <x:c r="L529" i="35"/>
  <x:c r="M529" i="35"/>
  <x:c r="N529" i="35"/>
  <x:c r="O529" i="35"/>
  <x:c r="C530" i="35"/>
  <x:c r="D530" i="35"/>
  <x:c r="E530" i="35"/>
  <x:c r="F530" i="35"/>
  <x:c r="G530" i="35"/>
  <x:c r="H530" i="35"/>
  <x:c r="I530" i="35"/>
  <x:c r="J530" i="35"/>
  <x:c r="K530" i="35"/>
  <x:c r="L530" i="35"/>
  <x:c r="M530" i="35"/>
  <x:c r="N530" i="35"/>
  <x:c r="O530" i="35"/>
  <x:c r="C531" i="35"/>
  <x:c r="D531" i="35"/>
  <x:c r="E531" i="35"/>
  <x:c r="F531" i="35"/>
  <x:c r="G531" i="35"/>
  <x:c r="H531" i="35"/>
  <x:c r="I531" i="35"/>
  <x:c r="J531" i="35"/>
  <x:c r="K531" i="35"/>
  <x:c r="L531" i="35"/>
  <x:c r="M531" i="35"/>
  <x:c r="N531" i="35"/>
  <x:c r="O531" i="35"/>
  <x:c r="C532" i="35"/>
  <x:c r="D532" i="35"/>
  <x:c r="E532" i="35"/>
  <x:c r="F532" i="35"/>
  <x:c r="G532" i="35"/>
  <x:c r="H532" i="35"/>
  <x:c r="I532" i="35"/>
  <x:c r="J532" i="35"/>
  <x:c r="K532" i="35"/>
  <x:c r="L532" i="35"/>
  <x:c r="M532" i="35"/>
  <x:c r="N532" i="35"/>
  <x:c r="O532" i="35"/>
  <x:c r="C533" i="35"/>
  <x:c r="D533" i="35"/>
  <x:c r="E533" i="35"/>
  <x:c r="F533" i="35"/>
  <x:c r="G533" i="35"/>
  <x:c r="H533" i="35"/>
  <x:c r="I533" i="35"/>
  <x:c r="J533" i="35"/>
  <x:c r="K533" i="35"/>
  <x:c r="L533" i="35"/>
  <x:c r="M533" i="35"/>
  <x:c r="N533" i="35"/>
  <x:c r="O533" i="35"/>
  <x:c r="C534" i="35"/>
  <x:c r="D534" i="35"/>
  <x:c r="E534" i="35"/>
  <x:c r="F534" i="35"/>
  <x:c r="G534" i="35"/>
  <x:c r="H534" i="35"/>
  <x:c r="I534" i="35"/>
  <x:c r="J534" i="35"/>
  <x:c r="K534" i="35"/>
  <x:c r="L534" i="35"/>
  <x:c r="M534" i="35"/>
  <x:c r="N534" i="35"/>
  <x:c r="O534" i="35"/>
  <x:c r="C535" i="35"/>
  <x:c r="D535" i="35"/>
  <x:c r="E535" i="35"/>
  <x:c r="F535" i="35"/>
  <x:c r="G535" i="35"/>
  <x:c r="H535" i="35"/>
  <x:c r="I535" i="35"/>
  <x:c r="J535" i="35"/>
  <x:c r="K535" i="35"/>
  <x:c r="L535" i="35"/>
  <x:c r="M535" i="35"/>
  <x:c r="N535" i="35"/>
  <x:c r="O535" i="35"/>
  <x:c r="C536" i="35"/>
  <x:c r="D536" i="35"/>
  <x:c r="E536" i="35"/>
  <x:c r="F536" i="35"/>
  <x:c r="G536" i="35"/>
  <x:c r="H536" i="35"/>
  <x:c r="I536" i="35"/>
  <x:c r="J536" i="35"/>
  <x:c r="K536" i="35"/>
  <x:c r="L536" i="35"/>
  <x:c r="M536" i="35"/>
  <x:c r="N536" i="35"/>
  <x:c r="O536" i="35"/>
  <x:c r="C537" i="35"/>
  <x:c r="D537" i="35"/>
  <x:c r="E537" i="35"/>
  <x:c r="F537" i="35"/>
  <x:c r="G537" i="35"/>
  <x:c r="H537" i="35"/>
  <x:c r="I537" i="35"/>
  <x:c r="J537" i="35"/>
  <x:c r="K537" i="35"/>
  <x:c r="L537" i="35"/>
  <x:c r="M537" i="35"/>
  <x:c r="N537" i="35"/>
  <x:c r="O537" i="35"/>
  <x:c r="C538" i="35"/>
  <x:c r="D538" i="35"/>
  <x:c r="E538" i="35"/>
  <x:c r="F538" i="35"/>
  <x:c r="G538" i="35"/>
  <x:c r="H538" i="35"/>
  <x:c r="I538" i="35"/>
  <x:c r="J538" i="35"/>
  <x:c r="K538" i="35"/>
  <x:c r="L538" i="35"/>
  <x:c r="M538" i="35"/>
  <x:c r="N538" i="35"/>
  <x:c r="O538" i="35"/>
  <x:c r="C539" i="35"/>
  <x:c r="D539" i="35"/>
  <x:c r="E539" i="35"/>
  <x:c r="F539" i="35"/>
  <x:c r="G539" i="35"/>
  <x:c r="H539" i="35"/>
  <x:c r="I539" i="35"/>
  <x:c r="J539" i="35"/>
  <x:c r="K539" i="35"/>
  <x:c r="L539" i="35"/>
  <x:c r="M539" i="35"/>
  <x:c r="N539" i="35"/>
  <x:c r="O539" i="35"/>
  <x:c r="C540" i="35"/>
  <x:c r="D540" i="35"/>
  <x:c r="E540" i="35"/>
  <x:c r="F540" i="35"/>
  <x:c r="G540" i="35"/>
  <x:c r="H540" i="35"/>
  <x:c r="I540" i="35"/>
  <x:c r="J540" i="35"/>
  <x:c r="K540" i="35"/>
  <x:c r="L540" i="35"/>
  <x:c r="M540" i="35"/>
  <x:c r="N540" i="35"/>
  <x:c r="O540" i="35"/>
  <x:c r="C541" i="35"/>
  <x:c r="D541" i="35"/>
  <x:c r="E541" i="35"/>
  <x:c r="F541" i="35"/>
  <x:c r="G541" i="35"/>
  <x:c r="H541" i="35"/>
  <x:c r="I541" i="35"/>
  <x:c r="J541" i="35"/>
  <x:c r="K541" i="35"/>
  <x:c r="L541" i="35"/>
  <x:c r="M541" i="35"/>
  <x:c r="N541" i="35"/>
  <x:c r="O541" i="35"/>
  <x:c r="C542" i="35"/>
  <x:c r="D542" i="35"/>
  <x:c r="E542" i="35"/>
  <x:c r="F542" i="35"/>
  <x:c r="G542" i="35"/>
  <x:c r="H542" i="35"/>
  <x:c r="I542" i="35"/>
  <x:c r="J542" i="35"/>
  <x:c r="K542" i="35"/>
  <x:c r="L542" i="35"/>
  <x:c r="M542" i="35"/>
  <x:c r="N542" i="35"/>
  <x:c r="O542" i="35"/>
  <x:c r="C543" i="35"/>
  <x:c r="D543" i="35"/>
  <x:c r="E543" i="35"/>
  <x:c r="F543" i="35"/>
  <x:c r="G543" i="35"/>
  <x:c r="H543" i="35"/>
  <x:c r="I543" i="35"/>
  <x:c r="J543" i="35"/>
  <x:c r="K543" i="35"/>
  <x:c r="L543" i="35"/>
  <x:c r="M543" i="35"/>
  <x:c r="N543" i="35"/>
  <x:c r="O543" i="35"/>
  <x:c r="C544" i="35"/>
  <x:c r="D544" i="35"/>
  <x:c r="E544" i="35"/>
  <x:c r="F544" i="35"/>
  <x:c r="G544" i="35"/>
  <x:c r="H544" i="35"/>
  <x:c r="I544" i="35"/>
  <x:c r="J544" i="35"/>
  <x:c r="K544" i="35"/>
  <x:c r="L544" i="35"/>
  <x:c r="M544" i="35"/>
  <x:c r="N544" i="35"/>
  <x:c r="O544" i="35"/>
  <x:c r="C545" i="35"/>
  <x:c r="D545" i="35"/>
  <x:c r="E545" i="35"/>
  <x:c r="F545" i="35"/>
  <x:c r="G545" i="35"/>
  <x:c r="H545" i="35"/>
  <x:c r="I545" i="35"/>
  <x:c r="J545" i="35"/>
  <x:c r="K545" i="35"/>
  <x:c r="L545" i="35"/>
  <x:c r="M545" i="35"/>
  <x:c r="N545" i="35"/>
  <x:c r="O545" i="35"/>
  <x:c r="C546" i="35"/>
  <x:c r="D546" i="35"/>
  <x:c r="E546" i="35"/>
  <x:c r="F546" i="35"/>
  <x:c r="G546" i="35"/>
  <x:c r="H546" i="35"/>
  <x:c r="I546" i="35"/>
  <x:c r="J546" i="35"/>
  <x:c r="K546" i="35"/>
  <x:c r="L546" i="35"/>
  <x:c r="M546" i="35"/>
  <x:c r="N546" i="35"/>
  <x:c r="O546" i="35"/>
  <x:c r="C547" i="35"/>
  <x:c r="D547" i="35"/>
  <x:c r="E547" i="35"/>
  <x:c r="F547" i="35"/>
  <x:c r="G547" i="35"/>
  <x:c r="H547" i="35"/>
  <x:c r="I547" i="35"/>
  <x:c r="J547" i="35"/>
  <x:c r="K547" i="35"/>
  <x:c r="L547" i="35"/>
  <x:c r="M547" i="35"/>
  <x:c r="N547" i="35"/>
  <x:c r="O547" i="35"/>
  <x:c r="C548" i="35"/>
  <x:c r="D548" i="35"/>
  <x:c r="E548" i="35"/>
  <x:c r="F548" i="35"/>
  <x:c r="G548" i="35"/>
  <x:c r="H548" i="35"/>
  <x:c r="I548" i="35"/>
  <x:c r="J548" i="35"/>
  <x:c r="K548" i="35"/>
  <x:c r="L548" i="35"/>
  <x:c r="M548" i="35"/>
  <x:c r="N548" i="35"/>
  <x:c r="O548" i="35"/>
  <x:c r="C549" i="35"/>
  <x:c r="D549" i="35"/>
  <x:c r="E549" i="35"/>
  <x:c r="F549" i="35"/>
  <x:c r="G549" i="35"/>
  <x:c r="H549" i="35"/>
  <x:c r="I549" i="35"/>
  <x:c r="J549" i="35"/>
  <x:c r="K549" i="35"/>
  <x:c r="L549" i="35"/>
  <x:c r="M549" i="35"/>
  <x:c r="N549" i="35"/>
  <x:c r="O549" i="35"/>
  <x:c r="C550" i="35"/>
  <x:c r="D550" i="35"/>
  <x:c r="E550" i="35"/>
  <x:c r="F550" i="35"/>
  <x:c r="G550" i="35"/>
  <x:c r="H550" i="35"/>
  <x:c r="I550" i="35"/>
  <x:c r="J550" i="35"/>
  <x:c r="K550" i="35"/>
  <x:c r="L550" i="35"/>
  <x:c r="M550" i="35"/>
  <x:c r="N550" i="35"/>
  <x:c r="O550" i="35"/>
  <x:c r="C551" i="35"/>
  <x:c r="D551" i="35"/>
  <x:c r="E551" i="35"/>
  <x:c r="F551" i="35"/>
  <x:c r="G551" i="35"/>
  <x:c r="H551" i="35"/>
  <x:c r="I551" i="35"/>
  <x:c r="J551" i="35"/>
  <x:c r="K551" i="35"/>
  <x:c r="L551" i="35"/>
  <x:c r="M551" i="35"/>
  <x:c r="N551" i="35"/>
  <x:c r="O551" i="35"/>
  <x:c r="C552" i="35"/>
  <x:c r="D552" i="35"/>
  <x:c r="E552" i="35"/>
  <x:c r="F552" i="35"/>
  <x:c r="G552" i="35"/>
  <x:c r="H552" i="35"/>
  <x:c r="I552" i="35"/>
  <x:c r="J552" i="35"/>
  <x:c r="K552" i="35"/>
  <x:c r="L552" i="35"/>
  <x:c r="M552" i="35"/>
  <x:c r="N552" i="35"/>
  <x:c r="O552" i="35"/>
  <x:c r="C553" i="35"/>
  <x:c r="D553" i="35"/>
  <x:c r="E553" i="35"/>
  <x:c r="F553" i="35"/>
  <x:c r="G553" i="35"/>
  <x:c r="H553" i="35"/>
  <x:c r="I553" i="35"/>
  <x:c r="J553" i="35"/>
  <x:c r="K553" i="35"/>
  <x:c r="L553" i="35"/>
  <x:c r="M553" i="35"/>
  <x:c r="N553" i="35"/>
  <x:c r="O553" i="35"/>
  <x:c r="C554" i="35"/>
  <x:c r="D554" i="35"/>
  <x:c r="E554" i="35"/>
  <x:c r="F554" i="35"/>
  <x:c r="G554" i="35"/>
  <x:c r="H554" i="35"/>
  <x:c r="I554" i="35"/>
  <x:c r="J554" i="35"/>
  <x:c r="K554" i="35"/>
  <x:c r="L554" i="35"/>
  <x:c r="M554" i="35"/>
  <x:c r="N554" i="35"/>
  <x:c r="O554" i="35"/>
  <x:c r="C555" i="35"/>
  <x:c r="D555" i="35"/>
  <x:c r="E555" i="35"/>
  <x:c r="F555" i="35"/>
  <x:c r="G555" i="35"/>
  <x:c r="H555" i="35"/>
  <x:c r="I555" i="35"/>
  <x:c r="J555" i="35"/>
  <x:c r="K555" i="35"/>
  <x:c r="L555" i="35"/>
  <x:c r="M555" i="35"/>
  <x:c r="N555" i="35"/>
  <x:c r="O555" i="35"/>
  <x:c r="C556" i="35"/>
  <x:c r="D556" i="35"/>
  <x:c r="E556" i="35"/>
  <x:c r="F556" i="35"/>
  <x:c r="G556" i="35"/>
  <x:c r="H556" i="35"/>
  <x:c r="I556" i="35"/>
  <x:c r="J556" i="35"/>
  <x:c r="K556" i="35"/>
  <x:c r="L556" i="35"/>
  <x:c r="M556" i="35"/>
  <x:c r="N556" i="35"/>
  <x:c r="O556" i="35"/>
  <x:c r="C557" i="35"/>
  <x:c r="D557" i="35"/>
  <x:c r="E557" i="35"/>
  <x:c r="F557" i="35"/>
  <x:c r="G557" i="35"/>
  <x:c r="H557" i="35"/>
  <x:c r="I557" i="35"/>
  <x:c r="J557" i="35"/>
  <x:c r="K557" i="35"/>
  <x:c r="L557" i="35"/>
  <x:c r="M557" i="35"/>
  <x:c r="N557" i="35"/>
  <x:c r="O557" i="35"/>
  <x:c r="C558" i="35"/>
  <x:c r="D558" i="35"/>
  <x:c r="E558" i="35"/>
  <x:c r="F558" i="35"/>
  <x:c r="G558" i="35"/>
  <x:c r="H558" i="35"/>
  <x:c r="I558" i="35"/>
  <x:c r="J558" i="35"/>
  <x:c r="K558" i="35"/>
  <x:c r="L558" i="35"/>
  <x:c r="M558" i="35"/>
  <x:c r="N558" i="35"/>
  <x:c r="O558" i="35"/>
  <x:c r="C559" i="35"/>
  <x:c r="D559" i="35"/>
  <x:c r="E559" i="35"/>
  <x:c r="F559" i="35"/>
  <x:c r="G559" i="35"/>
  <x:c r="H559" i="35"/>
  <x:c r="I559" i="35"/>
  <x:c r="J559" i="35"/>
  <x:c r="K559" i="35"/>
  <x:c r="L559" i="35"/>
  <x:c r="M559" i="35"/>
  <x:c r="N559" i="35"/>
  <x:c r="O559" i="35"/>
  <x:c r="C560" i="35"/>
  <x:c r="D560" i="35"/>
  <x:c r="E560" i="35"/>
  <x:c r="F560" i="35"/>
  <x:c r="G560" i="35"/>
  <x:c r="H560" i="35"/>
  <x:c r="I560" i="35"/>
  <x:c r="J560" i="35"/>
  <x:c r="K560" i="35"/>
  <x:c r="L560" i="35"/>
  <x:c r="M560" i="35"/>
  <x:c r="N560" i="35"/>
  <x:c r="O560" i="35"/>
  <x:c r="C561" i="35"/>
  <x:c r="D561" i="35"/>
  <x:c r="E561" i="35"/>
  <x:c r="F561" i="35"/>
  <x:c r="G561" i="35"/>
  <x:c r="H561" i="35"/>
  <x:c r="I561" i="35"/>
  <x:c r="J561" i="35"/>
  <x:c r="K561" i="35"/>
  <x:c r="L561" i="35"/>
  <x:c r="M561" i="35"/>
  <x:c r="N561" i="35"/>
  <x:c r="O561" i="35"/>
  <x:c r="C562" i="35"/>
  <x:c r="D562" i="35"/>
  <x:c r="E562" i="35"/>
  <x:c r="F562" i="35"/>
  <x:c r="G562" i="35"/>
  <x:c r="H562" i="35"/>
  <x:c r="I562" i="35"/>
  <x:c r="J562" i="35"/>
  <x:c r="K562" i="35"/>
  <x:c r="L562" i="35"/>
  <x:c r="M562" i="35"/>
  <x:c r="N562" i="35"/>
  <x:c r="O562" i="35"/>
  <x:c r="C563" i="35"/>
  <x:c r="D563" i="35"/>
  <x:c r="E563" i="35"/>
  <x:c r="F563" i="35"/>
  <x:c r="G563" i="35"/>
  <x:c r="H563" i="35"/>
  <x:c r="I563" i="35"/>
  <x:c r="J563" i="35"/>
  <x:c r="K563" i="35"/>
  <x:c r="L563" i="35"/>
  <x:c r="M563" i="35"/>
  <x:c r="N563" i="35"/>
  <x:c r="O563" i="35"/>
  <x:c r="C564" i="35"/>
  <x:c r="D564" i="35"/>
  <x:c r="E564" i="35"/>
  <x:c r="F564" i="35"/>
  <x:c r="G564" i="35"/>
  <x:c r="H564" i="35"/>
  <x:c r="I564" i="35"/>
  <x:c r="J564" i="35"/>
  <x:c r="K564" i="35"/>
  <x:c r="L564" i="35"/>
  <x:c r="M564" i="35"/>
  <x:c r="N564" i="35"/>
  <x:c r="O564" i="35"/>
  <x:c r="C565" i="35"/>
  <x:c r="D565" i="35"/>
  <x:c r="E565" i="35"/>
  <x:c r="F565" i="35"/>
  <x:c r="G565" i="35"/>
  <x:c r="H565" i="35"/>
  <x:c r="I565" i="35"/>
  <x:c r="J565" i="35"/>
  <x:c r="K565" i="35"/>
  <x:c r="L565" i="35"/>
  <x:c r="M565" i="35"/>
  <x:c r="N565" i="35"/>
  <x:c r="O565" i="35"/>
  <x:c r="C566" i="35"/>
  <x:c r="D566" i="35"/>
  <x:c r="E566" i="35"/>
  <x:c r="F566" i="35"/>
  <x:c r="G566" i="35"/>
  <x:c r="H566" i="35"/>
  <x:c r="I566" i="35"/>
  <x:c r="J566" i="35"/>
  <x:c r="K566" i="35"/>
  <x:c r="L566" i="35"/>
  <x:c r="M566" i="35"/>
  <x:c r="N566" i="35"/>
  <x:c r="O566" i="35"/>
  <x:c r="C567" i="35"/>
  <x:c r="D567" i="35"/>
  <x:c r="E567" i="35"/>
  <x:c r="F567" i="35"/>
  <x:c r="G567" i="35"/>
  <x:c r="H567" i="35"/>
  <x:c r="I567" i="35"/>
  <x:c r="J567" i="35"/>
  <x:c r="K567" i="35"/>
  <x:c r="L567" i="35"/>
  <x:c r="M567" i="35"/>
  <x:c r="N567" i="35"/>
  <x:c r="O567" i="35"/>
  <x:c r="C568" i="35"/>
  <x:c r="D568" i="35"/>
  <x:c r="E568" i="35"/>
  <x:c r="F568" i="35"/>
  <x:c r="G568" i="35"/>
  <x:c r="H568" i="35"/>
  <x:c r="I568" i="35"/>
  <x:c r="J568" i="35"/>
  <x:c r="K568" i="35"/>
  <x:c r="L568" i="35"/>
  <x:c r="M568" i="35"/>
  <x:c r="N568" i="35"/>
  <x:c r="O568" i="35"/>
  <x:c r="C569" i="35"/>
  <x:c r="D569" i="35"/>
  <x:c r="E569" i="35"/>
  <x:c r="F569" i="35"/>
  <x:c r="G569" i="35"/>
  <x:c r="H569" i="35"/>
  <x:c r="I569" i="35"/>
  <x:c r="J569" i="35"/>
  <x:c r="K569" i="35"/>
  <x:c r="L569" i="35"/>
  <x:c r="M569" i="35"/>
  <x:c r="N569" i="35"/>
  <x:c r="O569" i="35"/>
  <x:c r="C570" i="35"/>
  <x:c r="D570" i="35"/>
  <x:c r="E570" i="35"/>
  <x:c r="F570" i="35"/>
  <x:c r="G570" i="35"/>
  <x:c r="H570" i="35"/>
  <x:c r="I570" i="35"/>
  <x:c r="J570" i="35"/>
  <x:c r="K570" i="35"/>
  <x:c r="L570" i="35"/>
  <x:c r="M570" i="35"/>
  <x:c r="N570" i="35"/>
  <x:c r="O570" i="35"/>
  <x:c r="C571" i="35"/>
  <x:c r="D571" i="35"/>
  <x:c r="E571" i="35"/>
  <x:c r="F571" i="35"/>
  <x:c r="G571" i="35"/>
  <x:c r="H571" i="35"/>
  <x:c r="I571" i="35"/>
  <x:c r="J571" i="35"/>
  <x:c r="K571" i="35"/>
  <x:c r="L571" i="35"/>
  <x:c r="M571" i="35"/>
  <x:c r="N571" i="35"/>
  <x:c r="O571" i="35"/>
  <x:c r="C572" i="35"/>
  <x:c r="D572" i="35"/>
  <x:c r="E572" i="35"/>
  <x:c r="F572" i="35"/>
  <x:c r="G572" i="35"/>
  <x:c r="H572" i="35"/>
  <x:c r="I572" i="35"/>
  <x:c r="J572" i="35"/>
  <x:c r="K572" i="35"/>
  <x:c r="L572" i="35"/>
  <x:c r="M572" i="35"/>
  <x:c r="N572" i="35"/>
  <x:c r="O572" i="35"/>
  <x:c r="C573" i="35"/>
  <x:c r="D573" i="35"/>
  <x:c r="E573" i="35"/>
  <x:c r="F573" i="35"/>
  <x:c r="G573" i="35"/>
  <x:c r="H573" i="35"/>
  <x:c r="I573" i="35"/>
  <x:c r="J573" i="35"/>
  <x:c r="K573" i="35"/>
  <x:c r="L573" i="35"/>
  <x:c r="M573" i="35"/>
  <x:c r="N573" i="35"/>
  <x:c r="O573" i="35"/>
  <x:c r="C574" i="35"/>
  <x:c r="D574" i="35"/>
  <x:c r="E574" i="35"/>
  <x:c r="F574" i="35"/>
  <x:c r="G574" i="35"/>
  <x:c r="H574" i="35"/>
  <x:c r="I574" i="35"/>
  <x:c r="J574" i="35"/>
  <x:c r="K574" i="35"/>
  <x:c r="L574" i="35"/>
  <x:c r="M574" i="35"/>
  <x:c r="N574" i="35"/>
  <x:c r="O574" i="35"/>
  <x:c r="C575" i="35"/>
  <x:c r="D575" i="35"/>
  <x:c r="E575" i="35"/>
  <x:c r="F575" i="35"/>
  <x:c r="G575" i="35"/>
  <x:c r="H575" i="35"/>
  <x:c r="I575" i="35"/>
  <x:c r="J575" i="35"/>
  <x:c r="K575" i="35"/>
  <x:c r="L575" i="35"/>
  <x:c r="M575" i="35"/>
  <x:c r="N575" i="35"/>
  <x:c r="O575" i="35"/>
  <x:c r="C576" i="35"/>
  <x:c r="D576" i="35"/>
  <x:c r="E576" i="35"/>
  <x:c r="F576" i="35"/>
  <x:c r="G576" i="35"/>
  <x:c r="H576" i="35"/>
  <x:c r="I576" i="35"/>
  <x:c r="J576" i="35"/>
  <x:c r="K576" i="35"/>
  <x:c r="L576" i="35"/>
  <x:c r="M576" i="35"/>
  <x:c r="N576" i="35"/>
  <x:c r="O576" i="35"/>
  <x:c r="C577" i="35"/>
  <x:c r="D577" i="35"/>
  <x:c r="E577" i="35"/>
  <x:c r="F577" i="35"/>
  <x:c r="G577" i="35"/>
  <x:c r="H577" i="35"/>
  <x:c r="I577" i="35"/>
  <x:c r="J577" i="35"/>
  <x:c r="K577" i="35"/>
  <x:c r="L577" i="35"/>
  <x:c r="M577" i="35"/>
  <x:c r="N577" i="35"/>
  <x:c r="O577" i="35"/>
  <x:c r="C578" i="35"/>
  <x:c r="D578" i="35"/>
  <x:c r="E578" i="35"/>
  <x:c r="F578" i="35"/>
  <x:c r="G578" i="35"/>
  <x:c r="H578" i="35"/>
  <x:c r="I578" i="35"/>
  <x:c r="J578" i="35"/>
  <x:c r="K578" i="35"/>
  <x:c r="L578" i="35"/>
  <x:c r="M578" i="35"/>
  <x:c r="N578" i="35"/>
  <x:c r="O578" i="35"/>
  <x:c r="C579" i="35"/>
  <x:c r="D579" i="35"/>
  <x:c r="E579" i="35"/>
  <x:c r="F579" i="35"/>
  <x:c r="G579" i="35"/>
  <x:c r="H579" i="35"/>
  <x:c r="I579" i="35"/>
  <x:c r="J579" i="35"/>
  <x:c r="K579" i="35"/>
  <x:c r="L579" i="35"/>
  <x:c r="M579" i="35"/>
  <x:c r="N579" i="35"/>
  <x:c r="O579" i="35"/>
  <x:c r="C580" i="35"/>
  <x:c r="D580" i="35"/>
  <x:c r="E580" i="35"/>
  <x:c r="F580" i="35"/>
  <x:c r="G580" i="35"/>
  <x:c r="H580" i="35"/>
  <x:c r="I580" i="35"/>
  <x:c r="J580" i="35"/>
  <x:c r="K580" i="35"/>
  <x:c r="L580" i="35"/>
  <x:c r="M580" i="35"/>
  <x:c r="N580" i="35"/>
  <x:c r="O580" i="35"/>
  <x:c r="C581" i="35"/>
  <x:c r="D581" i="35"/>
  <x:c r="E581" i="35"/>
  <x:c r="F581" i="35"/>
  <x:c r="G581" i="35"/>
  <x:c r="H581" i="35"/>
  <x:c r="I581" i="35"/>
  <x:c r="J581" i="35"/>
  <x:c r="K581" i="35"/>
  <x:c r="L581" i="35"/>
  <x:c r="M581" i="35"/>
  <x:c r="N581" i="35"/>
  <x:c r="O581" i="35"/>
  <x:c r="C582" i="35"/>
  <x:c r="D582" i="35"/>
  <x:c r="E582" i="35"/>
  <x:c r="F582" i="35"/>
  <x:c r="G582" i="35"/>
  <x:c r="H582" i="35"/>
  <x:c r="I582" i="35"/>
  <x:c r="J582" i="35"/>
  <x:c r="K582" i="35"/>
  <x:c r="L582" i="35"/>
  <x:c r="M582" i="35"/>
  <x:c r="N582" i="35"/>
  <x:c r="O582" i="35"/>
  <x:c r="C583" i="35"/>
  <x:c r="D583" i="35"/>
  <x:c r="E583" i="35"/>
  <x:c r="F583" i="35"/>
  <x:c r="G583" i="35"/>
  <x:c r="H583" i="35"/>
  <x:c r="I583" i="35"/>
  <x:c r="J583" i="35"/>
  <x:c r="K583" i="35"/>
  <x:c r="L583" i="35"/>
  <x:c r="M583" i="35"/>
  <x:c r="N583" i="35"/>
  <x:c r="O583" i="35"/>
  <x:c r="C584" i="35"/>
  <x:c r="D584" i="35"/>
  <x:c r="E584" i="35"/>
  <x:c r="F584" i="35"/>
  <x:c r="G584" i="35"/>
  <x:c r="H584" i="35"/>
  <x:c r="I584" i="35"/>
  <x:c r="J584" i="35"/>
  <x:c r="K584" i="35"/>
  <x:c r="L584" i="35"/>
  <x:c r="M584" i="35"/>
  <x:c r="N584" i="35"/>
  <x:c r="O584" i="35"/>
  <x:c r="C585" i="35"/>
  <x:c r="D585" i="35"/>
  <x:c r="E585" i="35"/>
  <x:c r="F585" i="35"/>
  <x:c r="G585" i="35"/>
  <x:c r="H585" i="35"/>
  <x:c r="I585" i="35"/>
  <x:c r="J585" i="35"/>
  <x:c r="K585" i="35"/>
  <x:c r="L585" i="35"/>
  <x:c r="M585" i="35"/>
  <x:c r="N585" i="35"/>
  <x:c r="O585" i="35"/>
  <x:c r="C586" i="35"/>
  <x:c r="D586" i="35"/>
  <x:c r="E586" i="35"/>
  <x:c r="F586" i="35"/>
  <x:c r="G586" i="35"/>
  <x:c r="H586" i="35"/>
  <x:c r="I586" i="35"/>
  <x:c r="J586" i="35"/>
  <x:c r="K586" i="35"/>
  <x:c r="L586" i="35"/>
  <x:c r="M586" i="35"/>
  <x:c r="N586" i="35"/>
  <x:c r="O586" i="35"/>
  <x:c r="C587" i="35"/>
  <x:c r="D587" i="35"/>
  <x:c r="E587" i="35"/>
  <x:c r="F587" i="35"/>
  <x:c r="G587" i="35"/>
  <x:c r="H587" i="35"/>
  <x:c r="I587" i="35"/>
  <x:c r="J587" i="35"/>
  <x:c r="K587" i="35"/>
  <x:c r="L587" i="35"/>
  <x:c r="M587" i="35"/>
  <x:c r="N587" i="35"/>
  <x:c r="O587" i="35"/>
  <x:c r="C588" i="35"/>
  <x:c r="D588" i="35"/>
  <x:c r="E588" i="35"/>
  <x:c r="F588" i="35"/>
  <x:c r="G588" i="35"/>
  <x:c r="H588" i="35"/>
  <x:c r="I588" i="35"/>
  <x:c r="J588" i="35"/>
  <x:c r="K588" i="35"/>
  <x:c r="L588" i="35"/>
  <x:c r="M588" i="35"/>
  <x:c r="N588" i="35"/>
  <x:c r="O588" i="35"/>
  <x:c r="C589" i="35"/>
  <x:c r="D589" i="35"/>
  <x:c r="E589" i="35"/>
  <x:c r="F589" i="35"/>
  <x:c r="G589" i="35"/>
  <x:c r="H589" i="35"/>
  <x:c r="I589" i="35"/>
  <x:c r="J589" i="35"/>
  <x:c r="K589" i="35"/>
  <x:c r="L589" i="35"/>
  <x:c r="M589" i="35"/>
  <x:c r="N589" i="35"/>
  <x:c r="O589" i="35"/>
  <x:c r="C590" i="35"/>
  <x:c r="D590" i="35"/>
  <x:c r="E590" i="35"/>
  <x:c r="F590" i="35"/>
  <x:c r="G590" i="35"/>
  <x:c r="H590" i="35"/>
  <x:c r="I590" i="35"/>
  <x:c r="J590" i="35"/>
  <x:c r="K590" i="35"/>
  <x:c r="L590" i="35"/>
  <x:c r="M590" i="35"/>
  <x:c r="N590" i="35"/>
  <x:c r="O590" i="35"/>
  <x:c r="C591" i="35"/>
  <x:c r="D591" i="35"/>
  <x:c r="E591" i="35"/>
  <x:c r="F591" i="35"/>
  <x:c r="G591" i="35"/>
  <x:c r="H591" i="35"/>
  <x:c r="I591" i="35"/>
  <x:c r="J591" i="35"/>
  <x:c r="K591" i="35"/>
  <x:c r="L591" i="35"/>
  <x:c r="M591" i="35"/>
  <x:c r="N591" i="35"/>
  <x:c r="O591" i="35"/>
  <x:c r="C592" i="35"/>
  <x:c r="D592" i="35"/>
  <x:c r="E592" i="35"/>
  <x:c r="F592" i="35"/>
  <x:c r="G592" i="35"/>
  <x:c r="H592" i="35"/>
  <x:c r="I592" i="35"/>
  <x:c r="J592" i="35"/>
  <x:c r="K592" i="35"/>
  <x:c r="L592" i="35"/>
  <x:c r="M592" i="35"/>
  <x:c r="N592" i="35"/>
  <x:c r="O592" i="35"/>
  <x:c r="C593" i="35"/>
  <x:c r="D593" i="35"/>
  <x:c r="E593" i="35"/>
  <x:c r="F593" i="35"/>
  <x:c r="G593" i="35"/>
  <x:c r="H593" i="35"/>
  <x:c r="I593" i="35"/>
  <x:c r="J593" i="35"/>
  <x:c r="K593" i="35"/>
  <x:c r="L593" i="35"/>
  <x:c r="M593" i="35"/>
  <x:c r="N593" i="35"/>
  <x:c r="O593" i="35"/>
  <x:c r="C594" i="35"/>
  <x:c r="D594" i="35"/>
  <x:c r="E594" i="35"/>
  <x:c r="F594" i="35"/>
  <x:c r="G594" i="35"/>
  <x:c r="H594" i="35"/>
  <x:c r="I594" i="35"/>
  <x:c r="J594" i="35"/>
  <x:c r="K594" i="35"/>
  <x:c r="L594" i="35"/>
  <x:c r="M594" i="35"/>
  <x:c r="N594" i="35"/>
  <x:c r="O594" i="35"/>
  <x:c r="C595" i="35"/>
  <x:c r="D595" i="35"/>
  <x:c r="E595" i="35"/>
  <x:c r="F595" i="35"/>
  <x:c r="G595" i="35"/>
  <x:c r="H595" i="35"/>
  <x:c r="I595" i="35"/>
  <x:c r="J595" i="35"/>
  <x:c r="K595" i="35"/>
  <x:c r="L595" i="35"/>
  <x:c r="M595" i="35"/>
  <x:c r="N595" i="35"/>
  <x:c r="O595" i="35"/>
  <x:c r="C596" i="35"/>
  <x:c r="D596" i="35"/>
  <x:c r="E596" i="35"/>
  <x:c r="F596" i="35"/>
  <x:c r="G596" i="35"/>
  <x:c r="H596" i="35"/>
  <x:c r="I596" i="35"/>
  <x:c r="J596" i="35"/>
  <x:c r="K596" i="35"/>
  <x:c r="L596" i="35"/>
  <x:c r="M596" i="35"/>
  <x:c r="N596" i="35"/>
  <x:c r="O596" i="35"/>
  <x:c r="C597" i="35"/>
  <x:c r="D597" i="35"/>
  <x:c r="E597" i="35"/>
  <x:c r="F597" i="35"/>
  <x:c r="G597" i="35"/>
  <x:c r="H597" i="35"/>
  <x:c r="I597" i="35"/>
  <x:c r="J597" i="35"/>
  <x:c r="K597" i="35"/>
  <x:c r="L597" i="35"/>
  <x:c r="M597" i="35"/>
  <x:c r="N597" i="35"/>
  <x:c r="O597" i="35"/>
  <x:c r="C598" i="35"/>
  <x:c r="D598" i="35"/>
  <x:c r="E598" i="35"/>
  <x:c r="F598" i="35"/>
  <x:c r="G598" i="35"/>
  <x:c r="H598" i="35"/>
  <x:c r="I598" i="35"/>
  <x:c r="J598" i="35"/>
  <x:c r="K598" i="35"/>
  <x:c r="L598" i="35"/>
  <x:c r="M598" i="35"/>
  <x:c r="N598" i="35"/>
  <x:c r="O598" i="35"/>
  <x:c r="C599" i="35"/>
  <x:c r="D599" i="35"/>
  <x:c r="E599" i="35"/>
  <x:c r="F599" i="35"/>
  <x:c r="G599" i="35"/>
  <x:c r="H599" i="35"/>
  <x:c r="I599" i="35"/>
  <x:c r="J599" i="35"/>
  <x:c r="K599" i="35"/>
  <x:c r="L599" i="35"/>
  <x:c r="M599" i="35"/>
  <x:c r="N599" i="35"/>
  <x:c r="O599" i="35"/>
  <x:c r="C600" i="35"/>
  <x:c r="D600" i="35"/>
  <x:c r="E600" i="35"/>
  <x:c r="F600" i="35"/>
  <x:c r="G600" i="35"/>
  <x:c r="H600" i="35"/>
  <x:c r="I600" i="35"/>
  <x:c r="J600" i="35"/>
  <x:c r="K600" i="35"/>
  <x:c r="L600" i="35"/>
  <x:c r="M600" i="35"/>
  <x:c r="N600" i="35"/>
  <x:c r="O600" i="35"/>
  <x:c r="C601" i="35"/>
  <x:c r="D601" i="35"/>
  <x:c r="E601" i="35"/>
  <x:c r="F601" i="35"/>
  <x:c r="G601" i="35"/>
  <x:c r="H601" i="35"/>
  <x:c r="I601" i="35"/>
  <x:c r="J601" i="35"/>
  <x:c r="K601" i="35"/>
  <x:c r="L601" i="35"/>
  <x:c r="M601" i="35"/>
  <x:c r="N601" i="35"/>
  <x:c r="O601" i="35"/>
  <x:c r="C602" i="35"/>
  <x:c r="D602" i="35"/>
  <x:c r="E602" i="35"/>
  <x:c r="F602" i="35"/>
  <x:c r="G602" i="35"/>
  <x:c r="H602" i="35"/>
  <x:c r="I602" i="35"/>
  <x:c r="J602" i="35"/>
  <x:c r="K602" i="35"/>
  <x:c r="L602" i="35"/>
  <x:c r="M602" i="35"/>
  <x:c r="N602" i="35"/>
  <x:c r="O602" i="35"/>
  <x:c r="C603" i="35"/>
  <x:c r="D603" i="35"/>
  <x:c r="E603" i="35"/>
  <x:c r="F603" i="35"/>
  <x:c r="G603" i="35"/>
  <x:c r="H603" i="35"/>
  <x:c r="I603" i="35"/>
  <x:c r="J603" i="35"/>
  <x:c r="K603" i="35"/>
  <x:c r="L603" i="35"/>
  <x:c r="M603" i="35"/>
  <x:c r="N603" i="35"/>
  <x:c r="O603" i="35"/>
  <x:c r="C604" i="35"/>
  <x:c r="D604" i="35"/>
  <x:c r="E604" i="35"/>
  <x:c r="F604" i="35"/>
  <x:c r="G604" i="35"/>
  <x:c r="H604" i="35"/>
  <x:c r="I604" i="35"/>
  <x:c r="J604" i="35"/>
  <x:c r="K604" i="35"/>
  <x:c r="L604" i="35"/>
  <x:c r="M604" i="35"/>
  <x:c r="N604" i="35"/>
  <x:c r="O604" i="35"/>
  <x:c r="C605" i="35"/>
  <x:c r="D605" i="35"/>
  <x:c r="E605" i="35"/>
  <x:c r="F605" i="35"/>
  <x:c r="G605" i="35"/>
  <x:c r="H605" i="35"/>
  <x:c r="I605" i="35"/>
  <x:c r="J605" i="35"/>
  <x:c r="K605" i="35"/>
  <x:c r="L605" i="35"/>
  <x:c r="M605" i="35"/>
  <x:c r="N605" i="35"/>
  <x:c r="O605" i="35"/>
  <x:c r="C606" i="35"/>
  <x:c r="D606" i="35"/>
  <x:c r="E606" i="35"/>
  <x:c r="F606" i="35"/>
  <x:c r="G606" i="35"/>
  <x:c r="H606" i="35"/>
  <x:c r="I606" i="35"/>
  <x:c r="J606" i="35"/>
  <x:c r="K606" i="35"/>
  <x:c r="L606" i="35"/>
  <x:c r="M606" i="35"/>
  <x:c r="N606" i="35"/>
  <x:c r="O606" i="35"/>
  <x:c r="C607" i="35"/>
  <x:c r="D607" i="35"/>
  <x:c r="E607" i="35"/>
  <x:c r="F607" i="35"/>
  <x:c r="G607" i="35"/>
  <x:c r="H607" i="35"/>
  <x:c r="I607" i="35"/>
  <x:c r="J607" i="35"/>
  <x:c r="K607" i="35"/>
  <x:c r="L607" i="35"/>
  <x:c r="M607" i="35"/>
  <x:c r="N607" i="35"/>
  <x:c r="O607" i="35"/>
  <x:c r="C608" i="35"/>
  <x:c r="D608" i="35"/>
  <x:c r="E608" i="35"/>
  <x:c r="F608" i="35"/>
  <x:c r="G608" i="35"/>
  <x:c r="H608" i="35"/>
  <x:c r="I608" i="35"/>
  <x:c r="J608" i="35"/>
  <x:c r="K608" i="35"/>
  <x:c r="L608" i="35"/>
  <x:c r="M608" i="35"/>
  <x:c r="N608" i="35"/>
  <x:c r="O608" i="35"/>
  <x:c r="C609" i="35"/>
  <x:c r="D609" i="35"/>
  <x:c r="E609" i="35"/>
  <x:c r="F609" i="35"/>
  <x:c r="G609" i="35"/>
  <x:c r="H609" i="35"/>
  <x:c r="I609" i="35"/>
  <x:c r="J609" i="35"/>
  <x:c r="K609" i="35"/>
  <x:c r="L609" i="35"/>
  <x:c r="M609" i="35"/>
  <x:c r="N609" i="35"/>
  <x:c r="O609" i="35"/>
  <x:c r="C610" i="35"/>
  <x:c r="D610" i="35"/>
  <x:c r="E610" i="35"/>
  <x:c r="F610" i="35"/>
  <x:c r="G610" i="35"/>
  <x:c r="H610" i="35"/>
  <x:c r="I610" i="35"/>
  <x:c r="J610" i="35"/>
  <x:c r="K610" i="35"/>
  <x:c r="L610" i="35"/>
  <x:c r="M610" i="35"/>
  <x:c r="N610" i="35"/>
  <x:c r="O610" i="35"/>
  <x:c r="C611" i="35"/>
  <x:c r="D611" i="35"/>
  <x:c r="E611" i="35"/>
  <x:c r="F611" i="35"/>
  <x:c r="G611" i="35"/>
  <x:c r="H611" i="35"/>
  <x:c r="I611" i="35"/>
  <x:c r="J611" i="35"/>
  <x:c r="K611" i="35"/>
  <x:c r="L611" i="35"/>
  <x:c r="M611" i="35"/>
  <x:c r="N611" i="35"/>
  <x:c r="O611" i="35"/>
  <x:c r="C612" i="35"/>
  <x:c r="D612" i="35"/>
  <x:c r="E612" i="35"/>
  <x:c r="F612" i="35"/>
  <x:c r="G612" i="35"/>
  <x:c r="H612" i="35"/>
  <x:c r="I612" i="35"/>
  <x:c r="J612" i="35"/>
  <x:c r="K612" i="35"/>
  <x:c r="L612" i="35"/>
  <x:c r="M612" i="35"/>
  <x:c r="N612" i="35"/>
  <x:c r="O612" i="35"/>
  <x:c r="C613" i="35"/>
  <x:c r="D613" i="35"/>
  <x:c r="E613" i="35"/>
  <x:c r="F613" i="35"/>
  <x:c r="G613" i="35"/>
  <x:c r="H613" i="35"/>
  <x:c r="I613" i="35"/>
  <x:c r="J613" i="35"/>
  <x:c r="K613" i="35"/>
  <x:c r="L613" i="35"/>
  <x:c r="M613" i="35"/>
  <x:c r="N613" i="35"/>
  <x:c r="O613" i="35"/>
  <x:c r="C614" i="35"/>
  <x:c r="D614" i="35"/>
  <x:c r="E614" i="35"/>
  <x:c r="F614" i="35"/>
  <x:c r="G614" i="35"/>
  <x:c r="H614" i="35"/>
  <x:c r="I614" i="35"/>
  <x:c r="J614" i="35"/>
  <x:c r="K614" i="35"/>
  <x:c r="L614" i="35"/>
  <x:c r="M614" i="35"/>
  <x:c r="N614" i="35"/>
  <x:c r="O614" i="35"/>
  <x:c r="C615" i="35"/>
  <x:c r="D615" i="35"/>
  <x:c r="E615" i="35"/>
  <x:c r="F615" i="35"/>
  <x:c r="G615" i="35"/>
  <x:c r="H615" i="35"/>
  <x:c r="I615" i="35"/>
  <x:c r="J615" i="35"/>
  <x:c r="K615" i="35"/>
  <x:c r="L615" i="35"/>
  <x:c r="M615" i="35"/>
  <x:c r="N615" i="35"/>
  <x:c r="O615" i="35"/>
  <x:c r="S615" i="35"/>
  <x:c r="C616" i="35"/>
  <x:c r="D616" i="35"/>
  <x:c r="E616" i="35"/>
  <x:c r="F616" i="35"/>
  <x:c r="G616" i="35"/>
  <x:c r="H616" i="35"/>
  <x:c r="I616" i="35"/>
  <x:c r="J616" i="35"/>
  <x:c r="K616" i="35"/>
  <x:c r="L616" i="35"/>
  <x:c r="M616" i="35"/>
  <x:c r="N616" i="35"/>
  <x:c r="O616" i="35"/>
  <x:c r="C617" i="35"/>
  <x:c r="D617" i="35"/>
  <x:c r="E617" i="35"/>
  <x:c r="F617" i="35"/>
  <x:c r="G617" i="35"/>
  <x:c r="H617" i="35"/>
  <x:c r="I617" i="35"/>
  <x:c r="J617" i="35"/>
  <x:c r="K617" i="35"/>
  <x:c r="L617" i="35"/>
  <x:c r="M617" i="35"/>
  <x:c r="N617" i="35"/>
  <x:c r="O617" i="35"/>
  <x:c r="C618" i="35"/>
  <x:c r="D618" i="35"/>
  <x:c r="E618" i="35"/>
  <x:c r="F618" i="35"/>
  <x:c r="G618" i="35"/>
  <x:c r="H618" i="35"/>
  <x:c r="I618" i="35"/>
  <x:c r="J618" i="35"/>
  <x:c r="K618" i="35"/>
  <x:c r="L618" i="35"/>
  <x:c r="M618" i="35"/>
  <x:c r="N618" i="35"/>
  <x:c r="O618" i="35"/>
  <x:c r="C619" i="35"/>
  <x:c r="D619" i="35"/>
  <x:c r="E619" i="35"/>
  <x:c r="F619" i="35"/>
  <x:c r="G619" i="35"/>
  <x:c r="H619" i="35"/>
  <x:c r="I619" i="35"/>
  <x:c r="J619" i="35"/>
  <x:c r="K619" i="35"/>
  <x:c r="L619" i="35"/>
  <x:c r="M619" i="35"/>
  <x:c r="N619" i="35"/>
  <x:c r="O619" i="35"/>
  <x:c r="C620" i="35"/>
  <x:c r="D620" i="35"/>
  <x:c r="E620" i="35"/>
  <x:c r="F620" i="35"/>
  <x:c r="G620" i="35"/>
  <x:c r="H620" i="35"/>
  <x:c r="I620" i="35"/>
  <x:c r="J620" i="35"/>
  <x:c r="K620" i="35"/>
  <x:c r="L620" i="35"/>
  <x:c r="M620" i="35"/>
  <x:c r="N620" i="35"/>
  <x:c r="O620" i="35"/>
  <x:c r="C621" i="35"/>
  <x:c r="D621" i="35"/>
  <x:c r="E621" i="35"/>
  <x:c r="F621" i="35"/>
  <x:c r="G621" i="35"/>
  <x:c r="H621" i="35"/>
  <x:c r="I621" i="35"/>
  <x:c r="J621" i="35"/>
  <x:c r="K621" i="35"/>
  <x:c r="L621" i="35"/>
  <x:c r="M621" i="35"/>
  <x:c r="N621" i="35"/>
  <x:c r="O621" i="35"/>
  <x:c r="C622" i="35"/>
  <x:c r="D622" i="35"/>
  <x:c r="E622" i="35"/>
  <x:c r="F622" i="35"/>
  <x:c r="G622" i="35"/>
  <x:c r="H622" i="35"/>
  <x:c r="I622" i="35"/>
  <x:c r="J622" i="35"/>
  <x:c r="K622" i="35"/>
  <x:c r="L622" i="35"/>
  <x:c r="M622" i="35"/>
  <x:c r="N622" i="35"/>
  <x:c r="O622" i="35"/>
  <x:c r="C623" i="35"/>
  <x:c r="D623" i="35"/>
  <x:c r="E623" i="35"/>
  <x:c r="F623" i="35"/>
  <x:c r="G623" i="35"/>
  <x:c r="H623" i="35"/>
  <x:c r="I623" i="35"/>
  <x:c r="J623" i="35"/>
  <x:c r="K623" i="35"/>
  <x:c r="L623" i="35"/>
  <x:c r="M623" i="35"/>
  <x:c r="N623" i="35"/>
  <x:c r="O623" i="35"/>
  <x:c r="C624" i="35"/>
  <x:c r="D624" i="35"/>
  <x:c r="E624" i="35"/>
  <x:c r="F624" i="35"/>
  <x:c r="G624" i="35"/>
  <x:c r="H624" i="35"/>
  <x:c r="I624" i="35"/>
  <x:c r="J624" i="35"/>
  <x:c r="K624" i="35"/>
  <x:c r="L624" i="35"/>
  <x:c r="M624" i="35"/>
  <x:c r="N624" i="35"/>
  <x:c r="O624" i="35"/>
  <x:c r="C625" i="35"/>
  <x:c r="D625" i="35"/>
  <x:c r="E625" i="35"/>
  <x:c r="F625" i="35"/>
  <x:c r="G625" i="35"/>
  <x:c r="H625" i="35"/>
  <x:c r="I625" i="35"/>
  <x:c r="J625" i="35"/>
  <x:c r="K625" i="35"/>
  <x:c r="L625" i="35"/>
  <x:c r="M625" i="35"/>
  <x:c r="N625" i="35"/>
  <x:c r="O625" i="35"/>
  <x:c r="C626" i="35"/>
  <x:c r="D626" i="35"/>
  <x:c r="E626" i="35"/>
  <x:c r="F626" i="35"/>
  <x:c r="G626" i="35"/>
  <x:c r="H626" i="35"/>
  <x:c r="I626" i="35"/>
  <x:c r="J626" i="35"/>
  <x:c r="K626" i="35"/>
  <x:c r="L626" i="35"/>
  <x:c r="M626" i="35"/>
  <x:c r="N626" i="35"/>
  <x:c r="O626" i="35"/>
  <x:c r="S626" i="35"/>
  <x:c r="C627" i="35"/>
  <x:c r="D627" i="35"/>
  <x:c r="E627" i="35"/>
  <x:c r="F627" i="35"/>
  <x:c r="G627" i="35"/>
  <x:c r="H627" i="35"/>
  <x:c r="I627" i="35"/>
  <x:c r="J627" i="35"/>
  <x:c r="K627" i="35"/>
  <x:c r="L627" i="35"/>
  <x:c r="M627" i="35"/>
  <x:c r="N627" i="35"/>
  <x:c r="O627" i="35"/>
  <x:c r="C628" i="35"/>
  <x:c r="D628" i="35"/>
  <x:c r="E628" i="35"/>
  <x:c r="F628" i="35"/>
  <x:c r="G628" i="35"/>
  <x:c r="H628" i="35"/>
  <x:c r="I628" i="35"/>
  <x:c r="J628" i="35"/>
  <x:c r="K628" i="35"/>
  <x:c r="L628" i="35"/>
  <x:c r="M628" i="35"/>
  <x:c r="N628" i="35"/>
  <x:c r="O628" i="35"/>
  <x:c r="C629" i="35"/>
  <x:c r="D629" i="35"/>
  <x:c r="E629" i="35"/>
  <x:c r="F629" i="35"/>
  <x:c r="G629" i="35"/>
  <x:c r="H629" i="35"/>
  <x:c r="I629" i="35"/>
  <x:c r="J629" i="35"/>
  <x:c r="K629" i="35"/>
  <x:c r="L629" i="35"/>
  <x:c r="M629" i="35"/>
  <x:c r="N629" i="35"/>
  <x:c r="O629" i="35"/>
  <x:c r="C630" i="35"/>
  <x:c r="D630" i="35"/>
  <x:c r="E630" i="35"/>
  <x:c r="F630" i="35"/>
  <x:c r="G630" i="35"/>
  <x:c r="H630" i="35"/>
  <x:c r="I630" i="35"/>
  <x:c r="J630" i="35"/>
  <x:c r="K630" i="35"/>
  <x:c r="L630" i="35"/>
  <x:c r="M630" i="35"/>
  <x:c r="N630" i="35"/>
  <x:c r="O630" i="35"/>
  <x:c r="C631" i="35"/>
  <x:c r="D631" i="35"/>
  <x:c r="E631" i="35"/>
  <x:c r="F631" i="35"/>
  <x:c r="G631" i="35"/>
  <x:c r="H631" i="35"/>
  <x:c r="I631" i="35"/>
  <x:c r="J631" i="35"/>
  <x:c r="K631" i="35"/>
  <x:c r="L631" i="35"/>
  <x:c r="M631" i="35"/>
  <x:c r="N631" i="35"/>
  <x:c r="O631" i="35"/>
  <x:c r="C632" i="35"/>
  <x:c r="D632" i="35"/>
  <x:c r="E632" i="35"/>
  <x:c r="F632" i="35"/>
  <x:c r="G632" i="35"/>
  <x:c r="H632" i="35"/>
  <x:c r="I632" i="35"/>
  <x:c r="J632" i="35"/>
  <x:c r="K632" i="35"/>
  <x:c r="L632" i="35"/>
  <x:c r="M632" i="35"/>
  <x:c r="N632" i="35"/>
  <x:c r="O632" i="35"/>
  <x:c r="C633" i="35"/>
  <x:c r="D633" i="35"/>
  <x:c r="E633" i="35"/>
  <x:c r="F633" i="35"/>
  <x:c r="G633" i="35"/>
  <x:c r="H633" i="35"/>
  <x:c r="I633" i="35"/>
  <x:c r="J633" i="35"/>
  <x:c r="K633" i="35"/>
  <x:c r="L633" i="35"/>
  <x:c r="M633" i="35"/>
  <x:c r="N633" i="35"/>
  <x:c r="O633" i="35"/>
  <x:c r="C634" i="35"/>
  <x:c r="D634" i="35"/>
  <x:c r="E634" i="35"/>
  <x:c r="F634" i="35"/>
  <x:c r="G634" i="35"/>
  <x:c r="H634" i="35"/>
  <x:c r="I634" i="35"/>
  <x:c r="J634" i="35"/>
  <x:c r="K634" i="35"/>
  <x:c r="L634" i="35"/>
  <x:c r="M634" i="35"/>
  <x:c r="N634" i="35"/>
  <x:c r="O634" i="35"/>
  <x:c r="C635" i="35"/>
  <x:c r="D635" i="35"/>
  <x:c r="E635" i="35"/>
  <x:c r="F635" i="35"/>
  <x:c r="G635" i="35"/>
  <x:c r="H635" i="35"/>
  <x:c r="I635" i="35"/>
  <x:c r="J635" i="35"/>
  <x:c r="K635" i="35"/>
  <x:c r="L635" i="35"/>
  <x:c r="M635" i="35"/>
  <x:c r="N635" i="35"/>
  <x:c r="O635" i="35"/>
  <x:c r="C636" i="35"/>
  <x:c r="D636" i="35"/>
  <x:c r="E636" i="35"/>
  <x:c r="F636" i="35"/>
  <x:c r="G636" i="35"/>
  <x:c r="H636" i="35"/>
  <x:c r="I636" i="35"/>
  <x:c r="J636" i="35"/>
  <x:c r="K636" i="35"/>
  <x:c r="L636" i="35"/>
  <x:c r="M636" i="35"/>
  <x:c r="N636" i="35"/>
  <x:c r="O636" i="35"/>
  <x:c r="C637" i="35"/>
  <x:c r="D637" i="35"/>
  <x:c r="E637" i="35"/>
  <x:c r="F637" i="35"/>
  <x:c r="G637" i="35"/>
  <x:c r="H637" i="35"/>
  <x:c r="I637" i="35"/>
  <x:c r="J637" i="35"/>
  <x:c r="K637" i="35"/>
  <x:c r="L637" i="35"/>
  <x:c r="M637" i="35"/>
  <x:c r="N637" i="35"/>
  <x:c r="O637" i="35"/>
  <x:c r="C638" i="35"/>
  <x:c r="D638" i="35"/>
  <x:c r="E638" i="35"/>
  <x:c r="F638" i="35"/>
  <x:c r="G638" i="35"/>
  <x:c r="H638" i="35"/>
  <x:c r="I638" i="35"/>
  <x:c r="J638" i="35"/>
  <x:c r="K638" i="35"/>
  <x:c r="L638" i="35"/>
  <x:c r="M638" i="35"/>
  <x:c r="N638" i="35"/>
  <x:c r="O638" i="35"/>
  <x:c r="C639" i="35"/>
  <x:c r="D639" i="35"/>
  <x:c r="E639" i="35"/>
  <x:c r="F639" i="35"/>
  <x:c r="G639" i="35"/>
  <x:c r="H639" i="35"/>
  <x:c r="I639" i="35"/>
  <x:c r="J639" i="35"/>
  <x:c r="K639" i="35"/>
  <x:c r="L639" i="35"/>
  <x:c r="M639" i="35"/>
  <x:c r="N639" i="35"/>
  <x:c r="O639" i="35"/>
  <x:c r="C640" i="35"/>
  <x:c r="D640" i="35"/>
  <x:c r="E640" i="35"/>
  <x:c r="F640" i="35"/>
  <x:c r="G640" i="35"/>
  <x:c r="H640" i="35"/>
  <x:c r="I640" i="35"/>
  <x:c r="J640" i="35"/>
  <x:c r="K640" i="35"/>
  <x:c r="L640" i="35"/>
  <x:c r="M640" i="35"/>
  <x:c r="N640" i="35"/>
  <x:c r="O640" i="35"/>
  <x:c r="C641" i="35"/>
  <x:c r="D641" i="35"/>
  <x:c r="E641" i="35"/>
  <x:c r="F641" i="35"/>
  <x:c r="G641" i="35"/>
  <x:c r="H641" i="35"/>
  <x:c r="I641" i="35"/>
  <x:c r="J641" i="35"/>
  <x:c r="K641" i="35"/>
  <x:c r="L641" i="35"/>
  <x:c r="M641" i="35"/>
  <x:c r="N641" i="35"/>
  <x:c r="O641" i="35"/>
  <x:c r="C642" i="35"/>
  <x:c r="D642" i="35"/>
  <x:c r="E642" i="35"/>
  <x:c r="F642" i="35"/>
  <x:c r="G642" i="35"/>
  <x:c r="H642" i="35"/>
  <x:c r="I642" i="35"/>
  <x:c r="J642" i="35"/>
  <x:c r="K642" i="35"/>
  <x:c r="L642" i="35"/>
  <x:c r="M642" i="35"/>
  <x:c r="N642" i="35"/>
  <x:c r="O642" i="35"/>
  <x:c r="C643" i="35"/>
  <x:c r="D643" i="35"/>
  <x:c r="E643" i="35"/>
  <x:c r="F643" i="35"/>
  <x:c r="G643" i="35"/>
  <x:c r="H643" i="35"/>
  <x:c r="I643" i="35"/>
  <x:c r="J643" i="35"/>
  <x:c r="K643" i="35"/>
  <x:c r="L643" i="35"/>
  <x:c r="M643" i="35"/>
  <x:c r="N643" i="35"/>
  <x:c r="O643" i="35"/>
  <x:c r="C644" i="35"/>
  <x:c r="D644" i="35"/>
  <x:c r="E644" i="35"/>
  <x:c r="F644" i="35"/>
  <x:c r="G644" i="35"/>
  <x:c r="H644" i="35"/>
  <x:c r="I644" i="35"/>
  <x:c r="J644" i="35"/>
  <x:c r="K644" i="35"/>
  <x:c r="L644" i="35"/>
  <x:c r="M644" i="35"/>
  <x:c r="N644" i="35"/>
  <x:c r="O644" i="35"/>
  <x:c r="C645" i="35"/>
  <x:c r="D645" i="35"/>
  <x:c r="E645" i="35"/>
  <x:c r="F645" i="35"/>
  <x:c r="G645" i="35"/>
  <x:c r="H645" i="35"/>
  <x:c r="I645" i="35"/>
  <x:c r="J645" i="35"/>
  <x:c r="K645" i="35"/>
  <x:c r="L645" i="35"/>
  <x:c r="M645" i="35"/>
  <x:c r="N645" i="35"/>
  <x:c r="O645" i="35"/>
  <x:c r="C646" i="35"/>
  <x:c r="D646" i="35"/>
  <x:c r="E646" i="35"/>
  <x:c r="F646" i="35"/>
  <x:c r="G646" i="35"/>
  <x:c r="H646" i="35"/>
  <x:c r="I646" i="35"/>
  <x:c r="J646" i="35"/>
  <x:c r="K646" i="35"/>
  <x:c r="L646" i="35"/>
  <x:c r="M646" i="35"/>
  <x:c r="N646" i="35"/>
  <x:c r="O646" i="35"/>
  <x:c r="C647" i="35"/>
  <x:c r="D647" i="35"/>
  <x:c r="E647" i="35"/>
  <x:c r="F647" i="35"/>
  <x:c r="G647" i="35"/>
  <x:c r="H647" i="35"/>
  <x:c r="I647" i="35"/>
  <x:c r="J647" i="35"/>
  <x:c r="K647" i="35"/>
  <x:c r="L647" i="35"/>
  <x:c r="M647" i="35"/>
  <x:c r="N647" i="35"/>
  <x:c r="O647" i="35"/>
  <x:c r="C648" i="35"/>
  <x:c r="D648" i="35"/>
  <x:c r="E648" i="35"/>
  <x:c r="F648" i="35"/>
  <x:c r="G648" i="35"/>
  <x:c r="H648" i="35"/>
  <x:c r="I648" i="35"/>
  <x:c r="J648" i="35"/>
  <x:c r="K648" i="35"/>
  <x:c r="L648" i="35"/>
  <x:c r="M648" i="35"/>
  <x:c r="N648" i="35"/>
  <x:c r="O648" i="35"/>
  <x:c r="C649" i="35"/>
  <x:c r="D649" i="35"/>
  <x:c r="E649" i="35"/>
  <x:c r="F649" i="35"/>
  <x:c r="G649" i="35"/>
  <x:c r="H649" i="35"/>
  <x:c r="I649" i="35"/>
  <x:c r="J649" i="35"/>
  <x:c r="K649" i="35"/>
  <x:c r="L649" i="35"/>
  <x:c r="M649" i="35"/>
  <x:c r="N649" i="35"/>
  <x:c r="O649" i="35"/>
  <x:c r="C650" i="35"/>
  <x:c r="D650" i="35"/>
  <x:c r="E650" i="35"/>
  <x:c r="F650" i="35"/>
  <x:c r="G650" i="35"/>
  <x:c r="H650" i="35"/>
  <x:c r="I650" i="35"/>
  <x:c r="J650" i="35"/>
  <x:c r="K650" i="35"/>
  <x:c r="L650" i="35"/>
  <x:c r="M650" i="35"/>
  <x:c r="N650" i="35"/>
  <x:c r="O650" i="35"/>
  <x:c r="C651" i="35"/>
  <x:c r="D651" i="35"/>
  <x:c r="E651" i="35"/>
  <x:c r="F651" i="35"/>
  <x:c r="G651" i="35"/>
  <x:c r="H651" i="35"/>
  <x:c r="I651" i="35"/>
  <x:c r="J651" i="35"/>
  <x:c r="K651" i="35"/>
  <x:c r="L651" i="35"/>
  <x:c r="M651" i="35"/>
  <x:c r="N651" i="35"/>
  <x:c r="O651" i="35"/>
  <x:c r="C652" i="35"/>
  <x:c r="D652" i="35"/>
  <x:c r="E652" i="35"/>
  <x:c r="F652" i="35"/>
  <x:c r="G652" i="35"/>
  <x:c r="H652" i="35"/>
  <x:c r="I652" i="35"/>
  <x:c r="J652" i="35"/>
  <x:c r="K652" i="35"/>
  <x:c r="L652" i="35"/>
  <x:c r="M652" i="35"/>
  <x:c r="N652" i="35"/>
  <x:c r="O652" i="35"/>
  <x:c r="C653" i="35"/>
  <x:c r="D653" i="35"/>
  <x:c r="E653" i="35"/>
  <x:c r="F653" i="35"/>
  <x:c r="G653" i="35"/>
  <x:c r="H653" i="35"/>
  <x:c r="I653" i="35"/>
  <x:c r="J653" i="35"/>
  <x:c r="K653" i="35"/>
  <x:c r="L653" i="35"/>
  <x:c r="M653" i="35"/>
  <x:c r="N653" i="35"/>
  <x:c r="O653" i="35"/>
  <x:c r="S653" i="35"/>
  <x:c r="C654" i="35"/>
  <x:c r="D654" i="35"/>
  <x:c r="E654" i="35"/>
  <x:c r="F654" i="35"/>
  <x:c r="G654" i="35"/>
  <x:c r="H654" i="35"/>
  <x:c r="I654" i="35"/>
  <x:c r="J654" i="35"/>
  <x:c r="K654" i="35"/>
  <x:c r="L654" i="35"/>
  <x:c r="M654" i="35"/>
  <x:c r="N654" i="35"/>
  <x:c r="O654" i="35"/>
  <x:c r="C655" i="35"/>
  <x:c r="D655" i="35"/>
  <x:c r="E655" i="35"/>
  <x:c r="F655" i="35"/>
  <x:c r="G655" i="35"/>
  <x:c r="H655" i="35"/>
  <x:c r="I655" i="35"/>
  <x:c r="J655" i="35"/>
  <x:c r="K655" i="35"/>
  <x:c r="L655" i="35"/>
  <x:c r="M655" i="35"/>
  <x:c r="N655" i="35"/>
  <x:c r="O655" i="35"/>
  <x:c r="C656" i="35"/>
  <x:c r="D656" i="35"/>
  <x:c r="E656" i="35"/>
  <x:c r="F656" i="35"/>
  <x:c r="G656" i="35"/>
  <x:c r="H656" i="35"/>
  <x:c r="I656" i="35"/>
  <x:c r="J656" i="35"/>
  <x:c r="K656" i="35"/>
  <x:c r="L656" i="35"/>
  <x:c r="M656" i="35"/>
  <x:c r="N656" i="35"/>
  <x:c r="O656" i="35"/>
  <x:c r="C657" i="35"/>
  <x:c r="D657" i="35"/>
  <x:c r="E657" i="35"/>
  <x:c r="F657" i="35"/>
  <x:c r="G657" i="35"/>
  <x:c r="H657" i="35"/>
  <x:c r="I657" i="35"/>
  <x:c r="J657" i="35"/>
  <x:c r="K657" i="35"/>
  <x:c r="L657" i="35"/>
  <x:c r="M657" i="35"/>
  <x:c r="N657" i="35"/>
  <x:c r="O657" i="35"/>
  <x:c r="C658" i="35"/>
  <x:c r="D658" i="35"/>
  <x:c r="E658" i="35"/>
  <x:c r="F658" i="35"/>
  <x:c r="G658" i="35"/>
  <x:c r="H658" i="35"/>
  <x:c r="I658" i="35"/>
  <x:c r="J658" i="35"/>
  <x:c r="K658" i="35"/>
  <x:c r="L658" i="35"/>
  <x:c r="M658" i="35"/>
  <x:c r="N658" i="35"/>
  <x:c r="O658" i="35"/>
  <x:c r="C659" i="35"/>
  <x:c r="D659" i="35"/>
  <x:c r="E659" i="35"/>
  <x:c r="F659" i="35"/>
  <x:c r="G659" i="35"/>
  <x:c r="H659" i="35"/>
  <x:c r="I659" i="35"/>
  <x:c r="J659" i="35"/>
  <x:c r="K659" i="35"/>
  <x:c r="L659" i="35"/>
  <x:c r="M659" i="35"/>
  <x:c r="N659" i="35"/>
  <x:c r="O659" i="35"/>
  <x:c r="C660" i="35"/>
  <x:c r="D660" i="35"/>
  <x:c r="E660" i="35"/>
  <x:c r="F660" i="35"/>
  <x:c r="G660" i="35"/>
  <x:c r="H660" i="35"/>
  <x:c r="I660" i="35"/>
  <x:c r="J660" i="35"/>
  <x:c r="K660" i="35"/>
  <x:c r="L660" i="35"/>
  <x:c r="M660" i="35"/>
  <x:c r="N660" i="35"/>
  <x:c r="O660" i="35"/>
  <x:c r="C661" i="35"/>
  <x:c r="D661" i="35"/>
  <x:c r="E661" i="35"/>
  <x:c r="F661" i="35"/>
  <x:c r="G661" i="35"/>
  <x:c r="H661" i="35"/>
  <x:c r="I661" i="35"/>
  <x:c r="J661" i="35"/>
  <x:c r="K661" i="35"/>
  <x:c r="L661" i="35"/>
  <x:c r="M661" i="35"/>
  <x:c r="N661" i="35"/>
  <x:c r="O661" i="35"/>
  <x:c r="C662" i="35"/>
  <x:c r="D662" i="35"/>
  <x:c r="E662" i="35"/>
  <x:c r="F662" i="35"/>
  <x:c r="G662" i="35"/>
  <x:c r="H662" i="35"/>
  <x:c r="I662" i="35"/>
  <x:c r="J662" i="35"/>
  <x:c r="K662" i="35"/>
  <x:c r="L662" i="35"/>
  <x:c r="M662" i="35"/>
  <x:c r="N662" i="35"/>
  <x:c r="O662" i="35"/>
  <x:c r="C663" i="35"/>
  <x:c r="D663" i="35"/>
  <x:c r="E663" i="35"/>
  <x:c r="F663" i="35"/>
  <x:c r="G663" i="35"/>
  <x:c r="H663" i="35"/>
  <x:c r="I663" i="35"/>
  <x:c r="J663" i="35"/>
  <x:c r="K663" i="35"/>
  <x:c r="L663" i="35"/>
  <x:c r="M663" i="35"/>
  <x:c r="N663" i="35"/>
  <x:c r="O663" i="35"/>
  <x:c r="S663" i="35"/>
  <x:c r="C664" i="35"/>
  <x:c r="D664" i="35"/>
  <x:c r="E664" i="35"/>
  <x:c r="F664" i="35"/>
  <x:c r="G664" i="35"/>
  <x:c r="H664" i="35"/>
  <x:c r="I664" i="35"/>
  <x:c r="J664" i="35"/>
  <x:c r="K664" i="35"/>
  <x:c r="L664" i="35"/>
  <x:c r="M664" i="35"/>
  <x:c r="N664" i="35"/>
  <x:c r="O664" i="35"/>
  <x:c r="C665" i="35"/>
  <x:c r="D665" i="35"/>
  <x:c r="E665" i="35"/>
  <x:c r="F665" i="35"/>
  <x:c r="G665" i="35"/>
  <x:c r="H665" i="35"/>
  <x:c r="I665" i="35"/>
  <x:c r="J665" i="35"/>
  <x:c r="K665" i="35"/>
  <x:c r="L665" i="35"/>
  <x:c r="M665" i="35"/>
  <x:c r="N665" i="35"/>
  <x:c r="O665" i="35"/>
  <x:c r="C666" i="35"/>
  <x:c r="D666" i="35"/>
  <x:c r="E666" i="35"/>
  <x:c r="F666" i="35"/>
  <x:c r="G666" i="35"/>
  <x:c r="H666" i="35"/>
  <x:c r="I666" i="35"/>
  <x:c r="J666" i="35"/>
  <x:c r="K666" i="35"/>
  <x:c r="L666" i="35"/>
  <x:c r="M666" i="35"/>
  <x:c r="N666" i="35"/>
  <x:c r="O666" i="35"/>
  <x:c r="C667" i="35"/>
  <x:c r="D667" i="35"/>
  <x:c r="E667" i="35"/>
  <x:c r="F667" i="35"/>
  <x:c r="G667" i="35"/>
  <x:c r="H667" i="35"/>
  <x:c r="I667" i="35"/>
  <x:c r="J667" i="35"/>
  <x:c r="K667" i="35"/>
  <x:c r="L667" i="35"/>
  <x:c r="M667" i="35"/>
  <x:c r="N667" i="35"/>
  <x:c r="O667" i="35"/>
  <x:c r="C668" i="35"/>
  <x:c r="D668" i="35"/>
  <x:c r="E668" i="35"/>
  <x:c r="F668" i="35"/>
  <x:c r="G668" i="35"/>
  <x:c r="H668" i="35"/>
  <x:c r="I668" i="35"/>
  <x:c r="J668" i="35"/>
  <x:c r="K668" i="35"/>
  <x:c r="L668" i="35"/>
  <x:c r="M668" i="35"/>
  <x:c r="N668" i="35"/>
  <x:c r="O668" i="35"/>
  <x:c r="C669" i="35"/>
  <x:c r="D669" i="35"/>
  <x:c r="E669" i="35"/>
  <x:c r="F669" i="35"/>
  <x:c r="G669" i="35"/>
  <x:c r="H669" i="35"/>
  <x:c r="I669" i="35"/>
  <x:c r="J669" i="35"/>
  <x:c r="K669" i="35"/>
  <x:c r="L669" i="35"/>
  <x:c r="M669" i="35"/>
  <x:c r="N669" i="35"/>
  <x:c r="O669" i="35"/>
  <x:c r="C670" i="35"/>
  <x:c r="D670" i="35"/>
  <x:c r="E670" i="35"/>
  <x:c r="F670" i="35"/>
  <x:c r="G670" i="35"/>
  <x:c r="H670" i="35"/>
  <x:c r="I670" i="35"/>
  <x:c r="J670" i="35"/>
  <x:c r="K670" i="35"/>
  <x:c r="L670" i="35"/>
  <x:c r="M670" i="35"/>
  <x:c r="N670" i="35"/>
  <x:c r="O670" i="35"/>
  <x:c r="C671" i="35"/>
  <x:c r="D671" i="35"/>
  <x:c r="E671" i="35"/>
  <x:c r="F671" i="35"/>
  <x:c r="G671" i="35"/>
  <x:c r="H671" i="35"/>
  <x:c r="I671" i="35"/>
  <x:c r="J671" i="35"/>
  <x:c r="K671" i="35"/>
  <x:c r="L671" i="35"/>
  <x:c r="M671" i="35"/>
  <x:c r="N671" i="35"/>
  <x:c r="O671" i="35"/>
  <x:c r="C672" i="35"/>
  <x:c r="D672" i="35"/>
  <x:c r="E672" i="35"/>
  <x:c r="F672" i="35"/>
  <x:c r="G672" i="35"/>
  <x:c r="H672" i="35"/>
  <x:c r="I672" i="35"/>
  <x:c r="J672" i="35"/>
  <x:c r="K672" i="35"/>
  <x:c r="L672" i="35"/>
  <x:c r="M672" i="35"/>
  <x:c r="N672" i="35"/>
  <x:c r="O672" i="35"/>
  <x:c r="C673" i="35"/>
  <x:c r="D673" i="35"/>
  <x:c r="E673" i="35"/>
  <x:c r="F673" i="35"/>
  <x:c r="G673" i="35"/>
  <x:c r="H673" i="35"/>
  <x:c r="I673" i="35"/>
  <x:c r="J673" i="35"/>
  <x:c r="K673" i="35"/>
  <x:c r="L673" i="35"/>
  <x:c r="M673" i="35"/>
  <x:c r="N673" i="35"/>
  <x:c r="O673" i="35"/>
  <x:c r="C674" i="35"/>
  <x:c r="D674" i="35"/>
  <x:c r="E674" i="35"/>
  <x:c r="F674" i="35"/>
  <x:c r="G674" i="35"/>
  <x:c r="H674" i="35"/>
  <x:c r="I674" i="35"/>
  <x:c r="J674" i="35"/>
  <x:c r="K674" i="35"/>
  <x:c r="L674" i="35"/>
  <x:c r="M674" i="35"/>
  <x:c r="N674" i="35"/>
  <x:c r="O674" i="35"/>
  <x:c r="C675" i="35"/>
  <x:c r="D675" i="35"/>
  <x:c r="E675" i="35"/>
  <x:c r="F675" i="35"/>
  <x:c r="G675" i="35"/>
  <x:c r="H675" i="35"/>
  <x:c r="I675" i="35"/>
  <x:c r="J675" i="35"/>
  <x:c r="K675" i="35"/>
  <x:c r="L675" i="35"/>
  <x:c r="M675" i="35"/>
  <x:c r="N675" i="35"/>
  <x:c r="O675" i="35"/>
  <x:c r="C676" i="35"/>
  <x:c r="D676" i="35"/>
  <x:c r="E676" i="35"/>
  <x:c r="F676" i="35"/>
  <x:c r="G676" i="35"/>
  <x:c r="H676" i="35"/>
  <x:c r="I676" i="35"/>
  <x:c r="J676" i="35"/>
  <x:c r="K676" i="35"/>
  <x:c r="L676" i="35"/>
  <x:c r="M676" i="35"/>
  <x:c r="N676" i="35"/>
  <x:c r="O676" i="35"/>
  <x:c r="C677" i="35"/>
  <x:c r="D677" i="35"/>
  <x:c r="E677" i="35"/>
  <x:c r="F677" i="35"/>
  <x:c r="G677" i="35"/>
  <x:c r="H677" i="35"/>
  <x:c r="I677" i="35"/>
  <x:c r="J677" i="35"/>
  <x:c r="K677" i="35"/>
  <x:c r="L677" i="35"/>
  <x:c r="M677" i="35"/>
  <x:c r="N677" i="35"/>
  <x:c r="O677" i="35"/>
  <x:c r="C678" i="35"/>
  <x:c r="D678" i="35"/>
  <x:c r="E678" i="35"/>
  <x:c r="F678" i="35"/>
  <x:c r="G678" i="35"/>
  <x:c r="H678" i="35"/>
  <x:c r="I678" i="35"/>
  <x:c r="J678" i="35"/>
  <x:c r="K678" i="35"/>
  <x:c r="L678" i="35"/>
  <x:c r="M678" i="35"/>
  <x:c r="N678" i="35"/>
  <x:c r="O678" i="35"/>
  <x:c r="C679" i="35"/>
  <x:c r="D679" i="35"/>
  <x:c r="E679" i="35"/>
  <x:c r="F679" i="35"/>
  <x:c r="G679" i="35"/>
  <x:c r="H679" i="35"/>
  <x:c r="I679" i="35"/>
  <x:c r="J679" i="35"/>
  <x:c r="K679" i="35"/>
  <x:c r="L679" i="35"/>
  <x:c r="M679" i="35"/>
  <x:c r="N679" i="35"/>
  <x:c r="O679" i="35"/>
  <x:c r="C680" i="35"/>
  <x:c r="D680" i="35"/>
  <x:c r="E680" i="35"/>
  <x:c r="F680" i="35"/>
  <x:c r="G680" i="35"/>
  <x:c r="H680" i="35"/>
  <x:c r="I680" i="35"/>
  <x:c r="J680" i="35"/>
  <x:c r="K680" i="35"/>
  <x:c r="L680" i="35"/>
  <x:c r="M680" i="35"/>
  <x:c r="N680" i="35"/>
  <x:c r="O680" i="35"/>
  <x:c r="C681" i="35"/>
  <x:c r="D681" i="35"/>
  <x:c r="E681" i="35"/>
  <x:c r="F681" i="35"/>
  <x:c r="G681" i="35"/>
  <x:c r="H681" i="35"/>
  <x:c r="I681" i="35"/>
  <x:c r="J681" i="35"/>
  <x:c r="K681" i="35"/>
  <x:c r="L681" i="35"/>
  <x:c r="M681" i="35"/>
  <x:c r="N681" i="35"/>
  <x:c r="O681" i="35"/>
  <x:c r="C682" i="35"/>
  <x:c r="D682" i="35"/>
  <x:c r="E682" i="35"/>
  <x:c r="F682" i="35"/>
  <x:c r="G682" i="35"/>
  <x:c r="H682" i="35"/>
  <x:c r="I682" i="35"/>
  <x:c r="J682" i="35"/>
  <x:c r="K682" i="35"/>
  <x:c r="L682" i="35"/>
  <x:c r="M682" i="35"/>
  <x:c r="N682" i="35"/>
  <x:c r="O682" i="35"/>
  <x:c r="C683" i="35"/>
  <x:c r="D683" i="35"/>
  <x:c r="E683" i="35"/>
  <x:c r="F683" i="35"/>
  <x:c r="G683" i="35"/>
  <x:c r="H683" i="35"/>
  <x:c r="I683" i="35"/>
  <x:c r="J683" i="35"/>
  <x:c r="K683" i="35"/>
  <x:c r="L683" i="35"/>
  <x:c r="M683" i="35"/>
  <x:c r="N683" i="35"/>
  <x:c r="O683" i="35"/>
  <x:c r="C684" i="35"/>
  <x:c r="D684" i="35"/>
  <x:c r="E684" i="35"/>
  <x:c r="F684" i="35"/>
  <x:c r="G684" i="35"/>
  <x:c r="H684" i="35"/>
  <x:c r="I684" i="35"/>
  <x:c r="J684" i="35"/>
  <x:c r="K684" i="35"/>
  <x:c r="L684" i="35"/>
  <x:c r="M684" i="35"/>
  <x:c r="N684" i="35"/>
  <x:c r="O684" i="35"/>
  <x:c r="S684" i="35"/>
  <x:c r="C685" i="35"/>
  <x:c r="D685" i="35"/>
  <x:c r="E685" i="35"/>
  <x:c r="F685" i="35"/>
  <x:c r="G685" i="35"/>
  <x:c r="H685" i="35"/>
  <x:c r="I685" i="35"/>
  <x:c r="J685" i="35"/>
  <x:c r="K685" i="35"/>
  <x:c r="L685" i="35"/>
  <x:c r="M685" i="35"/>
  <x:c r="N685" i="35"/>
  <x:c r="O685" i="35"/>
  <x:c r="C686" i="35"/>
  <x:c r="D686" i="35"/>
  <x:c r="E686" i="35"/>
  <x:c r="F686" i="35"/>
  <x:c r="G686" i="35"/>
  <x:c r="H686" i="35"/>
  <x:c r="I686" i="35"/>
  <x:c r="J686" i="35"/>
  <x:c r="K686" i="35"/>
  <x:c r="L686" i="35"/>
  <x:c r="M686" i="35"/>
  <x:c r="N686" i="35"/>
  <x:c r="O686" i="35"/>
  <x:c r="C687" i="35"/>
  <x:c r="D687" i="35"/>
  <x:c r="E687" i="35"/>
  <x:c r="F687" i="35"/>
  <x:c r="G687" i="35"/>
  <x:c r="H687" i="35"/>
  <x:c r="I687" i="35"/>
  <x:c r="J687" i="35"/>
  <x:c r="K687" i="35"/>
  <x:c r="L687" i="35"/>
  <x:c r="M687" i="35"/>
  <x:c r="N687" i="35"/>
  <x:c r="O687" i="35"/>
  <x:c r="C688" i="35"/>
  <x:c r="D688" i="35"/>
  <x:c r="E688" i="35"/>
  <x:c r="F688" i="35"/>
  <x:c r="G688" i="35"/>
  <x:c r="H688" i="35"/>
  <x:c r="I688" i="35"/>
  <x:c r="J688" i="35"/>
  <x:c r="K688" i="35"/>
  <x:c r="L688" i="35"/>
  <x:c r="M688" i="35"/>
  <x:c r="N688" i="35"/>
  <x:c r="O688" i="35"/>
  <x:c r="C689" i="35"/>
  <x:c r="D689" i="35"/>
  <x:c r="E689" i="35"/>
  <x:c r="F689" i="35"/>
  <x:c r="G689" i="35"/>
  <x:c r="H689" i="35"/>
  <x:c r="I689" i="35"/>
  <x:c r="J689" i="35"/>
  <x:c r="K689" i="35"/>
  <x:c r="L689" i="35"/>
  <x:c r="M689" i="35"/>
  <x:c r="N689" i="35"/>
  <x:c r="O689" i="35"/>
  <x:c r="C690" i="35"/>
  <x:c r="D690" i="35"/>
  <x:c r="E690" i="35"/>
  <x:c r="F690" i="35"/>
  <x:c r="G690" i="35"/>
  <x:c r="H690" i="35"/>
  <x:c r="I690" i="35"/>
  <x:c r="J690" i="35"/>
  <x:c r="K690" i="35"/>
  <x:c r="L690" i="35"/>
  <x:c r="M690" i="35"/>
  <x:c r="N690" i="35"/>
  <x:c r="O690" i="35"/>
  <x:c r="C691" i="35"/>
  <x:c r="D691" i="35"/>
  <x:c r="E691" i="35"/>
  <x:c r="F691" i="35"/>
  <x:c r="G691" i="35"/>
  <x:c r="H691" i="35"/>
  <x:c r="I691" i="35"/>
  <x:c r="J691" i="35"/>
  <x:c r="K691" i="35"/>
  <x:c r="L691" i="35"/>
  <x:c r="M691" i="35"/>
  <x:c r="N691" i="35"/>
  <x:c r="O691" i="35"/>
  <x:c r="C692" i="35"/>
  <x:c r="D692" i="35"/>
  <x:c r="E692" i="35"/>
  <x:c r="F692" i="35"/>
  <x:c r="G692" i="35"/>
  <x:c r="H692" i="35"/>
  <x:c r="I692" i="35"/>
  <x:c r="J692" i="35"/>
  <x:c r="K692" i="35"/>
  <x:c r="L692" i="35"/>
  <x:c r="M692" i="35"/>
  <x:c r="N692" i="35"/>
  <x:c r="O692" i="35"/>
  <x:c r="C693" i="35"/>
  <x:c r="D693" i="35"/>
  <x:c r="E693" i="35"/>
  <x:c r="F693" i="35"/>
  <x:c r="G693" i="35"/>
  <x:c r="H693" i="35"/>
  <x:c r="I693" i="35"/>
  <x:c r="J693" i="35"/>
  <x:c r="K693" i="35"/>
  <x:c r="L693" i="35"/>
  <x:c r="M693" i="35"/>
  <x:c r="N693" i="35"/>
  <x:c r="O693" i="35"/>
  <x:c r="C694" i="35"/>
  <x:c r="D694" i="35"/>
  <x:c r="E694" i="35"/>
  <x:c r="F694" i="35"/>
  <x:c r="G694" i="35"/>
  <x:c r="H694" i="35"/>
  <x:c r="I694" i="35"/>
  <x:c r="J694" i="35"/>
  <x:c r="K694" i="35"/>
  <x:c r="L694" i="35"/>
  <x:c r="M694" i="35"/>
  <x:c r="N694" i="35"/>
  <x:c r="O694" i="35"/>
  <x:c r="C695" i="35"/>
  <x:c r="D695" i="35"/>
  <x:c r="E695" i="35"/>
  <x:c r="F695" i="35"/>
  <x:c r="G695" i="35"/>
  <x:c r="H695" i="35"/>
  <x:c r="I695" i="35"/>
  <x:c r="J695" i="35"/>
  <x:c r="K695" i="35"/>
  <x:c r="L695" i="35"/>
  <x:c r="M695" i="35"/>
  <x:c r="N695" i="35"/>
  <x:c r="O695" i="35"/>
  <x:c r="C696" i="35"/>
  <x:c r="D696" i="35"/>
  <x:c r="E696" i="35"/>
  <x:c r="F696" i="35"/>
  <x:c r="G696" i="35"/>
  <x:c r="H696" i="35"/>
  <x:c r="I696" i="35"/>
  <x:c r="J696" i="35"/>
  <x:c r="K696" i="35"/>
  <x:c r="L696" i="35"/>
  <x:c r="M696" i="35"/>
  <x:c r="N696" i="35"/>
  <x:c r="O696" i="35"/>
  <x:c r="C697" i="35"/>
  <x:c r="D697" i="35"/>
  <x:c r="E697" i="35"/>
  <x:c r="F697" i="35"/>
  <x:c r="G697" i="35"/>
  <x:c r="H697" i="35"/>
  <x:c r="I697" i="35"/>
  <x:c r="J697" i="35"/>
  <x:c r="K697" i="35"/>
  <x:c r="L697" i="35"/>
  <x:c r="M697" i="35"/>
  <x:c r="N697" i="35"/>
  <x:c r="O697" i="35"/>
  <x:c r="C698" i="35"/>
  <x:c r="D698" i="35"/>
  <x:c r="E698" i="35"/>
  <x:c r="F698" i="35"/>
  <x:c r="G698" i="35"/>
  <x:c r="H698" i="35"/>
  <x:c r="I698" i="35"/>
  <x:c r="J698" i="35"/>
  <x:c r="K698" i="35"/>
  <x:c r="L698" i="35"/>
  <x:c r="M698" i="35"/>
  <x:c r="N698" i="35"/>
  <x:c r="O698" i="35"/>
  <x:c r="C699" i="35"/>
  <x:c r="D699" i="35"/>
  <x:c r="E699" i="35"/>
  <x:c r="F699" i="35"/>
  <x:c r="G699" i="35"/>
  <x:c r="H699" i="35"/>
  <x:c r="I699" i="35"/>
  <x:c r="J699" i="35"/>
  <x:c r="K699" i="35"/>
  <x:c r="L699" i="35"/>
  <x:c r="M699" i="35"/>
  <x:c r="N699" i="35"/>
  <x:c r="O699" i="35"/>
  <x:c r="C700" i="35"/>
  <x:c r="D700" i="35"/>
  <x:c r="E700" i="35"/>
  <x:c r="F700" i="35"/>
  <x:c r="G700" i="35"/>
  <x:c r="H700" i="35"/>
  <x:c r="I700" i="35"/>
  <x:c r="J700" i="35"/>
  <x:c r="K700" i="35"/>
  <x:c r="L700" i="35"/>
  <x:c r="M700" i="35"/>
  <x:c r="N700" i="35"/>
  <x:c r="O700" i="35"/>
  <x:c r="C701" i="35"/>
  <x:c r="D701" i="35"/>
  <x:c r="E701" i="35"/>
  <x:c r="F701" i="35"/>
  <x:c r="G701" i="35"/>
  <x:c r="H701" i="35"/>
  <x:c r="I701" i="35"/>
  <x:c r="J701" i="35"/>
  <x:c r="K701" i="35"/>
  <x:c r="L701" i="35"/>
  <x:c r="M701" i="35"/>
  <x:c r="N701" i="35"/>
  <x:c r="O701" i="35"/>
  <x:c r="C702" i="35"/>
  <x:c r="D702" i="35"/>
  <x:c r="E702" i="35"/>
  <x:c r="F702" i="35"/>
  <x:c r="G702" i="35"/>
  <x:c r="H702" i="35"/>
  <x:c r="I702" i="35"/>
  <x:c r="J702" i="35"/>
  <x:c r="K702" i="35"/>
  <x:c r="L702" i="35"/>
  <x:c r="M702" i="35"/>
  <x:c r="N702" i="35"/>
  <x:c r="O702" i="35"/>
  <x:c r="C703" i="35"/>
  <x:c r="D703" i="35"/>
  <x:c r="E703" i="35"/>
  <x:c r="F703" i="35"/>
  <x:c r="G703" i="35"/>
  <x:c r="H703" i="35"/>
  <x:c r="I703" i="35"/>
  <x:c r="J703" i="35"/>
  <x:c r="K703" i="35"/>
  <x:c r="L703" i="35"/>
  <x:c r="M703" i="35"/>
  <x:c r="N703" i="35"/>
  <x:c r="O703" i="35"/>
  <x:c r="C704" i="35"/>
  <x:c r="D704" i="35"/>
  <x:c r="E704" i="35"/>
  <x:c r="F704" i="35"/>
  <x:c r="G704" i="35"/>
  <x:c r="H704" i="35"/>
  <x:c r="I704" i="35"/>
  <x:c r="J704" i="35"/>
  <x:c r="K704" i="35"/>
  <x:c r="L704" i="35"/>
  <x:c r="M704" i="35"/>
  <x:c r="N704" i="35"/>
  <x:c r="O704" i="35"/>
  <x:c r="C705" i="35"/>
  <x:c r="D705" i="35"/>
  <x:c r="E705" i="35"/>
  <x:c r="F705" i="35"/>
  <x:c r="G705" i="35"/>
  <x:c r="H705" i="35"/>
  <x:c r="I705" i="35"/>
  <x:c r="J705" i="35"/>
  <x:c r="K705" i="35"/>
  <x:c r="L705" i="35"/>
  <x:c r="M705" i="35"/>
  <x:c r="N705" i="35"/>
  <x:c r="O705" i="35"/>
  <x:c r="S705" i="35"/>
  <x:c r="C706" i="35"/>
  <x:c r="D706" i="35"/>
  <x:c r="E706" i="35"/>
  <x:c r="F706" i="35"/>
  <x:c r="G706" i="35"/>
  <x:c r="H706" i="35"/>
  <x:c r="I706" i="35"/>
  <x:c r="J706" i="35"/>
  <x:c r="K706" i="35"/>
  <x:c r="L706" i="35"/>
  <x:c r="M706" i="35"/>
  <x:c r="N706" i="35"/>
  <x:c r="O706" i="35"/>
  <x:c r="C707" i="35"/>
  <x:c r="D707" i="35"/>
  <x:c r="E707" i="35"/>
  <x:c r="F707" i="35"/>
  <x:c r="G707" i="35"/>
  <x:c r="H707" i="35"/>
  <x:c r="I707" i="35"/>
  <x:c r="J707" i="35"/>
  <x:c r="K707" i="35"/>
  <x:c r="L707" i="35"/>
  <x:c r="M707" i="35"/>
  <x:c r="N707" i="35"/>
  <x:c r="O707" i="35"/>
  <x:c r="C708" i="35"/>
  <x:c r="D708" i="35"/>
  <x:c r="E708" i="35"/>
  <x:c r="F708" i="35"/>
  <x:c r="G708" i="35"/>
  <x:c r="H708" i="35"/>
  <x:c r="I708" i="35"/>
  <x:c r="J708" i="35"/>
  <x:c r="K708" i="35"/>
  <x:c r="L708" i="35"/>
  <x:c r="M708" i="35"/>
  <x:c r="N708" i="35"/>
  <x:c r="O708" i="35"/>
  <x:c r="C709" i="35"/>
  <x:c r="D709" i="35"/>
  <x:c r="E709" i="35"/>
  <x:c r="F709" i="35"/>
  <x:c r="G709" i="35"/>
  <x:c r="H709" i="35"/>
  <x:c r="I709" i="35"/>
  <x:c r="J709" i="35"/>
  <x:c r="K709" i="35"/>
  <x:c r="L709" i="35"/>
  <x:c r="M709" i="35"/>
  <x:c r="N709" i="35"/>
  <x:c r="O709" i="35"/>
  <x:c r="C710" i="35"/>
  <x:c r="D710" i="35"/>
  <x:c r="E710" i="35"/>
  <x:c r="F710" i="35"/>
  <x:c r="G710" i="35"/>
  <x:c r="H710" i="35"/>
  <x:c r="I710" i="35"/>
  <x:c r="J710" i="35"/>
  <x:c r="K710" i="35"/>
  <x:c r="L710" i="35"/>
  <x:c r="M710" i="35"/>
  <x:c r="N710" i="35"/>
  <x:c r="O710" i="35"/>
  <x:c r="C711" i="35"/>
  <x:c r="D711" i="35"/>
  <x:c r="E711" i="35"/>
  <x:c r="F711" i="35"/>
  <x:c r="G711" i="35"/>
  <x:c r="H711" i="35"/>
  <x:c r="I711" i="35"/>
  <x:c r="J711" i="35"/>
  <x:c r="K711" i="35"/>
  <x:c r="L711" i="35"/>
  <x:c r="M711" i="35"/>
  <x:c r="N711" i="35"/>
  <x:c r="O711" i="35"/>
  <x:c r="C712" i="35"/>
  <x:c r="D712" i="35"/>
  <x:c r="E712" i="35"/>
  <x:c r="F712" i="35"/>
  <x:c r="G712" i="35"/>
  <x:c r="H712" i="35"/>
  <x:c r="I712" i="35"/>
  <x:c r="J712" i="35"/>
  <x:c r="K712" i="35"/>
  <x:c r="L712" i="35"/>
  <x:c r="M712" i="35"/>
  <x:c r="N712" i="35"/>
  <x:c r="O712" i="35"/>
  <x:c r="C713" i="35"/>
  <x:c r="D713" i="35"/>
  <x:c r="E713" i="35"/>
  <x:c r="F713" i="35"/>
  <x:c r="G713" i="35"/>
  <x:c r="H713" i="35"/>
  <x:c r="I713" i="35"/>
  <x:c r="J713" i="35"/>
  <x:c r="K713" i="35"/>
  <x:c r="L713" i="35"/>
  <x:c r="M713" i="35"/>
  <x:c r="N713" i="35"/>
  <x:c r="O713" i="35"/>
  <x:c r="C714" i="35"/>
  <x:c r="D714" i="35"/>
  <x:c r="E714" i="35"/>
  <x:c r="F714" i="35"/>
  <x:c r="G714" i="35"/>
  <x:c r="H714" i="35"/>
  <x:c r="I714" i="35"/>
  <x:c r="J714" i="35"/>
  <x:c r="K714" i="35"/>
  <x:c r="L714" i="35"/>
  <x:c r="M714" i="35"/>
  <x:c r="N714" i="35"/>
  <x:c r="O714" i="35"/>
  <x:c r="C715" i="35"/>
  <x:c r="D715" i="35"/>
  <x:c r="E715" i="35"/>
  <x:c r="F715" i="35"/>
  <x:c r="G715" i="35"/>
  <x:c r="H715" i="35"/>
  <x:c r="I715" i="35"/>
  <x:c r="J715" i="35"/>
  <x:c r="K715" i="35"/>
  <x:c r="L715" i="35"/>
  <x:c r="M715" i="35"/>
  <x:c r="N715" i="35"/>
  <x:c r="O715" i="35"/>
  <x:c r="C716" i="35"/>
  <x:c r="D716" i="35"/>
  <x:c r="E716" i="35"/>
  <x:c r="F716" i="35"/>
  <x:c r="G716" i="35"/>
  <x:c r="H716" i="35"/>
  <x:c r="I716" i="35"/>
  <x:c r="J716" i="35"/>
  <x:c r="K716" i="35"/>
  <x:c r="L716" i="35"/>
  <x:c r="M716" i="35"/>
  <x:c r="N716" i="35"/>
  <x:c r="O716" i="35"/>
  <x:c r="C717" i="35"/>
  <x:c r="D717" i="35"/>
  <x:c r="E717" i="35"/>
  <x:c r="F717" i="35"/>
  <x:c r="G717" i="35"/>
  <x:c r="H717" i="35"/>
  <x:c r="I717" i="35"/>
  <x:c r="J717" i="35"/>
  <x:c r="K717" i="35"/>
  <x:c r="L717" i="35"/>
  <x:c r="M717" i="35"/>
  <x:c r="N717" i="35"/>
  <x:c r="O717" i="35"/>
  <x:c r="C718" i="35"/>
  <x:c r="D718" i="35"/>
  <x:c r="E718" i="35"/>
  <x:c r="F718" i="35"/>
  <x:c r="G718" i="35"/>
  <x:c r="H718" i="35"/>
  <x:c r="I718" i="35"/>
  <x:c r="J718" i="35"/>
  <x:c r="K718" i="35"/>
  <x:c r="L718" i="35"/>
  <x:c r="M718" i="35"/>
  <x:c r="N718" i="35"/>
  <x:c r="O718" i="35"/>
  <x:c r="C719" i="35"/>
  <x:c r="D719" i="35"/>
  <x:c r="E719" i="35"/>
  <x:c r="F719" i="35"/>
  <x:c r="G719" i="35"/>
  <x:c r="H719" i="35"/>
  <x:c r="I719" i="35"/>
  <x:c r="J719" i="35"/>
  <x:c r="K719" i="35"/>
  <x:c r="L719" i="35"/>
  <x:c r="M719" i="35"/>
  <x:c r="N719" i="35"/>
  <x:c r="O719" i="35"/>
  <x:c r="C720" i="35"/>
  <x:c r="D720" i="35"/>
  <x:c r="E720" i="35"/>
  <x:c r="F720" i="35"/>
  <x:c r="G720" i="35"/>
  <x:c r="H720" i="35"/>
  <x:c r="I720" i="35"/>
  <x:c r="J720" i="35"/>
  <x:c r="K720" i="35"/>
  <x:c r="L720" i="35"/>
  <x:c r="M720" i="35"/>
  <x:c r="N720" i="35"/>
  <x:c r="O720" i="35"/>
  <x:c r="S720" i="35"/>
  <x:c r="C721" i="35"/>
  <x:c r="D721" i="35"/>
  <x:c r="E721" i="35"/>
  <x:c r="F721" i="35"/>
  <x:c r="G721" i="35"/>
  <x:c r="H721" i="35"/>
  <x:c r="I721" i="35"/>
  <x:c r="J721" i="35"/>
  <x:c r="K721" i="35"/>
  <x:c r="L721" i="35"/>
  <x:c r="M721" i="35"/>
  <x:c r="N721" i="35"/>
  <x:c r="O721" i="35"/>
  <x:c r="C722" i="35"/>
  <x:c r="D722" i="35"/>
  <x:c r="E722" i="35"/>
  <x:c r="F722" i="35"/>
  <x:c r="G722" i="35"/>
  <x:c r="H722" i="35"/>
  <x:c r="I722" i="35"/>
  <x:c r="J722" i="35"/>
  <x:c r="K722" i="35"/>
  <x:c r="L722" i="35"/>
  <x:c r="M722" i="35"/>
  <x:c r="N722" i="35"/>
  <x:c r="O722" i="35"/>
  <x:c r="C723" i="35"/>
  <x:c r="D723" i="35"/>
  <x:c r="E723" i="35"/>
  <x:c r="F723" i="35"/>
  <x:c r="G723" i="35"/>
  <x:c r="H723" i="35"/>
  <x:c r="I723" i="35"/>
  <x:c r="J723" i="35"/>
  <x:c r="K723" i="35"/>
  <x:c r="L723" i="35"/>
  <x:c r="M723" i="35"/>
  <x:c r="N723" i="35"/>
  <x:c r="O723" i="35"/>
  <x:c r="C724" i="35"/>
  <x:c r="D724" i="35"/>
  <x:c r="E724" i="35"/>
  <x:c r="F724" i="35"/>
  <x:c r="G724" i="35"/>
  <x:c r="H724" i="35"/>
  <x:c r="I724" i="35"/>
  <x:c r="J724" i="35"/>
  <x:c r="K724" i="35"/>
  <x:c r="L724" i="35"/>
  <x:c r="M724" i="35"/>
  <x:c r="N724" i="35"/>
  <x:c r="O724" i="35"/>
  <x:c r="C725" i="35"/>
  <x:c r="D725" i="35"/>
  <x:c r="E725" i="35"/>
  <x:c r="F725" i="35"/>
  <x:c r="G725" i="35"/>
  <x:c r="H725" i="35"/>
  <x:c r="I725" i="35"/>
  <x:c r="J725" i="35"/>
  <x:c r="K725" i="35"/>
  <x:c r="L725" i="35"/>
  <x:c r="M725" i="35"/>
  <x:c r="N725" i="35"/>
  <x:c r="O725" i="35"/>
  <x:c r="C726" i="35"/>
  <x:c r="D726" i="35"/>
  <x:c r="E726" i="35"/>
  <x:c r="F726" i="35"/>
  <x:c r="G726" i="35"/>
  <x:c r="H726" i="35"/>
  <x:c r="I726" i="35"/>
  <x:c r="J726" i="35"/>
  <x:c r="K726" i="35"/>
  <x:c r="L726" i="35"/>
  <x:c r="M726" i="35"/>
  <x:c r="N726" i="35"/>
  <x:c r="O726" i="35"/>
  <x:c r="C727" i="35"/>
  <x:c r="D727" i="35"/>
  <x:c r="E727" i="35"/>
  <x:c r="F727" i="35"/>
  <x:c r="G727" i="35"/>
  <x:c r="H727" i="35"/>
  <x:c r="I727" i="35"/>
  <x:c r="J727" i="35"/>
  <x:c r="K727" i="35"/>
  <x:c r="L727" i="35"/>
  <x:c r="M727" i="35"/>
  <x:c r="N727" i="35"/>
  <x:c r="O727" i="35"/>
  <x:c r="C728" i="35"/>
  <x:c r="D728" i="35"/>
  <x:c r="E728" i="35"/>
  <x:c r="F728" i="35"/>
  <x:c r="G728" i="35"/>
  <x:c r="H728" i="35"/>
  <x:c r="I728" i="35"/>
  <x:c r="J728" i="35"/>
  <x:c r="K728" i="35"/>
  <x:c r="L728" i="35"/>
  <x:c r="M728" i="35"/>
  <x:c r="N728" i="35"/>
  <x:c r="O728" i="35"/>
  <x:c r="C729" i="35"/>
  <x:c r="D729" i="35"/>
  <x:c r="E729" i="35"/>
  <x:c r="F729" i="35"/>
  <x:c r="G729" i="35"/>
  <x:c r="H729" i="35"/>
  <x:c r="I729" i="35"/>
  <x:c r="J729" i="35"/>
  <x:c r="K729" i="35"/>
  <x:c r="L729" i="35"/>
  <x:c r="M729" i="35"/>
  <x:c r="N729" i="35"/>
  <x:c r="O729" i="35"/>
  <x:c r="C730" i="35"/>
  <x:c r="D730" i="35"/>
  <x:c r="E730" i="35"/>
  <x:c r="F730" i="35"/>
  <x:c r="G730" i="35"/>
  <x:c r="H730" i="35"/>
  <x:c r="I730" i="35"/>
  <x:c r="J730" i="35"/>
  <x:c r="K730" i="35"/>
  <x:c r="L730" i="35"/>
  <x:c r="M730" i="35"/>
  <x:c r="N730" i="35"/>
  <x:c r="O730" i="35"/>
  <x:c r="C731" i="35"/>
  <x:c r="D731" i="35"/>
  <x:c r="E731" i="35"/>
  <x:c r="F731" i="35"/>
  <x:c r="G731" i="35"/>
  <x:c r="H731" i="35"/>
  <x:c r="I731" i="35"/>
  <x:c r="J731" i="35"/>
  <x:c r="K731" i="35"/>
  <x:c r="L731" i="35"/>
  <x:c r="M731" i="35"/>
  <x:c r="N731" i="35"/>
  <x:c r="O731" i="35"/>
  <x:c r="C732" i="35"/>
  <x:c r="D732" i="35"/>
  <x:c r="E732" i="35"/>
  <x:c r="F732" i="35"/>
  <x:c r="G732" i="35"/>
  <x:c r="H732" i="35"/>
  <x:c r="I732" i="35"/>
  <x:c r="J732" i="35"/>
  <x:c r="K732" i="35"/>
  <x:c r="L732" i="35"/>
  <x:c r="M732" i="35"/>
  <x:c r="N732" i="35"/>
  <x:c r="O732" i="35"/>
  <x:c r="C733" i="35"/>
  <x:c r="D733" i="35"/>
  <x:c r="E733" i="35"/>
  <x:c r="F733" i="35"/>
  <x:c r="G733" i="35"/>
  <x:c r="H733" i="35"/>
  <x:c r="I733" i="35"/>
  <x:c r="J733" i="35"/>
  <x:c r="K733" i="35"/>
  <x:c r="L733" i="35"/>
  <x:c r="M733" i="35"/>
  <x:c r="N733" i="35"/>
  <x:c r="O733" i="35"/>
  <x:c r="C734" i="35"/>
  <x:c r="D734" i="35"/>
  <x:c r="E734" i="35"/>
  <x:c r="F734" i="35"/>
  <x:c r="G734" i="35"/>
  <x:c r="H734" i="35"/>
  <x:c r="I734" i="35"/>
  <x:c r="J734" i="35"/>
  <x:c r="K734" i="35"/>
  <x:c r="L734" i="35"/>
  <x:c r="M734" i="35"/>
  <x:c r="N734" i="35"/>
  <x:c r="O734" i="35"/>
  <x:c r="C735" i="35"/>
  <x:c r="D735" i="35"/>
  <x:c r="E735" i="35"/>
  <x:c r="F735" i="35"/>
  <x:c r="G735" i="35"/>
  <x:c r="H735" i="35"/>
  <x:c r="I735" i="35"/>
  <x:c r="J735" i="35"/>
  <x:c r="K735" i="35"/>
  <x:c r="L735" i="35"/>
  <x:c r="M735" i="35"/>
  <x:c r="N735" i="35"/>
  <x:c r="O735" i="35"/>
  <x:c r="C736" i="35"/>
  <x:c r="D736" i="35"/>
  <x:c r="E736" i="35"/>
  <x:c r="F736" i="35"/>
  <x:c r="G736" i="35"/>
  <x:c r="H736" i="35"/>
  <x:c r="I736" i="35"/>
  <x:c r="J736" i="35"/>
  <x:c r="K736" i="35"/>
  <x:c r="L736" i="35"/>
  <x:c r="M736" i="35"/>
  <x:c r="N736" i="35"/>
  <x:c r="O736" i="35"/>
  <x:c r="C737" i="35"/>
  <x:c r="D737" i="35"/>
  <x:c r="E737" i="35"/>
  <x:c r="F737" i="35"/>
  <x:c r="G737" i="35"/>
  <x:c r="H737" i="35"/>
  <x:c r="I737" i="35"/>
  <x:c r="J737" i="35"/>
  <x:c r="K737" i="35"/>
  <x:c r="L737" i="35"/>
  <x:c r="M737" i="35"/>
  <x:c r="N737" i="35"/>
  <x:c r="O737" i="35"/>
  <x:c r="C738" i="35"/>
  <x:c r="D738" i="35"/>
  <x:c r="E738" i="35"/>
  <x:c r="F738" i="35"/>
  <x:c r="G738" i="35"/>
  <x:c r="H738" i="35"/>
  <x:c r="I738" i="35"/>
  <x:c r="J738" i="35"/>
  <x:c r="K738" i="35"/>
  <x:c r="L738" i="35"/>
  <x:c r="M738" i="35"/>
  <x:c r="N738" i="35"/>
  <x:c r="O738" i="35"/>
  <x:c r="C739" i="35"/>
  <x:c r="D739" i="35"/>
  <x:c r="E739" i="35"/>
  <x:c r="F739" i="35"/>
  <x:c r="G739" i="35"/>
  <x:c r="H739" i="35"/>
  <x:c r="I739" i="35"/>
  <x:c r="J739" i="35"/>
  <x:c r="K739" i="35"/>
  <x:c r="L739" i="35"/>
  <x:c r="M739" i="35"/>
  <x:c r="N739" i="35"/>
  <x:c r="O739" i="35"/>
  <x:c r="C740" i="35"/>
  <x:c r="D740" i="35"/>
  <x:c r="E740" i="35"/>
  <x:c r="F740" i="35"/>
  <x:c r="G740" i="35"/>
  <x:c r="H740" i="35"/>
  <x:c r="I740" i="35"/>
  <x:c r="J740" i="35"/>
  <x:c r="K740" i="35"/>
  <x:c r="L740" i="35"/>
  <x:c r="M740" i="35"/>
  <x:c r="N740" i="35"/>
  <x:c r="O740" i="35"/>
  <x:c r="C741" i="35"/>
  <x:c r="D741" i="35"/>
  <x:c r="E741" i="35"/>
  <x:c r="F741" i="35"/>
  <x:c r="G741" i="35"/>
  <x:c r="H741" i="35"/>
  <x:c r="I741" i="35"/>
  <x:c r="J741" i="35"/>
  <x:c r="K741" i="35"/>
  <x:c r="L741" i="35"/>
  <x:c r="M741" i="35"/>
  <x:c r="N741" i="35"/>
  <x:c r="O741" i="35"/>
  <x:c r="C742" i="35"/>
  <x:c r="D742" i="35"/>
  <x:c r="E742" i="35"/>
  <x:c r="F742" i="35"/>
  <x:c r="G742" i="35"/>
  <x:c r="H742" i="35"/>
  <x:c r="I742" i="35"/>
  <x:c r="J742" i="35"/>
  <x:c r="K742" i="35"/>
  <x:c r="L742" i="35"/>
  <x:c r="M742" i="35"/>
  <x:c r="N742" i="35"/>
  <x:c r="O742" i="35"/>
  <x:c r="C743" i="35"/>
  <x:c r="D743" i="35"/>
  <x:c r="E743" i="35"/>
  <x:c r="F743" i="35"/>
  <x:c r="G743" i="35"/>
  <x:c r="H743" i="35"/>
  <x:c r="I743" i="35"/>
  <x:c r="J743" i="35"/>
  <x:c r="K743" i="35"/>
  <x:c r="L743" i="35"/>
  <x:c r="M743" i="35"/>
  <x:c r="N743" i="35"/>
  <x:c r="O743" i="35"/>
  <x:c r="C744" i="35"/>
  <x:c r="D744" i="35"/>
  <x:c r="E744" i="35"/>
  <x:c r="F744" i="35"/>
  <x:c r="G744" i="35"/>
  <x:c r="H744" i="35"/>
  <x:c r="I744" i="35"/>
  <x:c r="J744" i="35"/>
  <x:c r="K744" i="35"/>
  <x:c r="L744" i="35"/>
  <x:c r="M744" i="35"/>
  <x:c r="N744" i="35"/>
  <x:c r="O744" i="35"/>
  <x:c r="C745" i="35"/>
  <x:c r="D745" i="35"/>
  <x:c r="E745" i="35"/>
  <x:c r="F745" i="35"/>
  <x:c r="G745" i="35"/>
  <x:c r="H745" i="35"/>
  <x:c r="I745" i="35"/>
  <x:c r="J745" i="35"/>
  <x:c r="K745" i="35"/>
  <x:c r="L745" i="35"/>
  <x:c r="M745" i="35"/>
  <x:c r="N745" i="35"/>
  <x:c r="O745" i="35"/>
  <x:c r="C746" i="35"/>
  <x:c r="D746" i="35"/>
  <x:c r="E746" i="35"/>
  <x:c r="F746" i="35"/>
  <x:c r="G746" i="35"/>
  <x:c r="H746" i="35"/>
  <x:c r="I746" i="35"/>
  <x:c r="J746" i="35"/>
  <x:c r="K746" i="35"/>
  <x:c r="L746" i="35"/>
  <x:c r="M746" i="35"/>
  <x:c r="N746" i="35"/>
  <x:c r="O746" i="35"/>
  <x:c r="S746" i="35"/>
  <x:c r="C747" i="35"/>
  <x:c r="D747" i="35"/>
  <x:c r="E747" i="35"/>
  <x:c r="F747" i="35"/>
  <x:c r="G747" i="35"/>
  <x:c r="H747" i="35"/>
  <x:c r="I747" i="35"/>
  <x:c r="J747" i="35"/>
  <x:c r="K747" i="35"/>
  <x:c r="L747" i="35"/>
  <x:c r="M747" i="35"/>
  <x:c r="N747" i="35"/>
  <x:c r="O747" i="35"/>
  <x:c r="C748" i="35"/>
  <x:c r="D748" i="35"/>
  <x:c r="E748" i="35"/>
  <x:c r="F748" i="35"/>
  <x:c r="G748" i="35"/>
  <x:c r="H748" i="35"/>
  <x:c r="I748" i="35"/>
  <x:c r="J748" i="35"/>
  <x:c r="K748" i="35"/>
  <x:c r="L748" i="35"/>
  <x:c r="M748" i="35"/>
  <x:c r="N748" i="35"/>
  <x:c r="O748" i="35"/>
  <x:c r="C749" i="35"/>
  <x:c r="D749" i="35"/>
  <x:c r="E749" i="35"/>
  <x:c r="F749" i="35"/>
  <x:c r="G749" i="35"/>
  <x:c r="H749" i="35"/>
  <x:c r="I749" i="35"/>
  <x:c r="J749" i="35"/>
  <x:c r="K749" i="35"/>
  <x:c r="L749" i="35"/>
  <x:c r="M749" i="35"/>
  <x:c r="N749" i="35"/>
  <x:c r="O749" i="35"/>
  <x:c r="C750" i="35"/>
  <x:c r="D750" i="35"/>
  <x:c r="E750" i="35"/>
  <x:c r="F750" i="35"/>
  <x:c r="G750" i="35"/>
  <x:c r="H750" i="35"/>
  <x:c r="I750" i="35"/>
  <x:c r="J750" i="35"/>
  <x:c r="K750" i="35"/>
  <x:c r="L750" i="35"/>
  <x:c r="M750" i="35"/>
  <x:c r="N750" i="35"/>
  <x:c r="O750" i="35"/>
  <x:c r="C751" i="35"/>
  <x:c r="D751" i="35"/>
  <x:c r="E751" i="35"/>
  <x:c r="F751" i="35"/>
  <x:c r="G751" i="35"/>
  <x:c r="H751" i="35"/>
  <x:c r="I751" i="35"/>
  <x:c r="J751" i="35"/>
  <x:c r="K751" i="35"/>
  <x:c r="L751" i="35"/>
  <x:c r="M751" i="35"/>
  <x:c r="N751" i="35"/>
  <x:c r="O751" i="35"/>
  <x:c r="C752" i="35"/>
  <x:c r="D752" i="35"/>
  <x:c r="E752" i="35"/>
  <x:c r="F752" i="35"/>
  <x:c r="G752" i="35"/>
  <x:c r="H752" i="35"/>
  <x:c r="I752" i="35"/>
  <x:c r="J752" i="35"/>
  <x:c r="K752" i="35"/>
  <x:c r="L752" i="35"/>
  <x:c r="M752" i="35"/>
  <x:c r="N752" i="35"/>
  <x:c r="O752" i="35"/>
  <x:c r="C753" i="35"/>
  <x:c r="D753" i="35"/>
  <x:c r="E753" i="35"/>
  <x:c r="F753" i="35"/>
  <x:c r="G753" i="35"/>
  <x:c r="H753" i="35"/>
  <x:c r="I753" i="35"/>
  <x:c r="J753" i="35"/>
  <x:c r="K753" i="35"/>
  <x:c r="L753" i="35"/>
  <x:c r="M753" i="35"/>
  <x:c r="N753" i="35"/>
  <x:c r="O753" i="35"/>
  <x:c r="C754" i="35"/>
  <x:c r="D754" i="35"/>
  <x:c r="E754" i="35"/>
  <x:c r="F754" i="35"/>
  <x:c r="G754" i="35"/>
  <x:c r="H754" i="35"/>
  <x:c r="I754" i="35"/>
  <x:c r="J754" i="35"/>
  <x:c r="K754" i="35"/>
  <x:c r="L754" i="35"/>
  <x:c r="M754" i="35"/>
  <x:c r="N754" i="35"/>
  <x:c r="O754" i="35"/>
  <x:c r="C755" i="35"/>
  <x:c r="D755" i="35"/>
  <x:c r="E755" i="35"/>
  <x:c r="F755" i="35"/>
  <x:c r="G755" i="35"/>
  <x:c r="H755" i="35"/>
  <x:c r="I755" i="35"/>
  <x:c r="J755" i="35"/>
  <x:c r="K755" i="35"/>
  <x:c r="L755" i="35"/>
  <x:c r="M755" i="35"/>
  <x:c r="N755" i="35"/>
  <x:c r="O755" i="35"/>
  <x:c r="C756" i="35"/>
  <x:c r="D756" i="35"/>
  <x:c r="E756" i="35"/>
  <x:c r="F756" i="35"/>
  <x:c r="G756" i="35"/>
  <x:c r="H756" i="35"/>
  <x:c r="I756" i="35"/>
  <x:c r="J756" i="35"/>
  <x:c r="K756" i="35"/>
  <x:c r="L756" i="35"/>
  <x:c r="M756" i="35"/>
  <x:c r="N756" i="35"/>
  <x:c r="O756" i="35"/>
  <x:c r="C757" i="35"/>
  <x:c r="D757" i="35"/>
  <x:c r="E757" i="35"/>
  <x:c r="F757" i="35"/>
  <x:c r="G757" i="35"/>
  <x:c r="H757" i="35"/>
  <x:c r="I757" i="35"/>
  <x:c r="J757" i="35"/>
  <x:c r="K757" i="35"/>
  <x:c r="L757" i="35"/>
  <x:c r="M757" i="35"/>
  <x:c r="N757" i="35"/>
  <x:c r="O757" i="35"/>
  <x:c r="C758" i="35"/>
  <x:c r="D758" i="35"/>
  <x:c r="E758" i="35"/>
  <x:c r="F758" i="35"/>
  <x:c r="G758" i="35"/>
  <x:c r="H758" i="35"/>
  <x:c r="I758" i="35"/>
  <x:c r="J758" i="35"/>
  <x:c r="K758" i="35"/>
  <x:c r="L758" i="35"/>
  <x:c r="M758" i="35"/>
  <x:c r="N758" i="35"/>
  <x:c r="O758" i="35"/>
  <x:c r="C759" i="35"/>
  <x:c r="D759" i="35"/>
  <x:c r="E759" i="35"/>
  <x:c r="F759" i="35"/>
  <x:c r="G759" i="35"/>
  <x:c r="H759" i="35"/>
  <x:c r="I759" i="35"/>
  <x:c r="J759" i="35"/>
  <x:c r="K759" i="35"/>
  <x:c r="L759" i="35"/>
  <x:c r="M759" i="35"/>
  <x:c r="N759" i="35"/>
  <x:c r="O759" i="35"/>
  <x:c r="C760" i="35"/>
  <x:c r="D760" i="35"/>
  <x:c r="E760" i="35"/>
  <x:c r="F760" i="35"/>
  <x:c r="G760" i="35"/>
  <x:c r="H760" i="35"/>
  <x:c r="I760" i="35"/>
  <x:c r="J760" i="35"/>
  <x:c r="K760" i="35"/>
  <x:c r="L760" i="35"/>
  <x:c r="M760" i="35"/>
  <x:c r="N760" i="35"/>
  <x:c r="O760" i="35"/>
  <x:c r="C761" i="35"/>
  <x:c r="D761" i="35"/>
  <x:c r="E761" i="35"/>
  <x:c r="F761" i="35"/>
  <x:c r="G761" i="35"/>
  <x:c r="H761" i="35"/>
  <x:c r="I761" i="35"/>
  <x:c r="J761" i="35"/>
  <x:c r="K761" i="35"/>
  <x:c r="L761" i="35"/>
  <x:c r="M761" i="35"/>
  <x:c r="N761" i="35"/>
  <x:c r="O761" i="35"/>
  <x:c r="C762" i="35"/>
  <x:c r="D762" i="35"/>
  <x:c r="E762" i="35"/>
  <x:c r="F762" i="35"/>
  <x:c r="G762" i="35"/>
  <x:c r="H762" i="35"/>
  <x:c r="I762" i="35"/>
  <x:c r="J762" i="35"/>
  <x:c r="K762" i="35"/>
  <x:c r="L762" i="35"/>
  <x:c r="M762" i="35"/>
  <x:c r="N762" i="35"/>
  <x:c r="O762" i="35"/>
  <x:c r="C763" i="35"/>
  <x:c r="D763" i="35"/>
  <x:c r="E763" i="35"/>
  <x:c r="F763" i="35"/>
  <x:c r="G763" i="35"/>
  <x:c r="H763" i="35"/>
  <x:c r="I763" i="35"/>
  <x:c r="J763" i="35"/>
  <x:c r="K763" i="35"/>
  <x:c r="L763" i="35"/>
  <x:c r="M763" i="35"/>
  <x:c r="N763" i="35"/>
  <x:c r="O763" i="35"/>
  <x:c r="C764" i="35"/>
  <x:c r="D764" i="35"/>
  <x:c r="E764" i="35"/>
  <x:c r="F764" i="35"/>
  <x:c r="G764" i="35"/>
  <x:c r="H764" i="35"/>
  <x:c r="I764" i="35"/>
  <x:c r="J764" i="35"/>
  <x:c r="K764" i="35"/>
  <x:c r="L764" i="35"/>
  <x:c r="M764" i="35"/>
  <x:c r="N764" i="35"/>
  <x:c r="O764" i="35"/>
  <x:c r="C765" i="35"/>
  <x:c r="D765" i="35"/>
  <x:c r="E765" i="35"/>
  <x:c r="F765" i="35"/>
  <x:c r="G765" i="35"/>
  <x:c r="H765" i="35"/>
  <x:c r="I765" i="35"/>
  <x:c r="J765" i="35"/>
  <x:c r="K765" i="35"/>
  <x:c r="L765" i="35"/>
  <x:c r="M765" i="35"/>
  <x:c r="N765" i="35"/>
  <x:c r="O765" i="35"/>
  <x:c r="C766" i="35"/>
  <x:c r="D766" i="35"/>
  <x:c r="E766" i="35"/>
  <x:c r="F766" i="35"/>
  <x:c r="G766" i="35"/>
  <x:c r="H766" i="35"/>
  <x:c r="I766" i="35"/>
  <x:c r="J766" i="35"/>
  <x:c r="K766" i="35"/>
  <x:c r="L766" i="35"/>
  <x:c r="M766" i="35"/>
  <x:c r="N766" i="35"/>
  <x:c r="O766" i="35"/>
  <x:c r="C767" i="35"/>
  <x:c r="D767" i="35"/>
  <x:c r="E767" i="35"/>
  <x:c r="F767" i="35"/>
  <x:c r="G767" i="35"/>
  <x:c r="H767" i="35"/>
  <x:c r="I767" i="35"/>
  <x:c r="J767" i="35"/>
  <x:c r="K767" i="35"/>
  <x:c r="L767" i="35"/>
  <x:c r="M767" i="35"/>
  <x:c r="N767" i="35"/>
  <x:c r="O767" i="35"/>
  <x:c r="C768" i="35"/>
  <x:c r="D768" i="35"/>
  <x:c r="E768" i="35"/>
  <x:c r="F768" i="35"/>
  <x:c r="G768" i="35"/>
  <x:c r="H768" i="35"/>
  <x:c r="I768" i="35"/>
  <x:c r="J768" i="35"/>
  <x:c r="K768" i="35"/>
  <x:c r="L768" i="35"/>
  <x:c r="M768" i="35"/>
  <x:c r="N768" i="35"/>
  <x:c r="O768" i="35"/>
  <x:c r="C769" i="35"/>
  <x:c r="D769" i="35"/>
  <x:c r="E769" i="35"/>
  <x:c r="F769" i="35"/>
  <x:c r="G769" i="35"/>
  <x:c r="H769" i="35"/>
  <x:c r="I769" i="35"/>
  <x:c r="J769" i="35"/>
  <x:c r="K769" i="35"/>
  <x:c r="L769" i="35"/>
  <x:c r="M769" i="35"/>
  <x:c r="N769" i="35"/>
  <x:c r="O769" i="35"/>
  <x:c r="C770" i="35"/>
  <x:c r="D770" i="35"/>
  <x:c r="E770" i="35"/>
  <x:c r="F770" i="35"/>
  <x:c r="G770" i="35"/>
  <x:c r="H770" i="35"/>
  <x:c r="I770" i="35"/>
  <x:c r="J770" i="35"/>
  <x:c r="K770" i="35"/>
  <x:c r="L770" i="35"/>
  <x:c r="M770" i="35"/>
  <x:c r="N770" i="35"/>
  <x:c r="O770" i="35"/>
  <x:c r="C771" i="35"/>
  <x:c r="D771" i="35"/>
  <x:c r="E771" i="35"/>
  <x:c r="F771" i="35"/>
  <x:c r="G771" i="35"/>
  <x:c r="H771" i="35"/>
  <x:c r="I771" i="35"/>
  <x:c r="J771" i="35"/>
  <x:c r="K771" i="35"/>
  <x:c r="L771" i="35"/>
  <x:c r="M771" i="35"/>
  <x:c r="N771" i="35"/>
  <x:c r="O771" i="35"/>
  <x:c r="C772" i="35"/>
  <x:c r="D772" i="35"/>
  <x:c r="E772" i="35"/>
  <x:c r="F772" i="35"/>
  <x:c r="G772" i="35"/>
  <x:c r="H772" i="35"/>
  <x:c r="I772" i="35"/>
  <x:c r="J772" i="35"/>
  <x:c r="K772" i="35"/>
  <x:c r="L772" i="35"/>
  <x:c r="M772" i="35"/>
  <x:c r="N772" i="35"/>
  <x:c r="O772" i="35"/>
  <x:c r="C773" i="35"/>
  <x:c r="D773" i="35"/>
  <x:c r="E773" i="35"/>
  <x:c r="F773" i="35"/>
  <x:c r="G773" i="35"/>
  <x:c r="H773" i="35"/>
  <x:c r="I773" i="35"/>
  <x:c r="J773" i="35"/>
  <x:c r="K773" i="35"/>
  <x:c r="L773" i="35"/>
  <x:c r="M773" i="35"/>
  <x:c r="N773" i="35"/>
  <x:c r="O773" i="35"/>
  <x:c r="C774" i="35"/>
  <x:c r="D774" i="35"/>
  <x:c r="E774" i="35"/>
  <x:c r="F774" i="35"/>
  <x:c r="G774" i="35"/>
  <x:c r="H774" i="35"/>
  <x:c r="I774" i="35"/>
  <x:c r="J774" i="35"/>
  <x:c r="K774" i="35"/>
  <x:c r="L774" i="35"/>
  <x:c r="M774" i="35"/>
  <x:c r="N774" i="35"/>
  <x:c r="O774" i="35"/>
  <x:c r="C775" i="35"/>
  <x:c r="D775" i="35"/>
  <x:c r="E775" i="35"/>
  <x:c r="F775" i="35"/>
  <x:c r="G775" i="35"/>
  <x:c r="H775" i="35"/>
  <x:c r="I775" i="35"/>
  <x:c r="J775" i="35"/>
  <x:c r="K775" i="35"/>
  <x:c r="L775" i="35"/>
  <x:c r="M775" i="35"/>
  <x:c r="N775" i="35"/>
  <x:c r="O775" i="35"/>
  <x:c r="S775" i="35"/>
  <x:c r="C776" i="35"/>
  <x:c r="D776" i="35"/>
  <x:c r="E776" i="35"/>
  <x:c r="F776" i="35"/>
  <x:c r="G776" i="35"/>
  <x:c r="H776" i="35"/>
  <x:c r="I776" i="35"/>
  <x:c r="J776" i="35"/>
  <x:c r="K776" i="35"/>
  <x:c r="L776" i="35"/>
  <x:c r="M776" i="35"/>
  <x:c r="N776" i="35"/>
  <x:c r="O776" i="35"/>
  <x:c r="C777" i="35"/>
  <x:c r="D777" i="35"/>
  <x:c r="E777" i="35"/>
  <x:c r="F777" i="35"/>
  <x:c r="G777" i="35"/>
  <x:c r="H777" i="35"/>
  <x:c r="I777" i="35"/>
  <x:c r="J777" i="35"/>
  <x:c r="K777" i="35"/>
  <x:c r="L777" i="35"/>
  <x:c r="M777" i="35"/>
  <x:c r="N777" i="35"/>
  <x:c r="O777" i="35"/>
  <x:c r="C778" i="35"/>
  <x:c r="D778" i="35"/>
  <x:c r="E778" i="35"/>
  <x:c r="F778" i="35"/>
  <x:c r="G778" i="35"/>
  <x:c r="H778" i="35"/>
  <x:c r="I778" i="35"/>
  <x:c r="J778" i="35"/>
  <x:c r="K778" i="35"/>
  <x:c r="L778" i="35"/>
  <x:c r="M778" i="35"/>
  <x:c r="N778" i="35"/>
  <x:c r="O778" i="35"/>
  <x:c r="C779" i="35"/>
  <x:c r="D779" i="35"/>
  <x:c r="E779" i="35"/>
  <x:c r="F779" i="35"/>
  <x:c r="G779" i="35"/>
  <x:c r="H779" i="35"/>
  <x:c r="I779" i="35"/>
  <x:c r="J779" i="35"/>
  <x:c r="K779" i="35"/>
  <x:c r="L779" i="35"/>
  <x:c r="M779" i="35"/>
  <x:c r="N779" i="35"/>
  <x:c r="O779" i="35"/>
  <x:c r="C780" i="35"/>
  <x:c r="D780" i="35"/>
  <x:c r="E780" i="35"/>
  <x:c r="F780" i="35"/>
  <x:c r="G780" i="35"/>
  <x:c r="H780" i="35"/>
  <x:c r="I780" i="35"/>
  <x:c r="J780" i="35"/>
  <x:c r="K780" i="35"/>
  <x:c r="L780" i="35"/>
  <x:c r="M780" i="35"/>
  <x:c r="N780" i="35"/>
  <x:c r="O780" i="35"/>
  <x:c r="C781" i="35"/>
  <x:c r="D781" i="35"/>
  <x:c r="E781" i="35"/>
  <x:c r="F781" i="35"/>
  <x:c r="G781" i="35"/>
  <x:c r="H781" i="35"/>
  <x:c r="I781" i="35"/>
  <x:c r="J781" i="35"/>
  <x:c r="K781" i="35"/>
  <x:c r="L781" i="35"/>
  <x:c r="M781" i="35"/>
  <x:c r="N781" i="35"/>
  <x:c r="O781" i="35"/>
  <x:c r="C782" i="35"/>
  <x:c r="D782" i="35"/>
  <x:c r="E782" i="35"/>
  <x:c r="F782" i="35"/>
  <x:c r="G782" i="35"/>
  <x:c r="H782" i="35"/>
  <x:c r="I782" i="35"/>
  <x:c r="J782" i="35"/>
  <x:c r="K782" i="35"/>
  <x:c r="L782" i="35"/>
  <x:c r="M782" i="35"/>
  <x:c r="N782" i="35"/>
  <x:c r="O782" i="35"/>
  <x:c r="C783" i="35"/>
  <x:c r="D783" i="35"/>
  <x:c r="E783" i="35"/>
  <x:c r="F783" i="35"/>
  <x:c r="G783" i="35"/>
  <x:c r="H783" i="35"/>
  <x:c r="I783" i="35"/>
  <x:c r="J783" i="35"/>
  <x:c r="K783" i="35"/>
  <x:c r="L783" i="35"/>
  <x:c r="M783" i="35"/>
  <x:c r="N783" i="35"/>
  <x:c r="O783" i="35"/>
  <x:c r="C784" i="35"/>
  <x:c r="D784" i="35"/>
  <x:c r="E784" i="35"/>
  <x:c r="F784" i="35"/>
  <x:c r="G784" i="35"/>
  <x:c r="H784" i="35"/>
  <x:c r="I784" i="35"/>
  <x:c r="J784" i="35"/>
  <x:c r="K784" i="35"/>
  <x:c r="L784" i="35"/>
  <x:c r="M784" i="35"/>
  <x:c r="N784" i="35"/>
  <x:c r="O784" i="35"/>
  <x:c r="C785" i="35"/>
  <x:c r="D785" i="35"/>
  <x:c r="E785" i="35"/>
  <x:c r="F785" i="35"/>
  <x:c r="G785" i="35"/>
  <x:c r="H785" i="35"/>
  <x:c r="I785" i="35"/>
  <x:c r="J785" i="35"/>
  <x:c r="K785" i="35"/>
  <x:c r="L785" i="35"/>
  <x:c r="M785" i="35"/>
  <x:c r="N785" i="35"/>
  <x:c r="O785" i="35"/>
  <x:c r="C786" i="35"/>
  <x:c r="D786" i="35"/>
  <x:c r="E786" i="35"/>
  <x:c r="F786" i="35"/>
  <x:c r="G786" i="35"/>
  <x:c r="H786" i="35"/>
  <x:c r="I786" i="35"/>
  <x:c r="J786" i="35"/>
  <x:c r="K786" i="35"/>
  <x:c r="L786" i="35"/>
  <x:c r="M786" i="35"/>
  <x:c r="N786" i="35"/>
  <x:c r="O786" i="35"/>
  <x:c r="C787" i="35"/>
  <x:c r="D787" i="35"/>
  <x:c r="E787" i="35"/>
  <x:c r="F787" i="35"/>
  <x:c r="G787" i="35"/>
  <x:c r="H787" i="35"/>
  <x:c r="I787" i="35"/>
  <x:c r="J787" i="35"/>
  <x:c r="K787" i="35"/>
  <x:c r="L787" i="35"/>
  <x:c r="M787" i="35"/>
  <x:c r="N787" i="35"/>
  <x:c r="O787" i="35"/>
  <x:c r="C788" i="35"/>
  <x:c r="D788" i="35"/>
  <x:c r="E788" i="35"/>
  <x:c r="F788" i="35"/>
  <x:c r="G788" i="35"/>
  <x:c r="H788" i="35"/>
  <x:c r="I788" i="35"/>
  <x:c r="J788" i="35"/>
  <x:c r="K788" i="35"/>
  <x:c r="L788" i="35"/>
  <x:c r="M788" i="35"/>
  <x:c r="N788" i="35"/>
  <x:c r="O788" i="35"/>
  <x:c r="C789" i="35"/>
  <x:c r="D789" i="35"/>
  <x:c r="E789" i="35"/>
  <x:c r="F789" i="35"/>
  <x:c r="G789" i="35"/>
  <x:c r="H789" i="35"/>
  <x:c r="I789" i="35"/>
  <x:c r="J789" i="35"/>
  <x:c r="K789" i="35"/>
  <x:c r="L789" i="35"/>
  <x:c r="M789" i="35"/>
  <x:c r="N789" i="35"/>
  <x:c r="O789" i="35"/>
  <x:c r="C790" i="35"/>
  <x:c r="D790" i="35"/>
  <x:c r="E790" i="35"/>
  <x:c r="F790" i="35"/>
  <x:c r="G790" i="35"/>
  <x:c r="H790" i="35"/>
  <x:c r="I790" i="35"/>
  <x:c r="J790" i="35"/>
  <x:c r="K790" i="35"/>
  <x:c r="L790" i="35"/>
  <x:c r="M790" i="35"/>
  <x:c r="N790" i="35"/>
  <x:c r="O790" i="35"/>
  <x:c r="C791" i="35"/>
  <x:c r="D791" i="35"/>
  <x:c r="E791" i="35"/>
  <x:c r="F791" i="35"/>
  <x:c r="G791" i="35"/>
  <x:c r="H791" i="35"/>
  <x:c r="I791" i="35"/>
  <x:c r="J791" i="35"/>
  <x:c r="K791" i="35"/>
  <x:c r="L791" i="35"/>
  <x:c r="M791" i="35"/>
  <x:c r="N791" i="35"/>
  <x:c r="O791" i="35"/>
  <x:c r="C792" i="35"/>
  <x:c r="D792" i="35"/>
  <x:c r="E792" i="35"/>
  <x:c r="F792" i="35"/>
  <x:c r="G792" i="35"/>
  <x:c r="H792" i="35"/>
  <x:c r="I792" i="35"/>
  <x:c r="J792" i="35"/>
  <x:c r="K792" i="35"/>
  <x:c r="L792" i="35"/>
  <x:c r="M792" i="35"/>
  <x:c r="N792" i="35"/>
  <x:c r="O792" i="35"/>
  <x:c r="C793" i="35"/>
  <x:c r="D793" i="35"/>
  <x:c r="E793" i="35"/>
  <x:c r="F793" i="35"/>
  <x:c r="G793" i="35"/>
  <x:c r="H793" i="35"/>
  <x:c r="I793" i="35"/>
  <x:c r="J793" i="35"/>
  <x:c r="K793" i="35"/>
  <x:c r="L793" i="35"/>
  <x:c r="M793" i="35"/>
  <x:c r="N793" i="35"/>
  <x:c r="O793" i="35"/>
  <x:c r="C794" i="35"/>
  <x:c r="D794" i="35"/>
  <x:c r="E794" i="35"/>
  <x:c r="F794" i="35"/>
  <x:c r="G794" i="35"/>
  <x:c r="H794" i="35"/>
  <x:c r="I794" i="35"/>
  <x:c r="J794" i="35"/>
  <x:c r="K794" i="35"/>
  <x:c r="L794" i="35"/>
  <x:c r="M794" i="35"/>
  <x:c r="N794" i="35"/>
  <x:c r="O794" i="35"/>
  <x:c r="C795" i="35"/>
  <x:c r="D795" i="35"/>
  <x:c r="E795" i="35"/>
  <x:c r="F795" i="35"/>
  <x:c r="G795" i="35"/>
  <x:c r="H795" i="35"/>
  <x:c r="I795" i="35"/>
  <x:c r="J795" i="35"/>
  <x:c r="K795" i="35"/>
  <x:c r="L795" i="35"/>
  <x:c r="M795" i="35"/>
  <x:c r="N795" i="35"/>
  <x:c r="O795" i="35"/>
  <x:c r="C796" i="35"/>
  <x:c r="D796" i="35"/>
  <x:c r="E796" i="35"/>
  <x:c r="F796" i="35"/>
  <x:c r="G796" i="35"/>
  <x:c r="H796" i="35"/>
  <x:c r="I796" i="35"/>
  <x:c r="J796" i="35"/>
  <x:c r="K796" i="35"/>
  <x:c r="L796" i="35"/>
  <x:c r="M796" i="35"/>
  <x:c r="N796" i="35"/>
  <x:c r="O796" i="35"/>
  <x:c r="S796" i="35"/>
  <x:c r="C797" i="35"/>
  <x:c r="D797" i="35"/>
  <x:c r="E797" i="35"/>
  <x:c r="F797" i="35"/>
  <x:c r="G797" i="35"/>
  <x:c r="H797" i="35"/>
  <x:c r="I797" i="35"/>
  <x:c r="J797" i="35"/>
  <x:c r="K797" i="35"/>
  <x:c r="L797" i="35"/>
  <x:c r="M797" i="35"/>
  <x:c r="N797" i="35"/>
  <x:c r="O797" i="35"/>
  <x:c r="C798" i="35"/>
  <x:c r="D798" i="35"/>
  <x:c r="E798" i="35"/>
  <x:c r="F798" i="35"/>
  <x:c r="G798" i="35"/>
  <x:c r="H798" i="35"/>
  <x:c r="I798" i="35"/>
  <x:c r="J798" i="35"/>
  <x:c r="K798" i="35"/>
  <x:c r="L798" i="35"/>
  <x:c r="M798" i="35"/>
  <x:c r="N798" i="35"/>
  <x:c r="O798" i="35"/>
  <x:c r="C799" i="35"/>
  <x:c r="D799" i="35"/>
  <x:c r="E799" i="35"/>
  <x:c r="F799" i="35"/>
  <x:c r="G799" i="35"/>
  <x:c r="H799" i="35"/>
  <x:c r="I799" i="35"/>
  <x:c r="J799" i="35"/>
  <x:c r="K799" i="35"/>
  <x:c r="L799" i="35"/>
  <x:c r="M799" i="35"/>
  <x:c r="N799" i="35"/>
  <x:c r="O799" i="35"/>
  <x:c r="C800" i="35"/>
  <x:c r="D800" i="35"/>
  <x:c r="E800" i="35"/>
  <x:c r="F800" i="35"/>
  <x:c r="G800" i="35"/>
  <x:c r="H800" i="35"/>
  <x:c r="I800" i="35"/>
  <x:c r="J800" i="35"/>
  <x:c r="K800" i="35"/>
  <x:c r="L800" i="35"/>
  <x:c r="M800" i="35"/>
  <x:c r="N800" i="35"/>
  <x:c r="O800" i="35"/>
  <x:c r="C801" i="35"/>
  <x:c r="D801" i="35"/>
  <x:c r="E801" i="35"/>
  <x:c r="F801" i="35"/>
  <x:c r="G801" i="35"/>
  <x:c r="H801" i="35"/>
  <x:c r="I801" i="35"/>
  <x:c r="J801" i="35"/>
  <x:c r="K801" i="35"/>
  <x:c r="L801" i="35"/>
  <x:c r="M801" i="35"/>
  <x:c r="N801" i="35"/>
  <x:c r="O801" i="35"/>
  <x:c r="C802" i="35"/>
  <x:c r="D802" i="35"/>
  <x:c r="E802" i="35"/>
  <x:c r="F802" i="35"/>
  <x:c r="G802" i="35"/>
  <x:c r="H802" i="35"/>
  <x:c r="I802" i="35"/>
  <x:c r="J802" i="35"/>
  <x:c r="K802" i="35"/>
  <x:c r="L802" i="35"/>
  <x:c r="M802" i="35"/>
  <x:c r="N802" i="35"/>
  <x:c r="O802" i="35"/>
  <x:c r="C803" i="35"/>
  <x:c r="D803" i="35"/>
  <x:c r="E803" i="35"/>
  <x:c r="F803" i="35"/>
  <x:c r="G803" i="35"/>
  <x:c r="H803" i="35"/>
  <x:c r="I803" i="35"/>
  <x:c r="J803" i="35"/>
  <x:c r="K803" i="35"/>
  <x:c r="L803" i="35"/>
  <x:c r="M803" i="35"/>
  <x:c r="N803" i="35"/>
  <x:c r="O803" i="35"/>
  <x:c r="C804" i="35"/>
  <x:c r="D804" i="35"/>
  <x:c r="E804" i="35"/>
  <x:c r="F804" i="35"/>
  <x:c r="G804" i="35"/>
  <x:c r="H804" i="35"/>
  <x:c r="I804" i="35"/>
  <x:c r="J804" i="35"/>
  <x:c r="K804" i="35"/>
  <x:c r="L804" i="35"/>
  <x:c r="M804" i="35"/>
  <x:c r="N804" i="35"/>
  <x:c r="O804" i="35"/>
  <x:c r="C805" i="35"/>
  <x:c r="D805" i="35"/>
  <x:c r="E805" i="35"/>
  <x:c r="F805" i="35"/>
  <x:c r="G805" i="35"/>
  <x:c r="H805" i="35"/>
  <x:c r="I805" i="35"/>
  <x:c r="J805" i="35"/>
  <x:c r="K805" i="35"/>
  <x:c r="L805" i="35"/>
  <x:c r="M805" i="35"/>
  <x:c r="N805" i="35"/>
  <x:c r="O805" i="35"/>
  <x:c r="C806" i="35"/>
  <x:c r="D806" i="35"/>
  <x:c r="E806" i="35"/>
  <x:c r="F806" i="35"/>
  <x:c r="G806" i="35"/>
  <x:c r="H806" i="35"/>
  <x:c r="I806" i="35"/>
  <x:c r="J806" i="35"/>
  <x:c r="K806" i="35"/>
  <x:c r="L806" i="35"/>
  <x:c r="M806" i="35"/>
  <x:c r="N806" i="35"/>
  <x:c r="O806" i="35"/>
  <x:c r="C807" i="35"/>
  <x:c r="D807" i="35"/>
  <x:c r="E807" i="35"/>
  <x:c r="F807" i="35"/>
  <x:c r="G807" i="35"/>
  <x:c r="H807" i="35"/>
  <x:c r="I807" i="35"/>
  <x:c r="J807" i="35"/>
  <x:c r="K807" i="35"/>
  <x:c r="L807" i="35"/>
  <x:c r="M807" i="35"/>
  <x:c r="N807" i="35"/>
  <x:c r="O807" i="35"/>
  <x:c r="C808" i="35"/>
  <x:c r="D808" i="35"/>
  <x:c r="E808" i="35"/>
  <x:c r="F808" i="35"/>
  <x:c r="G808" i="35"/>
  <x:c r="H808" i="35"/>
  <x:c r="I808" i="35"/>
  <x:c r="J808" i="35"/>
  <x:c r="K808" i="35"/>
  <x:c r="L808" i="35"/>
  <x:c r="M808" i="35"/>
  <x:c r="N808" i="35"/>
  <x:c r="O808" i="35"/>
  <x:c r="C809" i="35"/>
  <x:c r="D809" i="35"/>
  <x:c r="E809" i="35"/>
  <x:c r="F809" i="35"/>
  <x:c r="G809" i="35"/>
  <x:c r="H809" i="35"/>
  <x:c r="I809" i="35"/>
  <x:c r="J809" i="35"/>
  <x:c r="K809" i="35"/>
  <x:c r="L809" i="35"/>
  <x:c r="M809" i="35"/>
  <x:c r="N809" i="35"/>
  <x:c r="O809" i="35"/>
  <x:c r="C810" i="35"/>
  <x:c r="D810" i="35"/>
  <x:c r="E810" i="35"/>
  <x:c r="F810" i="35"/>
  <x:c r="G810" i="35"/>
  <x:c r="H810" i="35"/>
  <x:c r="I810" i="35"/>
  <x:c r="J810" i="35"/>
  <x:c r="K810" i="35"/>
  <x:c r="L810" i="35"/>
  <x:c r="M810" i="35"/>
  <x:c r="N810" i="35"/>
  <x:c r="O810" i="35"/>
  <x:c r="C811" i="35"/>
  <x:c r="D811" i="35"/>
  <x:c r="E811" i="35"/>
  <x:c r="F811" i="35"/>
  <x:c r="G811" i="35"/>
  <x:c r="H811" i="35"/>
  <x:c r="I811" i="35"/>
  <x:c r="J811" i="35"/>
  <x:c r="K811" i="35"/>
  <x:c r="L811" i="35"/>
  <x:c r="M811" i="35"/>
  <x:c r="N811" i="35"/>
  <x:c r="O811" i="35"/>
  <x:c r="S811" i="35"/>
  <x:c r="C812" i="35"/>
  <x:c r="D812" i="35"/>
  <x:c r="E812" i="35"/>
  <x:c r="F812" i="35"/>
  <x:c r="G812" i="35"/>
  <x:c r="H812" i="35"/>
  <x:c r="I812" i="35"/>
  <x:c r="J812" i="35"/>
  <x:c r="K812" i="35"/>
  <x:c r="L812" i="35"/>
  <x:c r="M812" i="35"/>
  <x:c r="N812" i="35"/>
  <x:c r="O812" i="35"/>
  <x:c r="C813" i="35"/>
  <x:c r="D813" i="35"/>
  <x:c r="E813" i="35"/>
  <x:c r="F813" i="35"/>
  <x:c r="G813" i="35"/>
  <x:c r="H813" i="35"/>
  <x:c r="I813" i="35"/>
  <x:c r="J813" i="35"/>
  <x:c r="K813" i="35"/>
  <x:c r="L813" i="35"/>
  <x:c r="M813" i="35"/>
  <x:c r="N813" i="35"/>
  <x:c r="O813" i="35"/>
  <x:c r="C814" i="35"/>
  <x:c r="D814" i="35"/>
  <x:c r="E814" i="35"/>
  <x:c r="F814" i="35"/>
  <x:c r="G814" i="35"/>
  <x:c r="H814" i="35"/>
  <x:c r="I814" i="35"/>
  <x:c r="J814" i="35"/>
  <x:c r="K814" i="35"/>
  <x:c r="L814" i="35"/>
  <x:c r="M814" i="35"/>
  <x:c r="N814" i="35"/>
  <x:c r="O814" i="35"/>
  <x:c r="C815" i="35"/>
  <x:c r="D815" i="35"/>
  <x:c r="E815" i="35"/>
  <x:c r="F815" i="35"/>
  <x:c r="G815" i="35"/>
  <x:c r="H815" i="35"/>
  <x:c r="I815" i="35"/>
  <x:c r="J815" i="35"/>
  <x:c r="K815" i="35"/>
  <x:c r="L815" i="35"/>
  <x:c r="M815" i="35"/>
  <x:c r="N815" i="35"/>
  <x:c r="O815" i="35"/>
  <x:c r="C816" i="35"/>
  <x:c r="D816" i="35"/>
  <x:c r="E816" i="35"/>
  <x:c r="F816" i="35"/>
  <x:c r="G816" i="35"/>
  <x:c r="H816" i="35"/>
  <x:c r="I816" i="35"/>
  <x:c r="J816" i="35"/>
  <x:c r="K816" i="35"/>
  <x:c r="L816" i="35"/>
  <x:c r="M816" i="35"/>
  <x:c r="N816" i="35"/>
  <x:c r="O816" i="35"/>
  <x:c r="C817" i="35"/>
  <x:c r="D817" i="35"/>
  <x:c r="E817" i="35"/>
  <x:c r="F817" i="35"/>
  <x:c r="G817" i="35"/>
  <x:c r="H817" i="35"/>
  <x:c r="I817" i="35"/>
  <x:c r="J817" i="35"/>
  <x:c r="K817" i="35"/>
  <x:c r="L817" i="35"/>
  <x:c r="M817" i="35"/>
  <x:c r="N817" i="35"/>
  <x:c r="O817" i="35"/>
  <x:c r="C818" i="35"/>
  <x:c r="D818" i="35"/>
  <x:c r="E818" i="35"/>
  <x:c r="F818" i="35"/>
  <x:c r="G818" i="35"/>
  <x:c r="H818" i="35"/>
  <x:c r="I818" i="35"/>
  <x:c r="J818" i="35"/>
  <x:c r="K818" i="35"/>
  <x:c r="L818" i="35"/>
  <x:c r="M818" i="35"/>
  <x:c r="N818" i="35"/>
  <x:c r="O818" i="35"/>
  <x:c r="C819" i="35"/>
  <x:c r="D819" i="35"/>
  <x:c r="E819" i="35"/>
  <x:c r="F819" i="35"/>
  <x:c r="G819" i="35"/>
  <x:c r="H819" i="35"/>
  <x:c r="I819" i="35"/>
  <x:c r="J819" i="35"/>
  <x:c r="K819" i="35"/>
  <x:c r="L819" i="35"/>
  <x:c r="M819" i="35"/>
  <x:c r="N819" i="35"/>
  <x:c r="O819" i="35"/>
  <x:c r="C820" i="35"/>
  <x:c r="D820" i="35"/>
  <x:c r="E820" i="35"/>
  <x:c r="F820" i="35"/>
  <x:c r="G820" i="35"/>
  <x:c r="H820" i="35"/>
  <x:c r="I820" i="35"/>
  <x:c r="J820" i="35"/>
  <x:c r="K820" i="35"/>
  <x:c r="L820" i="35"/>
  <x:c r="M820" i="35"/>
  <x:c r="N820" i="35"/>
  <x:c r="O820" i="35"/>
  <x:c r="C821" i="35"/>
  <x:c r="D821" i="35"/>
  <x:c r="E821" i="35"/>
  <x:c r="F821" i="35"/>
  <x:c r="G821" i="35"/>
  <x:c r="H821" i="35"/>
  <x:c r="I821" i="35"/>
  <x:c r="J821" i="35"/>
  <x:c r="K821" i="35"/>
  <x:c r="L821" i="35"/>
  <x:c r="M821" i="35"/>
  <x:c r="N821" i="35"/>
  <x:c r="O821" i="35"/>
  <x:c r="C822" i="35"/>
  <x:c r="D822" i="35"/>
  <x:c r="E822" i="35"/>
  <x:c r="F822" i="35"/>
  <x:c r="G822" i="35"/>
  <x:c r="H822" i="35"/>
  <x:c r="I822" i="35"/>
  <x:c r="J822" i="35"/>
  <x:c r="K822" i="35"/>
  <x:c r="L822" i="35"/>
  <x:c r="M822" i="35"/>
  <x:c r="N822" i="35"/>
  <x:c r="O822" i="35"/>
  <x:c r="C823" i="35"/>
  <x:c r="D823" i="35"/>
  <x:c r="E823" i="35"/>
  <x:c r="F823" i="35"/>
  <x:c r="G823" i="35"/>
  <x:c r="H823" i="35"/>
  <x:c r="I823" i="35"/>
  <x:c r="J823" i="35"/>
  <x:c r="K823" i="35"/>
  <x:c r="L823" i="35"/>
  <x:c r="M823" i="35"/>
  <x:c r="N823" i="35"/>
  <x:c r="O823" i="35"/>
  <x:c r="C824" i="35"/>
  <x:c r="D824" i="35"/>
  <x:c r="E824" i="35"/>
  <x:c r="F824" i="35"/>
  <x:c r="G824" i="35"/>
  <x:c r="H824" i="35"/>
  <x:c r="I824" i="35"/>
  <x:c r="J824" i="35"/>
  <x:c r="K824" i="35"/>
  <x:c r="L824" i="35"/>
  <x:c r="M824" i="35"/>
  <x:c r="N824" i="35"/>
  <x:c r="O824" i="35"/>
  <x:c r="C825" i="35"/>
  <x:c r="D825" i="35"/>
  <x:c r="E825" i="35"/>
  <x:c r="F825" i="35"/>
  <x:c r="G825" i="35"/>
  <x:c r="H825" i="35"/>
  <x:c r="I825" i="35"/>
  <x:c r="J825" i="35"/>
  <x:c r="K825" i="35"/>
  <x:c r="L825" i="35"/>
  <x:c r="M825" i="35"/>
  <x:c r="N825" i="35"/>
  <x:c r="O825" i="35"/>
  <x:c r="C826" i="35"/>
  <x:c r="D826" i="35"/>
  <x:c r="E826" i="35"/>
  <x:c r="F826" i="35"/>
  <x:c r="G826" i="35"/>
  <x:c r="H826" i="35"/>
  <x:c r="I826" i="35"/>
  <x:c r="J826" i="35"/>
  <x:c r="K826" i="35"/>
  <x:c r="L826" i="35"/>
  <x:c r="M826" i="35"/>
  <x:c r="N826" i="35"/>
  <x:c r="O826" i="35"/>
  <x:c r="C827" i="35"/>
  <x:c r="D827" i="35"/>
  <x:c r="E827" i="35"/>
  <x:c r="F827" i="35"/>
  <x:c r="G827" i="35"/>
  <x:c r="H827" i="35"/>
  <x:c r="I827" i="35"/>
  <x:c r="J827" i="35"/>
  <x:c r="K827" i="35"/>
  <x:c r="L827" i="35"/>
  <x:c r="M827" i="35"/>
  <x:c r="N827" i="35"/>
  <x:c r="O827" i="35"/>
  <x:c r="C828" i="35"/>
  <x:c r="D828" i="35"/>
  <x:c r="E828" i="35"/>
  <x:c r="F828" i="35"/>
  <x:c r="G828" i="35"/>
  <x:c r="H828" i="35"/>
  <x:c r="I828" i="35"/>
  <x:c r="J828" i="35"/>
  <x:c r="K828" i="35"/>
  <x:c r="L828" i="35"/>
  <x:c r="M828" i="35"/>
  <x:c r="N828" i="35"/>
  <x:c r="O828" i="35"/>
  <x:c r="C829" i="35"/>
  <x:c r="D829" i="35"/>
  <x:c r="E829" i="35"/>
  <x:c r="F829" i="35"/>
  <x:c r="G829" i="35"/>
  <x:c r="H829" i="35"/>
  <x:c r="I829" i="35"/>
  <x:c r="J829" i="35"/>
  <x:c r="K829" i="35"/>
  <x:c r="L829" i="35"/>
  <x:c r="M829" i="35"/>
  <x:c r="N829" i="35"/>
  <x:c r="O829" i="35"/>
  <x:c r="C830" i="35"/>
  <x:c r="D830" i="35"/>
  <x:c r="E830" i="35"/>
  <x:c r="F830" i="35"/>
  <x:c r="G830" i="35"/>
  <x:c r="H830" i="35"/>
  <x:c r="I830" i="35"/>
  <x:c r="J830" i="35"/>
  <x:c r="K830" i="35"/>
  <x:c r="L830" i="35"/>
  <x:c r="M830" i="35"/>
  <x:c r="N830" i="35"/>
  <x:c r="O830" i="35"/>
  <x:c r="C831" i="35"/>
  <x:c r="D831" i="35"/>
  <x:c r="E831" i="35"/>
  <x:c r="F831" i="35"/>
  <x:c r="G831" i="35"/>
  <x:c r="H831" i="35"/>
  <x:c r="I831" i="35"/>
  <x:c r="J831" i="35"/>
  <x:c r="K831" i="35"/>
  <x:c r="L831" i="35"/>
  <x:c r="M831" i="35"/>
  <x:c r="N831" i="35"/>
  <x:c r="O831" i="35"/>
  <x:c r="C832" i="35"/>
  <x:c r="D832" i="35"/>
  <x:c r="E832" i="35"/>
  <x:c r="F832" i="35"/>
  <x:c r="G832" i="35"/>
  <x:c r="H832" i="35"/>
  <x:c r="I832" i="35"/>
  <x:c r="J832" i="35"/>
  <x:c r="K832" i="35"/>
  <x:c r="L832" i="35"/>
  <x:c r="M832" i="35"/>
  <x:c r="N832" i="35"/>
  <x:c r="O832" i="35"/>
  <x:c r="C833" i="35"/>
  <x:c r="D833" i="35"/>
  <x:c r="E833" i="35"/>
  <x:c r="F833" i="35"/>
  <x:c r="G833" i="35"/>
  <x:c r="H833" i="35"/>
  <x:c r="I833" i="35"/>
  <x:c r="J833" i="35"/>
  <x:c r="K833" i="35"/>
  <x:c r="L833" i="35"/>
  <x:c r="M833" i="35"/>
  <x:c r="N833" i="35"/>
  <x:c r="O833" i="35"/>
  <x:c r="C834" i="35"/>
  <x:c r="D834" i="35"/>
  <x:c r="E834" i="35"/>
  <x:c r="F834" i="35"/>
  <x:c r="G834" i="35"/>
  <x:c r="H834" i="35"/>
  <x:c r="I834" i="35"/>
  <x:c r="J834" i="35"/>
  <x:c r="K834" i="35"/>
  <x:c r="L834" i="35"/>
  <x:c r="M834" i="35"/>
  <x:c r="N834" i="35"/>
  <x:c r="O834" i="35"/>
  <x:c r="C835" i="35"/>
  <x:c r="D835" i="35"/>
  <x:c r="E835" i="35"/>
  <x:c r="F835" i="35"/>
  <x:c r="G835" i="35"/>
  <x:c r="H835" i="35"/>
  <x:c r="I835" i="35"/>
  <x:c r="J835" i="35"/>
  <x:c r="K835" i="35"/>
  <x:c r="L835" i="35"/>
  <x:c r="M835" i="35"/>
  <x:c r="N835" i="35"/>
  <x:c r="O835" i="35"/>
  <x:c r="C836" i="35"/>
  <x:c r="D836" i="35"/>
  <x:c r="E836" i="35"/>
  <x:c r="F836" i="35"/>
  <x:c r="G836" i="35"/>
  <x:c r="H836" i="35"/>
  <x:c r="I836" i="35"/>
  <x:c r="J836" i="35"/>
  <x:c r="K836" i="35"/>
  <x:c r="L836" i="35"/>
  <x:c r="M836" i="35"/>
  <x:c r="N836" i="35"/>
  <x:c r="O836" i="35"/>
  <x:c r="C837" i="35"/>
  <x:c r="D837" i="35"/>
  <x:c r="E837" i="35"/>
  <x:c r="F837" i="35"/>
  <x:c r="G837" i="35"/>
  <x:c r="H837" i="35"/>
  <x:c r="I837" i="35"/>
  <x:c r="J837" i="35"/>
  <x:c r="K837" i="35"/>
  <x:c r="L837" i="35"/>
  <x:c r="M837" i="35"/>
  <x:c r="N837" i="35"/>
  <x:c r="O837" i="35"/>
  <x:c r="C838" i="35"/>
  <x:c r="D838" i="35"/>
  <x:c r="E838" i="35"/>
  <x:c r="F838" i="35"/>
  <x:c r="G838" i="35"/>
  <x:c r="H838" i="35"/>
  <x:c r="I838" i="35"/>
  <x:c r="J838" i="35"/>
  <x:c r="K838" i="35"/>
  <x:c r="L838" i="35"/>
  <x:c r="M838" i="35"/>
  <x:c r="N838" i="35"/>
  <x:c r="O838" i="35"/>
  <x:c r="C839" i="35"/>
  <x:c r="D839" i="35"/>
  <x:c r="E839" i="35"/>
  <x:c r="F839" i="35"/>
  <x:c r="G839" i="35"/>
  <x:c r="H839" i="35"/>
  <x:c r="I839" i="35"/>
  <x:c r="J839" i="35"/>
  <x:c r="K839" i="35"/>
  <x:c r="L839" i="35"/>
  <x:c r="M839" i="35"/>
  <x:c r="N839" i="35"/>
  <x:c r="O839" i="35"/>
  <x:c r="C840" i="35"/>
  <x:c r="D840" i="35"/>
  <x:c r="E840" i="35"/>
  <x:c r="F840" i="35"/>
  <x:c r="G840" i="35"/>
  <x:c r="H840" i="35"/>
  <x:c r="I840" i="35"/>
  <x:c r="J840" i="35"/>
  <x:c r="K840" i="35"/>
  <x:c r="L840" i="35"/>
  <x:c r="M840" i="35"/>
  <x:c r="N840" i="35"/>
  <x:c r="O840" i="35"/>
  <x:c r="C841" i="35"/>
  <x:c r="D841" i="35"/>
  <x:c r="E841" i="35"/>
  <x:c r="F841" i="35"/>
  <x:c r="G841" i="35"/>
  <x:c r="H841" i="35"/>
  <x:c r="I841" i="35"/>
  <x:c r="J841" i="35"/>
  <x:c r="K841" i="35"/>
  <x:c r="L841" i="35"/>
  <x:c r="M841" i="35"/>
  <x:c r="N841" i="35"/>
  <x:c r="O841" i="35"/>
  <x:c r="C842" i="35"/>
  <x:c r="D842" i="35"/>
  <x:c r="E842" i="35"/>
  <x:c r="F842" i="35"/>
  <x:c r="G842" i="35"/>
  <x:c r="H842" i="35"/>
  <x:c r="I842" i="35"/>
  <x:c r="J842" i="35"/>
  <x:c r="K842" i="35"/>
  <x:c r="L842" i="35"/>
  <x:c r="M842" i="35"/>
  <x:c r="N842" i="35"/>
  <x:c r="O842" i="35"/>
  <x:c r="C843" i="35"/>
  <x:c r="D843" i="35"/>
  <x:c r="E843" i="35"/>
  <x:c r="F843" i="35"/>
  <x:c r="G843" i="35"/>
  <x:c r="H843" i="35"/>
  <x:c r="I843" i="35"/>
  <x:c r="J843" i="35"/>
  <x:c r="K843" i="35"/>
  <x:c r="L843" i="35"/>
  <x:c r="M843" i="35"/>
  <x:c r="N843" i="35"/>
  <x:c r="O843" i="35"/>
  <x:c r="C844" i="35"/>
  <x:c r="D844" i="35"/>
  <x:c r="E844" i="35"/>
  <x:c r="F844" i="35"/>
  <x:c r="G844" i="35"/>
  <x:c r="H844" i="35"/>
  <x:c r="I844" i="35"/>
  <x:c r="J844" i="35"/>
  <x:c r="K844" i="35"/>
  <x:c r="L844" i="35"/>
  <x:c r="M844" i="35"/>
  <x:c r="N844" i="35"/>
  <x:c r="O844" i="35"/>
  <x:c r="C845" i="35"/>
  <x:c r="D845" i="35"/>
  <x:c r="E845" i="35"/>
  <x:c r="F845" i="35"/>
  <x:c r="G845" i="35"/>
  <x:c r="H845" i="35"/>
  <x:c r="I845" i="35"/>
  <x:c r="J845" i="35"/>
  <x:c r="K845" i="35"/>
  <x:c r="L845" i="35"/>
  <x:c r="M845" i="35"/>
  <x:c r="N845" i="35"/>
  <x:c r="O845" i="35"/>
  <x:c r="C846" i="35"/>
  <x:c r="D846" i="35"/>
  <x:c r="E846" i="35"/>
  <x:c r="F846" i="35"/>
  <x:c r="G846" i="35"/>
  <x:c r="H846" i="35"/>
  <x:c r="I846" i="35"/>
  <x:c r="J846" i="35"/>
  <x:c r="K846" i="35"/>
  <x:c r="L846" i="35"/>
  <x:c r="M846" i="35"/>
  <x:c r="N846" i="35"/>
  <x:c r="O846" i="35"/>
  <x:c r="C847" i="35"/>
  <x:c r="D847" i="35"/>
  <x:c r="E847" i="35"/>
  <x:c r="F847" i="35"/>
  <x:c r="G847" i="35"/>
  <x:c r="H847" i="35"/>
  <x:c r="I847" i="35"/>
  <x:c r="J847" i="35"/>
  <x:c r="K847" i="35"/>
  <x:c r="L847" i="35"/>
  <x:c r="M847" i="35"/>
  <x:c r="N847" i="35"/>
  <x:c r="O847" i="35"/>
  <x:c r="C848" i="35"/>
  <x:c r="D848" i="35"/>
  <x:c r="E848" i="35"/>
  <x:c r="F848" i="35"/>
  <x:c r="G848" i="35"/>
  <x:c r="H848" i="35"/>
  <x:c r="I848" i="35"/>
  <x:c r="J848" i="35"/>
  <x:c r="K848" i="35"/>
  <x:c r="L848" i="35"/>
  <x:c r="M848" i="35"/>
  <x:c r="N848" i="35"/>
  <x:c r="O848" i="35"/>
  <x:c r="C849" i="35"/>
  <x:c r="D849" i="35"/>
  <x:c r="E849" i="35"/>
  <x:c r="F849" i="35"/>
  <x:c r="G849" i="35"/>
  <x:c r="H849" i="35"/>
  <x:c r="I849" i="35"/>
  <x:c r="J849" i="35"/>
  <x:c r="K849" i="35"/>
  <x:c r="L849" i="35"/>
  <x:c r="M849" i="35"/>
  <x:c r="N849" i="35"/>
  <x:c r="O849" i="35"/>
  <x:c r="C850" i="35"/>
  <x:c r="D850" i="35"/>
  <x:c r="E850" i="35"/>
  <x:c r="F850" i="35"/>
  <x:c r="G850" i="35"/>
  <x:c r="H850" i="35"/>
  <x:c r="I850" i="35"/>
  <x:c r="J850" i="35"/>
  <x:c r="K850" i="35"/>
  <x:c r="L850" i="35"/>
  <x:c r="M850" i="35"/>
  <x:c r="N850" i="35"/>
  <x:c r="O850" i="35"/>
  <x:c r="C851" i="35"/>
  <x:c r="D851" i="35"/>
  <x:c r="E851" i="35"/>
  <x:c r="F851" i="35"/>
  <x:c r="G851" i="35"/>
  <x:c r="H851" i="35"/>
  <x:c r="I851" i="35"/>
  <x:c r="J851" i="35"/>
  <x:c r="K851" i="35"/>
  <x:c r="L851" i="35"/>
  <x:c r="M851" i="35"/>
  <x:c r="N851" i="35"/>
  <x:c r="O851" i="35"/>
  <x:c r="C852" i="35"/>
  <x:c r="D852" i="35"/>
  <x:c r="E852" i="35"/>
  <x:c r="F852" i="35"/>
  <x:c r="G852" i="35"/>
  <x:c r="H852" i="35"/>
  <x:c r="I852" i="35"/>
  <x:c r="J852" i="35"/>
  <x:c r="K852" i="35"/>
  <x:c r="L852" i="35"/>
  <x:c r="M852" i="35"/>
  <x:c r="N852" i="35"/>
  <x:c r="O852" i="35"/>
  <x:c r="C853" i="35"/>
  <x:c r="D853" i="35"/>
  <x:c r="E853" i="35"/>
  <x:c r="F853" i="35"/>
  <x:c r="G853" i="35"/>
  <x:c r="H853" i="35"/>
  <x:c r="I853" i="35"/>
  <x:c r="J853" i="35"/>
  <x:c r="K853" i="35"/>
  <x:c r="L853" i="35"/>
  <x:c r="M853" i="35"/>
  <x:c r="N853" i="35"/>
  <x:c r="O853" i="35"/>
  <x:c r="C854" i="35"/>
  <x:c r="D854" i="35"/>
  <x:c r="E854" i="35"/>
  <x:c r="F854" i="35"/>
  <x:c r="G854" i="35"/>
  <x:c r="H854" i="35"/>
  <x:c r="I854" i="35"/>
  <x:c r="J854" i="35"/>
  <x:c r="K854" i="35"/>
  <x:c r="L854" i="35"/>
  <x:c r="M854" i="35"/>
  <x:c r="N854" i="35"/>
  <x:c r="O854" i="35"/>
  <x:c r="C855" i="35"/>
  <x:c r="D855" i="35"/>
  <x:c r="E855" i="35"/>
  <x:c r="F855" i="35"/>
  <x:c r="G855" i="35"/>
  <x:c r="H855" i="35"/>
  <x:c r="I855" i="35"/>
  <x:c r="J855" i="35"/>
  <x:c r="K855" i="35"/>
  <x:c r="L855" i="35"/>
  <x:c r="M855" i="35"/>
  <x:c r="N855" i="35"/>
  <x:c r="O855" i="35"/>
  <x:c r="C856" i="35"/>
  <x:c r="D856" i="35"/>
  <x:c r="E856" i="35"/>
  <x:c r="F856" i="35"/>
  <x:c r="G856" i="35"/>
  <x:c r="H856" i="35"/>
  <x:c r="I856" i="35"/>
  <x:c r="J856" i="35"/>
  <x:c r="K856" i="35"/>
  <x:c r="L856" i="35"/>
  <x:c r="M856" i="35"/>
  <x:c r="N856" i="35"/>
  <x:c r="O856" i="35"/>
  <x:c r="C857" i="35"/>
  <x:c r="D857" i="35"/>
  <x:c r="E857" i="35"/>
  <x:c r="F857" i="35"/>
  <x:c r="G857" i="35"/>
  <x:c r="H857" i="35"/>
  <x:c r="I857" i="35"/>
  <x:c r="J857" i="35"/>
  <x:c r="K857" i="35"/>
  <x:c r="L857" i="35"/>
  <x:c r="M857" i="35"/>
  <x:c r="N857" i="35"/>
  <x:c r="O857" i="35"/>
  <x:c r="C858" i="35"/>
  <x:c r="D858" i="35"/>
  <x:c r="E858" i="35"/>
  <x:c r="F858" i="35"/>
  <x:c r="G858" i="35"/>
  <x:c r="H858" i="35"/>
  <x:c r="I858" i="35"/>
  <x:c r="J858" i="35"/>
  <x:c r="K858" i="35"/>
  <x:c r="L858" i="35"/>
  <x:c r="M858" i="35"/>
  <x:c r="N858" i="35"/>
  <x:c r="O858" i="35"/>
  <x:c r="C859" i="35"/>
  <x:c r="D859" i="35"/>
  <x:c r="E859" i="35"/>
  <x:c r="F859" i="35"/>
  <x:c r="G859" i="35"/>
  <x:c r="H859" i="35"/>
  <x:c r="I859" i="35"/>
  <x:c r="J859" i="35"/>
  <x:c r="K859" i="35"/>
  <x:c r="L859" i="35"/>
  <x:c r="M859" i="35"/>
  <x:c r="N859" i="35"/>
  <x:c r="O859" i="35"/>
  <x:c r="C860" i="35"/>
  <x:c r="D860" i="35"/>
  <x:c r="E860" i="35"/>
  <x:c r="F860" i="35"/>
  <x:c r="G860" i="35"/>
  <x:c r="H860" i="35"/>
  <x:c r="I860" i="35"/>
  <x:c r="J860" i="35"/>
  <x:c r="K860" i="35"/>
  <x:c r="L860" i="35"/>
  <x:c r="M860" i="35"/>
  <x:c r="N860" i="35"/>
  <x:c r="O860" i="35"/>
  <x:c r="C861" i="35"/>
  <x:c r="D861" i="35"/>
  <x:c r="E861" i="35"/>
  <x:c r="F861" i="35"/>
  <x:c r="G861" i="35"/>
  <x:c r="H861" i="35"/>
  <x:c r="I861" i="35"/>
  <x:c r="J861" i="35"/>
  <x:c r="K861" i="35"/>
  <x:c r="L861" i="35"/>
  <x:c r="M861" i="35"/>
  <x:c r="N861" i="35"/>
  <x:c r="O861" i="35"/>
  <x:c r="C862" i="35"/>
  <x:c r="D862" i="35"/>
  <x:c r="E862" i="35"/>
  <x:c r="F862" i="35"/>
  <x:c r="G862" i="35"/>
  <x:c r="H862" i="35"/>
  <x:c r="I862" i="35"/>
  <x:c r="J862" i="35"/>
  <x:c r="K862" i="35"/>
  <x:c r="L862" i="35"/>
  <x:c r="M862" i="35"/>
  <x:c r="N862" i="35"/>
  <x:c r="O862" i="35"/>
  <x:c r="C863" i="35"/>
  <x:c r="D863" i="35"/>
  <x:c r="E863" i="35"/>
  <x:c r="F863" i="35"/>
  <x:c r="G863" i="35"/>
  <x:c r="H863" i="35"/>
  <x:c r="I863" i="35"/>
  <x:c r="J863" i="35"/>
  <x:c r="K863" i="35"/>
  <x:c r="L863" i="35"/>
  <x:c r="M863" i="35"/>
  <x:c r="N863" i="35"/>
  <x:c r="O863" i="35"/>
  <x:c r="C864" i="35"/>
  <x:c r="D864" i="35"/>
  <x:c r="E864" i="35"/>
  <x:c r="F864" i="35"/>
  <x:c r="G864" i="35"/>
  <x:c r="H864" i="35"/>
  <x:c r="I864" i="35"/>
  <x:c r="J864" i="35"/>
  <x:c r="K864" i="35"/>
  <x:c r="L864" i="35"/>
  <x:c r="M864" i="35"/>
  <x:c r="N864" i="35"/>
  <x:c r="O864" i="35"/>
  <x:c r="C865" i="35"/>
  <x:c r="D865" i="35"/>
  <x:c r="E865" i="35"/>
  <x:c r="F865" i="35"/>
  <x:c r="G865" i="35"/>
  <x:c r="H865" i="35"/>
  <x:c r="I865" i="35"/>
  <x:c r="J865" i="35"/>
  <x:c r="K865" i="35"/>
  <x:c r="L865" i="35"/>
  <x:c r="M865" i="35"/>
  <x:c r="N865" i="35"/>
  <x:c r="O865" i="35"/>
  <x:c r="C866" i="35"/>
  <x:c r="D866" i="35"/>
  <x:c r="E866" i="35"/>
  <x:c r="F866" i="35"/>
  <x:c r="G866" i="35"/>
  <x:c r="H866" i="35"/>
  <x:c r="I866" i="35"/>
  <x:c r="J866" i="35"/>
  <x:c r="K866" i="35"/>
  <x:c r="L866" i="35"/>
  <x:c r="M866" i="35"/>
  <x:c r="N866" i="35"/>
  <x:c r="O866" i="35"/>
  <x:c r="S866" i="35"/>
  <x:c r="C867" i="35"/>
  <x:c r="D867" i="35"/>
  <x:c r="E867" i="35"/>
  <x:c r="F867" i="35"/>
  <x:c r="G867" i="35"/>
  <x:c r="H867" i="35"/>
  <x:c r="I867" i="35"/>
  <x:c r="J867" i="35"/>
  <x:c r="K867" i="35"/>
  <x:c r="L867" i="35"/>
  <x:c r="M867" i="35"/>
  <x:c r="N867" i="35"/>
  <x:c r="O867" i="35"/>
  <x:c r="C868" i="35"/>
  <x:c r="D868" i="35"/>
  <x:c r="E868" i="35"/>
  <x:c r="F868" i="35"/>
  <x:c r="G868" i="35"/>
  <x:c r="H868" i="35"/>
  <x:c r="I868" i="35"/>
  <x:c r="J868" i="35"/>
  <x:c r="K868" i="35"/>
  <x:c r="L868" i="35"/>
  <x:c r="M868" i="35"/>
  <x:c r="N868" i="35"/>
  <x:c r="O868" i="35"/>
  <x:c r="C869" i="35"/>
  <x:c r="D869" i="35"/>
  <x:c r="E869" i="35"/>
  <x:c r="F869" i="35"/>
  <x:c r="G869" i="35"/>
  <x:c r="H869" i="35"/>
  <x:c r="I869" i="35"/>
  <x:c r="J869" i="35"/>
  <x:c r="K869" i="35"/>
  <x:c r="L869" i="35"/>
  <x:c r="M869" i="35"/>
  <x:c r="N869" i="35"/>
  <x:c r="O869" i="35"/>
  <x:c r="C870" i="35"/>
  <x:c r="D870" i="35"/>
  <x:c r="E870" i="35"/>
  <x:c r="F870" i="35"/>
  <x:c r="G870" i="35"/>
  <x:c r="H870" i="35"/>
  <x:c r="I870" i="35"/>
  <x:c r="J870" i="35"/>
  <x:c r="K870" i="35"/>
  <x:c r="L870" i="35"/>
  <x:c r="M870" i="35"/>
  <x:c r="N870" i="35"/>
  <x:c r="O870" i="35"/>
  <x:c r="C871" i="35"/>
  <x:c r="D871" i="35"/>
  <x:c r="E871" i="35"/>
  <x:c r="F871" i="35"/>
  <x:c r="G871" i="35"/>
  <x:c r="H871" i="35"/>
  <x:c r="I871" i="35"/>
  <x:c r="J871" i="35"/>
  <x:c r="K871" i="35"/>
  <x:c r="L871" i="35"/>
  <x:c r="M871" i="35"/>
  <x:c r="N871" i="35"/>
  <x:c r="O871" i="35"/>
  <x:c r="C872" i="35"/>
  <x:c r="D872" i="35"/>
  <x:c r="E872" i="35"/>
  <x:c r="F872" i="35"/>
  <x:c r="G872" i="35"/>
  <x:c r="H872" i="35"/>
  <x:c r="I872" i="35"/>
  <x:c r="J872" i="35"/>
  <x:c r="K872" i="35"/>
  <x:c r="L872" i="35"/>
  <x:c r="M872" i="35"/>
  <x:c r="N872" i="35"/>
  <x:c r="O872" i="35"/>
  <x:c r="C873" i="35"/>
  <x:c r="D873" i="35"/>
  <x:c r="E873" i="35"/>
  <x:c r="F873" i="35"/>
  <x:c r="G873" i="35"/>
  <x:c r="H873" i="35"/>
  <x:c r="I873" i="35"/>
  <x:c r="J873" i="35"/>
  <x:c r="K873" i="35"/>
  <x:c r="L873" i="35"/>
  <x:c r="M873" i="35"/>
  <x:c r="N873" i="35"/>
  <x:c r="O873" i="35"/>
  <x:c r="C874" i="35"/>
  <x:c r="D874" i="35"/>
  <x:c r="E874" i="35"/>
  <x:c r="F874" i="35"/>
  <x:c r="G874" i="35"/>
  <x:c r="H874" i="35"/>
  <x:c r="I874" i="35"/>
  <x:c r="J874" i="35"/>
  <x:c r="K874" i="35"/>
  <x:c r="L874" i="35"/>
  <x:c r="M874" i="35"/>
  <x:c r="N874" i="35"/>
  <x:c r="O874" i="35"/>
  <x:c r="C875" i="35"/>
  <x:c r="D875" i="35"/>
  <x:c r="E875" i="35"/>
  <x:c r="F875" i="35"/>
  <x:c r="G875" i="35"/>
  <x:c r="H875" i="35"/>
  <x:c r="I875" i="35"/>
  <x:c r="J875" i="35"/>
  <x:c r="K875" i="35"/>
  <x:c r="L875" i="35"/>
  <x:c r="M875" i="35"/>
  <x:c r="N875" i="35"/>
  <x:c r="O875" i="35"/>
  <x:c r="C876" i="35"/>
  <x:c r="D876" i="35"/>
  <x:c r="E876" i="35"/>
  <x:c r="F876" i="35"/>
  <x:c r="G876" i="35"/>
  <x:c r="H876" i="35"/>
  <x:c r="I876" i="35"/>
  <x:c r="J876" i="35"/>
  <x:c r="K876" i="35"/>
  <x:c r="L876" i="35"/>
  <x:c r="M876" i="35"/>
  <x:c r="N876" i="35"/>
  <x:c r="O876" i="35"/>
  <x:c r="C877" i="35"/>
  <x:c r="D877" i="35"/>
  <x:c r="E877" i="35"/>
  <x:c r="F877" i="35"/>
  <x:c r="G877" i="35"/>
  <x:c r="H877" i="35"/>
  <x:c r="I877" i="35"/>
  <x:c r="J877" i="35"/>
  <x:c r="K877" i="35"/>
  <x:c r="L877" i="35"/>
  <x:c r="M877" i="35"/>
  <x:c r="N877" i="35"/>
  <x:c r="O877" i="35"/>
  <x:c r="C878" i="35"/>
  <x:c r="D878" i="35"/>
  <x:c r="E878" i="35"/>
  <x:c r="F878" i="35"/>
  <x:c r="G878" i="35"/>
  <x:c r="H878" i="35"/>
  <x:c r="I878" i="35"/>
  <x:c r="J878" i="35"/>
  <x:c r="K878" i="35"/>
  <x:c r="L878" i="35"/>
  <x:c r="M878" i="35"/>
  <x:c r="N878" i="35"/>
  <x:c r="O878" i="35"/>
  <x:c r="C879" i="35"/>
  <x:c r="D879" i="35"/>
  <x:c r="E879" i="35"/>
  <x:c r="F879" i="35"/>
  <x:c r="G879" i="35"/>
  <x:c r="H879" i="35"/>
  <x:c r="I879" i="35"/>
  <x:c r="J879" i="35"/>
  <x:c r="K879" i="35"/>
  <x:c r="L879" i="35"/>
  <x:c r="M879" i="35"/>
  <x:c r="N879" i="35"/>
  <x:c r="O879" i="35"/>
  <x:c r="C880" i="35"/>
  <x:c r="D880" i="35"/>
  <x:c r="E880" i="35"/>
  <x:c r="F880" i="35"/>
  <x:c r="G880" i="35"/>
  <x:c r="H880" i="35"/>
  <x:c r="I880" i="35"/>
  <x:c r="J880" i="35"/>
  <x:c r="K880" i="35"/>
  <x:c r="L880" i="35"/>
  <x:c r="M880" i="35"/>
  <x:c r="N880" i="35"/>
  <x:c r="O880" i="35"/>
  <x:c r="C881" i="35"/>
  <x:c r="D881" i="35"/>
  <x:c r="E881" i="35"/>
  <x:c r="F881" i="35"/>
  <x:c r="G881" i="35"/>
  <x:c r="H881" i="35"/>
  <x:c r="I881" i="35"/>
  <x:c r="J881" i="35"/>
  <x:c r="K881" i="35"/>
  <x:c r="L881" i="35"/>
  <x:c r="M881" i="35"/>
  <x:c r="N881" i="35"/>
  <x:c r="O881" i="35"/>
  <x:c r="C882" i="35"/>
  <x:c r="D882" i="35"/>
  <x:c r="E882" i="35"/>
  <x:c r="F882" i="35"/>
  <x:c r="G882" i="35"/>
  <x:c r="H882" i="35"/>
  <x:c r="I882" i="35"/>
  <x:c r="J882" i="35"/>
  <x:c r="K882" i="35"/>
  <x:c r="L882" i="35"/>
  <x:c r="M882" i="35"/>
  <x:c r="N882" i="35"/>
  <x:c r="O882" i="35"/>
  <x:c r="C883" i="35"/>
  <x:c r="D883" i="35"/>
  <x:c r="E883" i="35"/>
  <x:c r="F883" i="35"/>
  <x:c r="G883" i="35"/>
  <x:c r="H883" i="35"/>
  <x:c r="I883" i="35"/>
  <x:c r="J883" i="35"/>
  <x:c r="K883" i="35"/>
  <x:c r="L883" i="35"/>
  <x:c r="M883" i="35"/>
  <x:c r="N883" i="35"/>
  <x:c r="O883" i="35"/>
  <x:c r="C884" i="35"/>
  <x:c r="D884" i="35"/>
  <x:c r="E884" i="35"/>
  <x:c r="F884" i="35"/>
  <x:c r="G884" i="35"/>
  <x:c r="H884" i="35"/>
  <x:c r="I884" i="35"/>
  <x:c r="J884" i="35"/>
  <x:c r="K884" i="35"/>
  <x:c r="L884" i="35"/>
  <x:c r="M884" i="35"/>
  <x:c r="N884" i="35"/>
  <x:c r="O884" i="35"/>
  <x:c r="C885" i="35"/>
  <x:c r="D885" i="35"/>
  <x:c r="E885" i="35"/>
  <x:c r="F885" i="35"/>
  <x:c r="G885" i="35"/>
  <x:c r="H885" i="35"/>
  <x:c r="I885" i="35"/>
  <x:c r="J885" i="35"/>
  <x:c r="K885" i="35"/>
  <x:c r="L885" i="35"/>
  <x:c r="M885" i="35"/>
  <x:c r="N885" i="35"/>
  <x:c r="O885" i="35"/>
  <x:c r="C886" i="35"/>
  <x:c r="D886" i="35"/>
  <x:c r="E886" i="35"/>
  <x:c r="F886" i="35"/>
  <x:c r="G886" i="35"/>
  <x:c r="H886" i="35"/>
  <x:c r="I886" i="35"/>
  <x:c r="J886" i="35"/>
  <x:c r="K886" i="35"/>
  <x:c r="L886" i="35"/>
  <x:c r="M886" i="35"/>
  <x:c r="N886" i="35"/>
  <x:c r="O886" i="35"/>
  <x:c r="C887" i="35"/>
  <x:c r="D887" i="35"/>
  <x:c r="E887" i="35"/>
  <x:c r="F887" i="35"/>
  <x:c r="G887" i="35"/>
  <x:c r="H887" i="35"/>
  <x:c r="I887" i="35"/>
  <x:c r="J887" i="35"/>
  <x:c r="K887" i="35"/>
  <x:c r="L887" i="35"/>
  <x:c r="M887" i="35"/>
  <x:c r="N887" i="35"/>
  <x:c r="O887" i="35"/>
  <x:c r="C888" i="35"/>
  <x:c r="D888" i="35"/>
  <x:c r="E888" i="35"/>
  <x:c r="F888" i="35"/>
  <x:c r="G888" i="35"/>
  <x:c r="H888" i="35"/>
  <x:c r="I888" i="35"/>
  <x:c r="J888" i="35"/>
  <x:c r="K888" i="35"/>
  <x:c r="L888" i="35"/>
  <x:c r="M888" i="35"/>
  <x:c r="N888" i="35"/>
  <x:c r="O888" i="35"/>
  <x:c r="C889" i="35"/>
  <x:c r="D889" i="35"/>
  <x:c r="E889" i="35"/>
  <x:c r="F889" i="35"/>
  <x:c r="G889" i="35"/>
  <x:c r="H889" i="35"/>
  <x:c r="I889" i="35"/>
  <x:c r="J889" i="35"/>
  <x:c r="K889" i="35"/>
  <x:c r="L889" i="35"/>
  <x:c r="M889" i="35"/>
  <x:c r="N889" i="35"/>
  <x:c r="O889" i="35"/>
  <x:c r="C890" i="35"/>
  <x:c r="D890" i="35"/>
  <x:c r="E890" i="35"/>
  <x:c r="F890" i="35"/>
  <x:c r="G890" i="35"/>
  <x:c r="H890" i="35"/>
  <x:c r="I890" i="35"/>
  <x:c r="J890" i="35"/>
  <x:c r="K890" i="35"/>
  <x:c r="L890" i="35"/>
  <x:c r="M890" i="35"/>
  <x:c r="N890" i="35"/>
  <x:c r="O890" i="35"/>
  <x:c r="C891" i="35"/>
  <x:c r="D891" i="35"/>
  <x:c r="E891" i="35"/>
  <x:c r="F891" i="35"/>
  <x:c r="G891" i="35"/>
  <x:c r="H891" i="35"/>
  <x:c r="I891" i="35"/>
  <x:c r="J891" i="35"/>
  <x:c r="K891" i="35"/>
  <x:c r="L891" i="35"/>
  <x:c r="M891" i="35"/>
  <x:c r="N891" i="35"/>
  <x:c r="O891" i="35"/>
  <x:c r="C892" i="35"/>
  <x:c r="D892" i="35"/>
  <x:c r="E892" i="35"/>
  <x:c r="F892" i="35"/>
  <x:c r="G892" i="35"/>
  <x:c r="H892" i="35"/>
  <x:c r="I892" i="35"/>
  <x:c r="J892" i="35"/>
  <x:c r="K892" i="35"/>
  <x:c r="L892" i="35"/>
  <x:c r="M892" i="35"/>
  <x:c r="N892" i="35"/>
  <x:c r="O892" i="35"/>
  <x:c r="C893" i="35"/>
  <x:c r="D893" i="35"/>
  <x:c r="E893" i="35"/>
  <x:c r="F893" i="35"/>
  <x:c r="G893" i="35"/>
  <x:c r="H893" i="35"/>
  <x:c r="I893" i="35"/>
  <x:c r="J893" i="35"/>
  <x:c r="K893" i="35"/>
  <x:c r="L893" i="35"/>
  <x:c r="M893" i="35"/>
  <x:c r="N893" i="35"/>
  <x:c r="O893" i="35"/>
  <x:c r="C894" i="35"/>
  <x:c r="D894" i="35"/>
  <x:c r="E894" i="35"/>
  <x:c r="F894" i="35"/>
  <x:c r="G894" i="35"/>
  <x:c r="H894" i="35"/>
  <x:c r="I894" i="35"/>
  <x:c r="J894" i="35"/>
  <x:c r="K894" i="35"/>
  <x:c r="L894" i="35"/>
  <x:c r="M894" i="35"/>
  <x:c r="N894" i="35"/>
  <x:c r="O894" i="35"/>
  <x:c r="C895" i="35"/>
  <x:c r="D895" i="35"/>
  <x:c r="E895" i="35"/>
  <x:c r="F895" i="35"/>
  <x:c r="G895" i="35"/>
  <x:c r="H895" i="35"/>
  <x:c r="I895" i="35"/>
  <x:c r="J895" i="35"/>
  <x:c r="K895" i="35"/>
  <x:c r="L895" i="35"/>
  <x:c r="M895" i="35"/>
  <x:c r="N895" i="35"/>
  <x:c r="O895" i="35"/>
  <x:c r="C896" i="35"/>
  <x:c r="D896" i="35"/>
  <x:c r="E896" i="35"/>
  <x:c r="F896" i="35"/>
  <x:c r="G896" i="35"/>
  <x:c r="H896" i="35"/>
  <x:c r="I896" i="35"/>
  <x:c r="J896" i="35"/>
  <x:c r="K896" i="35"/>
  <x:c r="L896" i="35"/>
  <x:c r="M896" i="35"/>
  <x:c r="N896" i="35"/>
  <x:c r="O896" i="35"/>
  <x:c r="C897" i="35"/>
  <x:c r="D897" i="35"/>
  <x:c r="E897" i="35"/>
  <x:c r="F897" i="35"/>
  <x:c r="G897" i="35"/>
  <x:c r="H897" i="35"/>
  <x:c r="I897" i="35"/>
  <x:c r="J897" i="35"/>
  <x:c r="K897" i="35"/>
  <x:c r="L897" i="35"/>
  <x:c r="M897" i="35"/>
  <x:c r="N897" i="35"/>
  <x:c r="O897" i="35"/>
  <x:c r="C898" i="35"/>
  <x:c r="D898" i="35"/>
  <x:c r="E898" i="35"/>
  <x:c r="F898" i="35"/>
  <x:c r="G898" i="35"/>
  <x:c r="H898" i="35"/>
  <x:c r="I898" i="35"/>
  <x:c r="J898" i="35"/>
  <x:c r="K898" i="35"/>
  <x:c r="L898" i="35"/>
  <x:c r="M898" i="35"/>
  <x:c r="N898" i="35"/>
  <x:c r="O898" i="35"/>
  <x:c r="C899" i="35"/>
  <x:c r="D899" i="35"/>
  <x:c r="E899" i="35"/>
  <x:c r="F899" i="35"/>
  <x:c r="G899" i="35"/>
  <x:c r="H899" i="35"/>
  <x:c r="I899" i="35"/>
  <x:c r="J899" i="35"/>
  <x:c r="K899" i="35"/>
  <x:c r="L899" i="35"/>
  <x:c r="M899" i="35"/>
  <x:c r="N899" i="35"/>
  <x:c r="O899" i="35"/>
  <x:c r="C900" i="35"/>
  <x:c r="D900" i="35"/>
  <x:c r="E900" i="35"/>
  <x:c r="F900" i="35"/>
  <x:c r="G900" i="35"/>
  <x:c r="H900" i="35"/>
  <x:c r="I900" i="35"/>
  <x:c r="J900" i="35"/>
  <x:c r="K900" i="35"/>
  <x:c r="L900" i="35"/>
  <x:c r="M900" i="35"/>
  <x:c r="N900" i="35"/>
  <x:c r="O900" i="35"/>
  <x:c r="C901" i="35"/>
  <x:c r="D901" i="35"/>
  <x:c r="E901" i="35"/>
  <x:c r="F901" i="35"/>
  <x:c r="G901" i="35"/>
  <x:c r="H901" i="35"/>
  <x:c r="I901" i="35"/>
  <x:c r="J901" i="35"/>
  <x:c r="K901" i="35"/>
  <x:c r="L901" i="35"/>
  <x:c r="M901" i="35"/>
  <x:c r="N901" i="35"/>
  <x:c r="O901" i="35"/>
  <x:c r="C902" i="35"/>
  <x:c r="D902" i="35"/>
  <x:c r="E902" i="35"/>
  <x:c r="F902" i="35"/>
  <x:c r="G902" i="35"/>
  <x:c r="H902" i="35"/>
  <x:c r="I902" i="35"/>
  <x:c r="J902" i="35"/>
  <x:c r="K902" i="35"/>
  <x:c r="L902" i="35"/>
  <x:c r="M902" i="35"/>
  <x:c r="N902" i="35"/>
  <x:c r="O902" i="35"/>
  <x:c r="C903" i="35"/>
  <x:c r="D903" i="35"/>
  <x:c r="E903" i="35"/>
  <x:c r="F903" i="35"/>
  <x:c r="G903" i="35"/>
  <x:c r="H903" i="35"/>
  <x:c r="I903" i="35"/>
  <x:c r="J903" i="35"/>
  <x:c r="K903" i="35"/>
  <x:c r="L903" i="35"/>
  <x:c r="M903" i="35"/>
  <x:c r="N903" i="35"/>
  <x:c r="O903" i="35"/>
  <x:c r="C904" i="35"/>
  <x:c r="D904" i="35"/>
  <x:c r="E904" i="35"/>
  <x:c r="F904" i="35"/>
  <x:c r="G904" i="35"/>
  <x:c r="H904" i="35"/>
  <x:c r="I904" i="35"/>
  <x:c r="J904" i="35"/>
  <x:c r="K904" i="35"/>
  <x:c r="L904" i="35"/>
  <x:c r="M904" i="35"/>
  <x:c r="N904" i="35"/>
  <x:c r="O904" i="35"/>
  <x:c r="C905" i="35"/>
  <x:c r="D905" i="35"/>
  <x:c r="E905" i="35"/>
  <x:c r="F905" i="35"/>
  <x:c r="G905" i="35"/>
  <x:c r="H905" i="35"/>
  <x:c r="I905" i="35"/>
  <x:c r="J905" i="35"/>
  <x:c r="K905" i="35"/>
  <x:c r="L905" i="35"/>
  <x:c r="M905" i="35"/>
  <x:c r="N905" i="35"/>
  <x:c r="O905" i="35"/>
  <x:c r="C906" i="35"/>
  <x:c r="D906" i="35"/>
  <x:c r="E906" i="35"/>
  <x:c r="F906" i="35"/>
  <x:c r="G906" i="35"/>
  <x:c r="H906" i="35"/>
  <x:c r="I906" i="35"/>
  <x:c r="J906" i="35"/>
  <x:c r="K906" i="35"/>
  <x:c r="L906" i="35"/>
  <x:c r="M906" i="35"/>
  <x:c r="N906" i="35"/>
  <x:c r="O906" i="35"/>
  <x:c r="C907" i="35"/>
  <x:c r="D907" i="35"/>
  <x:c r="E907" i="35"/>
  <x:c r="F907" i="35"/>
  <x:c r="G907" i="35"/>
  <x:c r="H907" i="35"/>
  <x:c r="I907" i="35"/>
  <x:c r="J907" i="35"/>
  <x:c r="K907" i="35"/>
  <x:c r="L907" i="35"/>
  <x:c r="M907" i="35"/>
  <x:c r="N907" i="35"/>
  <x:c r="O907" i="35"/>
  <x:c r="C908" i="35"/>
  <x:c r="D908" i="35"/>
  <x:c r="E908" i="35"/>
  <x:c r="F908" i="35"/>
  <x:c r="G908" i="35"/>
  <x:c r="H908" i="35"/>
  <x:c r="I908" i="35"/>
  <x:c r="J908" i="35"/>
  <x:c r="K908" i="35"/>
  <x:c r="L908" i="35"/>
  <x:c r="M908" i="35"/>
  <x:c r="N908" i="35"/>
  <x:c r="O908" i="35"/>
  <x:c r="C909" i="35"/>
  <x:c r="D909" i="35"/>
  <x:c r="E909" i="35"/>
  <x:c r="F909" i="35"/>
  <x:c r="G909" i="35"/>
  <x:c r="H909" i="35"/>
  <x:c r="I909" i="35"/>
  <x:c r="J909" i="35"/>
  <x:c r="K909" i="35"/>
  <x:c r="L909" i="35"/>
  <x:c r="M909" i="35"/>
  <x:c r="N909" i="35"/>
  <x:c r="O909" i="35"/>
  <x:c r="C910" i="35"/>
  <x:c r="D910" i="35"/>
  <x:c r="E910" i="35"/>
  <x:c r="F910" i="35"/>
  <x:c r="G910" i="35"/>
  <x:c r="H910" i="35"/>
  <x:c r="I910" i="35"/>
  <x:c r="J910" i="35"/>
  <x:c r="K910" i="35"/>
  <x:c r="L910" i="35"/>
  <x:c r="M910" i="35"/>
  <x:c r="N910" i="35"/>
  <x:c r="O910" i="35"/>
  <x:c r="C911" i="35"/>
  <x:c r="D911" i="35"/>
  <x:c r="E911" i="35"/>
  <x:c r="F911" i="35"/>
  <x:c r="G911" i="35"/>
  <x:c r="H911" i="35"/>
  <x:c r="I911" i="35"/>
  <x:c r="J911" i="35"/>
  <x:c r="K911" i="35"/>
  <x:c r="L911" i="35"/>
  <x:c r="M911" i="35"/>
  <x:c r="N911" i="35"/>
  <x:c r="O911" i="35"/>
  <x:c r="C912" i="35"/>
  <x:c r="D912" i="35"/>
  <x:c r="E912" i="35"/>
  <x:c r="F912" i="35"/>
  <x:c r="G912" i="35"/>
  <x:c r="H912" i="35"/>
  <x:c r="I912" i="35"/>
  <x:c r="J912" i="35"/>
  <x:c r="K912" i="35"/>
  <x:c r="L912" i="35"/>
  <x:c r="M912" i="35"/>
  <x:c r="N912" i="35"/>
  <x:c r="O912" i="35"/>
  <x:c r="C913" i="35"/>
  <x:c r="D913" i="35"/>
  <x:c r="E913" i="35"/>
  <x:c r="F913" i="35"/>
  <x:c r="G913" i="35"/>
  <x:c r="H913" i="35"/>
  <x:c r="I913" i="35"/>
  <x:c r="J913" i="35"/>
  <x:c r="K913" i="35"/>
  <x:c r="L913" i="35"/>
  <x:c r="M913" i="35"/>
  <x:c r="N913" i="35"/>
  <x:c r="O913" i="35"/>
  <x:c r="S913" i="35"/>
  <x:c r="C914" i="35"/>
  <x:c r="D914" i="35"/>
  <x:c r="E914" i="35"/>
  <x:c r="F914" i="35"/>
  <x:c r="G914" i="35"/>
  <x:c r="H914" i="35"/>
  <x:c r="I914" i="35"/>
  <x:c r="J914" i="35"/>
  <x:c r="K914" i="35"/>
  <x:c r="L914" i="35"/>
  <x:c r="M914" i="35"/>
  <x:c r="N914" i="35"/>
  <x:c r="O914" i="35"/>
  <x:c r="C915" i="35"/>
  <x:c r="D915" i="35"/>
  <x:c r="E915" i="35"/>
  <x:c r="F915" i="35"/>
  <x:c r="G915" i="35"/>
  <x:c r="H915" i="35"/>
  <x:c r="I915" i="35"/>
  <x:c r="J915" i="35"/>
  <x:c r="K915" i="35"/>
  <x:c r="L915" i="35"/>
  <x:c r="M915" i="35"/>
  <x:c r="N915" i="35"/>
  <x:c r="O915" i="35"/>
  <x:c r="C916" i="35"/>
  <x:c r="D916" i="35"/>
  <x:c r="E916" i="35"/>
  <x:c r="F916" i="35"/>
  <x:c r="G916" i="35"/>
  <x:c r="H916" i="35"/>
  <x:c r="I916" i="35"/>
  <x:c r="J916" i="35"/>
  <x:c r="K916" i="35"/>
  <x:c r="L916" i="35"/>
  <x:c r="M916" i="35"/>
  <x:c r="N916" i="35"/>
  <x:c r="O916" i="35"/>
  <x:c r="C917" i="35"/>
  <x:c r="D917" i="35"/>
  <x:c r="E917" i="35"/>
  <x:c r="F917" i="35"/>
  <x:c r="G917" i="35"/>
  <x:c r="H917" i="35"/>
  <x:c r="I917" i="35"/>
  <x:c r="J917" i="35"/>
  <x:c r="K917" i="35"/>
  <x:c r="L917" i="35"/>
  <x:c r="M917" i="35"/>
  <x:c r="N917" i="35"/>
  <x:c r="O917" i="35"/>
  <x:c r="C918" i="35"/>
  <x:c r="D918" i="35"/>
  <x:c r="E918" i="35"/>
  <x:c r="F918" i="35"/>
  <x:c r="G918" i="35"/>
  <x:c r="H918" i="35"/>
  <x:c r="I918" i="35"/>
  <x:c r="J918" i="35"/>
  <x:c r="K918" i="35"/>
  <x:c r="L918" i="35"/>
  <x:c r="M918" i="35"/>
  <x:c r="N918" i="35"/>
  <x:c r="O918" i="35"/>
  <x:c r="C919" i="35"/>
  <x:c r="D919" i="35"/>
  <x:c r="E919" i="35"/>
  <x:c r="F919" i="35"/>
  <x:c r="G919" i="35"/>
  <x:c r="H919" i="35"/>
  <x:c r="I919" i="35"/>
  <x:c r="J919" i="35"/>
  <x:c r="K919" i="35"/>
  <x:c r="L919" i="35"/>
  <x:c r="M919" i="35"/>
  <x:c r="N919" i="35"/>
  <x:c r="O919" i="35"/>
  <x:c r="C920" i="35"/>
  <x:c r="D920" i="35"/>
  <x:c r="E920" i="35"/>
  <x:c r="F920" i="35"/>
  <x:c r="G920" i="35"/>
  <x:c r="H920" i="35"/>
  <x:c r="I920" i="35"/>
  <x:c r="J920" i="35"/>
  <x:c r="K920" i="35"/>
  <x:c r="L920" i="35"/>
  <x:c r="M920" i="35"/>
  <x:c r="N920" i="35"/>
  <x:c r="O920" i="35"/>
  <x:c r="C921" i="35"/>
  <x:c r="D921" i="35"/>
  <x:c r="E921" i="35"/>
  <x:c r="F921" i="35"/>
  <x:c r="G921" i="35"/>
  <x:c r="H921" i="35"/>
  <x:c r="I921" i="35"/>
  <x:c r="J921" i="35"/>
  <x:c r="K921" i="35"/>
  <x:c r="L921" i="35"/>
  <x:c r="M921" i="35"/>
  <x:c r="N921" i="35"/>
  <x:c r="O921" i="35"/>
  <x:c r="C922" i="35"/>
  <x:c r="D922" i="35"/>
  <x:c r="E922" i="35"/>
  <x:c r="F922" i="35"/>
  <x:c r="G922" i="35"/>
  <x:c r="H922" i="35"/>
  <x:c r="I922" i="35"/>
  <x:c r="J922" i="35"/>
  <x:c r="K922" i="35"/>
  <x:c r="L922" i="35"/>
  <x:c r="M922" i="35"/>
  <x:c r="N922" i="35"/>
  <x:c r="O922" i="35"/>
  <x:c r="C923" i="35"/>
  <x:c r="D923" i="35"/>
  <x:c r="E923" i="35"/>
  <x:c r="F923" i="35"/>
  <x:c r="G923" i="35"/>
  <x:c r="H923" i="35"/>
  <x:c r="I923" i="35"/>
  <x:c r="J923" i="35"/>
  <x:c r="K923" i="35"/>
  <x:c r="L923" i="35"/>
  <x:c r="M923" i="35"/>
  <x:c r="N923" i="35"/>
  <x:c r="O923" i="35"/>
  <x:c r="C924" i="35"/>
  <x:c r="D924" i="35"/>
  <x:c r="E924" i="35"/>
  <x:c r="F924" i="35"/>
  <x:c r="G924" i="35"/>
  <x:c r="H924" i="35"/>
  <x:c r="I924" i="35"/>
  <x:c r="J924" i="35"/>
  <x:c r="K924" i="35"/>
  <x:c r="L924" i="35"/>
  <x:c r="M924" i="35"/>
  <x:c r="N924" i="35"/>
  <x:c r="O924" i="35"/>
  <x:c r="C925" i="35"/>
  <x:c r="D925" i="35"/>
  <x:c r="E925" i="35"/>
  <x:c r="F925" i="35"/>
  <x:c r="G925" i="35"/>
  <x:c r="H925" i="35"/>
  <x:c r="I925" i="35"/>
  <x:c r="J925" i="35"/>
  <x:c r="K925" i="35"/>
  <x:c r="L925" i="35"/>
  <x:c r="M925" i="35"/>
  <x:c r="N925" i="35"/>
  <x:c r="O925" i="35"/>
  <x:c r="C926" i="35"/>
  <x:c r="D926" i="35"/>
  <x:c r="E926" i="35"/>
  <x:c r="F926" i="35"/>
  <x:c r="G926" i="35"/>
  <x:c r="H926" i="35"/>
  <x:c r="I926" i="35"/>
  <x:c r="J926" i="35"/>
  <x:c r="K926" i="35"/>
  <x:c r="L926" i="35"/>
  <x:c r="M926" i="35"/>
  <x:c r="N926" i="35"/>
  <x:c r="O926" i="35"/>
  <x:c r="C927" i="35"/>
  <x:c r="D927" i="35"/>
  <x:c r="E927" i="35"/>
  <x:c r="F927" i="35"/>
  <x:c r="G927" i="35"/>
  <x:c r="H927" i="35"/>
  <x:c r="I927" i="35"/>
  <x:c r="J927" i="35"/>
  <x:c r="K927" i="35"/>
  <x:c r="L927" i="35"/>
  <x:c r="M927" i="35"/>
  <x:c r="N927" i="35"/>
  <x:c r="O927" i="35"/>
  <x:c r="C928" i="35"/>
  <x:c r="D928" i="35"/>
  <x:c r="E928" i="35"/>
  <x:c r="F928" i="35"/>
  <x:c r="G928" i="35"/>
  <x:c r="H928" i="35"/>
  <x:c r="I928" i="35"/>
  <x:c r="J928" i="35"/>
  <x:c r="K928" i="35"/>
  <x:c r="L928" i="35"/>
  <x:c r="M928" i="35"/>
  <x:c r="N928" i="35"/>
  <x:c r="O928" i="35"/>
  <x:c r="C929" i="35"/>
  <x:c r="D929" i="35"/>
  <x:c r="E929" i="35"/>
  <x:c r="F929" i="35"/>
  <x:c r="G929" i="35"/>
  <x:c r="H929" i="35"/>
  <x:c r="I929" i="35"/>
  <x:c r="J929" i="35"/>
  <x:c r="K929" i="35"/>
  <x:c r="L929" i="35"/>
  <x:c r="M929" i="35"/>
  <x:c r="N929" i="35"/>
  <x:c r="O929" i="35"/>
  <x:c r="C930" i="35"/>
  <x:c r="D930" i="35"/>
  <x:c r="E930" i="35"/>
  <x:c r="F930" i="35"/>
  <x:c r="G930" i="35"/>
  <x:c r="H930" i="35"/>
  <x:c r="I930" i="35"/>
  <x:c r="J930" i="35"/>
  <x:c r="K930" i="35"/>
  <x:c r="L930" i="35"/>
  <x:c r="M930" i="35"/>
  <x:c r="N930" i="35"/>
  <x:c r="O930" i="35"/>
  <x:c r="C931" i="35"/>
  <x:c r="D931" i="35"/>
  <x:c r="E931" i="35"/>
  <x:c r="F931" i="35"/>
  <x:c r="G931" i="35"/>
  <x:c r="H931" i="35"/>
  <x:c r="I931" i="35"/>
  <x:c r="J931" i="35"/>
  <x:c r="K931" i="35"/>
  <x:c r="L931" i="35"/>
  <x:c r="M931" i="35"/>
  <x:c r="N931" i="35"/>
  <x:c r="O931" i="35"/>
</x:calcChain>
</file>

<file path=xl/sharedStrings.xml><?xml version="1.0" encoding="utf-8"?>
<x:sst xmlns:x="http://schemas.openxmlformats.org/spreadsheetml/2006/main">
  <x:si>
    <x:t>Сотрудник</x:t>
  </x:si>
  <x:si>
    <x:t>Подразделение 1</x:t>
  </x:si>
  <x:si>
    <x:t>Подразделение 3</x:t>
  </x:si>
  <x:si>
    <x:t>Профессия (должность)</x:t>
  </x:si>
  <x:si>
    <x:t>Разряд (категория)</x:t>
  </x:si>
  <x:si>
    <x:t>Буров Алексей Анатольевич</x:t>
  </x:si>
  <x:si>
    <x:t>Аппарат заводоуправления</x:t>
  </x:si>
  <x:si>
    <x:t>Теплоэнергетический комплекс</x:t>
  </x:si>
  <x:si>
    <x:t>Руководитель направления</x:t>
  </x:si>
  <x:si>
    <x:t>Абалаков Артём Андреевич</x:t>
  </x:si>
  <x:si>
    <x:t>Производство № 1 - первичной переработки нефти и производства нефтепродуктов</x:t>
  </x:si>
  <x:si>
    <x:t>Начальник комплекса</x:t>
  </x:si>
  <x:si>
    <x:t>Волченко Евгений Константинович</x:t>
  </x:si>
  <x:si>
    <x:t>Газофракционирующая установка ГФУ-2 с блоком очистки рефлюкса от сероводорода и меркаптановой серы</x:t>
  </x:si>
  <x:si>
    <x:t>Начальник установки</x:t>
  </x:si>
  <x:si>
    <x:t>Девин Анатолий Анатольевич</x:t>
  </x:si>
  <x:si>
    <x:t>Оператор технологических установок (старший)</x:t>
  </x:si>
  <x:si>
    <x:t>6 разряд</x:t>
  </x:si>
  <x:si>
    <x:t>Резцов Павел Владимирович</x:t>
  </x:si>
  <x:si>
    <x:t>Ляпин Рушан Ряшитович</x:t>
  </x:si>
  <x:si>
    <x:t>Левоненков Дмитрий Сергеевич</x:t>
  </x:si>
  <x:si>
    <x:t>Оператор технологических установок (старший), подмена</x:t>
  </x:si>
  <x:si>
    <x:t>Тотьмянин Антон Павлович</x:t>
  </x:si>
  <x:si>
    <x:t>Оператор технологических установок</x:t>
  </x:si>
  <x:si>
    <x:t>5 разряд</x:t>
  </x:si>
  <x:si>
    <x:t>Шовкань Денис Александрович</x:t>
  </x:si>
  <x:si>
    <x:t>Кондратьев Владимир Викторович</x:t>
  </x:si>
  <x:si>
    <x:t>Чернышов Валентин Владимирович</x:t>
  </x:si>
  <x:si>
    <x:t>Семенов Михаил Николаевич</x:t>
  </x:si>
  <x:si>
    <x:t>Мещеряков Аркадий Михайлович</x:t>
  </x:si>
  <x:si>
    <x:t>Шахаров Дмитрий Владимирович</x:t>
  </x:si>
  <x:si>
    <x:t>Ховрин Александр Владимирович</x:t>
  </x:si>
  <x:si>
    <x:t>Горбунов Игорь Васильевич</x:t>
  </x:si>
  <x:si>
    <x:t>Коротков Алексей Михайлович</x:t>
  </x:si>
  <x:si>
    <x:t>Волошин Алексей Леонидович</x:t>
  </x:si>
  <x:si>
    <x:t>Цветков Павел Андреевич</x:t>
  </x:si>
  <x:si>
    <x:t>Голиков Илья Николаевич</x:t>
  </x:si>
  <x:si>
    <x:t>Оператор технологических установок, подмена</x:t>
  </x:si>
  <x:si>
    <x:t>Власов Сергей Владимирович</x:t>
  </x:si>
  <x:si>
    <x:t>Рябцев Олег Игоревич</x:t>
  </x:si>
  <x:si>
    <x:t>Астаев Александр Валерьевич</x:t>
  </x:si>
  <x:si>
    <x:t>Установка атмосферно-вакуумная комбинированная с электрообессоливанием (ЭЛОУ-АВТ-6)</x:t>
  </x:si>
  <x:si>
    <x:t>Свирин Алексей Анатольевич</x:t>
  </x:si>
  <x:si>
    <x:t>Заместитель начальника установки</x:t>
  </x:si>
  <x:si>
    <x:t>Золовкин Сергей Николаевич</x:t>
  </x:si>
  <x:si>
    <x:t>Попов Александр Николаевич</x:t>
  </x:si>
  <x:si>
    <x:t>Мирсков Данил Сергеевич</x:t>
  </x:si>
  <x:si>
    <x:t>Заботкин Сергей Владимирович</x:t>
  </x:si>
  <x:si>
    <x:t>Коваленко Александр Николаевич</x:t>
  </x:si>
  <x:si>
    <x:t>Прохин Дмитрий Николаевич</x:t>
  </x:si>
  <x:si>
    <x:t>Курашов Артём Алексеевич</x:t>
  </x:si>
  <x:si>
    <x:t>Царев Дмитрий Сергеевич</x:t>
  </x:si>
  <x:si>
    <x:t>Поздняков Олег Олегович</x:t>
  </x:si>
  <x:si>
    <x:t>Вуколов Евгений Михайлович</x:t>
  </x:si>
  <x:si>
    <x:t>Гапоненко Александр Николаевич</x:t>
  </x:si>
  <x:si>
    <x:t>Тектов Сергей Юрьевич</x:t>
  </x:si>
  <x:si>
    <x:t>Конаков Роман Сергеевич</x:t>
  </x:si>
  <x:si>
    <x:t>Сорокин Андрей Николаевич</x:t>
  </x:si>
  <x:si>
    <x:t>Спиридонов Антон Александрович</x:t>
  </x:si>
  <x:si>
    <x:t>Козлов Алексей Николаевич</x:t>
  </x:si>
  <x:si>
    <x:t>8 разряд</x:t>
  </x:si>
  <x:si>
    <x:t>Асаенок Алексей Владимирович</x:t>
  </x:si>
  <x:si>
    <x:t>Низамутдинов Марсель Мухтарович</x:t>
  </x:si>
  <x:si>
    <x:t>Чуриков Виталий Николаевич</x:t>
  </x:si>
  <x:si>
    <x:t>Ванин Андрей Сергеевич</x:t>
  </x:si>
  <x:si>
    <x:t>Сидоров Дмитрий Владимирович</x:t>
  </x:si>
  <x:si>
    <x:t>7 разряд</x:t>
  </x:si>
  <x:si>
    <x:t>Куваев Андрей Владимирович</x:t>
  </x:si>
  <x:si>
    <x:t>Пименов Дмитрий Евгеньевич</x:t>
  </x:si>
  <x:si>
    <x:t>Симаков Валерий Викторович</x:t>
  </x:si>
  <x:si>
    <x:t>Жирнов Виталий Владимирович</x:t>
  </x:si>
  <x:si>
    <x:t>Сизов Владимир Николаевич</x:t>
  </x:si>
  <x:si>
    <x:t>Сорокин Алексей Владимирович</x:t>
  </x:si>
  <x:si>
    <x:t>Михеев Дмитрий Вячеславович</x:t>
  </x:si>
  <x:si>
    <x:t>Васильев Дмитрий Сергеевич</x:t>
  </x:si>
  <x:si>
    <x:t>Урусов Александр Юрьевич</x:t>
  </x:si>
  <x:si>
    <x:t>Сергиенко Тимур Артурович</x:t>
  </x:si>
  <x:si>
    <x:t>Федотов Василий Петрович</x:t>
  </x:si>
  <x:si>
    <x:t>Антонов Антон Николаевич</x:t>
  </x:si>
  <x:si>
    <x:t>Бырдин Александр Николаевич</x:t>
  </x:si>
  <x:si>
    <x:t>Никитин Вячеслав Юрьевич</x:t>
  </x:si>
  <x:si>
    <x:t>Борисенко Владимир Владимирович</x:t>
  </x:si>
  <x:si>
    <x:t>Тупиков Михаил Сергеевич</x:t>
  </x:si>
  <x:si>
    <x:t>Гарбуз Алексей Викторович</x:t>
  </x:si>
  <x:si>
    <x:t>Клецов Денис Игоревич</x:t>
  </x:si>
  <x:si>
    <x:t>Брага Александр Игоревич</x:t>
  </x:si>
  <x:si>
    <x:t>Порядин Андрей Александрович</x:t>
  </x:si>
  <x:si>
    <x:t>Семенов Сергей Олегович</x:t>
  </x:si>
  <x:si>
    <x:t>Бублик Николай Александрович</x:t>
  </x:si>
  <x:si>
    <x:t>Установка производства битума</x:t>
  </x:si>
  <x:si>
    <x:t>Гальчич Юрий Викторович</x:t>
  </x:si>
  <x:si>
    <x:t>Яшин Антон Анатольевич</x:t>
  </x:si>
  <x:si>
    <x:t>Смирнов Сергей Евгеньевич</x:t>
  </x:si>
  <x:si>
    <x:t>Латыпов Вячеслав Рашитович</x:t>
  </x:si>
  <x:si>
    <x:t>Спицин Андрей Владимирович</x:t>
  </x:si>
  <x:si>
    <x:t>Ведерников Кирилл Михайлович</x:t>
  </x:si>
  <x:si>
    <x:t>Щипачёв Геннадий Владимирович</x:t>
  </x:si>
  <x:si>
    <x:t>Смирнов Юрий Евгеньевич</x:t>
  </x:si>
  <x:si>
    <x:t>Погосян Александр Викторович</x:t>
  </x:si>
  <x:si>
    <x:t>Посмашный Алексей Николаевич</x:t>
  </x:si>
  <x:si>
    <x:t>Пензин Евгений Александрович</x:t>
  </x:si>
  <x:si>
    <x:t>Дюсюпов Василий Владимирович</x:t>
  </x:si>
  <x:si>
    <x:t>Белоногов Александр Владимирович</x:t>
  </x:si>
  <x:si>
    <x:t>Семеник Павел Ильич</x:t>
  </x:si>
  <x:si>
    <x:t>Золотоверхий Артем Анатольевич</x:t>
  </x:si>
  <x:si>
    <x:t>Овчаренко Сергей Владимирович</x:t>
  </x:si>
  <x:si>
    <x:t>Солонин Николай Николаевич</x:t>
  </x:si>
  <x:si>
    <x:t>Кривушкин Александр Игоревич</x:t>
  </x:si>
  <x:si>
    <x:t>Нечесанов Анатолий Сергеевич</x:t>
  </x:si>
  <x:si>
    <x:t>Никулин Алексей Анатольевич</x:t>
  </x:si>
  <x:si>
    <x:t>Згода Сергей Григорьевич</x:t>
  </x:si>
  <x:si>
    <x:t>Черномырдин Дмитрий Николаевич</x:t>
  </x:si>
  <x:si>
    <x:t>Григорян Армен Ашотович</x:t>
  </x:si>
  <x:si>
    <x:t>Коренев Герман Иванович</x:t>
  </x:si>
  <x:si>
    <x:t>Дементьев Андрей Валентинович</x:t>
  </x:si>
  <x:si>
    <x:t>Чернопятов Владислав Михайлович</x:t>
  </x:si>
  <x:si>
    <x:t>Бекташев Дамир Гусейнович</x:t>
  </x:si>
  <x:si>
    <x:t>Попырин Дмитрий Александрович</x:t>
  </x:si>
  <x:si>
    <x:t>Романов Павел Николаевич</x:t>
  </x:si>
  <x:si>
    <x:t>Поздняков Олег Александрович</x:t>
  </x:si>
  <x:si>
    <x:t>Ионов Дмитрий Владимирович</x:t>
  </x:si>
  <x:si>
    <x:t>Жоков Александр Алексеевич</x:t>
  </x:si>
  <x:si>
    <x:t>Захаров Александр Павлович</x:t>
  </x:si>
  <x:si>
    <x:t>Кузнецов Николай Николаевич</x:t>
  </x:si>
  <x:si>
    <x:t>Шилина Ольга Геннадьевна</x:t>
  </x:si>
  <x:si>
    <x:t>Варгасов Андрей Геннадьевич</x:t>
  </x:si>
  <x:si>
    <x:t>Куценко Алексей Андреевич</x:t>
  </x:si>
  <x:si>
    <x:t>Смагулов Самрат Бакытгереевич</x:t>
  </x:si>
  <x:si>
    <x:t>Нурлеписов Данияр Октябревич</x:t>
  </x:si>
  <x:si>
    <x:t>Ермачков Сергей Владимирович</x:t>
  </x:si>
  <x:si>
    <x:t>Матюхин Игорь Васильевич</x:t>
  </x:si>
  <x:si>
    <x:t>Мухаметов Ильдар Расимович</x:t>
  </x:si>
  <x:si>
    <x:t>Ильин Филипп Андреевич</x:t>
  </x:si>
  <x:si>
    <x:t>Еремкин Владимир Анатольевич</x:t>
  </x:si>
  <x:si>
    <x:t>Исмагулов Ержан Ермекович</x:t>
  </x:si>
  <x:si>
    <x:t>Огольцов Алексей Александрович</x:t>
  </x:si>
  <x:si>
    <x:t>Медведев Александр Сергеевич</x:t>
  </x:si>
  <x:si>
    <x:t>Установка висбрекинга</x:t>
  </x:si>
  <x:si>
    <x:t>Дуняшев Алмаз Ильдарович</x:t>
  </x:si>
  <x:si>
    <x:t>Пупков Юрий Юрьевич</x:t>
  </x:si>
  <x:si>
    <x:t>Тютьков Михаил Викторович</x:t>
  </x:si>
  <x:si>
    <x:t>Фетисов Сергей Иванович</x:t>
  </x:si>
  <x:si>
    <x:t>Голицын Артем Владимирович</x:t>
  </x:si>
  <x:si>
    <x:t>Анохин Денис Евгеньевич</x:t>
  </x:si>
  <x:si>
    <x:t>Антошин Михаил Васильевич</x:t>
  </x:si>
  <x:si>
    <x:t>Белинский Владимир Алексеевич</x:t>
  </x:si>
  <x:si>
    <x:t>Бутин Иван Александрович</x:t>
  </x:si>
  <x:si>
    <x:t>Ермилов Дмитрий Викторович</x:t>
  </x:si>
  <x:si>
    <x:t>Зуенко Александр Олегович</x:t>
  </x:si>
  <x:si>
    <x:t>Иванов Вячеслав Евгеньевич</x:t>
  </x:si>
  <x:si>
    <x:t>Каменев Сергей Дмитриевич</x:t>
  </x:si>
  <x:si>
    <x:t>Кравченко Евгений</x:t>
  </x:si>
  <x:si>
    <x:t>Мазуренко Олег Владимирович</x:t>
  </x:si>
  <x:si>
    <x:t>Моисеев Валерий Анатольевич</x:t>
  </x:si>
  <x:si>
    <x:t>Незнанов Александр Евгеньевич</x:t>
  </x:si>
  <x:si>
    <x:t>Тюрин Владимир Александрович</x:t>
  </x:si>
  <x:si>
    <x:t>Хамидулин Дмитрий Максимович</x:t>
  </x:si>
  <x:si>
    <x:t>Чужиков Алексей Анатольевич</x:t>
  </x:si>
  <x:si>
    <x:t>Аулкин Антон Алексеевич</x:t>
  </x:si>
  <x:si>
    <x:t>Гречин Денис Алексеевич</x:t>
  </x:si>
  <x:si>
    <x:t>Королёв Андрей Владимирович</x:t>
  </x:si>
  <x:si>
    <x:t>Чуриков Денис Юрьевич</x:t>
  </x:si>
  <x:si>
    <x:t>Ковалик Артем Игоревич</x:t>
  </x:si>
  <x:si>
    <x:t>Ощёхин Кирилл Николаевич</x:t>
  </x:si>
  <x:si>
    <x:t>Установка гидроочистки дизельного топлива Л-24/5</x:t>
  </x:si>
  <x:si>
    <x:t>Никонов Владислав Алексеевич</x:t>
  </x:si>
  <x:si>
    <x:t>Удовиченко Александр Александрович</x:t>
  </x:si>
  <x:si>
    <x:t>Чадин Дмитрий Михайлович</x:t>
  </x:si>
  <x:si>
    <x:t>Карнаухов Роман Викторович</x:t>
  </x:si>
  <x:si>
    <x:t>Шорохов Михаил Николаевич</x:t>
  </x:si>
  <x:si>
    <x:t>Кузнецов Андрей Александрович</x:t>
  </x:si>
  <x:si>
    <x:t>Клепиков Олег Николаевич</x:t>
  </x:si>
  <x:si>
    <x:t>Давлетшин Артур Шамилович</x:t>
  </x:si>
  <x:si>
    <x:t>Лялин Николай Владимирович</x:t>
  </x:si>
  <x:si>
    <x:t>Барсуков Дмитрий Васильевич</x:t>
  </x:si>
  <x:si>
    <x:t>Атаев Дмитрий Михайлович</x:t>
  </x:si>
  <x:si>
    <x:t>Сергеев Владислав Владимирович</x:t>
  </x:si>
  <x:si>
    <x:t>Юртаев Александр Владимирович</x:t>
  </x:si>
  <x:si>
    <x:t>Уваев Александр Алексеевич</x:t>
  </x:si>
  <x:si>
    <x:t>Трубников Владислав Владимирович</x:t>
  </x:si>
  <x:si>
    <x:t>Заляев Руслан Салаватович</x:t>
  </x:si>
  <x:si>
    <x:t>Тепикин Алексей Викторович</x:t>
  </x:si>
  <x:si>
    <x:t>Мишин Денис Валерьевич</x:t>
  </x:si>
  <x:si>
    <x:t>Машинист компрессорных установок</x:t>
  </x:si>
  <x:si>
    <x:t>Нечаев Александр Валерьевич</x:t>
  </x:si>
  <x:si>
    <x:t>Фокин Артем Вячеславович</x:t>
  </x:si>
  <x:si>
    <x:t>Зеленков Филипп Артурович</x:t>
  </x:si>
  <x:si>
    <x:t>Штайц Александр Владимирович</x:t>
  </x:si>
  <x:si>
    <x:t>Смолин Илья Романович</x:t>
  </x:si>
  <x:si>
    <x:t>Зеленкова Лариса Владимировна</x:t>
  </x:si>
  <x:si>
    <x:t>Аникеев Олег Сергеевич</x:t>
  </x:si>
  <x:si>
    <x:t>Машинист компрессорных установок, подмена</x:t>
  </x:si>
  <x:si>
    <x:t>Воротников Глеб Владимирович</x:t>
  </x:si>
  <x:si>
    <x:t>Установка гидроочистки дизельного топлива ЛЧ-24-2000</x:t>
  </x:si>
  <x:si>
    <x:t>Захаров Григорий Викторович</x:t>
  </x:si>
  <x:si>
    <x:t>Чернышов Константин Николаевич</x:t>
  </x:si>
  <x:si>
    <x:t>Прокопенков Антон Иванович</x:t>
  </x:si>
  <x:si>
    <x:t>Унчиков Сергей Владимирович</x:t>
  </x:si>
  <x:si>
    <x:t>Крайнов Михаил Петрович</x:t>
  </x:si>
  <x:si>
    <x:t>Карпец Сергей Александрович</x:t>
  </x:si>
  <x:si>
    <x:t>Попырин Виталий Николаевич</x:t>
  </x:si>
  <x:si>
    <x:t>Бычков Владимир Алексеевич</x:t>
  </x:si>
  <x:si>
    <x:t>Иванов Роман Русланович</x:t>
  </x:si>
  <x:si>
    <x:t>Власов Александр Евгеньевич</x:t>
  </x:si>
  <x:si>
    <x:t>Маркович Евгений Валерьевич</x:t>
  </x:si>
  <x:si>
    <x:t>Шишков Вячеслав Александрович</x:t>
  </x:si>
  <x:si>
    <x:t>Усманов Радик Абрикович</x:t>
  </x:si>
  <x:si>
    <x:t>Кононенко Игорь Борисович</x:t>
  </x:si>
  <x:si>
    <x:t>Азиев Арман Русланович</x:t>
  </x:si>
  <x:si>
    <x:t>Клюев Денис Викторович</x:t>
  </x:si>
  <x:si>
    <x:t>Глухов Роман Александрович</x:t>
  </x:si>
  <x:si>
    <x:t>Новиков Максим Сергеевич</x:t>
  </x:si>
  <x:si>
    <x:t>Коротич Артем Николаевич</x:t>
  </x:si>
  <x:si>
    <x:t>Волков Виктор Сергеевич</x:t>
  </x:si>
  <x:si>
    <x:t>Верещагин Вячеслав Андреевич</x:t>
  </x:si>
  <x:si>
    <x:t>Установка изомеризации легкой нафты с блоком концентрирования водородсодержащего газа</x:t>
  </x:si>
  <x:si>
    <x:t>Казаков Александр Александрович</x:t>
  </x:si>
  <x:si>
    <x:t>Чужаков Александр Викторович</x:t>
  </x:si>
  <x:si>
    <x:t>Белодед Павел Викторович</x:t>
  </x:si>
  <x:si>
    <x:t>Голован Андрей Григорьевич</x:t>
  </x:si>
  <x:si>
    <x:t>Алешин Александр Михайлович</x:t>
  </x:si>
  <x:si>
    <x:t>Собипан Виталий Викторович</x:t>
  </x:si>
  <x:si>
    <x:t>Корякин Алексей Алексеевич</x:t>
  </x:si>
  <x:si>
    <x:t>Голубев Антон Сергеевич</x:t>
  </x:si>
  <x:si>
    <x:t>Еремеев Николай Андреевич</x:t>
  </x:si>
  <x:si>
    <x:t>Яковлев Владислав Сергеевич</x:t>
  </x:si>
  <x:si>
    <x:t>Громов Никита Сергеевич</x:t>
  </x:si>
  <x:si>
    <x:t>Барышников Роман Сергеевич</x:t>
  </x:si>
  <x:si>
    <x:t>Хотимко Павел Александрович</x:t>
  </x:si>
  <x:si>
    <x:t>Фосс Александр Александрович</x:t>
  </x:si>
  <x:si>
    <x:t>Лапин Олег Петрович</x:t>
  </x:si>
  <x:si>
    <x:t>Алиев Шаиг Алиевич</x:t>
  </x:si>
  <x:si>
    <x:t>Серегин Юрий Анатольевич</x:t>
  </x:si>
  <x:si>
    <x:t>Оператор технологических установок (по динамическому оборудованию)</x:t>
  </x:si>
  <x:si>
    <x:t>Зинченко Андрей Николаевич</x:t>
  </x:si>
  <x:si>
    <x:t>Федосеев Роман Юрьевич</x:t>
  </x:si>
  <x:si>
    <x:t>Григорьев Алексей Николаевич</x:t>
  </x:si>
  <x:si>
    <x:t>Алиев Эльман Имамеддин Оглы</x:t>
  </x:si>
  <x:si>
    <x:t>Мешков Андрей Андреевич</x:t>
  </x:si>
  <x:si>
    <x:t>Иванов Александр Александрович</x:t>
  </x:si>
  <x:si>
    <x:t>Клычков Иван Сергеевич</x:t>
  </x:si>
  <x:si>
    <x:t>Юнусов Рустам Мянсурович</x:t>
  </x:si>
  <x:si>
    <x:t>Зинчев Илья Николаевич</x:t>
  </x:si>
  <x:si>
    <x:t>Оператор технологических установок (по динамическому оборудованию), подмена</x:t>
  </x:si>
  <x:si>
    <x:t>Видинеев Андрей Олегович</x:t>
  </x:si>
  <x:si>
    <x:t>Жукова Елена Евгеньевна</x:t>
  </x:si>
  <x:si>
    <x:t>Ежов Александр Андреевич</x:t>
  </x:si>
  <x:si>
    <x:t>Батршин Альберт Азатович</x:t>
  </x:si>
  <x:si>
    <x:t>Лапин Юнэль Олегович</x:t>
  </x:si>
  <x:si>
    <x:t>Новиков Сергей Сергеевич</x:t>
  </x:si>
  <x:si>
    <x:t>Установка каталитического риформинга ЛЧ 35/11-1000</x:t>
  </x:si>
  <x:si>
    <x:t>Добряков Игорь Евгеньевич</x:t>
  </x:si>
  <x:si>
    <x:t>Стогов Владимир Сергеевич</x:t>
  </x:si>
  <x:si>
    <x:t>Фирсов Сергей Владимирович</x:t>
  </x:si>
  <x:si>
    <x:t>Калуцкий Олег Петрович</x:t>
  </x:si>
  <x:si>
    <x:t>Служаев Илья Сергеевич</x:t>
  </x:si>
  <x:si>
    <x:t>Бобылев Николай Анатольевич</x:t>
  </x:si>
  <x:si>
    <x:t>Гульбин Максим Олегович</x:t>
  </x:si>
  <x:si>
    <x:t>Нетов Александр Анатольевич</x:t>
  </x:si>
  <x:si>
    <x:t>Корзубов Дмитрий Михайлович</x:t>
  </x:si>
  <x:si>
    <x:t>Колесников Станислав Владимирович</x:t>
  </x:si>
  <x:si>
    <x:t>Козьяков Алексей Викторович</x:t>
  </x:si>
  <x:si>
    <x:t>Ковшов Илья Александрович</x:t>
  </x:si>
  <x:si>
    <x:t>Магомедов Исмаил Исламович</x:t>
  </x:si>
  <x:si>
    <x:t>Сазонов Вячеслав Юрьевич</x:t>
  </x:si>
  <x:si>
    <x:t>Мальцев Александр Анатольевич</x:t>
  </x:si>
  <x:si>
    <x:t>Кузнецов Денис Александрович</x:t>
  </x:si>
  <x:si>
    <x:t>Воробьев Алексей Владимирович</x:t>
  </x:si>
  <x:si>
    <x:t>Горбатюк Александр Владимирович</x:t>
  </x:si>
  <x:si>
    <x:t>Андосов Марк Евгеньевич</x:t>
  </x:si>
  <x:si>
    <x:t>Мусатов Андрей Николаевич</x:t>
  </x:si>
  <x:si>
    <x:t>Емельянов Семен Андреевич</x:t>
  </x:si>
  <x:si>
    <x:t>Измайлов Дмитрий Юрьевич</x:t>
  </x:si>
  <x:si>
    <x:t>Леткеманн Дмитрий Сергеевич</x:t>
  </x:si>
  <x:si>
    <x:t>Наранов Мингиян Алексеевич</x:t>
  </x:si>
  <x:si>
    <x:t>Тарасенко Денис Петрович</x:t>
  </x:si>
  <x:si>
    <x:t>Сысоев Владимир Анатольевич</x:t>
  </x:si>
  <x:si>
    <x:t>Васечко Василий Николаевич</x:t>
  </x:si>
  <x:si>
    <x:t>Рожнов Владислав Евгеньевич</x:t>
  </x:si>
  <x:si>
    <x:t>Семёнов Владислав Михайлович</x:t>
  </x:si>
  <x:si>
    <x:t>Толстов Максим Юрьевич</x:t>
  </x:si>
  <x:si>
    <x:t>Белов Александр Сергеевич</x:t>
  </x:si>
  <x:si>
    <x:t>Гукасов Владислав Вадимович</x:t>
  </x:si>
  <x:si>
    <x:t>Самсонов Максим Олегович</x:t>
  </x:si>
  <x:si>
    <x:t>Мамедов Александр Олегович</x:t>
  </x:si>
  <x:si>
    <x:t>Степанов Олег Денисович</x:t>
  </x:si>
  <x:si>
    <x:t>Седова Елена Николаевна</x:t>
  </x:si>
  <x:si>
    <x:t>Антонов Александр Николаевич</x:t>
  </x:si>
  <x:si>
    <x:t>Каплина Светлана Викторовна</x:t>
  </x:si>
  <x:si>
    <x:t>Галиакберов Вадим Валерьевич</x:t>
  </x:si>
  <x:si>
    <x:t>Егоров Владимир Владимирович</x:t>
  </x:si>
  <x:si>
    <x:t>Галкин Григорий Евгеньевич</x:t>
  </x:si>
  <x:si>
    <x:t>Казанцев Денис Сергеевич</x:t>
  </x:si>
  <x:si>
    <x:t>Соболенко Евгений Сергеевич</x:t>
  </x:si>
  <x:si>
    <x:t>Производство № 3 - комбинированной переработки нефти</x:t>
  </x:si>
  <x:si>
    <x:t>Заместитель начальника установки (по технической подготовке производства)</x:t>
  </x:si>
  <x:si>
    <x:t>Лапко Алексей Николаевич</x:t>
  </x:si>
  <x:si>
    <x:t>Дмитриев Игорь Владимирович</x:t>
  </x:si>
  <x:si>
    <x:t>Фоменко Дмитрий Владимирович</x:t>
  </x:si>
  <x:si>
    <x:t>Белкин Михаил Романович</x:t>
  </x:si>
  <x:si>
    <x:t>Погорелец Иван Юрьевич</x:t>
  </x:si>
  <x:si>
    <x:t>Зайцев Андрей Борисович</x:t>
  </x:si>
  <x:si>
    <x:t>Семенов Максим Евгеньевич</x:t>
  </x:si>
  <x:si>
    <x:t>Ягодин Александр Алексеевич</x:t>
  </x:si>
  <x:si>
    <x:t>Пономарев Дмитрий Андреевич</x:t>
  </x:si>
  <x:si>
    <x:t>Шостик Илья Андреевич</x:t>
  </x:si>
  <x:si>
    <x:t>Унашаев Ренат Нажмеденович</x:t>
  </x:si>
  <x:si>
    <x:t>Кравченко Сергей Владимирович</x:t>
  </x:si>
  <x:si>
    <x:t>Карзубов Алексей Николаевич</x:t>
  </x:si>
  <x:si>
    <x:t>Никифоров Андрей Вячеславович</x:t>
  </x:si>
  <x:si>
    <x:t>Сапунов Игорь Львович</x:t>
  </x:si>
  <x:si>
    <x:t>Левкин Валерий Алексеевич</x:t>
  </x:si>
  <x:si>
    <x:t>Воронцов Антон Юрьевич</x:t>
  </x:si>
  <x:si>
    <x:t>Быстрых Виктор Сергеевич</x:t>
  </x:si>
  <x:si>
    <x:t>Ужамаков Арман Алдиярович</x:t>
  </x:si>
  <x:si>
    <x:t>Боюн Иван Сергеевич</x:t>
  </x:si>
  <x:si>
    <x:t>Данчул Александр Юрьевич</x:t>
  </x:si>
  <x:si>
    <x:t>Анисимов Петр Сергеевич</x:t>
  </x:si>
  <x:si>
    <x:t>Крюков Дмитрий Павлович</x:t>
  </x:si>
  <x:si>
    <x:t>Крюков Владимир Владимирович</x:t>
  </x:si>
  <x:si>
    <x:t>Медведев Алексей Валерьевич</x:t>
  </x:si>
  <x:si>
    <x:t>Кирюшкин Вячеслав Валентинович</x:t>
  </x:si>
  <x:si>
    <x:t>Перевалов Николай Сергеевич</x:t>
  </x:si>
  <x:si>
    <x:t>Кузьменко Алексей Алексеевич</x:t>
  </x:si>
  <x:si>
    <x:t>Лукьянец Юрий Вячеславович</x:t>
  </x:si>
  <x:si>
    <x:t>Смирнов Алексей Евгеньевич</x:t>
  </x:si>
  <x:si>
    <x:t>Вишняков Константин Анатольевич</x:t>
  </x:si>
  <x:si>
    <x:t>Карташов Сергей Владимирович</x:t>
  </x:si>
  <x:si>
    <x:t>Кильдишов Владислав Анатольевич</x:t>
  </x:si>
  <x:si>
    <x:t>Корепанов Андрей Васильевич</x:t>
  </x:si>
  <x:si>
    <x:t>Пименов Александр Дмитриевич</x:t>
  </x:si>
  <x:si>
    <x:t>Шилов Петр Алексеевич</x:t>
  </x:si>
  <x:si>
    <x:t>Попивчук Алексей Иванович</x:t>
  </x:si>
  <x:si>
    <x:t>Аншаков Александр Сергеевич</x:t>
  </x:si>
  <x:si>
    <x:t>Абузяров Ильяс Рашидович</x:t>
  </x:si>
  <x:si>
    <x:t>Ауль Дмитрий Валерьевич</x:t>
  </x:si>
  <x:si>
    <x:t>Кузьмин Андрей Сергеевич</x:t>
  </x:si>
  <x:si>
    <x:t>Саклаков Роман Николаевич</x:t>
  </x:si>
  <x:si>
    <x:t>Кожарин Александр Сергеевич</x:t>
  </x:si>
  <x:si>
    <x:t>Толстенёв Денис Олегович</x:t>
  </x:si>
  <x:si>
    <x:t>Камлык Александр Евгеньевич</x:t>
  </x:si>
  <x:si>
    <x:t>Куделькин Леонид Алексеевич</x:t>
  </x:si>
  <x:si>
    <x:t>Иваненко Николай Владимирович</x:t>
  </x:si>
  <x:si>
    <x:t>Эрднеев Санал Олегович</x:t>
  </x:si>
  <x:si>
    <x:t>Усс Максим Анатольевич</x:t>
  </x:si>
  <x:si>
    <x:t>Иржанов Самат Серикпаевич</x:t>
  </x:si>
  <x:si>
    <x:t>Замаев Хадалбек Хизарович</x:t>
  </x:si>
  <x:si>
    <x:t>Муратов Динар Валерьевич</x:t>
  </x:si>
  <x:si>
    <x:t>Гордеев Иван Вячеславович</x:t>
  </x:si>
  <x:si>
    <x:t>Прохоренко Даниил Анатольевич</x:t>
  </x:si>
  <x:si>
    <x:t>Казанин Александр Владимирович</x:t>
  </x:si>
  <x:si>
    <x:t>Шагиахметов Фаиль Рафаилович</x:t>
  </x:si>
  <x:si>
    <x:t>Садыков Азат Ильдусович</x:t>
  </x:si>
  <x:si>
    <x:t>Смолин Роман Владимирович</x:t>
  </x:si>
  <x:si>
    <x:t>Дульзон Роман Федорович</x:t>
  </x:si>
  <x:si>
    <x:t>Мальцев Александр Игоревич</x:t>
  </x:si>
  <x:si>
    <x:t>Хабибрахманов Камиль Равильевич</x:t>
  </x:si>
  <x:si>
    <x:t>Харитошкин Андрей Васильевич</x:t>
  </x:si>
  <x:si>
    <x:t>Шарафутдинов Динар Рамилевич</x:t>
  </x:si>
  <x:si>
    <x:t>Кравцов Виталий Юрьевич</x:t>
  </x:si>
  <x:si>
    <x:t>Коровин Дмитрий Николаевич</x:t>
  </x:si>
  <x:si>
    <x:t>Сурков Алексей Дмитриевич</x:t>
  </x:si>
  <x:si>
    <x:t>Лазарев Дмитрий Григорьевич</x:t>
  </x:si>
  <x:si>
    <x:t>Евсеев Андрей Викторович</x:t>
  </x:si>
  <x:si>
    <x:t>Слатвинский Станислав Александрович</x:t>
  </x:si>
  <x:si>
    <x:t>Порсуков Хусейн Адильханович</x:t>
  </x:si>
  <x:si>
    <x:t>Мартыненко Максим Игоревич</x:t>
  </x:si>
  <x:si>
    <x:t>Ямашев Альберт Камильевич</x:t>
  </x:si>
  <x:si>
    <x:t>Пожарицкий Максим Владимирович</x:t>
  </x:si>
  <x:si>
    <x:t>Ершов Артём Эдуардович</x:t>
  </x:si>
  <x:si>
    <x:t>Горшков Максим Владиславович</x:t>
  </x:si>
  <x:si>
    <x:t>Саутин Даниил Сергеевич</x:t>
  </x:si>
  <x:si>
    <x:t>Корнеев Сергей Сергеевич</x:t>
  </x:si>
  <x:si>
    <x:t>Утешев Михаил Дмитриевич</x:t>
  </x:si>
  <x:si>
    <x:t>Шаисипов Руслан Хасанович</x:t>
  </x:si>
  <x:si>
    <x:t>Мигучкин Илья Сергеевич</x:t>
  </x:si>
  <x:si>
    <x:t>Колесов Леонид Владимирович</x:t>
  </x:si>
  <x:si>
    <x:t>Туманян Давид Артурович</x:t>
  </x:si>
  <x:si>
    <x:t>Дёмин Константин Андреевич</x:t>
  </x:si>
  <x:si>
    <x:t>Половинкин Денис Юрьевич</x:t>
  </x:si>
  <x:si>
    <x:t>Идилов Асаб Хамзатович</x:t>
  </x:si>
  <x:si>
    <x:t>Завьялов Никита Игоревич</x:t>
  </x:si>
  <x:si>
    <x:t>Шеверда Игорь Валентинович</x:t>
  </x:si>
  <x:si>
    <x:t>Куликов Никита Ильич</x:t>
  </x:si>
  <x:si>
    <x:t>Зайцев Илья Давидович</x:t>
  </x:si>
  <x:si>
    <x:t>Малышев Николай Владимирович</x:t>
  </x:si>
  <x:si>
    <x:t>Воробьев Василий Викторович</x:t>
  </x:si>
  <x:si>
    <x:t>Кнутас Андрей Александрович</x:t>
  </x:si>
  <x:si>
    <x:t>Капленков Михаил Вячеславович</x:t>
  </x:si>
  <x:si>
    <x:t>Сафонов Иван Леонидович</x:t>
  </x:si>
  <x:si>
    <x:t>Уразгалиев Амангельды Кинжагалиевич</x:t>
  </x:si>
  <x:si>
    <x:t>Сенотов Сергей Александрович</x:t>
  </x:si>
  <x:si>
    <x:t>Липатов Виктор Викторович</x:t>
  </x:si>
  <x:si>
    <x:t>Шигонин Владислав Александрович</x:t>
  </x:si>
  <x:si>
    <x:t>Стекольщиков Евгений Павлович</x:t>
  </x:si>
  <x:si>
    <x:t>Крылов Николай Викторович</x:t>
  </x:si>
  <x:si>
    <x:t>Общезаводское хозяйство</x:t>
  </x:si>
  <x:si>
    <x:t>Оников Александр Васильевич</x:t>
  </x:si>
  <x:si>
    <x:t>Участок № 1 - оборотного водоснабжения</x:t>
  </x:si>
  <x:si>
    <x:t>Начальник участка</x:t>
  </x:si>
  <x:si>
    <x:t>Клещев Андрей Семенович</x:t>
  </x:si>
  <x:si>
    <x:t>Машинист насосных установок (водоблок № 3, 4) (старший)</x:t>
  </x:si>
  <x:si>
    <x:t>Балашов Александр Вячеславович</x:t>
  </x:si>
  <x:si>
    <x:t>Машинист насосных установок (водоблок № 3, 4)</x:t>
  </x:si>
  <x:si>
    <x:t>Федоров Владимир Николаевич</x:t>
  </x:si>
  <x:si>
    <x:t>Александров Яков Александрович</x:t>
  </x:si>
  <x:si>
    <x:t>Машинист насосных установок (водоблок № 3, 4) (старший), подмена</x:t>
  </x:si>
  <x:si>
    <x:t>Зардынов Валиджан Наймоджанович</x:t>
  </x:si>
  <x:si>
    <x:t>Машинист насосных установок (водоблок № 6, 7,8а)</x:t>
  </x:si>
  <x:si>
    <x:t>Чернышев Алексей Александрович</x:t>
  </x:si>
  <x:si>
    <x:t>Николаев Валентин Викторович</x:t>
  </x:si>
  <x:si>
    <x:t>Феськов Георгий Георгиевич</x:t>
  </x:si>
  <x:si>
    <x:t>Крылов Сергей Олегович</x:t>
  </x:si>
  <x:si>
    <x:t>Будкин Алексей Васильевич</x:t>
  </x:si>
  <x:si>
    <x:t>Букин Александр Васильевич</x:t>
  </x:si>
  <x:si>
    <x:t>Ивлев Валерий Игоревич</x:t>
  </x:si>
  <x:si>
    <x:t>Анищенко Артём Витальевич</x:t>
  </x:si>
  <x:si>
    <x:t>Попов Сергей Николаевич</x:t>
  </x:si>
  <x:si>
    <x:t>Машинист насосных установок (водоблок № 6, 7,8а) (старший), подмена</x:t>
  </x:si>
  <x:si>
    <x:t>Салим Ага Ахмед-Омар</x:t>
  </x:si>
  <x:si>
    <x:t>Машинист насосных установок (водоблок № 6, 7,8а) (старший)</x:t>
  </x:si>
  <x:si>
    <x:t>Коротков Михаил Александрович</x:t>
  </x:si>
  <x:si>
    <x:t>Седых Галина Александровна</x:t>
  </x:si>
  <x:si>
    <x:t>Кудряшов Дмитрий Анатольевич</x:t>
  </x:si>
  <x:si>
    <x:t>Карташов Алексей Юрьевич</x:t>
  </x:si>
  <x:si>
    <x:t>Шальнов Владимир Олегович</x:t>
  </x:si>
  <x:si>
    <x:t>Машинист насосных установок (водоблок № 6, 7,8а), подмена</x:t>
  </x:si>
  <x:si>
    <x:t>Седов Алексей Сергеевич</x:t>
  </x:si>
  <x:si>
    <x:t>Назаров Павел Валерьевич</x:t>
  </x:si>
  <x:si>
    <x:t>Летов Олег Васильевич</x:t>
  </x:si>
  <x:si>
    <x:t>Ярцев Кирилл Сергеевич</x:t>
  </x:si>
  <x:si>
    <x:t>Машинист насосных установок (водоблок № 3, 4), подмена</x:t>
  </x:si>
  <x:si>
    <x:t>Чибирев Антон Вячеславович</x:t>
  </x:si>
  <x:si>
    <x:t>Аржанов Андрей Витальевич</x:t>
  </x:si>
  <x:si>
    <x:t>Зайцева Татьяна Михайловна</x:t>
  </x:si>
  <x:si>
    <x:t>Тумоян Илья Григорьевич</x:t>
  </x:si>
  <x:si>
    <x:t>Реброва Елена Валерьевна</x:t>
  </x:si>
  <x:si>
    <x:t>Сафронова Олеся Алексеевна</x:t>
  </x:si>
  <x:si>
    <x:t>Цыбенов Цыден Зориктуевич</x:t>
  </x:si>
  <x:si>
    <x:t>Саигов Исмаил Саидович</x:t>
  </x:si>
  <x:si>
    <x:t>Бадретдинов Ильнур Вадикович</x:t>
  </x:si>
  <x:si>
    <x:t>Зуева Нина Ивановна</x:t>
  </x:si>
  <x:si>
    <x:t>Ким Александр Викторович</x:t>
  </x:si>
  <x:si>
    <x:t>Удовиченко Екатерина Александровна</x:t>
  </x:si>
  <x:si>
    <x:t>Лисицын Дмитрий Олегович</x:t>
  </x:si>
  <x:si>
    <x:t>Шаров Алексей Александрович</x:t>
  </x:si>
  <x:si>
    <x:t>Нечаева Наталья Владимировна</x:t>
  </x:si>
  <x:si>
    <x:t>Кожушкин Александр Васильевич</x:t>
  </x:si>
  <x:si>
    <x:t>Кукушкин Олег Игоревич</x:t>
  </x:si>
  <x:si>
    <x:t>Гаджиев Руслан Ражабович</x:t>
  </x:si>
  <x:si>
    <x:t>Прохоров Алексей Викторович</x:t>
  </x:si>
  <x:si>
    <x:t>Каримов Ильшат Энгелевич</x:t>
  </x:si>
  <x:si>
    <x:t>Хусаинов Марсель Ильгизарович</x:t>
  </x:si>
  <x:si>
    <x:t>Дуцаев Абдул-Бек Исаевич</x:t>
  </x:si>
  <x:si>
    <x:t>Участок по обслуживанию сетей и насосных станций свежего водоснабжения и канализации</x:t>
  </x:si>
  <x:si>
    <x:t>Антонов Юрий Владимирович</x:t>
  </x:si>
  <x:si>
    <x:t>Марков Андрей Валентинович</x:t>
  </x:si>
  <x:si>
    <x:t>Заместитель начальника комплекса</x:t>
  </x:si>
  <x:si>
    <x:t>Брайловский Игорь Николаевич</x:t>
  </x:si>
  <x:si>
    <x:t>Оператор товарный (старший)</x:t>
  </x:si>
  <x:si>
    <x:t>Гришин Антон Вячеславович</x:t>
  </x:si>
  <x:si>
    <x:t>Оператор товарный</x:t>
  </x:si>
  <x:si>
    <x:t>Григорьев Артур Сергеевич</x:t>
  </x:si>
  <x:si>
    <x:t>Афанасьев Илья Владимирович</x:t>
  </x:si>
  <x:si>
    <x:t>Тельнов Александр Валерьевич</x:t>
  </x:si>
  <x:si>
    <x:t>Харламов Дмитрий Алексеевич</x:t>
  </x:si>
  <x:si>
    <x:t>Ломоченков Дмитрий Владимирович</x:t>
  </x:si>
  <x:si>
    <x:t>Сайкин Роман Александрович</x:t>
  </x:si>
  <x:si>
    <x:t>Аргунов Алексей Алексеевич</x:t>
  </x:si>
  <x:si>
    <x:t>Манаф Виктор Владимирович</x:t>
  </x:si>
  <x:si>
    <x:t>Мартынов Борис Александрович</x:t>
  </x:si>
  <x:si>
    <x:t>Остроумов Алексей Юрьевич</x:t>
  </x:si>
  <x:si>
    <x:t>Никулкин Николай Алексеевич</x:t>
  </x:si>
  <x:si>
    <x:t>Комов Игорь Сергеевич</x:t>
  </x:si>
  <x:si>
    <x:t>Савин Сергей Викторович</x:t>
  </x:si>
  <x:si>
    <x:t>Никулин Сергей Александрович</x:t>
  </x:si>
  <x:si>
    <x:t>Мелехин Дмитрий Игоревич</x:t>
  </x:si>
  <x:si>
    <x:t>Плутахин Иван Михайлович</x:t>
  </x:si>
  <x:si>
    <x:t>Мажаев Евгений Александрович</x:t>
  </x:si>
  <x:si>
    <x:t>Азарова Светлана Сергеевна</x:t>
  </x:si>
  <x:si>
    <x:t>Оператор товарный, подмена</x:t>
  </x:si>
  <x:si>
    <x:t>Хиценко Павел Сергеевич</x:t>
  </x:si>
  <x:si>
    <x:t>Ларюшин Дмитрий Анатольевич</x:t>
  </x:si>
  <x:si>
    <x:t>Шакиров Артур Ринатович</x:t>
  </x:si>
  <x:si>
    <x:t>4 разряд</x:t>
  </x:si>
  <x:si>
    <x:t>Дмитриев Кирилл Вячеславович</x:t>
  </x:si>
  <x:si>
    <x:t>Исхаков Данияр Ильшатович</x:t>
  </x:si>
  <x:si>
    <x:t>Мишенков Алексей Борисович</x:t>
  </x:si>
  <x:si>
    <x:t>Леденев Александр Сергеевич</x:t>
  </x:si>
  <x:si>
    <x:t>Гаврилов Денис Александрович</x:t>
  </x:si>
  <x:si>
    <x:t>Новиков Илья Олегович</x:t>
  </x:si>
  <x:si>
    <x:t>Масейкин Андрей Алексеевич</x:t>
  </x:si>
  <x:si>
    <x:t>Юлтаев Айрат Расульевич</x:t>
  </x:si>
  <x:si>
    <x:t>Шестакова Ольга Анатольевна</x:t>
  </x:si>
  <x:si>
    <x:t>Зеленский Олег Игоревич</x:t>
  </x:si>
  <x:si>
    <x:t>Самохвалова Елена Вячеславовна</x:t>
  </x:si>
  <x:si>
    <x:t>Оператор товарный (дневной персонал)</x:t>
  </x:si>
  <x:si>
    <x:t>Шеленков Иван Александрович</x:t>
  </x:si>
  <x:si>
    <x:t>Мамедов Шихсафа Сейфеддин Оглы</x:t>
  </x:si>
  <x:si>
    <x:t>Желнов Денис Александрович</x:t>
  </x:si>
  <x:si>
    <x:t>Савинов Сергей Александрович</x:t>
  </x:si>
  <x:si>
    <x:t>Накостоев Магомед Багаудинович</x:t>
  </x:si>
  <x:si>
    <x:t>Росланов Владислав Игоревич</x:t>
  </x:si>
  <x:si>
    <x:t>Галеев Данил Радикович</x:t>
  </x:si>
  <x:si>
    <x:t>Храмшина Ирина Николаевна</x:t>
  </x:si>
  <x:si>
    <x:t>Матюхина Светлана Сергеевна</x:t>
  </x:si>
  <x:si>
    <x:t>Кривушкина Наталья Борисовна</x:t>
  </x:si>
  <x:si>
    <x:t>Руденко Елена Геннадьевна</x:t>
  </x:si>
  <x:si>
    <x:t>Константинов Григорий Павлович</x:t>
  </x:si>
  <x:si>
    <x:t>Макаренко Николай Николаевич</x:t>
  </x:si>
  <x:si>
    <x:t>Оператор товарный (старший), подмена</x:t>
  </x:si>
  <x:si>
    <x:t>Черемисин Григорий Павлович</x:t>
  </x:si>
  <x:si>
    <x:t>Богданов Руслан Рашитович</x:t>
  </x:si>
  <x:si>
    <x:t>Юшин Леонид Николаевич</x:t>
  </x:si>
  <x:si>
    <x:t>Минаенко Алексей Александрович</x:t>
  </x:si>
  <x:si>
    <x:t>Производство № 2 - каталитического крекинга и облагораживания моторных топлив</x:t>
  </x:si>
  <x:si>
    <x:t>Ядренов Степан Дмитриевич</x:t>
  </x:si>
  <x:si>
    <x:t>Комбинированная установка каталитического крекинга Г-43-107</x:t>
  </x:si>
  <x:si>
    <x:t>Чинков Павел Александрович</x:t>
  </x:si>
  <x:si>
    <x:t>Носов Александр Сергеевич</x:t>
  </x:si>
  <x:si>
    <x:t>Хорьков Максим Андреевич</x:t>
  </x:si>
  <x:si>
    <x:t>Филиппов Павел Геннадьевич</x:t>
  </x:si>
  <x:si>
    <x:t>Волошин Александр Александрович</x:t>
  </x:si>
  <x:si>
    <x:t>Ерошкин Роман Сергеевич</x:t>
  </x:si>
  <x:si>
    <x:t>Избастинов Амангельде Акылбекович</x:t>
  </x:si>
  <x:si>
    <x:t>Кокунов Алексей Викторович</x:t>
  </x:si>
  <x:si>
    <x:t>Офицеров Илья Александрович</x:t>
  </x:si>
  <x:si>
    <x:t>Пирко Александр Игоревич</x:t>
  </x:si>
  <x:si>
    <x:t>Шадьяров Данир Владимирович</x:t>
  </x:si>
  <x:si>
    <x:t>Маликов Сергей Владимирович</x:t>
  </x:si>
  <x:si>
    <x:t>Барсуков Сергей Васильевич</x:t>
  </x:si>
  <x:si>
    <x:t>Шкутков Кирилл Павлович</x:t>
  </x:si>
  <x:si>
    <x:t>Алаев Алексей Александрович</x:t>
  </x:si>
  <x:si>
    <x:t>Щукин Валерий Валерьевич</x:t>
  </x:si>
  <x:si>
    <x:t>Тесленко Юрий Владимирович</x:t>
  </x:si>
  <x:si>
    <x:t>Чигвинцев Дмитрий Александрович</x:t>
  </x:si>
  <x:si>
    <x:t>Табаченко Роман Сергеевич</x:t>
  </x:si>
  <x:si>
    <x:t>Щербаков Владимир Сергеевич</x:t>
  </x:si>
  <x:si>
    <x:t>Ефремов Максим Владимирович</x:t>
  </x:si>
  <x:si>
    <x:t>Миронов Андрей Сергеевич</x:t>
  </x:si>
  <x:si>
    <x:t>Ратников Павел Александрович</x:t>
  </x:si>
  <x:si>
    <x:t>Евграфов Валентин Валерьевич</x:t>
  </x:si>
  <x:si>
    <x:t>Поначевный Максим Николаевич</x:t>
  </x:si>
  <x:si>
    <x:t>Стародуб Андрей Александрович</x:t>
  </x:si>
  <x:si>
    <x:t>Грачев Николай Сергеевич</x:t>
  </x:si>
  <x:si>
    <x:t>Меньшиков Виктор Александрович</x:t>
  </x:si>
  <x:si>
    <x:t>Пахомов Максим Александрович</x:t>
  </x:si>
  <x:si>
    <x:t>Афанасьев Константин Васильевич</x:t>
  </x:si>
  <x:si>
    <x:t>Натаров Александр Михайлович</x:t>
  </x:si>
  <x:si>
    <x:t>Гордеев Алексей Анатольевич</x:t>
  </x:si>
  <x:si>
    <x:t>Жуков Андрей Борисович</x:t>
  </x:si>
  <x:si>
    <x:t>Корнеев Вячеслав Викторович</x:t>
  </x:si>
  <x:si>
    <x:t>Быстров Александр Валерьевич</x:t>
  </x:si>
  <x:si>
    <x:t>Поветкин Евгений Юрьевич</x:t>
  </x:si>
  <x:si>
    <x:t>Ермаков Георгий Александрович</x:t>
  </x:si>
  <x:si>
    <x:t>Барышников Дмитрий Анатольевич</x:t>
  </x:si>
  <x:si>
    <x:t>Шестаков Андрей Михайлович</x:t>
  </x:si>
  <x:si>
    <x:t>Ахлынин Юрий Алексеевич</x:t>
  </x:si>
  <x:si>
    <x:t>Кузнецов Сергей Александрович</x:t>
  </x:si>
  <x:si>
    <x:t>Яковлев Андрей Николаевич</x:t>
  </x:si>
  <x:si>
    <x:t>Кривушкин Сергей Васильевич</x:t>
  </x:si>
  <x:si>
    <x:t>Кривоносов Сергей Васильевич</x:t>
  </x:si>
  <x:si>
    <x:t>Лапин Вадим Владимирович</x:t>
  </x:si>
  <x:si>
    <x:t>Ангелюк Василий Владимирович</x:t>
  </x:si>
  <x:si>
    <x:t>Быстрых Александр Николаевич</x:t>
  </x:si>
  <x:si>
    <x:t>Касян Христофор Алешевич</x:t>
  </x:si>
  <x:si>
    <x:t>Егин Сергей Анатольевич</x:t>
  </x:si>
  <x:si>
    <x:t>Гуськов Владимир Юрьевич</x:t>
  </x:si>
  <x:si>
    <x:t>Бойков Александр Анатольевич</x:t>
  </x:si>
  <x:si>
    <x:t>Стасиолик Андрей Александрович</x:t>
  </x:si>
  <x:si>
    <x:t>Чернов Игорь Владимирович</x:t>
  </x:si>
  <x:si>
    <x:t>Перепелица Алексей Николаевич</x:t>
  </x:si>
  <x:si>
    <x:t>Зудилин Сергей Викторович</x:t>
  </x:si>
  <x:si>
    <x:t>Розов Роман Михайлович</x:t>
  </x:si>
  <x:si>
    <x:t>Веретенников Сергей Александрович</x:t>
  </x:si>
  <x:si>
    <x:t>Спиридонов Сергей Андреевич</x:t>
  </x:si>
  <x:si>
    <x:t>Зарубин Кирилл Романович</x:t>
  </x:si>
  <x:si>
    <x:t>Люткевич Марк Александрович</x:t>
  </x:si>
  <x:si>
    <x:t>Парфенов Олег Владимирович</x:t>
  </x:si>
  <x:si>
    <x:t>Абазов Заур Аниуарович</x:t>
  </x:si>
  <x:si>
    <x:t>Буданцев Сергей Евгеньевич</x:t>
  </x:si>
  <x:si>
    <x:t>Ермолов Сергей Владимирович</x:t>
  </x:si>
  <x:si>
    <x:t>Уханов Андрей Евгеньевич</x:t>
  </x:si>
  <x:si>
    <x:t>Веселов Никита Сергеевич</x:t>
  </x:si>
  <x:si>
    <x:t>Натаров Алексей Александрович</x:t>
  </x:si>
  <x:si>
    <x:t>Киселев Андрей Викторович</x:t>
  </x:si>
  <x:si>
    <x:t>Ларкин Евгений Борисович</x:t>
  </x:si>
  <x:si>
    <x:t>Иванов Павел Валерьевич</x:t>
  </x:si>
  <x:si>
    <x:t>Валягин Александр Сергеевич</x:t>
  </x:si>
  <x:si>
    <x:t>Акимов Валерий Юрьевич</x:t>
  </x:si>
  <x:si>
    <x:t>Карзубов Дмитрий Алексеевич</x:t>
  </x:si>
  <x:si>
    <x:t>Кобяков Анатолий Александрович</x:t>
  </x:si>
  <x:si>
    <x:t>Коростелкин Никита Юрьевич</x:t>
  </x:si>
  <x:si>
    <x:t>Скрябин Денис Витальевич</x:t>
  </x:si>
  <x:si>
    <x:t>Никишов Дмитрий Александрович</x:t>
  </x:si>
  <x:si>
    <x:t>Нурдинов Руслан Рамилевич</x:t>
  </x:si>
  <x:si>
    <x:t>Нешин Захар Игоревич</x:t>
  </x:si>
  <x:si>
    <x:t>Мирошников Денис Александрович</x:t>
  </x:si>
  <x:si>
    <x:t>Ипатов Алексей Александрович</x:t>
  </x:si>
  <x:si>
    <x:t>Губарев Василий Константинович</x:t>
  </x:si>
  <x:si>
    <x:t>Камалов Ильдар Миргасимович</x:t>
  </x:si>
  <x:si>
    <x:t>Колодяжный Артём Алексеевич</x:t>
  </x:si>
  <x:si>
    <x:t>Пушкин Никита Дмитриевич</x:t>
  </x:si>
  <x:si>
    <x:t>Ермолов Алексей Сергеевич</x:t>
  </x:si>
  <x:si>
    <x:t>Чечельницкий Кирилл Николаевич</x:t>
  </x:si>
  <x:si>
    <x:t>Тангатаров Айдар Булатович</x:t>
  </x:si>
  <x:si>
    <x:t>Сибряева Ольга Евгеньевна</x:t>
  </x:si>
  <x:si>
    <x:t>Жакенов Руслан Минигалеевич</x:t>
  </x:si>
  <x:si>
    <x:t>Фроловский Евгений Анатольевич</x:t>
  </x:si>
  <x:si>
    <x:t>Установка получения технического водорода из углеводородных газов с предварительной их гидроочисткой от сернистых соединений и двухступенчатой очистко</x:t>
  </x:si>
  <x:si>
    <x:t>Могалев Илья Владимирович</x:t>
  </x:si>
  <x:si>
    <x:t>Перевозников Александр Андреевич</x:t>
  </x:si>
  <x:si>
    <x:t>Серков Никита Дмитриевич</x:t>
  </x:si>
  <x:si>
    <x:t>Петров Александр Юрьевич</x:t>
  </x:si>
  <x:si>
    <x:t>Поляков Александр Андреевич</x:t>
  </x:si>
  <x:si>
    <x:t>Тихомиров Илья Николаевич</x:t>
  </x:si>
  <x:si>
    <x:t>Демкин Константин Юрьевич</x:t>
  </x:si>
  <x:si>
    <x:t>Родников Дмитрий Михайлович</x:t>
  </x:si>
  <x:si>
    <x:t>Киселев Андрей Александрович</x:t>
  </x:si>
  <x:si>
    <x:t>Барашкин Ринат Камилович</x:t>
  </x:si>
  <x:si>
    <x:t>Демкин Роман Юрьевич</x:t>
  </x:si>
  <x:si>
    <x:t>Цуканов Виталий Олегович</x:t>
  </x:si>
  <x:si>
    <x:t>Зонов Николай Валерьевич</x:t>
  </x:si>
  <x:si>
    <x:t>Сучков Егор Евгеньевич</x:t>
  </x:si>
  <x:si>
    <x:t>Объедков Анатолий Евгеньевич</x:t>
  </x:si>
  <x:si>
    <x:t>Куроедов Евгений Викторович</x:t>
  </x:si>
  <x:si>
    <x:t>Вашенцев Михаил Алексеевич</x:t>
  </x:si>
  <x:si>
    <x:t>Шувалов Андрей Вадимович</x:t>
  </x:si>
  <x:si>
    <x:t>Реутов Олег Александрович</x:t>
  </x:si>
  <x:si>
    <x:t>Ширяев Артур Геннадьевич</x:t>
  </x:si>
  <x:si>
    <x:t>Зайнетдинов Айнур Ахматович</x:t>
  </x:si>
  <x:si>
    <x:t>Комбинированная установка по облагораживанию топлив КТД-200/720</x:t>
  </x:si>
  <x:si>
    <x:t>Калинин Константин Васильевич</x:t>
  </x:si>
  <x:si>
    <x:t>Лупиков Сергей Игоревич</x:t>
  </x:si>
  <x:si>
    <x:t>Киртока Александр Михайлович</x:t>
  </x:si>
  <x:si>
    <x:t>Калугин Виталий Владимирович</x:t>
  </x:si>
  <x:si>
    <x:t>Карелин Дмитрий Юрьевич</x:t>
  </x:si>
  <x:si>
    <x:t>Гордеев Валерий Николаевич</x:t>
  </x:si>
  <x:si>
    <x:t>Антропов Анатолий Владимирович</x:t>
  </x:si>
  <x:si>
    <x:t>Терёшин Алексей Борисович</x:t>
  </x:si>
  <x:si>
    <x:t>Климкин Максим Игоревич</x:t>
  </x:si>
  <x:si>
    <x:t>Барабанов Андрей Викторович</x:t>
  </x:si>
  <x:si>
    <x:t>Ивлев Владимир Вячеславович</x:t>
  </x:si>
  <x:si>
    <x:t>Мишуков Виктор Александрович</x:t>
  </x:si>
  <x:si>
    <x:t>Кравченко Александр Эдуардович</x:t>
  </x:si>
  <x:si>
    <x:t>Стругалев Александр Николаевич</x:t>
  </x:si>
  <x:si>
    <x:t>Лапшин Дмитрий Андреевич</x:t>
  </x:si>
  <x:si>
    <x:t>Клещев Владимир Семенович</x:t>
  </x:si>
  <x:si>
    <x:t>Адамов Максим Владимирович</x:t>
  </x:si>
  <x:si>
    <x:t>Толкалин Владимир Васильевич</x:t>
  </x:si>
  <x:si>
    <x:t>Балаев Кирилл Дмитриевич</x:t>
  </x:si>
  <x:si>
    <x:t>Миляев Александр Сергеевич</x:t>
  </x:si>
  <x:si>
    <x:t>Пак Георгий Дмитриевич</x:t>
  </x:si>
  <x:si>
    <x:t>Комбинированная установка по производству МТБЭ и олигомеризата</x:t>
  </x:si>
  <x:si>
    <x:t>Петин Василий Павлович</x:t>
  </x:si>
  <x:si>
    <x:t>Шагиахметов Айрат Мансурович</x:t>
  </x:si>
  <x:si>
    <x:t>Федотов Тимофей Григорьевич</x:t>
  </x:si>
  <x:si>
    <x:t>Колобродов Алексей Валентинович</x:t>
  </x:si>
  <x:si>
    <x:t>Анцупов Максим Владимирович</x:t>
  </x:si>
  <x:si>
    <x:t>Ручьев Антон Олегович</x:t>
  </x:si>
  <x:si>
    <x:t>Жидков Михаил Александрович</x:t>
  </x:si>
  <x:si>
    <x:t>Нурмамбетов Данат Даниярович</x:t>
  </x:si>
  <x:si>
    <x:t>Дербуш Сергей Михайлович</x:t>
  </x:si>
  <x:si>
    <x:t>Богачев Юрий Алексеевич</x:t>
  </x:si>
  <x:si>
    <x:t>Петин Сергей Павлович</x:t>
  </x:si>
  <x:si>
    <x:t>Шедов Александр Михайлович</x:t>
  </x:si>
  <x:si>
    <x:t>Ядренов Илья Дмитриевич</x:t>
  </x:si>
  <x:si>
    <x:t>Сенотов Алексей Александрович</x:t>
  </x:si>
  <x:si>
    <x:t>Заец Сергей Юрьевич</x:t>
  </x:si>
  <x:si>
    <x:t>Оканин Владислав Евгеньевич</x:t>
  </x:si>
  <x:si>
    <x:t>Кутявин Константин Олегович</x:t>
  </x:si>
  <x:si>
    <x:t>Чуев Егор Андреевич</x:t>
  </x:si>
  <x:si>
    <x:t>Саттаров Дмитрий Алимович</x:t>
  </x:si>
  <x:si>
    <x:t>Рогожников Антон Валерьевич</x:t>
  </x:si>
  <x:si>
    <x:t>Медведев Виталий Александрович</x:t>
  </x:si>
  <x:si>
    <x:t>Миндалев Андрей Александрович</x:t>
  </x:si>
  <x:si>
    <x:t>Установка гидроочистки бензина каталитического крекинга</x:t>
  </x:si>
  <x:si>
    <x:t>Морозов Евгений Александрович</x:t>
  </x:si>
  <x:si>
    <x:t>Багаутдинов Виль Азаматович</x:t>
  </x:si>
  <x:si>
    <x:t>Махортов Олег Алексеевич</x:t>
  </x:si>
  <x:si>
    <x:t>Саттаров Кирилл Дмитриевич</x:t>
  </x:si>
  <x:si>
    <x:t>Чуянов Сергей Александрович</x:t>
  </x:si>
  <x:si>
    <x:t>Кулагин Максим Николаевич</x:t>
  </x:si>
  <x:si>
    <x:t>Попов Сергей Витальевич</x:t>
  </x:si>
  <x:si>
    <x:t>Маслов Константин Александрович</x:t>
  </x:si>
  <x:si>
    <x:t>Агабалаев Александр Владимирович</x:t>
  </x:si>
  <x:si>
    <x:t>Иванченко Ростислав Викторович</x:t>
  </x:si>
  <x:si>
    <x:t>Ким Евгений Владимирович</x:t>
  </x:si>
  <x:si>
    <x:t>Мозулев Сергей Александрович</x:t>
  </x:si>
  <x:si>
    <x:t>Иванов Алексей Юрьевич</x:t>
  </x:si>
  <x:si>
    <x:t>Иванов Дмитрий Владимирович</x:t>
  </x:si>
  <x:si>
    <x:t>Азбиев Александр Харонович</x:t>
  </x:si>
  <x:si>
    <x:t>Хурамшин Ильдар Дамирович</x:t>
  </x:si>
  <x:si>
    <x:t>Чистяков Артём Викторович</x:t>
  </x:si>
  <x:si>
    <x:t>Горгоц Виктор Николаевич</x:t>
  </x:si>
  <x:si>
    <x:t>Усанов Александр Васильевич</x:t>
  </x:si>
  <x:si>
    <x:t>Петров Александр Михайлович</x:t>
  </x:si>
  <x:si>
    <x:t>Закиров Тимур Шакирович</x:t>
  </x:si>
  <x:si>
    <x:t>Ледяев Максим Андреевич</x:t>
  </x:si>
  <x:si>
    <x:t>Комбинированная установка сероочистки газов, регенерации раствора МЭА, получения элементарной серы и очистки сернисто-щелочных стоков и технологическо</x:t>
  </x:si>
  <x:si>
    <x:t>Турчев Максим Андреевич</x:t>
  </x:si>
  <x:si>
    <x:t>Киселёв Антон Игоревич</x:t>
  </x:si>
  <x:si>
    <x:t>Ширяевский Дмитрий Александрович</x:t>
  </x:si>
  <x:si>
    <x:t>Брыскин Егор Викторович</x:t>
  </x:si>
  <x:si>
    <x:t>Огурцов Андрей Викторович</x:t>
  </x:si>
  <x:si>
    <x:t>Соколов Андрей Дмитриевич</x:t>
  </x:si>
  <x:si>
    <x:t>Карташов Вадим Николаевич</x:t>
  </x:si>
  <x:si>
    <x:t>Чернышов Иван Александрович</x:t>
  </x:si>
  <x:si>
    <x:t>Бочаркин Виктор Александрович</x:t>
  </x:si>
  <x:si>
    <x:t>Блохин Александр Сергеевич</x:t>
  </x:si>
  <x:si>
    <x:t>Титарев Михаил Сергеевич</x:t>
  </x:si>
  <x:si>
    <x:t>Геронок Сергей Геннадьевич</x:t>
  </x:si>
  <x:si>
    <x:t>Малыгин Денис Сергеевич</x:t>
  </x:si>
  <x:si>
    <x:t>Колесников Сергей Алексеевич</x:t>
  </x:si>
  <x:si>
    <x:t>Шеляев Максим Сергеевич</x:t>
  </x:si>
  <x:si>
    <x:t>Поляков Андрей Владимирович</x:t>
  </x:si>
  <x:si>
    <x:t>Фролов Александр Михайлович</x:t>
  </x:si>
  <x:si>
    <x:t>Зейналов Исмаил Мурадович</x:t>
  </x:si>
  <x:si>
    <x:t>Савочкин Дмитрий Александрович</x:t>
  </x:si>
  <x:si>
    <x:t>Маркин Дмитрий Сергеевич</x:t>
  </x:si>
  <x:si>
    <x:t>Чарочкин Антон Алексеевич</x:t>
  </x:si>
  <x:si>
    <x:t>Стоколяс Богдан Петрович</x:t>
  </x:si>
  <x:si>
    <x:t>Шалунов Алексей Михайлович</x:t>
  </x:si>
  <x:si>
    <x:t>Кострюков Александр Юрьевич</x:t>
  </x:si>
  <x:si>
    <x:t>Кузьмин Сергей Владимирович</x:t>
  </x:si>
  <x:si>
    <x:t>Спиридонов Дмитрий Михайлович</x:t>
  </x:si>
  <x:si>
    <x:t>Алышев Максим Игоревич</x:t>
  </x:si>
  <x:si>
    <x:t>Серкин Вадим Вячеславович</x:t>
  </x:si>
  <x:si>
    <x:t>Сычев Игорь Александрович</x:t>
  </x:si>
  <x:si>
    <x:t>Ямщиков Андрей Вячеславович</x:t>
  </x:si>
  <x:si>
    <x:t>Ибраев Арслан Амангельдиевич</x:t>
  </x:si>
  <x:si>
    <x:t>Вязов Андрей Вячеславович</x:t>
  </x:si>
  <x:si>
    <x:t>Абдурахманов Владислав Алексеевич</x:t>
  </x:si>
  <x:si>
    <x:t>Макаров Владислав Алексеевич</x:t>
  </x:si>
  <x:si>
    <x:t>Кукушкин Константин Валерьевич</x:t>
  </x:si>
  <x:si>
    <x:t>Лучников Михаил Николаевич</x:t>
  </x:si>
  <x:si>
    <x:t>Воблов Иван Дмитриевич</x:t>
  </x:si>
  <x:si>
    <x:t>Аннагулыев Назар Ринатович</x:t>
  </x:si>
  <x:si>
    <x:t>Гусев Иван Анатольевич</x:t>
  </x:si>
  <x:si>
    <x:t>Романцев Андрей Александрович</x:t>
  </x:si>
  <x:si>
    <x:t>Данилов Евгений Васильевич</x:t>
  </x:si>
  <x:si>
    <x:t>Хазов Вячеслав Александрович</x:t>
  </x:si>
  <x:si>
    <x:t>Козырь Никита Сергеевич</x:t>
  </x:si>
  <x:si>
    <x:t>Факельная установка и установка сбора углеводородных газов и паров (установка утилизации)</x:t>
  </x:si>
  <x:si>
    <x:t>Кразман Сергей Леонидович</x:t>
  </x:si>
  <x:si>
    <x:t>Коробицын Алексей Владленович</x:t>
  </x:si>
  <x:si>
    <x:t>Рафальский Олег Петрович</x:t>
  </x:si>
  <x:si>
    <x:t>Беляков Олег Анатольевич</x:t>
  </x:si>
  <x:si>
    <x:t>Луценко Алексей Юрьевич</x:t>
  </x:si>
  <x:si>
    <x:t>Егоров Дмитрий Юрьевич</x:t>
  </x:si>
  <x:si>
    <x:t>Зайцев Александр Александрович</x:t>
  </x:si>
  <x:si>
    <x:t>Ганиев Бехзод Ортикбоевич</x:t>
  </x:si>
  <x:si>
    <x:t>Андрианов Максим Александрович</x:t>
  </x:si>
  <x:si>
    <x:t>Золотухин Матвей Николаевич</x:t>
  </x:si>
  <x:si>
    <x:t>Турчинович Даниил Игоревич</x:t>
  </x:si>
  <x:si>
    <x:t>Куплянцев Иван Владимирович</x:t>
  </x:si>
  <x:si>
    <x:t>Товарное производство</x:t>
  </x:si>
  <x:si>
    <x:t>Начальник базы</x:t>
  </x:si>
  <x:si>
    <x:t>Клочков Михаил Игоревич</x:t>
  </x:si>
  <x:si>
    <x:t>Газораспределительная станция</x:t>
  </x:si>
  <x:si>
    <x:t>Начальник станции</x:t>
  </x:si>
  <x:si>
    <x:t>Дороган Валерий Витальевич</x:t>
  </x:si>
  <x:si>
    <x:t>Гуляев Максим Евгеньевич</x:t>
  </x:si>
  <x:si>
    <x:t>Овсянов Виталий Александрович</x:t>
  </x:si>
  <x:si>
    <x:t>Кожемякин Дмитрий Васильевич</x:t>
  </x:si>
  <x:si>
    <x:t>Яер Притви Нареш</x:t>
  </x:si>
  <x:si>
    <x:t>Пащенко Александр Николаевич</x:t>
  </x:si>
  <x:si>
    <x:t>Максудов Эхсонджон Мухторович</x:t>
  </x:si>
  <x:si>
    <x:t>Топориков Кирилл Николаевич</x:t>
  </x:si>
  <x:si>
    <x:t>Акинин Никита Александрович</x:t>
  </x:si>
  <x:si>
    <x:t>Красиков Андрей Александрович</x:t>
  </x:si>
  <x:si>
    <x:t>Минязов Радик Равилович</x:t>
  </x:si>
  <x:si>
    <x:t>Терешонок Роман Михайлович</x:t>
  </x:si>
  <x:si>
    <x:t>Мамедов Эльвер Абдулкаримович</x:t>
  </x:si>
  <x:si>
    <x:t>Соорбеков Русланбек Асылбекович</x:t>
  </x:si>
  <x:si>
    <x:t>Курбатов Роман Русланович</x:t>
  </x:si>
  <x:si>
    <x:t>Прохин Владимир Владимирович</x:t>
  </x:si>
  <x:si>
    <x:t>Дюков Сергей Николаевич</x:t>
  </x:si>
  <x:si>
    <x:t>Бажаев Виталий Александрович</x:t>
  </x:si>
  <x:si>
    <x:t>Закуткин Сергей Владимирович</x:t>
  </x:si>
  <x:si>
    <x:t>Грицаенко Андрей Анатольевич</x:t>
  </x:si>
  <x:si>
    <x:t>Ермолов Михаил Игоревич</x:t>
  </x:si>
  <x:si>
    <x:t>Участок автоматизированного смешения бензинов и котельных топлив</x:t>
  </x:si>
  <x:si>
    <x:t>Гречкосеев Борис Яковлевич</x:t>
  </x:si>
  <x:si>
    <x:t>Андрикевич Виталий Валерьевич</x:t>
  </x:si>
  <x:si>
    <x:t>Приймак Дмитрий Владимирович</x:t>
  </x:si>
  <x:si>
    <x:t>Трубачев Владимир Александрович</x:t>
  </x:si>
  <x:si>
    <x:t>Садыков Руслан Раисович</x:t>
  </x:si>
  <x:si>
    <x:t>Бондалетов Николай Алексеевич</x:t>
  </x:si>
  <x:si>
    <x:t>Кирсанов Евгений Анатольевич</x:t>
  </x:si>
  <x:si>
    <x:t>Шергин Павел Сергеевич</x:t>
  </x:si>
  <x:si>
    <x:t>Бережной Павел Петрович</x:t>
  </x:si>
  <x:si>
    <x:t>Диякону Александр Сергеевич</x:t>
  </x:si>
  <x:si>
    <x:t>Кутузов Юрий Юрьевич</x:t>
  </x:si>
  <x:si>
    <x:t>Мухамедзянов Рафаэль Рамилевич</x:t>
  </x:si>
  <x:si>
    <x:t>Нестеров Иван Игоревич</x:t>
  </x:si>
  <x:si>
    <x:t>Хасанов Никита Альбертович</x:t>
  </x:si>
  <x:si>
    <x:t>Кузнецов Алексей Владимирович</x:t>
  </x:si>
  <x:si>
    <x:t>Участок реагентного хозяйства и подготовки нефтепродуктов к отгрузке</x:t>
  </x:si>
  <x:si>
    <x:t>Маркин Кирилл Алексеевич</x:t>
  </x:si>
  <x:si>
    <x:t>Титков Евгений Николаевич</x:t>
  </x:si>
  <x:si>
    <x:t>Орлов Евгений Вячеславович</x:t>
  </x:si>
  <x:si>
    <x:t>Соколов Алексей Михайлович</x:t>
  </x:si>
  <x:si>
    <x:t>Сухарев Валерий Александрович</x:t>
  </x:si>
  <x:si>
    <x:t>Галиухин Денис Алексеевич</x:t>
  </x:si>
  <x:si>
    <x:t>Чернышев Александр Сергеевич</x:t>
  </x:si>
  <x:si>
    <x:t>Идрисов Шамиль Рафикович</x:t>
  </x:si>
  <x:si>
    <x:t>Лукин Никита Игоревич</x:t>
  </x:si>
  <x:si>
    <x:t>Илюхин Роман Валерьевич</x:t>
  </x:si>
  <x:si>
    <x:t>Ковальков Дмитрий Александрович</x:t>
  </x:si>
  <x:si>
    <x:t>Полковников Олег Юрьевич</x:t>
  </x:si>
  <x:si>
    <x:t>Замышляев Олег Викторович</x:t>
  </x:si>
  <x:si>
    <x:t>Громов Дмитрий Викторович</x:t>
  </x:si>
  <x:si>
    <x:t>Рассадкин Кирилл Александрович</x:t>
  </x:si>
  <x:si>
    <x:t>Орлов Александр Сергеевич</x:t>
  </x:si>
  <x:si>
    <x:t>Сергеев Василий Александрович</x:t>
  </x:si>
  <x:si>
    <x:t>Казакова Елена Сергеевна</x:t>
  </x:si>
  <x:si>
    <x:t>Арустамян Артем Суренович</x:t>
  </x:si>
  <x:si>
    <x:t>Смирнов Александр Александрович</x:t>
  </x:si>
  <x:si>
    <x:t>Кузнецов Илья Николаевич</x:t>
  </x:si>
  <x:si>
    <x:t>Участок эстакады налива светлых нефтепродуктов в автотранспорт</x:t>
  </x:si>
  <x:si>
    <x:t>Самовский Сергей Сергеевич</x:t>
  </x:si>
  <x:si>
    <x:t>Макаров Эдуард Васильевич</x:t>
  </x:si>
  <x:si>
    <x:t>Паркач Иван Сергеевич</x:t>
  </x:si>
  <x:si>
    <x:t>Лобынцев Алексей Викторович</x:t>
  </x:si>
  <x:si>
    <x:t>Алиев Нурадил Абдулмуслимович</x:t>
  </x:si>
  <x:si>
    <x:t>Жигалов Иван Владимирович</x:t>
  </x:si>
  <x:si>
    <x:t>Лиманский Дмитрий Владимирович</x:t>
  </x:si>
  <x:si>
    <x:t>Лукин Виталий Викторович</x:t>
  </x:si>
  <x:si>
    <x:t>Дмитриев Юрий Борисович</x:t>
  </x:si>
  <x:si>
    <x:t>Крицкий Вячеслав Владимирович</x:t>
  </x:si>
  <x:si>
    <x:t>Осокин Вячеслав Александрович</x:t>
  </x:si>
  <x:si>
    <x:t>Дубоносов Андрей Владимирович</x:t>
  </x:si>
  <x:si>
    <x:t>Новиков Сергей Александрович</x:t>
  </x:si>
  <x:si>
    <x:t>Замирайло Владимир Юрьевич</x:t>
  </x:si>
  <x:si>
    <x:t>Сафонов Михаил Александрович</x:t>
  </x:si>
  <x:si>
    <x:t>Батарон Максим Алексеевич</x:t>
  </x:si>
  <x:si>
    <x:t>Участок резервуарного парка бензина, реактивного и дизельного топлива</x:t>
  </x:si>
  <x:si>
    <x:t>Евстигнеев Павел Иванович</x:t>
  </x:si>
  <x:si>
    <x:t>Губин Юрий Васильевич</x:t>
  </x:si>
  <x:si>
    <x:t>Клечин Сергей Анатольевич</x:t>
  </x:si>
  <x:si>
    <x:t>Хоменко Тимофей Иванович</x:t>
  </x:si>
  <x:si>
    <x:t>Смагин Дмитрий Владимирович</x:t>
  </x:si>
  <x:si>
    <x:t>Веригин Александр Евгеньевич</x:t>
  </x:si>
  <x:si>
    <x:t>Тарасов Евгений Владимирович</x:t>
  </x:si>
  <x:si>
    <x:t>Николаев Антон Олегович</x:t>
  </x:si>
  <x:si>
    <x:t>Ратчин Сергей Анатольевич</x:t>
  </x:si>
  <x:si>
    <x:t>Солохов Владимир Владимирович</x:t>
  </x:si>
  <x:si>
    <x:t>Евлоев Зураб Абукарович</x:t>
  </x:si>
  <x:si>
    <x:t>Котов Дмитрий Борисович</x:t>
  </x:si>
  <x:si>
    <x:t>Бондалетов Алексей Николаевич</x:t>
  </x:si>
  <x:si>
    <x:t>Кузнецов Алексей Борисович</x:t>
  </x:si>
  <x:si>
    <x:t>Добронравов Александр Сергеевич</x:t>
  </x:si>
  <x:si>
    <x:t>Горлов Сергей Юрьевич</x:t>
  </x:si>
  <x:si>
    <x:t>Кайдуллин Дмитрий Андреевич</x:t>
  </x:si>
  <x:si>
    <x:t>Медведев Дмитрий Евгеньевич</x:t>
  </x:si>
  <x:si>
    <x:t>Стоянец Алексей Александрович</x:t>
  </x:si>
  <x:si>
    <x:t>Солодов Денис Олегович</x:t>
  </x:si>
  <x:si>
    <x:t>Корнев Александр Геннадьевич</x:t>
  </x:si>
  <x:si>
    <x:t>Евдокимов Дмитрий Николаевич</x:t>
  </x:si>
  <x:si>
    <x:t>Ермолов Даниил Юрьевич</x:t>
  </x:si>
  <x:si>
    <x:t>Кондрашев Сергей Михайлович</x:t>
  </x:si>
  <x:si>
    <x:t>Васимов Ильнар Зульфирович</x:t>
  </x:si>
  <x:si>
    <x:t>Чербарь Илья Сергеевич</x:t>
  </x:si>
  <x:si>
    <x:t>Горюнов Алексей Яковлевич</x:t>
  </x:si>
  <x:si>
    <x:t>Гимранов Азамат Шатмуратович</x:t>
  </x:si>
  <x:si>
    <x:t>Рукаванов Дмитрий Анатольевич</x:t>
  </x:si>
  <x:si>
    <x:t>Участок резервуарного парка сырой нефти, мазута и вакуумного газойля</x:t>
  </x:si>
  <x:si>
    <x:t>Субботин Андрей Николаевич</x:t>
  </x:si>
  <x:si>
    <x:t>Бортасевич Артем Олегович</x:t>
  </x:si>
  <x:si>
    <x:t>Нагаев Михаил Игоревич</x:t>
  </x:si>
  <x:si>
    <x:t>Юкаев Иван Данилович</x:t>
  </x:si>
  <x:si>
    <x:t>Тутаев Марк Юрьевич</x:t>
  </x:si>
  <x:si>
    <x:t>Макаров Дмитрий Владимирович</x:t>
  </x:si>
  <x:si>
    <x:t>Котова Ирина Владимировна</x:t>
  </x:si>
  <x:si>
    <x:t>Авдеев Кирилл Вячеславович</x:t>
  </x:si>
  <x:si>
    <x:t>Ильичев Андрей Сергеевич</x:t>
  </x:si>
  <x:si>
    <x:t>Гайтамиров Изнаур Измайлович</x:t>
  </x:si>
  <x:si>
    <x:t>Петелин Александр Васильевич</x:t>
  </x:si>
  <x:si>
    <x:t>Пузырев Александр Юрьевич</x:t>
  </x:si>
  <x:si>
    <x:t>Медведчиков Александр Валерьевич</x:t>
  </x:si>
  <x:si>
    <x:t>Манучев Максим Лерманович</x:t>
  </x:si>
  <x:si>
    <x:t>Швецов Михаил Сергеевич</x:t>
  </x:si>
  <x:si>
    <x:t>Шишков Андрей Александрович</x:t>
  </x:si>
  <x:si>
    <x:t>Кузнецов Антон Петрович</x:t>
  </x:si>
  <x:si>
    <x:t>Гольцов Владимир Николаевич</x:t>
  </x:si>
  <x:si>
    <x:t>Мелашенко Андрей Викторович</x:t>
  </x:si>
  <x:si>
    <x:t>Федотов Марк Анатольевич</x:t>
  </x:si>
  <x:si>
    <x:t>Чиненов Андрей Александрович</x:t>
  </x:si>
  <x:si>
    <x:t>Французов Андрей Александрович</x:t>
  </x:si>
  <x:si>
    <x:t>Кучеров Алексей Вячеславович</x:t>
  </x:si>
  <x:si>
    <x:t>Теренков Сергей Александрович</x:t>
  </x:si>
  <x:si>
    <x:t>Измайлов Григорий Олегович</x:t>
  </x:si>
  <x:si>
    <x:t>Болдырев Максим Юрьевич</x:t>
  </x:si>
  <x:si>
    <x:t>Автоматизированная установка тактового налива</x:t>
  </x:si>
  <x:si>
    <x:t>Ан Дмитрий Алексеевич</x:t>
  </x:si>
  <x:si>
    <x:t>Антипин Артём Андреевич</x:t>
  </x:si>
  <x:si>
    <x:t>Баднер Станислав Владиславович</x:t>
  </x:si>
  <x:si>
    <x:t>Богатырев Ислам Русланович</x:t>
  </x:si>
  <x:si>
    <x:t>Валиев Арнольд Аркадиевич</x:t>
  </x:si>
  <x:si>
    <x:t>Гудков Никита Владимирович</x:t>
  </x:si>
  <x:si>
    <x:t>Зуев Даниил Михайлович</x:t>
  </x:si>
  <x:si>
    <x:t>Канаков Александр Сергеевич</x:t>
  </x:si>
  <x:si>
    <x:t>Карагулов Аман Абдуллаевич</x:t>
  </x:si>
  <x:si>
    <x:t>Лабоха Игорь Петрович</x:t>
  </x:si>
  <x:si>
    <x:t>Мироненко Алексей Степанович</x:t>
  </x:si>
  <x:si>
    <x:t>Мишин Алексей Иванович</x:t>
  </x:si>
  <x:si>
    <x:t>Протасов Артем Валерьевич</x:t>
  </x:si>
  <x:si>
    <x:t>Сергиенко Александр Андреевич</x:t>
  </x:si>
  <x:si>
    <x:t>Халфин Виктор Амирович</x:t>
  </x:si>
  <x:si>
    <x:t>Шапиев Руслан Шихшабекович</x:t>
  </x:si>
  <x:si>
    <x:t>Сиразов Артур Айратович</x:t>
  </x:si>
  <x:si>
    <x:t>Фокин Кирилл Дмитриевич</x:t>
  </x:si>
  <x:si>
    <x:t>Шелихов Александр Дмитриевич</x:t>
  </x:si>
  <x:si>
    <x:t>Иванов Артем Юрьевич</x:t>
  </x:si>
  <x:si>
    <x:t>Теплосиловой участок</x:t>
  </x:si>
  <x:si>
    <x:t>Зайцев Виктор Александрович</x:t>
  </x:si>
  <x:si>
    <x:t>Участок производства азота и воздухоснабжения</x:t>
  </x:si>
  <x:si>
    <x:t>Карпухин Александр Евгеньевич</x:t>
  </x:si>
  <x:si>
    <x:t>Участок теплоснабжения</x:t>
  </x:si>
  <x:si>
    <x:t>Зоря Дмитрий Владимирович</x:t>
  </x:si>
  <x:si>
    <x:t>Установка химводоподготовки (титул 4137.10)</x:t>
  </x:si>
  <x:si>
    <x:t>Партыга Дмитрий Владимирович</x:t>
  </x:si>
  <x:si>
    <x:t>Котельная ПКК 75/24</x:t>
  </x:si>
  <x:si>
    <x:t>Оператор котельной (старший)</x:t>
  </x:si>
  <x:si>
    <x:t>Сорокин Павел Николаевич</x:t>
  </x:si>
  <x:si>
    <x:t>Девин Никита Анатольевич</x:t>
  </x:si>
  <x:si>
    <x:t>Ногтиков Сергей Викторович</x:t>
  </x:si>
  <x:si>
    <x:t>Новикова Светлана Александровна</x:t>
  </x:si>
  <x:si>
    <x:t>Оператор котельной</x:t>
  </x:si>
  <x:si>
    <x:t>Тельнова Наталья Сергеевна</x:t>
  </x:si>
  <x:si>
    <x:t>Подрезов Алексей Владимирович</x:t>
  </x:si>
  <x:si>
    <x:t>Панченко Александр Владимирович</x:t>
  </x:si>
  <x:si>
    <x:t>Рагимханов Рамик Насруллаевич</x:t>
  </x:si>
  <x:si>
    <x:t>Оператор котельной, подмена</x:t>
  </x:si>
  <x:si>
    <x:t>Никоненко Евгений Вячеславович</x:t>
  </x:si>
  <x:si>
    <x:t>Оператор котельной (старший), подмена</x:t>
  </x:si>
  <x:si>
    <x:t>Дудин Андрей Александрович</x:t>
  </x:si>
  <x:si>
    <x:t>Котельная тит. 4007/1</x:t>
  </x:si>
  <x:si>
    <x:t>Куколев Денис Владимирович</x:t>
  </x:si>
  <x:si>
    <x:t>Садиков Алексей Борисович</x:t>
  </x:si>
  <x:si>
    <x:t>Афанаскин Олег Анатольевич</x:t>
  </x:si>
  <x:si>
    <x:t>Круглов Леонид Александрович</x:t>
  </x:si>
  <x:si>
    <x:t>Юлина Ирина Юрьевна</x:t>
  </x:si>
  <x:si>
    <x:t>Голиненко Алексей Олегович</x:t>
  </x:si>
  <x:si>
    <x:t>Храмшин Владимир Иванович</x:t>
  </x:si>
  <x:si>
    <x:t>Кривобоков Анатолий Артемович</x:t>
  </x:si>
  <x:si>
    <x:t>Семенов Марат Николаевич</x:t>
  </x:si>
  <x:si>
    <x:t>Александрова Елена Борисовна</x:t>
  </x:si>
  <x:si>
    <x:t>Избастенов Шинбулат Адыльбекович</x:t>
  </x:si>
  <x:si>
    <x:t>Ломова Галина Николаевна</x:t>
  </x:si>
  <x:si>
    <x:t>Сидоренков Александр Андреевич</x:t>
  </x:si>
  <x:si>
    <x:t>Пашовкин Алексей Яковлевич</x:t>
  </x:si>
  <x:si>
    <x:t>Ратчин Виктор Анатольевич</x:t>
  </x:si>
  <x:si>
    <x:t>Установка производства азота с дожимным компрессором</x:t>
  </x:si>
  <x:si>
    <x:t>Дырин Александр Анатольевич</x:t>
  </x:si>
  <x:si>
    <x:t>Дырин Виталий Анатольевич</x:t>
  </x:si>
  <x:si>
    <x:t>Соколов Владимир Александрович</x:t>
  </x:si>
  <x:si>
    <x:t>Белобородов Андрей Викторович</x:t>
  </x:si>
  <x:si>
    <x:t>Михеев Сергей Вячеславович</x:t>
  </x:si>
  <x:si>
    <x:t>Резниченко Дмитрий Алексеевич</x:t>
  </x:si>
  <x:si>
    <x:t>Чекмарев Алексей Анатольевич</x:t>
  </x:si>
  <x:si>
    <x:t>Волков Алексей Александрович</x:t>
  </x:si>
  <x:si>
    <x:t>Цвелодубов Евгений Владимирович</x:t>
  </x:si>
  <x:si>
    <x:t>Каплин Федор Михайлович</x:t>
  </x:si>
  <x:si>
    <x:t>Центральная воздушная компрессорная станция (ЦВК)</x:t>
  </x:si>
  <x:si>
    <x:t>Машинист компрессорных установок (старший), подмена</x:t>
  </x:si>
  <x:si>
    <x:t>Шанцева Лариса Александровна</x:t>
  </x:si>
  <x:si>
    <x:t>Машинист компрессорных установок (старший)</x:t>
  </x:si>
  <x:si>
    <x:t>Бусов Олег Анатольевич</x:t>
  </x:si>
  <x:si>
    <x:t>Архаров Илья Евгеньевич</x:t>
  </x:si>
  <x:si>
    <x:t>Максубов Бедел Нариманович</x:t>
  </x:si>
  <x:si>
    <x:t>Козин Владислав Юрьевич</x:t>
  </x:si>
  <x:si>
    <x:t>Миквабия Руслан Робертович</x:t>
  </x:si>
  <x:si>
    <x:t>Чупов Олег Борисович</x:t>
  </x:si>
  <x:si>
    <x:t>Павлов Максим Николаевич</x:t>
  </x:si>
  <x:si>
    <x:t>Тюренкова Юлия Сергеевна</x:t>
  </x:si>
  <x:si>
    <x:t>Бойлерные (теплофикационной воды тит.1700, тит.1703 и тит.1243)</x:t>
  </x:si>
  <x:si>
    <x:t>Оператор теплового пункта</x:t>
  </x:si>
  <x:si>
    <x:t>Дадаев Имран Абдулович</x:t>
  </x:si>
  <x:si>
    <x:t>Новикова Татьяна Анатольевна</x:t>
  </x:si>
  <x:si>
    <x:t>Покатило Светлана Михайловна</x:t>
  </x:si>
  <x:si>
    <x:t>Садыкова Лариса Александровна</x:t>
  </x:si>
  <x:si>
    <x:t>Оператор теплового пункта (старший)</x:t>
  </x:si>
  <x:si>
    <x:t>Киселева Елена Ивановна</x:t>
  </x:si>
  <x:si>
    <x:t>Гришина Елена Николаевна</x:t>
  </x:si>
  <x:si>
    <x:t>Солодова Вера Алексеевна</x:t>
  </x:si>
  <x:si>
    <x:t>Кононов Геннадий Серафимович</x:t>
  </x:si>
  <x:si>
    <x:t>Оператор теплового пункта (старший), подмена</x:t>
  </x:si>
  <x:si>
    <x:t>Надежкин Андрей Васильевич</x:t>
  </x:si>
  <x:si>
    <x:t>Оператор теплового пункта, подмена</x:t>
  </x:si>
  <x:si>
    <x:t>Смирнова Светлана Александровна</x:t>
  </x:si>
  <x:si>
    <x:t>ЦОК-3 (тит.1315)</x:t>
  </x:si>
  <x:si>
    <x:t>Аносова Галина Николаевна</x:t>
  </x:si>
  <x:si>
    <x:t>Никитаева Наталия Васильевна</x:t>
  </x:si>
  <x:si>
    <x:t>Гендель Дмитрий Валерьевич</x:t>
  </x:si>
  <x:si>
    <x:t>Трубина Лариса Анатольевна</x:t>
  </x:si>
  <x:si>
    <x:t>Шиленко Григорий Сергеевич</x:t>
  </x:si>
  <x:si>
    <x:t>Сахарова Екатерина Ивановна</x:t>
  </x:si>
  <x:si>
    <x:t>Плехов Виталий Васильевич</x:t>
  </x:si>
  <x:si>
    <x:t>Мамонов Дмитрий Алексеевич</x:t>
  </x:si>
  <x:si>
    <x:t>Ярабаев Михаил Иванович</x:t>
  </x:si>
  <x:si>
    <x:t>Бизяев Артем Юрьевич</x:t>
  </x:si>
  <x:si>
    <x:t>Беляева Юлия Александровна</x:t>
  </x:si>
  <x:si>
    <x:t>Майоров Дмитрий Сергеевич</x:t>
  </x:si>
  <x:si>
    <x:t>Селиверстов Александр Сергеевич</x:t>
  </x:si>
  <x:si>
    <x:t>Козак Сергей Богданович</x:t>
  </x:si>
  <x:si>
    <x:t>Чертищев Евгений Олегович</x:t>
  </x:si>
  <x:si>
    <x:t>Богданов Евгений Валерьевич</x:t>
  </x:si>
  <x:si>
    <x:t>Лапшин Максим Вячеславович</x:t>
  </x:si>
  <x:si>
    <x:t>Зорин Сергей Александрович</x:t>
  </x:si>
  <x:si>
    <x:t>Мелашенко Наталья Алексеевна</x:t>
  </x:si>
  <x:si>
    <x:t>Лындин Станислав Олегович</x:t>
  </x:si>
  <x:si>
    <x:t>Васин Владислав Вячеславович</x:t>
  </x:si>
  <x:si>
    <x:t>Горнович Даниил Александрович</x:t>
  </x:si>
  <x:si>
    <x:t>Шеин Александр Александрович</x:t>
  </x:si>
  <x:si>
    <x:t>Попивчук Николай Антонович</x:t>
  </x:si>
  <x:si>
    <x:t>Левоненков Владимир Сергеевич</x:t>
  </x:si>
  <x:si>
    <x:t>Центр управления производством</x:t>
  </x:si>
  <x:si>
    <x:t>Руководитель направления (по переработке бензиновых фракций)</x:t>
  </x:si>
  <x:si>
    <x:t>Мокрищев Александр Борисович</x:t>
  </x:si>
  <x:si>
    <x:t>Пурис Александр Анатольевич</x:t>
  </x:si>
  <x:si>
    <x:t>Чурсин Максим Васильевич</x:t>
  </x:si>
  <x:si>
    <x:t>Руководитель направления (по переработке бензиновых фракций), подмена</x:t>
  </x:si>
  <x:si>
    <x:t>Куликов Владимир Анатольевич</x:t>
  </x:si>
  <x:si>
    <x:t>Руководитель направления (по первичным процессам)</x:t>
  </x:si>
  <x:si>
    <x:t>Панкратов Владимир Вячеславович</x:t>
  </x:si>
  <x:si>
    <x:t>Яковлев Юрий Владимирович</x:t>
  </x:si>
  <x:si>
    <x:t>Мельханов Владислав Владимирович</x:t>
  </x:si>
  <x:si>
    <x:t>Гилев Никита Александрович</x:t>
  </x:si>
  <x:si>
    <x:t>Руководитель направления (по первичным процессам), подмена</x:t>
  </x:si>
  <x:si>
    <x:t>Рублис Сергей Александрович</x:t>
  </x:si>
  <x:si>
    <x:t>Руководитель направления (по каталитическому крекингу)</x:t>
  </x:si>
  <x:si>
    <x:t>Станкевич Максим Матвеевич</x:t>
  </x:si>
  <x:si>
    <x:t>Карипов Рамиль Ринатович</x:t>
  </x:si>
  <x:si>
    <x:t>Юнусов Владислав Геннадьевич</x:t>
  </x:si>
  <x:si>
    <x:t>Тишкин Андрей Александрович</x:t>
  </x:si>
  <x:si>
    <x:t>Руководитель направления (по каталитическому крекингу), подмена</x:t>
  </x:si>
  <x:si>
    <x:t>Никитин Виктор Владимирович</x:t>
  </x:si>
  <x:si>
    <x:t>Руководитель направления (по комбинированной переработке нефти)</x:t>
  </x:si>
  <x:si>
    <x:t>Кириллов Владимир Евгеньевич</x:t>
  </x:si>
  <x:si>
    <x:t>Султанов Ильнур Вячеславович</x:t>
  </x:si>
  <x:si>
    <x:t>Ялалетдинов Эльдар Маратович</x:t>
  </x:si>
  <x:si>
    <x:t>Малинин Алексей Викторович</x:t>
  </x:si>
  <x:si>
    <x:t>Руководитель направления (по комбинированной переработке нефти), подмена</x:t>
  </x:si>
  <x:si>
    <x:t>год:</x:t>
  </x:si>
  <x:si>
    <x:t>месяц:</x:t>
  </x:si>
  <x:si>
    <x:t>Январь</x:t>
  </x:si>
  <x:si>
    <x:t>Февраль</x:t>
  </x:si>
  <x:si>
    <x:t>Март</x:t>
  </x:si>
  <x:si>
    <x:t>Апрель</x:t>
  </x:si>
  <x:si>
    <x:t>Май</x:t>
  </x:si>
  <x:si>
    <x:t>Июнь</x:t>
  </x:si>
  <x:si>
    <x:t>Июль</x:t>
  </x:si>
  <x:si>
    <x:t>Август</x:t>
  </x:si>
  <x:si>
    <x:t>Сентябрь</x:t>
  </x:si>
  <x:si>
    <x:t>Октябрь</x:t>
  </x:si>
  <x:si>
    <x:t>Ноябрь</x:t>
  </x:si>
  <x:si>
    <x:t>Декабрь</x:t>
  </x:si>
  <x:si>
    <x:t>Установки</x:t>
  </x:si>
  <x:si>
    <x:t>количество человек на установке</x:t>
  </x:si>
  <x:si>
    <x:t>кол-во чел, прошедших 5 сценариев</x:t>
  </x:si>
  <x:si>
    <x:t>% выполнения</x:t>
  </x:si>
  <x:si>
    <x:t>Производство №1</x:t>
  </x:si>
  <x:si>
    <x:t>ЭЛОУ-АВТ-6</x:t>
  </x:si>
  <x:si>
    <x:t>ГФУ-2</x:t>
  </x:si>
  <x:si>
    <x:t>ВБ</x:t>
  </x:si>
  <x:si>
    <x:t>УПБ</x:t>
  </x:si>
  <x:si>
    <x:t>ЛЧ-35/11-1000</x:t>
  </x:si>
  <x:si>
    <x:t>УИЛН+КЦА</x:t>
  </x:si>
  <x:si>
    <x:t>ЛЧ-24-2000</x:t>
  </x:si>
  <x:si>
    <x:t>Л-24/5</x:t>
  </x:si>
  <x:si>
    <x:t>Производство №2</x:t>
  </x:si>
  <x:si>
    <x:t>МТБЭ</x:t>
  </x:si>
  <x:si>
    <x:t>ГОБКК</x:t>
  </x:si>
  <x:si>
    <x:t>УПС</x:t>
  </x:si>
  <x:si>
    <x:t>УПВ</x:t>
  </x:si>
  <x:si>
    <x:t>ФУ и УСУГиП</x:t>
  </x:si>
  <x:si>
    <x:t>ТАМЕ</x:t>
  </x:si>
  <x:si>
    <x:t>Г-43-107</x:t>
  </x:si>
  <x:si>
    <x:t>Произ- водство №3</x:t>
  </x:si>
  <x:si>
    <x:t>КУПН</x:t>
  </x:si>
  <x:si>
    <x:t>ТЭК</x:t>
  </x:si>
  <x:si>
    <x:t>УПА</x:t>
  </x:si>
  <x:si>
    <x:t>Котельные</x:t>
  </x:si>
  <x:si>
    <x:t>ЦВК</x:t>
  </x:si>
  <x:si>
    <x:t>ХВП</x:t>
  </x:si>
  <x:si>
    <x:t>ГРС</x:t>
  </x:si>
  <x:si>
    <x:t>АСБиКТ</x:t>
  </x:si>
  <x:si>
    <x:t>СНМиВГ</x:t>
  </x:si>
  <x:si>
    <x:t>БРиДТ</x:t>
  </x:si>
  <x:si>
    <x:t>РХиПНО</x:t>
  </x:si>
  <x:si>
    <x:t>ЭНСН</x:t>
  </x:si>
  <x:si>
    <x:t>КОС</x:t>
  </x:si>
  <x:si>
    <x:t>БОВ-8а</x:t>
  </x:si>
  <x:si>
    <x:t>РНК ЦУП</x:t>
  </x:si>
  <x:si>
    <x:t>от 0 до 50</x:t>
  </x:si>
  <x:si>
    <x:t>от 51 до 85</x:t>
  </x:si>
  <x:si>
    <x:t>от  86 до  100</x:t>
  </x:si>
  <x:si>
    <x:t>Должность</x:t>
  </x:si>
  <x:si>
    <x:t>ФИО</x:t>
  </x:si>
  <x:si>
    <x:t>Посещение КТК</x:t>
  </x:si>
  <x:si>
    <x:t>ДА</x:t>
  </x:si>
  <x:si>
    <x:t>НЕТ</x:t>
  </x:si>
  <x:si>
    <x:t>Бобровский Илья Сергеевич</x:t>
  </x:si>
  <x:si>
    <x:t>Григорян Григор Арамович</x:t>
  </x:si>
  <x:si>
    <x:t>Зиновьев Илья Владимирович</x:t>
  </x:si>
  <x:si>
    <x:t>Скобелев Виталий Юрьевич</x:t>
  </x:si>
  <x:si>
    <x:t>ЛЧ 35/11-1000</x:t>
  </x:si>
  <x:si>
    <x:t>длительный больничный (более 2-х месяцев)</x:t>
  </x:si>
  <x:si>
    <x:t>переведён на ЛЧ-24/2000 механиком</x:t>
  </x:si>
  <x:si>
    <x:t>переведена</x:t>
  </x:si>
  <x:si>
    <x:t>УИЛН</x:t>
  </x:si>
  <x:si>
    <x:t>ЛЧ 24/2000</x:t>
  </x:si>
  <x:si>
    <x:t>Л 24/5</x:t>
  </x:si>
  <x:si>
    <x:t>Усачев Артур Вадимович</x:t>
  </x:si>
  <x:si>
    <x:t>больничный</x:t>
  </x:si>
  <x:si>
    <x:t>Пыхтин Константин Александрович</x:t>
  </x:si>
  <x:si>
    <x:t>Березин Кирилл Дмитриевич</x:t>
  </x:si>
  <x:si>
    <x:t>Губайдуллин Дамир Ринатович</x:t>
  </x:si>
  <x:si>
    <x:t>Олейник Вадим Евгеньевич</x:t>
  </x:si>
  <x:si>
    <x:t>Петров Семён Сергеевич</x:t>
  </x:si>
  <x:si>
    <x:t>Сосковец Яков Борисович</x:t>
  </x:si>
  <x:si>
    <x:t>Суровикин Роман Игоревич</x:t>
  </x:si>
  <x:si>
    <x:t>Сычков Роман Владмирович</x:t>
  </x:si>
  <x:si>
    <x:t>Черванев Евгений Александрович</x:t>
  </x:si>
  <x:si>
    <x:t>Чернечков Александр Сергеевич</x:t>
  </x:si>
  <x:si>
    <x:t>ФУиУСУГиП</x:t>
  </x:si>
  <x:si>
    <x:t>ТАМЭ</x:t>
  </x:si>
  <x:si>
    <x:t>Кузнецов1 Сергей Александрович</x:t>
  </x:si>
  <x:si>
    <x:t>Макаров Федор Денисович</x:t>
  </x:si>
  <x:si>
    <x:t>Бармаков Вадим Фуатович</x:t>
  </x:si>
  <x:si>
    <x:t>Билгин Тимур Омерович</x:t>
  </x:si>
  <x:si>
    <x:t>Петров Олег Сергеевич</x:t>
  </x:si>
  <x:si>
    <x:t>Пешкуров Николай Николаевич</x:t>
  </x:si>
  <x:si>
    <x:t>Хакимов Улугбек Абдулмаджидович</x:t>
  </x:si>
  <x:si>
    <x:t>Брагин Роман Сергеевич</x:t>
  </x:si>
  <x:si>
    <x:t>декрет</x:t>
  </x:si>
  <x:si>
    <x:t>Рыжий Денис Александрович</x:t>
  </x:si>
  <x:si>
    <x:t>Алимханов Анвар Равилевич</x:t>
  </x:si>
  <x:si>
    <x:t>Сонникова Марина Владимировна</x:t>
  </x:si>
  <x:si>
    <x:t>ЦУП</x:t>
  </x:si>
  <x:si>
    <x:t>Установка</x:t>
  </x:si>
  <x:si>
    <x:t>Статистика за 2026 год</x:t>
  </x:si>
  <x:si>
    <x:t>Посещаемость</x:t>
  </x:si>
  <x:si>
    <x:t>∑</x:t>
  </x:si>
  <x:si>
    <x:t>Поправочный коэффициент - количество учитываемых месяцев</x:t>
  </x:si>
  <x:si>
    <x:t>Строка в графике</x:t>
  </x:si>
  <x:si>
    <x:t>Добавлен в график</x:t>
  </x:si>
  <x:si>
    <x:t>Добавлен в анализ</x:t>
  </x:si>
  <x:si>
    <x:t>TАМЕ</x:t>
  </x:si>
  <x:si>
    <x:t>Количество месяцев:</x:t>
  </x:si>
  <x:si>
    <x:t>5</x:t>
  </x:si>
  <x:si>
    <x:t>4</x:t>
  </x:si>
  <x:si>
    <x:t>3</x:t>
  </x:si>
  <x:si>
    <x:t>2</x:t>
  </x:si>
  <x:si>
    <x:t>1</x:t>
  </x:si>
  <x:si>
    <x:t>Автодобавление</x:t>
  </x:si>
  <x:si>
    <x:t>Л-24_5</x:t>
  </x:si>
  <x:si>
    <x:t>Режим</x:t>
  </x:si>
  <x:si>
    <x:t>_Панкратов Владимир Вяч-ч_</x:t>
  </x:si>
  <x:si>
    <x:t>Количество отчётов по режимам</x:t>
  </x:si>
  <x:si>
    <x:t>_Мельханов Владислав Владим-ч_</x:t>
  </x:si>
  <x:si>
    <x:t>СОВПАДЕНИЯ ПО КЛЮЧАМ ФИО</x:t>
  </x:si>
  <x:si>
    <x:t>ФИО из выгрузки</x:t>
  </x:si>
  <x:si>
    <x:t>Лапко Алексей Николанвич</x:t>
  </x:si>
  <x:si>
    <x:t>Саутинов Даниил Сергеевич</x:t>
  </x:si>
  <x:si>
    <x:t>Оценка</x:t>
  </x:si>
  <x:si>
    <x:t>ФИО в анализе</x:t>
  </x:si>
  <x:si>
    <x:t>FUZZY-СОВПАДЕНИЯ ФИО</x:t>
  </x:si>
  <x:si>
    <x:t>Новых сотрудников не найдено</x:t>
  </x:si>
  <x:si>
    <x:t>НОВЫЕ СОТРУДНИКИ</x:t>
  </x:si>
  <x:si>
    <x:t>Нет</x:t>
  </x:si>
  <x:si>
    <x:t>НЕСОПОСТАВЛЕННЫЕ УСТАНОВКИ</x:t>
  </x:si>
  <x:si>
    <x:t>Отчётов отфильтровано по режиму</x:t>
  </x:si>
  <x:si>
    <x:t>Режим отсутствует</x:t>
  </x:si>
  <x:si>
    <x:t>ЛИСТЫ БЕЗ СТОЛБЦА РЕЖИМА</x:t>
  </x:si>
  <x:si>
    <x:t>Экзамен</x:t>
  </x:si>
  <x:si>
    <x:t>Все сценарии</x:t>
  </x:si>
  <x:si>
    <x:t>Ежемесячный тренинг</x:t>
  </x:si>
  <x:si>
    <x:t>Случайный выбор</x:t>
  </x:si>
  <x:si>
    <x:t>Количество</x:t>
  </x:si>
  <x:si>
    <x:t>Не указаны</x:t>
  </x:si>
  <x:si>
    <x:t>Учитываемые режимы</x:t>
  </x:si>
  <x:si>
    <x:t>ВЫКЛЮЧЕН</x:t>
  </x:si>
  <x:si>
    <x:t>Учёт режима</x:t>
  </x:si>
  <x:si>
    <x:t>РЕЖИМЫ ПРОХОЖДЕНИЯ</x:t>
  </x:si>
  <x:si>
    <x:t>УПА с ХЖА</x:t>
  </x:si>
  <x:si>
    <x:t>КТД-200_720</x:t>
  </x:si>
  <x:si>
    <x:t>Л 24_5</x:t>
  </x:si>
  <x:si>
    <x:t>Количество отчётов</x:t>
  </x:si>
  <x:si>
    <x:t>Лист</x:t>
  </x:si>
  <x:si>
    <x:t>ЛЧ 24_2000</x:t>
  </x:si>
  <x:si>
    <x:t>ЛЧ 35_11-1000</x:t>
  </x:si>
  <x:si>
    <x:t>OK</x:t>
  </x:si>
  <x:si>
    <x:t>Статус</x:t>
  </x:si>
  <x:si>
    <x:t>ЛИСТЫ ВЫГРУЗКИ</x:t>
  </x:si>
  <x:si>
    <x:t>ОТЧЁТ ОБРАБОТКИ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</x:si>
</x:sst>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4" x14ac:knownFonts="1">
    <x:font>
      <x:sz val="11"/>
      <x:color theme="1"/>
      <x:name val="Calibri"/>
      <x:scheme val="minor"/>
    </x:font>
    <x:font>
      <x:sz val="11"/>
      <x:color theme="1"/>
      <x:name val="Calibri"/>
      <x:family val="2"/>
      <x:charset val="204"/>
      <x:scheme val="minor"/>
    </x:font>
    <x:font>
      <x:sz val="11"/>
      <x:color theme="1"/>
      <x:name val="Calibri"/>
      <x:family val="2"/>
      <x:charset val="204"/>
      <x:scheme val="minor"/>
    </x:font>
    <x:font>
      <x:sz val="11"/>
      <x:color theme="1"/>
      <x:name val="Calibri"/>
      <x:family val="2"/>
      <x:charset val="204"/>
      <x:scheme val="minor"/>
    </x:font>
    <x:font>
      <x:sz val="11"/>
      <x:color theme="1"/>
      <x:name val="Calibri"/>
    </x:font>
    <x:font>
      <x:sz val="11"/>
      <x:color rgb="FF9C0006"/>
      <x:name val="Calibri"/>
      <x:scheme val="minor"/>
    </x:font>
    <x:font>
      <x:sz val="11"/>
      <x:color rgb="FF006100"/>
      <x:name val="Calibri"/>
      <x:scheme val="minor"/>
    </x:font>
    <x:font>
      <x:sz val="8"/>
      <x:color theme="1"/>
      <x:name val="Arial"/>
    </x:font>
    <x:font>
      <x:b/>
      <x:sz val="10"/>
      <x:color rgb="FF003F2F"/>
      <x:name val="Arial"/>
    </x:font>
    <x:font>
      <x:b/>
      <x:sz val="11"/>
      <x:color theme="1"/>
      <x:name val="Calibri"/>
    </x:font>
    <x:font>
      <x:b/>
      <x:sz val="8"/>
      <x:color theme="1"/>
      <x:name val="Calibri"/>
    </x:font>
    <x:font>
      <x:sz val="11"/>
      <x:name val="Calibri"/>
    </x:font>
    <x:font>
      <x:b/>
      <x:sz val="11"/>
      <x:name val="Calibri"/>
    </x:font>
    <x:font>
      <x:b/>
      <x:sz val="22"/>
      <x:color theme="1"/>
      <x:name val="Calibri"/>
    </x:font>
    <x:font>
      <x:b/>
      <x:sz val="16"/>
      <x:color theme="1"/>
      <x:name val="Calibri"/>
      <x:scheme val="minor"/>
    </x:font>
    <x:font>
      <x:b/>
      <x:sz val="11"/>
      <x:color theme="1"/>
      <x:name val="Calibri"/>
      <x:scheme val="minor"/>
    </x:font>
    <x:font>
      <x:b/>
      <x:sz val="9"/>
      <x:color theme="1"/>
      <x:name val="Calibri"/>
      <x:scheme val="minor"/>
    </x:font>
    <x:font>
      <x:b/>
      <x:sz val="11"/>
      <x:color theme="1"/>
      <x:name val="Calibri"/>
      <x:family val="2"/>
      <x:charset val="204"/>
      <x:scheme val="minor"/>
    </x:font>
    <x:font>
      <x:sz val="8"/>
      <x:color theme="1"/>
      <x:name val="Arial"/>
      <x:family val="2"/>
      <x:charset val="204"/>
    </x:font>
    <x:font>
      <x:b/>
      <x:sz val="16"/>
      <x:color theme="1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</x:font>
    <x:font>
      <x:b/>
      <x:sz val="22"/>
      <x:color theme="1"/>
      <x:name val="Calibri"/>
      <x:family val="2"/>
      <x:charset val="204"/>
    </x:font>
    <x:font>
      <x:b/>
      <x:sz val="11"/>
      <x:name val="Calibri"/>
    </x:font>
    <x:font>
      <x:b/>
      <x:sz val="14"/>
      <x:name val="Calibri"/>
    </x:font>
    <x:font>
      <x:sz val="9"/>
      <x:color theme="1"/>
      <x:name val="Calibri"/>
      <x:family val="2"/>
      <x:charset val="204"/>
      <x:scheme val="minor"/>
    </x:font>
    <x:font>
      <x:b/>
      <x:sz val="18"/>
      <x:color theme="1"/>
      <x:name val="Calibri"/>
      <x:family val="2"/>
      <x:charset val="204"/>
      <x:scheme val="minor"/>
    </x:font>
    <x:font>
      <x:b/>
      <x:sz val="28"/>
      <x:color theme="1"/>
      <x:name val="Calibri"/>
      <x:family val="2"/>
      <x:charset val="204"/>
    </x:font>
    <x:font>
      <x:b/>
      <x:sz val="14"/>
      <x:color theme="1"/>
      <x:name val="Calibri"/>
      <x:family val="2"/>
      <x:charset val="204"/>
      <x:scheme val="minor"/>
    </x:font>
    <x:font>
      <x:b/>
      <x:sz val="28"/>
      <x:color theme="1"/>
      <x:name val="Calibri"/>
      <x:family val="2"/>
      <x:charset val="204"/>
      <x:scheme val="minor"/>
    </x:font>
    <x:font>
      <x:sz val="72"/>
      <x:color theme="1"/>
      <x:name val="Calibri"/>
      <x:family val="2"/>
      <x:charset val="204"/>
      <x:scheme val="minor"/>
    </x:font>
    <x:font>
      <x:sz val="11"/>
      <x:name val="Calibri"/>
      <x:family val="2"/>
      <x:charset val="204"/>
      <x:scheme val="minor"/>
    </x:font>
    <x:font>
      <x:sz val="48"/>
      <x:color theme="1"/>
      <x:name val="Calibri"/>
      <x:family val="2"/>
      <x:charset val="204"/>
      <x:scheme val="minor"/>
    </x:font>
    <x:font>
      <x:sz val="36"/>
      <x:color theme="1"/>
      <x:name val="Calibri"/>
      <x:family val="2"/>
      <x:charset val="204"/>
      <x:scheme val="minor"/>
    </x:font>
    <x:font>
      <x:b/>
      <x:vertAlign val="baseline"/>
      <x:sz val="14"/>
      <x:color theme="1"/>
      <x:name val="Calibri"/>
      <x:family val="2"/>
      <x:scheme val="minor"/>
    </x:font>
  </x:fonts>
  <x:fills count="53">
    <x:fill>
      <x:patternFill patternType="none"/>
    </x:fill>
    <x:fill>
      <x:patternFill patternType="gray125"/>
    </x:fill>
    <x:fill>
      <x:patternFill patternType="solid">
        <x:fgColor rgb="FFFFC7CE"/>
        <x:bgColor rgb="FFFFC7CE"/>
      </x:patternFill>
    </x:fill>
    <x:fill>
      <x:patternFill patternType="solid">
        <x:fgColor rgb="FFC6EFCE"/>
        <x:bgColor rgb="FFC6EFCE"/>
      </x:patternFill>
    </x:fill>
    <x:fill>
      <x:patternFill patternType="solid">
        <x:fgColor rgb="FFD6E5CB"/>
        <x:bgColor rgb="FFD6E5CB"/>
      </x:patternFill>
    </x:fill>
    <x:fill>
      <x:patternFill patternType="solid">
        <x:fgColor indexed="5"/>
        <x:bgColor indexed="5"/>
      </x:patternFill>
    </x:fill>
    <x:fill>
      <x:patternFill patternType="solid">
        <x:fgColor theme="0"/>
        <x:bgColor rgb="FFEDEDED"/>
      </x:patternFill>
    </x:fill>
    <x:fill>
      <x:patternFill patternType="solid">
        <x:fgColor theme="4" tint="0.79998168889431442"/>
        <x:bgColor rgb="FFC6EFCE"/>
      </x:patternFill>
    </x:fill>
    <x:fill>
      <x:patternFill patternType="solid">
        <x:fgColor theme="4" tint="0.59999389629810485"/>
        <x:bgColor rgb="FFFFD966"/>
      </x:patternFill>
    </x:fill>
    <x:fill>
      <x:patternFill patternType="solid">
        <x:fgColor theme="4" tint="0.39997558519241921"/>
        <x:bgColor rgb="FFD9D9D9"/>
      </x:patternFill>
    </x:fill>
    <x:fill>
      <x:patternFill patternType="solid">
        <x:fgColor theme="8" tint="0.79998168889431442"/>
        <x:bgColor rgb="FF8FAADC"/>
      </x:patternFill>
    </x:fill>
    <x:fill>
      <x:patternFill patternType="solid">
        <x:fgColor theme="8" tint="0.59999389629810485"/>
        <x:bgColor rgb="FFFFD966"/>
      </x:patternFill>
    </x:fill>
    <x:fill>
      <x:patternFill patternType="solid">
        <x:fgColor theme="8" tint="0.39997558519241921"/>
        <x:bgColor rgb="FFC55A11"/>
      </x:patternFill>
    </x:fill>
    <x:fill>
      <x:patternFill patternType="solid">
        <x:fgColor theme="4" tint="0.79998168889431442"/>
        <x:bgColor rgb="FFF4B183"/>
      </x:patternFill>
    </x:fill>
    <x:fill>
      <x:patternFill patternType="solid">
        <x:fgColor rgb="FFC6EFCE"/>
      </x:patternFill>
    </x:fill>
    <x:fill>
      <x:patternFill patternType="solid">
        <x:fgColor rgb="FFEDE4D3"/>
      </x:patternFill>
    </x:fill>
    <x:fill>
      <x:patternFill patternType="solid">
        <x:fgColor rgb="FFFFC7CE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7575"/>
        <x:bgColor indexed="2"/>
      </x:patternFill>
    </x:fill>
    <x:fill>
      <x:patternFill patternType="solid">
        <x:fgColor rgb="FFFFFF8B"/>
        <x:bgColor indexed="5"/>
      </x:patternFill>
    </x:fill>
    <x:fill>
      <x:patternFill patternType="solid">
        <x:fgColor rgb="FF00EE6C"/>
        <x:bgColor rgb="FF92D050"/>
      </x:patternFill>
    </x:fill>
    <x:fill>
      <x:patternFill patternType="solid">
        <x:fgColor rgb="FFC6EFCE"/>
      </x:patternFill>
    </x:fill>
    <x:fill>
      <x:patternFill patternType="solid">
        <x:fgColor rgb="FFEDE4D3"/>
      </x:patternFill>
    </x:fill>
    <x:fill>
      <x:patternFill patternType="solid">
        <x:fgColor rgb="FFFFC7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EDE4D3"/>
      </x:patternFill>
    </x:fill>
    <x:fill>
      <x:patternFill patternType="solid">
        <x:fgColor rgb="FFFFC7CE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B4C7E7"/>
      </x:patternFill>
    </x:fill>
    <x:fill>
      <x:patternFill patternType="solid">
        <x:fgColor rgb="FFD9EAD3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7" tint="-0.249977111117893"/>
        <x:bgColor indexed="64"/>
      </x:patternFill>
    </x:fill>
    <x:fill>
      <x:patternFill patternType="solid">
        <x:fgColor theme="5" tint="-0.249977111117893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00C6EFCE"/>
      </x:patternFill>
    </x:fill>
    <x:fill>
      <x:patternFill patternType="solid">
        <x:fgColor rgb="00EDE4D3"/>
      </x:patternFill>
    </x:fill>
    <x:fill>
      <x:patternFill patternType="solid">
        <x:fgColor rgb="00FFC7CE"/>
      </x:patternFill>
    </x:fill>
    <x:fill>
      <x:patternFill patternType="solid">
        <x:fgColor rgb="00FFF2CC"/>
      </x:patternFill>
    </x:fill>
    <x:fill>
      <x:patternFill patternType="solid">
        <x:fgColor rgb="00D9EAF7"/>
      </x:patternFill>
    </x:fill>
    <x:fill>
      <x:patternFill patternType="solid">
        <x:fgColor rgb="00B4C7E7"/>
      </x:patternFill>
    </x:fill>
    <x:fill>
      <x:patternFill patternType="solid">
        <x:fgColor rgb="00D9EAD3"/>
      </x:patternFill>
    </x:fill>
  </x:fills>
  <x:borders count="8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thin">
        <x:color theme="1"/>
      </x:top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medium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medium">
        <x:color indexed="64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  <x:border>
      <x:left style="thin">
        <x:color theme="1"/>
      </x:left>
      <x:right style="medium">
        <x:color indexed="64"/>
      </x:right>
      <x:top style="thin">
        <x:color theme="1"/>
      </x:top>
      <x:bottom style="thin">
        <x:color theme="1"/>
      </x:bottom>
      <x:diagonal/>
    </x:border>
    <x:border>
      <x:left style="medium">
        <x:color indexed="64"/>
      </x:left>
      <x:right style="thin">
        <x:color theme="1"/>
      </x:right>
      <x:top style="thin">
        <x:color theme="1"/>
      </x:top>
      <x:bottom style="medium">
        <x:color indexed="64"/>
      </x:bottom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medium">
        <x:color indexed="64"/>
      </x:bottom>
      <x:diagonal/>
    </x:border>
    <x:border>
      <x:left style="thin">
        <x:color theme="1"/>
      </x:left>
      <x:right style="medium">
        <x:color indexed="64"/>
      </x:right>
      <x:top style="thin">
        <x:color theme="1"/>
      </x:top>
      <x:bottom style="medium">
        <x:color indexed="64"/>
      </x:bottom>
      <x:diagonal/>
    </x:border>
    <x:border>
      <x:left/>
      <x:right style="thin">
        <x:color theme="1"/>
      </x:right>
      <x:top style="thin">
        <x:color theme="1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auto="1"/>
      </x:top>
      <x:bottom style="thin">
        <x:color auto="1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/>
      <x:bottom/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auto="1"/>
      </x:bottom>
      <x:diagonal/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 diagonalUp="0" diagonalDown="0">
      <x:left style="medium">
        <x:color rgb="00000000"/>
      </x:left>
      <x:right style="medium">
        <x:color rgb="00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B7B7B7"/>
      </x:left>
      <x:right style="thin">
        <x:color rgb="00B7B7B7"/>
      </x:right>
      <x:top style="thin">
        <x:color rgb="00B7B7B7"/>
      </x:top>
      <x:bottom style="thin">
        <x:color rgb="00B7B7B7"/>
      </x:bottom>
      <x:diagonal style="none">
        <x:color rgb="FF000000"/>
      </x:diagonal>
    </x:border>
  </x:borders>
  <x:cellStyleXfs count="312">
    <x:xf numFmtId="0" fontId="0" fillId="0" borderId="0"/>
    <x:xf numFmtId="0" fontId="4" fillId="0" borderId="0"/>
    <x:xf numFmtId="0" fontId="5" fillId="2" borderId="0"/>
    <x:xf numFmtId="0" fontId="6" fillId="3" borderId="0"/>
    <x:xf numFmtId="0" fontId="1" fillId="0" borderId="0"/>
    <x:xf numFmtId="0" fontId="7" fillId="0" borderId="0" applyNumberFormat="1" applyFill="1" applyBorder="0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5" borderId="1" applyNumberFormat="1" applyFill="0" applyBorder="1" applyAlignment="1" applyProtection="1">
      <x:protection locked="1" hidden="0"/>
    </x:xf>
    <x:xf numFmtId="0" fontId="9" fillId="6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9" fontId="10" fillId="0" borderId="1" applyNumberFormat="1" applyFill="1" applyBorder="1" applyAlignment="1" applyProtection="1">
      <x:protection locked="1" hidden="0"/>
    </x:xf>
    <x:xf numFmtId="0" fontId="9" fillId="7" borderId="4" applyNumberFormat="1" applyFill="0" applyBorder="1" applyAlignment="1" applyProtection="1">
      <x:protection locked="1" hidden="0"/>
    </x:xf>
    <x:xf numFmtId="0" fontId="9" fillId="7" borderId="1" applyNumberFormat="1" applyFill="0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1" fillId="6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9" fillId="7" borderId="45" applyNumberFormat="1" applyFill="0" applyBorder="1" applyAlignment="1" applyProtection="1">
      <x:protection locked="1" hidden="0"/>
    </x:xf>
    <x:xf numFmtId="0" fontId="12" fillId="6" borderId="2" applyNumberFormat="1" applyFill="0" applyBorder="1" applyAlignment="1" applyProtection="1">
      <x:protection locked="1" hidden="0"/>
    </x:xf>
    <x:xf numFmtId="0" fontId="9" fillId="7" borderId="20" applyNumberFormat="1" applyFill="0" applyBorder="1" applyAlignment="1" applyProtection="1">
      <x:protection locked="1" hidden="0"/>
    </x:xf>
    <x:xf numFmtId="0" fontId="9" fillId="8" borderId="1" applyNumberFormat="1" applyFill="0" applyBorder="1" applyAlignment="1" applyProtection="1">
      <x:protection locked="1" hidden="0"/>
    </x:xf>
    <x:xf numFmtId="0" fontId="0" fillId="0" borderId="45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9" fillId="9" borderId="1" applyNumberFormat="1" applyFill="0" applyBorder="1" applyAlignment="1" applyProtection="1">
      <x:protection locked="1" hidden="0"/>
    </x:xf>
    <x:xf numFmtId="0" fontId="9" fillId="6" borderId="2" applyNumberFormat="1" applyFill="0" applyBorder="1" applyAlignment="1" applyProtection="1">
      <x:protection locked="1" hidden="0"/>
    </x:xf>
    <x:xf numFmtId="0" fontId="9" fillId="10" borderId="1" applyNumberFormat="1" applyFill="0" applyBorder="1" applyAlignment="1" applyProtection="1">
      <x:protection locked="1" hidden="0"/>
    </x:xf>
    <x:xf numFmtId="0" fontId="9" fillId="11" borderId="5" applyNumberFormat="1" applyFill="0" applyBorder="1" applyAlignment="1" applyProtection="1">
      <x:protection locked="1" hidden="0"/>
    </x:xf>
    <x:xf numFmtId="0" fontId="9" fillId="11" borderId="1" applyNumberFormat="1" applyFill="0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9" fillId="12" borderId="1" applyNumberFormat="1" applyFill="0" applyBorder="1" applyAlignment="1" applyProtection="1">
      <x:protection locked="1" hidden="0"/>
    </x:xf>
    <x:xf numFmtId="0" fontId="9" fillId="6" borderId="6" applyNumberFormat="1" applyFill="0" applyBorder="1" applyAlignment="1" applyProtection="1">
      <x:protection locked="1" hidden="0"/>
    </x:xf>
    <x:xf numFmtId="0" fontId="0" fillId="19" borderId="0" applyNumberFormat="1" applyFill="0" applyBorder="0" applyAlignment="1" applyProtection="1">
      <x:protection locked="1" hidden="0"/>
    </x:xf>
    <x:xf numFmtId="0" fontId="0" fillId="20" borderId="0" applyNumberFormat="1" applyFill="0" applyBorder="0" applyAlignment="1" applyProtection="1">
      <x:protection locked="1" hidden="0"/>
    </x:xf>
    <x:xf numFmtId="0" fontId="0" fillId="21" borderId="0" applyNumberFormat="1" applyFill="0" applyBorder="0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20" fillId="0" borderId="8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0" fontId="17" fillId="0" borderId="12" applyNumberFormat="1" applyFill="1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0" fontId="16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0" fillId="3" borderId="21" applyNumberFormat="1" applyFill="0" applyBorder="1" applyAlignment="1" applyProtection="1">
      <x:protection locked="1" hidden="0"/>
    </x:xf>
    <x:xf numFmtId="0" fontId="0" fillId="46" borderId="23" applyNumberFormat="1" applyFill="0" applyBorder="1" applyAlignment="1" applyProtection="1">
      <x:protection locked="1" hidden="0"/>
    </x:xf>
    <x:xf numFmtId="0" fontId="7" fillId="0" borderId="24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27" applyNumberFormat="1" applyFill="1" applyBorder="1" applyAlignment="1" applyProtection="1">
      <x:protection locked="1" hidden="0"/>
    </x:xf>
    <x:xf numFmtId="0" fontId="0" fillId="3" borderId="26" applyNumberFormat="1" applyFill="0" applyBorder="1" applyAlignment="1" applyProtection="1">
      <x:protection locked="1" hidden="0"/>
    </x:xf>
    <x:xf numFmtId="0" fontId="0" fillId="46" borderId="27" applyNumberFormat="1" applyFill="0" applyBorder="1" applyAlignment="1" applyProtection="1">
      <x:protection locked="1" hidden="0"/>
    </x:xf>
    <x:xf numFmtId="0" fontId="7" fillId="17" borderId="24" applyNumberFormat="1" applyFill="0" applyBorder="1" applyAlignment="1" applyProtection="1">
      <x:protection locked="1" hidden="0"/>
    </x:xf>
    <x:xf numFmtId="0" fontId="7" fillId="47" borderId="24" applyNumberFormat="1" applyFill="0" applyBorder="1" applyAlignment="1" applyProtection="1">
      <x:protection locked="1" hidden="0"/>
    </x:xf>
    <x:xf numFmtId="0" fontId="0" fillId="2" borderId="25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15" borderId="27" applyNumberFormat="1" applyFill="0" applyBorder="1" applyAlignment="1" applyProtection="1">
      <x:protection locked="1" hidden="0"/>
    </x:xf>
    <x:xf numFmtId="0" fontId="0" fillId="15" borderId="26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30" applyNumberFormat="1" applyFill="1" applyBorder="1" applyAlignment="1" applyProtection="1">
      <x:protection locked="1" hidden="0"/>
    </x:xf>
    <x:xf numFmtId="0" fontId="0" fillId="0" borderId="31" applyNumberFormat="1" applyFill="1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0" fontId="0" fillId="3" borderId="30" applyNumberFormat="1" applyFill="0" applyBorder="1" applyAlignment="1" applyProtection="1">
      <x:protection locked="1" hidden="0"/>
    </x:xf>
    <x:xf numFmtId="0" fontId="0" fillId="46" borderId="32" applyNumberFormat="1" applyFill="0" applyBorder="1" applyAlignment="1" applyProtection="1">
      <x:protection locked="1" hidden="0"/>
    </x:xf>
    <x:xf numFmtId="0" fontId="17" fillId="0" borderId="46" applyNumberFormat="1" applyFill="1" applyBorder="1" applyAlignment="1" applyProtection="1">
      <x:protection locked="1" hidden="0"/>
    </x:xf>
    <x:xf numFmtId="0" fontId="14" fillId="0" borderId="10" applyNumberFormat="1" applyFill="1" applyBorder="1" applyAlignment="1" applyProtection="1">
      <x:protection locked="1" hidden="0"/>
    </x:xf>
    <x:xf numFmtId="0" fontId="15" fillId="0" borderId="48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0" fontId="15" fillId="0" borderId="63" applyNumberFormat="1" applyFill="1" applyBorder="1" applyAlignment="1" applyProtection="1">
      <x:protection locked="1" hidden="0"/>
    </x:xf>
    <x:xf numFmtId="0" fontId="16" fillId="0" borderId="44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5" fillId="0" borderId="19" applyNumberFormat="1" applyFill="1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0" fillId="0" borderId="62" applyNumberFormat="1" applyFill="1" applyBorder="1" applyAlignment="1" applyProtection="1">
      <x:protection locked="1" hidden="0"/>
    </x:xf>
    <x:xf numFmtId="0" fontId="6" fillId="0" borderId="2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5" fillId="0" borderId="62" applyNumberFormat="1" applyFill="1" applyBorder="1" applyAlignment="1" applyProtection="1">
      <x:protection locked="1" hidden="0"/>
    </x:xf>
    <x:xf numFmtId="0" fontId="16" fillId="0" borderId="27" applyNumberFormat="1" applyFill="1" applyBorder="1" applyAlignment="1" applyProtection="1">
      <x:protection locked="1" hidden="0"/>
    </x:xf>
    <x:xf numFmtId="0" fontId="6" fillId="3" borderId="2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4" fillId="46" borderId="27" applyNumberFormat="1" applyFill="0" applyBorder="1" applyAlignment="1" applyProtection="1">
      <x:protection locked="1" hidden="0"/>
    </x:xf>
    <x:xf numFmtId="0" fontId="1" fillId="0" borderId="62" applyNumberFormat="1" applyFill="1" applyBorder="1" applyAlignment="1" applyProtection="1">
      <x:protection locked="1" hidden="0"/>
    </x:xf>
    <x:xf numFmtId="0" fontId="24" fillId="0" borderId="27" applyNumberFormat="1" applyFill="1" applyBorder="1" applyAlignment="1" applyProtection="1">
      <x:protection locked="1" hidden="0"/>
    </x:xf>
    <x:xf numFmtId="0" fontId="6" fillId="0" borderId="26" applyNumberFormat="1" applyFill="1" applyBorder="1" applyAlignment="1" applyProtection="1">
      <x:protection locked="1" hidden="0"/>
    </x:xf>
    <x:xf numFmtId="0" fontId="6" fillId="3" borderId="26" applyNumberFormat="1" applyFill="0" applyBorder="1" applyAlignment="1" applyProtection="1">
      <x:protection locked="1" hidden="0"/>
    </x:xf>
    <x:xf numFmtId="0" fontId="0" fillId="48" borderId="1" applyNumberFormat="1" applyFill="0" applyBorder="1" applyAlignment="1" applyProtection="1">
      <x:protection locked="1" hidden="0"/>
    </x:xf>
    <x:xf numFmtId="0" fontId="0" fillId="48" borderId="5" applyNumberFormat="1" applyFill="0" applyBorder="1" applyAlignment="1" applyProtection="1">
      <x:protection locked="1" hidden="0"/>
    </x:xf>
    <x:xf numFmtId="0" fontId="0" fillId="49" borderId="1" applyNumberFormat="1" applyFill="0" applyBorder="1" applyAlignment="1" applyProtection="1">
      <x:protection locked="1" hidden="0"/>
    </x:xf>
    <x:xf numFmtId="0" fontId="6" fillId="0" borderId="30" applyNumberFormat="1" applyFill="1" applyBorder="1" applyAlignment="1" applyProtection="1">
      <x:protection locked="1" hidden="0"/>
    </x:xf>
    <x:xf numFmtId="0" fontId="0" fillId="0" borderId="64" applyNumberFormat="1" applyFill="1" applyBorder="1" applyAlignment="1" applyProtection="1">
      <x:protection locked="1" hidden="0"/>
    </x:xf>
    <x:xf numFmtId="0" fontId="6" fillId="3" borderId="30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0" fillId="25" borderId="25" applyNumberFormat="1" applyFill="0" applyBorder="1" applyAlignment="1" applyProtection="1">
      <x:protection locked="1" hidden="0"/>
    </x:xf>
    <x:xf numFmtId="0" fontId="17" fillId="0" borderId="47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47" borderId="1" applyNumberFormat="1" applyFill="0" applyBorder="1" applyAlignment="1" applyProtection="1">
      <x:protection locked="1" hidden="0"/>
    </x:xf>
    <x:xf numFmtId="0" fontId="7" fillId="17" borderId="1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34" applyNumberFormat="1" applyFill="1" applyBorder="1" applyAlignment="1" applyProtection="1">
      <x:protection locked="1" hidden="0"/>
    </x:xf>
    <x:xf numFmtId="0" fontId="0" fillId="0" borderId="35" applyNumberFormat="1" applyFill="1" applyBorder="1" applyAlignment="1" applyProtection="1">
      <x:protection locked="1" hidden="0"/>
    </x:xf>
    <x:xf numFmtId="0" fontId="0" fillId="0" borderId="36" applyNumberFormat="1" applyFill="1" applyBorder="1" applyAlignment="1" applyProtection="1">
      <x:protection locked="1" hidden="0"/>
    </x:xf>
    <x:xf numFmtId="0" fontId="0" fillId="3" borderId="34" applyNumberFormat="1" applyFill="0" applyBorder="1" applyAlignment="1" applyProtection="1">
      <x:protection locked="1" hidden="0"/>
    </x:xf>
    <x:xf numFmtId="0" fontId="0" fillId="46" borderId="36" applyNumberFormat="1" applyFill="0" applyBorder="1" applyAlignment="1" applyProtection="1">
      <x:protection locked="1" hidden="0"/>
    </x:xf>
    <x:xf numFmtId="0" fontId="0" fillId="2" borderId="33" applyNumberFormat="1" applyFill="0" applyBorder="1" applyAlignment="1" applyProtection="1">
      <x:protection locked="1" hidden="0"/>
    </x:xf>
    <x:xf numFmtId="0" fontId="0" fillId="15" borderId="34" applyNumberFormat="1" applyFill="0" applyBorder="1" applyAlignment="1" applyProtection="1">
      <x:protection locked="1" hidden="0"/>
    </x:xf>
    <x:xf numFmtId="0" fontId="0" fillId="46" borderId="34" applyNumberFormat="1" applyFill="0" applyBorder="1" applyAlignment="1" applyProtection="1">
      <x:protection locked="1" hidden="0"/>
    </x:xf>
    <x:xf numFmtId="0" fontId="0" fillId="2" borderId="28" applyNumberFormat="1" applyFill="0" applyBorder="1" applyAlignment="1" applyProtection="1">
      <x:protection locked="1" hidden="0"/>
    </x:xf>
    <x:xf numFmtId="0" fontId="0" fillId="2" borderId="29" applyNumberFormat="1" applyFill="0" applyBorder="1" applyAlignment="1" applyProtection="1">
      <x:protection locked="1" hidden="0"/>
    </x:xf>
    <x:xf numFmtId="0" fontId="0" fillId="15" borderId="30" applyNumberFormat="1" applyFill="0" applyBorder="1" applyAlignment="1" applyProtection="1">
      <x:protection locked="1" hidden="0"/>
    </x:xf>
    <x:xf numFmtId="0" fontId="0" fillId="0" borderId="47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65" applyNumberFormat="1" applyFill="1" applyBorder="1" applyAlignment="1" applyProtection="1">
      <x:protection locked="1" hidden="0"/>
    </x:xf>
    <x:xf numFmtId="0" fontId="16" fillId="0" borderId="10" applyNumberFormat="1" applyFill="1" applyBorder="1" applyAlignment="1" applyProtection="1">
      <x:protection locked="1" hidden="0"/>
    </x:xf>
    <x:xf numFmtId="0" fontId="7" fillId="0" borderId="50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15" borderId="24" applyNumberFormat="1" applyFill="0" applyBorder="1" applyAlignment="1" applyProtection="1">
      <x:protection locked="1" hidden="0"/>
    </x:xf>
    <x:xf numFmtId="0" fontId="0" fillId="18" borderId="62" applyNumberFormat="1" applyFill="0" applyBorder="1" applyAlignment="1" applyProtection="1">
      <x:protection locked="1" hidden="0"/>
    </x:xf>
    <x:xf numFmtId="0" fontId="0" fillId="2" borderId="62" applyNumberFormat="1" applyFill="0" applyBorder="1" applyAlignment="1" applyProtection="1">
      <x:protection locked="1" hidden="0"/>
    </x:xf>
    <x:xf numFmtId="0" fontId="7" fillId="0" borderId="25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47" borderId="25" applyNumberFormat="1" applyFill="0" applyBorder="1" applyAlignment="1" applyProtection="1">
      <x:protection locked="1" hidden="0"/>
    </x:xf>
    <x:xf numFmtId="0" fontId="7" fillId="15" borderId="25" applyNumberFormat="1" applyFill="0" applyBorder="1" applyAlignment="1" applyProtection="1">
      <x:protection locked="1" hidden="0"/>
    </x:xf>
    <x:xf numFmtId="0" fontId="0" fillId="3" borderId="27" applyNumberFormat="1" applyFill="0" applyBorder="1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6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3" borderId="16" applyNumberFormat="1" applyFill="0" applyBorder="1" applyAlignment="1" applyProtection="1">
      <x:protection locked="1" hidden="0"/>
    </x:xf>
    <x:xf numFmtId="0" fontId="19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69" applyNumberFormat="1" applyFill="1" applyBorder="1" applyAlignment="1" applyProtection="1">
      <x:protection locked="1" hidden="0"/>
    </x:xf>
    <x:xf numFmtId="0" fontId="0" fillId="2" borderId="20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0" fillId="25" borderId="1" applyNumberFormat="1" applyFill="0" applyBorder="1" applyAlignment="1" applyProtection="1">
      <x:protection locked="1" hidden="0"/>
    </x:xf>
    <x:xf numFmtId="0" fontId="5" fillId="0" borderId="26" applyNumberFormat="1" applyFill="1" applyBorder="1" applyAlignment="1" applyProtection="1">
      <x:protection locked="1" hidden="0"/>
    </x:xf>
    <x:xf numFmtId="0" fontId="5" fillId="15" borderId="26" applyNumberFormat="1" applyFill="0" applyBorder="1" applyAlignment="1" applyProtection="1">
      <x:protection locked="1" hidden="0"/>
    </x:xf>
    <x:xf numFmtId="0" fontId="0" fillId="49" borderId="5" applyNumberFormat="1" applyFill="0" applyBorder="1" applyAlignment="1" applyProtection="1">
      <x:protection locked="1" hidden="0"/>
    </x:xf>
    <x:xf numFmtId="0" fontId="7" fillId="0" borderId="28" applyNumberFormat="1" applyFill="1" applyBorder="1" applyAlignment="1" applyProtection="1">
      <x:protection locked="1" hidden="0"/>
    </x:xf>
    <x:xf numFmtId="0" fontId="6" fillId="0" borderId="32" applyNumberFormat="1" applyFill="1" applyBorder="1" applyAlignment="1" applyProtection="1">
      <x:protection locked="1" hidden="0"/>
    </x:xf>
    <x:xf numFmtId="0" fontId="6" fillId="3" borderId="32" applyNumberFormat="1" applyFill="0" applyBorder="1" applyAlignment="1" applyProtection="1">
      <x:protection locked="1" hidden="0"/>
    </x:xf>
    <x:xf numFmtId="0" fontId="0" fillId="0" borderId="46" applyNumberFormat="1" applyFill="1" applyBorder="1" applyAlignment="1" applyProtection="1">
      <x:protection locked="1" hidden="0"/>
    </x:xf>
    <x:xf numFmtId="0" fontId="20" fillId="0" borderId="7" applyNumberFormat="1" applyFill="1" applyBorder="1" applyAlignment="1" applyProtection="1">
      <x:protection locked="1" hidden="0"/>
    </x:xf>
    <x:xf numFmtId="0" fontId="16" fillId="0" borderId="67" applyNumberFormat="1" applyFill="1" applyBorder="1" applyAlignment="1" applyProtection="1">
      <x:protection locked="1" hidden="0"/>
    </x:xf>
    <x:xf numFmtId="0" fontId="0" fillId="0" borderId="37" applyNumberFormat="1" applyFill="1" applyBorder="1" applyAlignment="1" applyProtection="1">
      <x:protection locked="1" hidden="0"/>
    </x:xf>
    <x:xf numFmtId="0" fontId="0" fillId="0" borderId="38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0" fillId="3" borderId="39" applyNumberFormat="1" applyFill="0" applyBorder="1" applyAlignment="1" applyProtection="1">
      <x:protection locked="1" hidden="0"/>
    </x:xf>
    <x:xf numFmtId="0" fontId="0" fillId="46" borderId="39" applyNumberFormat="1" applyFill="0" applyBorder="1" applyAlignment="1" applyProtection="1">
      <x:protection locked="1" hidden="0"/>
    </x:xf>
    <x:xf numFmtId="0" fontId="7" fillId="17" borderId="5" applyNumberFormat="1" applyFill="0" applyBorder="1" applyAlignment="1" applyProtection="1">
      <x:protection locked="1" hidden="0"/>
    </x:xf>
    <x:xf numFmtId="0" fontId="7" fillId="15" borderId="1" applyNumberFormat="1" applyFill="0" applyBorder="1" applyAlignment="1" applyProtection="1">
      <x:protection locked="1" hidden="0"/>
    </x:xf>
    <x:xf numFmtId="0" fontId="0" fillId="3" borderId="32" applyNumberFormat="1" applyFill="0" applyBorder="1" applyAlignment="1" applyProtection="1">
      <x:protection locked="1" hidden="0"/>
    </x:xf>
    <x:xf numFmtId="0" fontId="0" fillId="3" borderId="36" applyNumberFormat="1" applyFill="0" applyBorder="1" applyAlignment="1" applyProtection="1">
      <x:protection locked="1" hidden="0"/>
    </x:xf>
    <x:xf numFmtId="0" fontId="17" fillId="0" borderId="40" applyNumberFormat="1" applyFill="1" applyBorder="1" applyAlignment="1" applyProtection="1">
      <x:protection locked="1" hidden="0"/>
    </x:xf>
    <x:xf numFmtId="0" fontId="0" fillId="0" borderId="40" applyNumberFormat="1" applyFill="1" applyBorder="1" applyAlignment="1" applyProtection="1">
      <x:protection locked="1" hidden="0"/>
    </x:xf>
    <x:xf numFmtId="0" fontId="0" fillId="48" borderId="38" applyNumberFormat="1" applyFill="0" applyBorder="1" applyAlignment="1" applyProtection="1">
      <x:protection locked="1" hidden="0"/>
    </x:xf>
    <x:xf numFmtId="0" fontId="18" fillId="15" borderId="1" applyNumberFormat="1" applyFill="0" applyBorder="1" applyAlignment="1" applyProtection="1">
      <x:protection locked="1" hidden="0"/>
    </x:xf>
    <x:xf numFmtId="0" fontId="18" fillId="47" borderId="1" applyNumberFormat="1" applyFill="0" applyBorder="1" applyAlignment="1" applyProtection="1">
      <x:protection locked="1" hidden="0"/>
    </x:xf>
    <x:xf numFmtId="0" fontId="7" fillId="0" borderId="27" applyNumberFormat="1" applyFill="1" applyBorder="1" applyAlignment="1" applyProtection="1">
      <x:protection locked="1" hidden="0"/>
    </x:xf>
    <x:xf numFmtId="0" fontId="7" fillId="17" borderId="25" applyNumberFormat="1" applyFill="0" applyBorder="1" applyAlignment="1" applyProtection="1">
      <x:protection locked="1" hidden="0"/>
    </x:xf>
    <x:xf numFmtId="0" fontId="7" fillId="0" borderId="32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23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0" fontId="7" fillId="17" borderId="62" applyNumberFormat="1" applyFill="0" applyBorder="1" applyAlignment="1" applyProtection="1">
      <x:protection locked="1" hidden="0"/>
    </x:xf>
    <x:xf numFmtId="0" fontId="7" fillId="47" borderId="19" applyNumberFormat="1" applyFill="0" applyBorder="1" applyAlignment="1" applyProtection="1">
      <x:protection locked="1" hidden="0"/>
    </x:xf>
    <x:xf numFmtId="0" fontId="0" fillId="2" borderId="37" applyNumberFormat="1" applyFill="0" applyBorder="1" applyAlignment="1" applyProtection="1">
      <x:protection locked="1" hidden="0"/>
    </x:xf>
    <x:xf numFmtId="0" fontId="0" fillId="2" borderId="38" applyNumberFormat="1" applyFill="0" applyBorder="1" applyAlignment="1" applyProtection="1">
      <x:protection locked="1" hidden="0"/>
    </x:xf>
    <x:xf numFmtId="0" fontId="0" fillId="15" borderId="39" applyNumberFormat="1" applyFill="0" applyBorder="1" applyAlignment="1" applyProtection="1">
      <x:protection locked="1" hidden="0"/>
    </x:xf>
    <x:xf numFmtId="0" fontId="7" fillId="47" borderId="62" applyNumberFormat="1" applyFill="0" applyBorder="1" applyAlignment="1" applyProtection="1">
      <x:protection locked="1" hidden="0"/>
    </x:xf>
    <x:xf numFmtId="0" fontId="7" fillId="15" borderId="62" applyNumberFormat="1" applyFill="0" applyBorder="1" applyAlignment="1" applyProtection="1">
      <x:protection locked="1" hidden="0"/>
    </x:xf>
    <x:xf numFmtId="0" fontId="7" fillId="47" borderId="28" applyNumberFormat="1" applyFill="0" applyBorder="1" applyAlignment="1" applyProtection="1">
      <x:protection locked="1" hidden="0"/>
    </x:xf>
    <x:xf numFmtId="0" fontId="0" fillId="15" borderId="32" applyNumberFormat="1" applyFill="0" applyBorder="1" applyAlignment="1" applyProtection="1">
      <x:protection locked="1" hidden="0"/>
    </x:xf>
    <x:xf numFmtId="0" fontId="18" fillId="0" borderId="25" applyNumberFormat="1" applyFill="1" applyBorder="1" applyAlignment="1" applyProtection="1">
      <x:protection locked="1" hidden="0"/>
    </x:xf>
    <x:xf numFmtId="0" fontId="7" fillId="17" borderId="27" applyNumberFormat="1" applyFill="0" applyBorder="1" applyAlignment="1" applyProtection="1">
      <x:protection locked="1" hidden="0"/>
    </x:xf>
    <x:xf numFmtId="0" fontId="15" fillId="0" borderId="51" applyNumberFormat="1" applyFill="1" applyBorder="1" applyAlignment="1" applyProtection="1">
      <x:protection locked="1" hidden="0"/>
    </x:xf>
    <x:xf numFmtId="0" fontId="7" fillId="15" borderId="19" applyNumberFormat="1" applyFill="0" applyBorder="1" applyAlignment="1" applyProtection="1">
      <x:protection locked="1" hidden="0"/>
    </x:xf>
    <x:xf numFmtId="0" fontId="0" fillId="0" borderId="52" applyNumberFormat="1" applyFill="1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15" borderId="36" applyNumberFormat="1" applyFill="0" applyBorder="1" applyAlignment="1" applyProtection="1">
      <x:protection locked="1" hidden="0"/>
    </x:xf>
    <x:xf numFmtId="0" fontId="0" fillId="48" borderId="4" applyNumberFormat="1" applyFill="0" applyBorder="1" applyAlignment="1" applyProtection="1">
      <x:protection locked="1" hidden="0"/>
    </x:xf>
    <x:xf numFmtId="0" fontId="0" fillId="0" borderId="54" applyNumberFormat="1" applyFill="1" applyBorder="1" applyAlignment="1" applyProtection="1">
      <x:protection locked="1" hidden="0"/>
    </x:xf>
    <x:xf numFmtId="0" fontId="0" fillId="0" borderId="41" applyNumberFormat="1" applyFill="1" applyBorder="1" applyAlignment="1" applyProtection="1">
      <x:protection locked="1" hidden="0"/>
    </x:xf>
    <x:xf numFmtId="0" fontId="0" fillId="0" borderId="55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2" borderId="54" applyNumberFormat="1" applyFill="0" applyBorder="1" applyAlignment="1" applyProtection="1">
      <x:protection locked="1" hidden="0"/>
    </x:xf>
    <x:xf numFmtId="0" fontId="0" fillId="2" borderId="41" applyNumberFormat="1" applyFill="0" applyBorder="1" applyAlignment="1" applyProtection="1">
      <x:protection locked="1" hidden="0"/>
    </x:xf>
    <x:xf numFmtId="0" fontId="0" fillId="15" borderId="55" applyNumberFormat="1" applyFill="0" applyBorder="1" applyAlignment="1" applyProtection="1">
      <x:protection locked="1" hidden="0"/>
    </x:xf>
    <x:xf numFmtId="0" fontId="0" fillId="48" borderId="41" applyNumberFormat="1" applyFill="0" applyBorder="1" applyAlignment="1" applyProtection="1">
      <x:protection locked="1" hidden="0"/>
    </x:xf>
    <x:xf numFmtId="0" fontId="0" fillId="46" borderId="55" applyNumberFormat="1" applyFill="0" applyBorder="1" applyAlignment="1" applyProtection="1">
      <x:protection locked="1" hidden="0"/>
    </x:xf>
    <x:xf numFmtId="0" fontId="0" fillId="2" borderId="53" applyNumberFormat="1" applyFill="0" applyBorder="1" applyAlignment="1" applyProtection="1">
      <x:protection locked="1" hidden="0"/>
    </x:xf>
    <x:xf numFmtId="0" fontId="0" fillId="3" borderId="55" applyNumberFormat="1" applyFill="0" applyBorder="1" applyAlignment="1" applyProtection="1">
      <x:protection locked="1" hidden="0"/>
    </x:xf>
    <x:xf numFmtId="0" fontId="0" fillId="49" borderId="41" applyNumberFormat="1" applyFill="0" applyBorder="1" applyAlignment="1" applyProtection="1">
      <x:protection locked="1" hidden="0"/>
    </x:xf>
    <x:xf numFmtId="0" fontId="7" fillId="0" borderId="31" applyNumberFormat="1" applyFill="1" applyBorder="1" applyAlignment="1" applyProtection="1">
      <x:protection locked="1" hidden="0"/>
    </x:xf>
    <x:xf numFmtId="0" fontId="0" fillId="0" borderId="56" applyNumberFormat="1" applyFill="1" applyBorder="1" applyAlignment="1" applyProtection="1">
      <x:protection locked="1" hidden="0"/>
    </x:xf>
    <x:xf numFmtId="0" fontId="0" fillId="0" borderId="57" applyNumberFormat="1" applyFill="1" applyBorder="1" applyAlignment="1" applyProtection="1">
      <x:protection locked="1" hidden="0"/>
    </x:xf>
    <x:xf numFmtId="0" fontId="0" fillId="0" borderId="58" applyNumberFormat="1" applyFill="1" applyBorder="1" applyAlignment="1" applyProtection="1">
      <x:protection locked="1" hidden="0"/>
    </x:xf>
    <x:xf numFmtId="0" fontId="0" fillId="0" borderId="59" applyNumberFormat="1" applyFill="1" applyBorder="1" applyAlignment="1" applyProtection="1">
      <x:protection locked="1" hidden="0"/>
    </x:xf>
    <x:xf numFmtId="0" fontId="0" fillId="2" borderId="56" applyNumberFormat="1" applyFill="0" applyBorder="1" applyAlignment="1" applyProtection="1">
      <x:protection locked="1" hidden="0"/>
    </x:xf>
    <x:xf numFmtId="0" fontId="0" fillId="2" borderId="57" applyNumberFormat="1" applyFill="0" applyBorder="1" applyAlignment="1" applyProtection="1">
      <x:protection locked="1" hidden="0"/>
    </x:xf>
    <x:xf numFmtId="0" fontId="0" fillId="15" borderId="58" applyNumberFormat="1" applyFill="0" applyBorder="1" applyAlignment="1" applyProtection="1">
      <x:protection locked="1" hidden="0"/>
    </x:xf>
    <x:xf numFmtId="0" fontId="0" fillId="2" borderId="59" applyNumberFormat="1" applyFill="0" applyBorder="1" applyAlignment="1" applyProtection="1">
      <x:protection locked="1" hidden="0"/>
    </x:xf>
    <x:xf numFmtId="0" fontId="18" fillId="17" borderId="1" applyNumberFormat="1" applyFill="0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0" fontId="0" fillId="0" borderId="60" applyNumberFormat="1" applyFill="1" applyBorder="1" applyAlignment="1" applyProtection="1">
      <x:protection locked="1" hidden="0"/>
    </x:xf>
    <x:xf numFmtId="0" fontId="18" fillId="0" borderId="1" applyNumberFormat="1" applyFill="1" applyBorder="1" applyAlignment="1" applyProtection="1">
      <x:protection locked="1" hidden="0"/>
    </x:xf>
    <x:xf numFmtId="0" fontId="7" fillId="0" borderId="4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18" fillId="17" borderId="62" applyNumberFormat="1" applyFill="0" applyBorder="1" applyAlignment="1" applyProtection="1">
      <x:protection locked="1" hidden="0"/>
    </x:xf>
    <x:xf numFmtId="0" fontId="18" fillId="0" borderId="3" applyNumberFormat="1" applyFill="1" applyBorder="1" applyAlignment="1" applyProtection="1">
      <x:protection locked="1" hidden="0"/>
    </x:xf>
    <x:xf numFmtId="0" fontId="7" fillId="15" borderId="20" applyNumberFormat="1" applyFill="0" applyBorder="1" applyAlignment="1" applyProtection="1">
      <x:protection locked="1" hidden="0"/>
    </x:xf>
    <x:xf numFmtId="0" fontId="0" fillId="49" borderId="4" applyNumberFormat="1" applyFill="0" applyBorder="1" applyAlignment="1" applyProtection="1">
      <x:protection locked="1" hidden="0"/>
    </x:xf>
    <x:xf numFmtId="0" fontId="7" fillId="47" borderId="60" applyNumberFormat="1" applyFill="0" applyBorder="1" applyAlignment="1" applyProtection="1">
      <x:protection locked="1" hidden="0"/>
    </x:xf>
    <x:xf numFmtId="0" fontId="7" fillId="15" borderId="28" applyNumberFormat="1" applyFill="0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0" fontId="0" fillId="48" borderId="29" applyNumberFormat="1" applyFill="0" applyBorder="1" applyAlignment="1" applyProtection="1">
      <x:protection locked="1" hidden="0"/>
    </x:xf>
    <x:xf numFmtId="0" fontId="14" fillId="0" borderId="43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6" applyNumberFormat="1" applyFill="1" applyBorder="1" applyAlignment="1" applyProtection="1">
      <x:protection locked="1" hidden="0"/>
    </x:xf>
    <x:xf numFmtId="0" fontId="0" fillId="49" borderId="62" applyNumberFormat="1" applyFill="0" applyBorder="1" applyAlignment="1" applyProtection="1">
      <x:protection locked="1" hidden="0"/>
    </x:xf>
    <x:xf numFmtId="0" fontId="21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35" borderId="1" applyNumberFormat="1" applyFill="0" applyBorder="1" applyAlignment="1" applyProtection="1">
      <x:protection locked="1" hidden="0"/>
    </x:xf>
    <x:xf numFmtId="0" fontId="1" fillId="36" borderId="1" applyNumberFormat="1" applyFill="0" applyBorder="1" applyAlignment="1" applyProtection="1">
      <x:protection locked="1" hidden="0"/>
    </x:xf>
    <x:xf numFmtId="0" fontId="1" fillId="37" borderId="1" applyNumberFormat="1" applyFill="0" applyBorder="1" applyAlignment="1" applyProtection="1">
      <x:protection locked="1" hidden="0"/>
    </x:xf>
    <x:xf numFmtId="0" fontId="1" fillId="38" borderId="1" applyNumberFormat="1" applyFill="0" applyBorder="1" applyAlignment="1" applyProtection="1">
      <x:protection locked="1" hidden="0"/>
    </x:xf>
    <x:xf numFmtId="0" fontId="1" fillId="39" borderId="1" applyNumberFormat="1" applyFill="0" applyBorder="1" applyAlignment="1" applyProtection="1">
      <x:protection locked="1" hidden="0"/>
    </x:xf>
    <x:xf numFmtId="0" fontId="1" fillId="40" borderId="1" applyNumberFormat="1" applyFill="0" applyBorder="1" applyAlignment="1" applyProtection="1">
      <x:protection locked="1" hidden="0"/>
    </x:xf>
    <x:xf numFmtId="0" fontId="1" fillId="41" borderId="1" applyNumberFormat="1" applyFill="0" applyBorder="1" applyAlignment="1" applyProtection="1">
      <x:protection locked="1" hidden="0"/>
    </x:xf>
    <x:xf numFmtId="0" fontId="1" fillId="42" borderId="1" applyNumberFormat="1" applyFill="0" applyBorder="1" applyAlignment="1" applyProtection="1">
      <x:protection locked="1" hidden="0"/>
    </x:xf>
    <x:xf numFmtId="0" fontId="1" fillId="43" borderId="1" applyNumberFormat="1" applyFill="0" applyBorder="1" applyAlignment="1" applyProtection="1">
      <x:protection locked="1" hidden="0"/>
    </x:xf>
    <x:xf numFmtId="0" fontId="1" fillId="12" borderId="1" applyNumberFormat="1" applyFill="0" applyBorder="1" applyAlignment="1" applyProtection="1">
      <x:protection locked="1" hidden="0"/>
    </x:xf>
    <x:xf numFmtId="0" fontId="25" fillId="0" borderId="70" applyNumberFormat="1" applyFill="1" applyBorder="1" applyAlignment="1" applyProtection="1">
      <x:protection locked="1" hidden="0"/>
    </x:xf>
    <x:xf numFmtId="0" fontId="25" fillId="0" borderId="52" applyNumberFormat="1" applyFill="1" applyBorder="1" applyAlignment="1" applyProtection="1">
      <x:protection locked="1" hidden="0"/>
    </x:xf>
    <x:xf numFmtId="0" fontId="25" fillId="0" borderId="38" applyNumberFormat="1" applyFill="1" applyBorder="1" applyAlignment="1" applyProtection="1">
      <x:protection locked="1" hidden="0"/>
    </x:xf>
    <x:xf numFmtId="0" fontId="25" fillId="0" borderId="71" applyNumberFormat="1" applyFill="1" applyBorder="1" applyAlignment="1" applyProtection="1">
      <x:protection locked="1" hidden="0"/>
    </x:xf>
    <x:xf numFmtId="0" fontId="26" fillId="0" borderId="8" applyNumberFormat="1" applyFill="1" applyBorder="1" applyAlignment="1" applyProtection="1">
      <x:protection locked="1" hidden="0"/>
    </x:xf>
    <x:xf numFmtId="0" fontId="27" fillId="0" borderId="28" applyNumberFormat="1" applyFill="1" applyBorder="1" applyAlignment="1" applyProtection="1">
      <x:protection locked="1" hidden="0"/>
    </x:xf>
    <x:xf numFmtId="0" fontId="27" fillId="0" borderId="31" applyNumberFormat="1" applyFill="1" applyBorder="1" applyAlignment="1" applyProtection="1">
      <x:protection locked="1" hidden="0"/>
    </x:xf>
    <x:xf numFmtId="0" fontId="17" fillId="9" borderId="29" applyNumberFormat="1" applyFill="0" applyBorder="1" applyAlignment="1" applyProtection="1">
      <x:protection locked="1" hidden="0"/>
    </x:xf>
    <x:xf numFmtId="0" fontId="17" fillId="8" borderId="29" applyNumberFormat="1" applyFill="0" applyBorder="1" applyAlignment="1" applyProtection="1">
      <x:protection locked="1" hidden="0"/>
    </x:xf>
    <x:xf numFmtId="0" fontId="17" fillId="35" borderId="29" applyNumberFormat="1" applyFill="0" applyBorder="1" applyAlignment="1" applyProtection="1">
      <x:protection locked="1" hidden="0"/>
    </x:xf>
    <x:xf numFmtId="0" fontId="17" fillId="36" borderId="29" applyNumberFormat="1" applyFill="0" applyBorder="1" applyAlignment="1" applyProtection="1">
      <x:protection locked="1" hidden="0"/>
    </x:xf>
    <x:xf numFmtId="0" fontId="17" fillId="37" borderId="29" applyNumberFormat="1" applyFill="0" applyBorder="1" applyAlignment="1" applyProtection="1">
      <x:protection locked="1" hidden="0"/>
    </x:xf>
    <x:xf numFmtId="0" fontId="17" fillId="38" borderId="29" applyNumberFormat="1" applyFill="0" applyBorder="1" applyAlignment="1" applyProtection="1">
      <x:protection locked="1" hidden="0"/>
    </x:xf>
    <x:xf numFmtId="0" fontId="17" fillId="39" borderId="29" applyNumberFormat="1" applyFill="0" applyBorder="1" applyAlignment="1" applyProtection="1">
      <x:protection locked="1" hidden="0"/>
    </x:xf>
    <x:xf numFmtId="0" fontId="17" fillId="40" borderId="29" applyNumberFormat="1" applyFill="0" applyBorder="1" applyAlignment="1" applyProtection="1">
      <x:protection locked="1" hidden="0"/>
    </x:xf>
    <x:xf numFmtId="0" fontId="17" fillId="41" borderId="29" applyNumberFormat="1" applyFill="0" applyBorder="1" applyAlignment="1" applyProtection="1">
      <x:protection locked="1" hidden="0"/>
    </x:xf>
    <x:xf numFmtId="0" fontId="17" fillId="42" borderId="29" applyNumberFormat="1" applyFill="0" applyBorder="1" applyAlignment="1" applyProtection="1">
      <x:protection locked="1" hidden="0"/>
    </x:xf>
    <x:xf numFmtId="0" fontId="17" fillId="43" borderId="29" applyNumberFormat="1" applyFill="0" applyBorder="1" applyAlignment="1" applyProtection="1">
      <x:protection locked="1" hidden="0"/>
    </x:xf>
    <x:xf numFmtId="0" fontId="17" fillId="12" borderId="31" applyNumberFormat="1" applyFill="0" applyBorder="1" applyAlignment="1" applyProtection="1">
      <x:protection locked="1" hidden="0"/>
    </x:xf>
    <x:xf numFmtId="0" fontId="28" fillId="0" borderId="13" applyNumberFormat="1" applyFill="1" applyBorder="1" applyAlignment="1" applyProtection="1">
      <x:protection locked="1" hidden="0"/>
    </x:xf>
    <x:xf numFmtId="0" fontId="29" fillId="0" borderId="83" applyNumberFormat="1" applyFill="1" applyBorder="1" applyAlignment="1" applyProtection="1">
      <x:protection locked="1" hidden="0"/>
    </x:xf>
    <x:xf numFmtId="0" fontId="1" fillId="0" borderId="60" applyNumberFormat="1" applyFill="1" applyBorder="1" applyAlignment="1" applyProtection="1">
      <x:protection locked="1" hidden="0"/>
    </x:xf>
    <x:xf numFmtId="0" fontId="1" fillId="9" borderId="62" applyNumberFormat="1" applyFill="0" applyBorder="1" applyAlignment="1" applyProtection="1">
      <x:protection locked="1" hidden="0"/>
    </x:xf>
    <x:xf numFmtId="0" fontId="1" fillId="8" borderId="20" applyNumberFormat="1" applyFill="0" applyBorder="1" applyAlignment="1" applyProtection="1">
      <x:protection locked="1" hidden="0"/>
    </x:xf>
    <x:xf numFmtId="0" fontId="1" fillId="35" borderId="20" applyNumberFormat="1" applyFill="0" applyBorder="1" applyAlignment="1" applyProtection="1">
      <x:protection locked="1" hidden="0"/>
    </x:xf>
    <x:xf numFmtId="0" fontId="1" fillId="36" borderId="20" applyNumberFormat="1" applyFill="0" applyBorder="1" applyAlignment="1" applyProtection="1">
      <x:protection locked="1" hidden="0"/>
    </x:xf>
    <x:xf numFmtId="0" fontId="1" fillId="37" borderId="20" applyNumberFormat="1" applyFill="0" applyBorder="1" applyAlignment="1" applyProtection="1">
      <x:protection locked="1" hidden="0"/>
    </x:xf>
    <x:xf numFmtId="0" fontId="1" fillId="38" borderId="20" applyNumberFormat="1" applyFill="0" applyBorder="1" applyAlignment="1" applyProtection="1">
      <x:protection locked="1" hidden="0"/>
    </x:xf>
    <x:xf numFmtId="0" fontId="1" fillId="39" borderId="20" applyNumberFormat="1" applyFill="0" applyBorder="1" applyAlignment="1" applyProtection="1">
      <x:protection locked="1" hidden="0"/>
    </x:xf>
    <x:xf numFmtId="0" fontId="1" fillId="40" borderId="20" applyNumberFormat="1" applyFill="0" applyBorder="1" applyAlignment="1" applyProtection="1">
      <x:protection locked="1" hidden="0"/>
    </x:xf>
    <x:xf numFmtId="0" fontId="1" fillId="41" borderId="20" applyNumberFormat="1" applyFill="0" applyBorder="1" applyAlignment="1" applyProtection="1">
      <x:protection locked="1" hidden="0"/>
    </x:xf>
    <x:xf numFmtId="0" fontId="1" fillId="42" borderId="20" applyNumberFormat="1" applyFill="0" applyBorder="1" applyAlignment="1" applyProtection="1">
      <x:protection locked="1" hidden="0"/>
    </x:xf>
    <x:xf numFmtId="0" fontId="1" fillId="43" borderId="20" applyNumberFormat="1" applyFill="0" applyBorder="1" applyAlignment="1" applyProtection="1">
      <x:protection locked="1" hidden="0"/>
    </x:xf>
    <x:xf numFmtId="0" fontId="1" fillId="12" borderId="22" applyNumberFormat="1" applyFill="0" applyBorder="1" applyAlignment="1" applyProtection="1">
      <x:protection locked="1" hidden="0"/>
    </x:xf>
    <x:xf numFmtId="0" fontId="1" fillId="0" borderId="18" applyNumberFormat="1" applyFill="1" applyBorder="1" applyAlignment="1" applyProtection="1">
      <x:protection locked="1" hidden="0"/>
    </x:xf>
    <x:xf numFmtId="0" fontId="1" fillId="0" borderId="1" quotePrefix="1" applyNumberFormat="1" applyFill="1" applyBorder="1" applyAlignment="1" applyProtection="1">
      <x:protection locked="1" hidden="0"/>
    </x:xf>
    <x:xf numFmtId="0" fontId="29" fillId="0" borderId="43" applyNumberFormat="1" applyFill="1" applyBorder="1" applyAlignment="1" applyProtection="1">
      <x:protection locked="1" hidden="0"/>
    </x:xf>
    <x:xf numFmtId="0" fontId="1" fillId="0" borderId="35" applyNumberFormat="1" applyFill="1" applyBorder="1" applyAlignment="1" applyProtection="1">
      <x:protection locked="1" hidden="0"/>
    </x:xf>
    <x:xf numFmtId="0" fontId="1" fillId="0" borderId="47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42" applyNumberFormat="1" applyFill="1" applyBorder="1" applyAlignment="1" applyProtection="1">
      <x:protection locked="1" hidden="0"/>
    </x:xf>
    <x:xf numFmtId="0" fontId="1" fillId="0" borderId="69" applyNumberFormat="1" applyFill="1" applyBorder="1" applyAlignment="1" applyProtection="1">
      <x:protection locked="1" hidden="0"/>
    </x:xf>
    <x:xf numFmtId="0" fontId="29" fillId="0" borderId="12" applyNumberFormat="1" applyFill="1" applyBorder="1" applyAlignment="1" applyProtection="1">
      <x:protection locked="1" hidden="0"/>
    </x:xf>
    <x:xf numFmtId="0" fontId="1" fillId="0" borderId="75" applyNumberFormat="1" applyFill="1" applyBorder="1" applyAlignment="1" applyProtection="1">
      <x:protection locked="1" hidden="0"/>
    </x:xf>
    <x:xf numFmtId="0" fontId="15" fillId="50" borderId="84" applyNumberFormat="1" applyFill="0" applyBorder="1" applyAlignment="1" applyProtection="1">
      <x:protection locked="1" hidden="0"/>
    </x:xf>
    <x:xf numFmtId="0" fontId="33" fillId="0" borderId="0" applyNumberFormat="1" applyFill="1" applyBorder="0" applyAlignment="1" applyProtection="1">
      <x:protection locked="1" hidden="0"/>
    </x:xf>
    <x:xf numFmtId="0" fontId="15" fillId="51" borderId="0" applyNumberFormat="1" applyFill="0" applyBorder="0" applyAlignment="1" applyProtection="1">
      <x:protection locked="1" hidden="0"/>
    </x:xf>
    <x:xf numFmtId="0" fontId="0" fillId="52" borderId="84" applyNumberFormat="1" applyFill="0" applyBorder="1" applyAlignment="1" applyProtection="1">
      <x:protection locked="1" hidden="0"/>
    </x:xf>
    <x:xf numFmtId="0" fontId="0" fillId="49" borderId="84" applyNumberFormat="1" applyFill="0" applyBorder="1" applyAlignment="1" applyProtection="1">
      <x:protection locked="1" hidden="0"/>
    </x:xf>
    <x:xf numFmtId="0" fontId="0" fillId="0" borderId="84" applyNumberFormat="1" applyFill="1" applyBorder="1" applyAlignment="1" applyProtection="1">
      <x:protection locked="1" hidden="0"/>
    </x:xf>
  </x:cellStyleXfs>
  <x:cellXfs count="726">
    <x:xf numFmtId="0" fontId="0" fillId="0" borderId="0" xfId="0"/>
    <x:xf numFmtId="0" fontId="7" fillId="0" borderId="0" xfId="0" applyFont="1" applyAlignment="1">
      <x:alignment horizontal="left"/>
    </x:xf>
    <x:xf numFmtId="0" fontId="8" fillId="4" borderId="1" xfId="0" applyFont="1" applyFill="1" applyBorder="1" applyAlignment="1">
      <x:alignment horizontal="left" vertical="top" wrapText="1"/>
    </x:xf>
    <x:xf numFmtId="0" fontId="7" fillId="0" borderId="1" xfId="0" applyFont="1" applyBorder="1" applyAlignment="1">
      <x:alignment horizontal="left" vertical="top" wrapText="1"/>
    </x:xf>
    <x:xf numFmtId="0" fontId="7" fillId="5" borderId="1" xfId="0" applyFont="1" applyFill="1" applyBorder="1" applyAlignment="1">
      <x:alignment horizontal="left" vertical="top" wrapText="1"/>
    </x:xf>
    <x:xf numFmtId="0" fontId="4" fillId="0" borderId="0" xfId="1"/>
    <x:xf numFmtId="9" fontId="10" fillId="0" borderId="1" xfId="1" applyNumberFormat="1" applyFont="1" applyBorder="1" applyAlignment="1">
      <x:alignment horizontal="center" vertical="center" wrapText="1"/>
    </x:xf>
    <x:xf numFmtId="0" fontId="9" fillId="7" borderId="1" xfId="1" applyFont="1" applyFill="1" applyBorder="1" applyAlignment="1">
      <x:alignment horizontal="center" vertical="center"/>
    </x:xf>
    <x:xf numFmtId="0" fontId="9" fillId="0" borderId="1" xfId="1" applyFont="1" applyBorder="1" applyAlignment="1">
      <x:alignment horizontal="center"/>
    </x:xf>
    <x:xf numFmtId="0" fontId="4" fillId="0" borderId="2" xfId="1" applyBorder="1" applyAlignment="1">
      <x:alignment horizontal="center" vertical="center"/>
    </x:xf>
    <x:xf numFmtId="0" fontId="11" fillId="6" borderId="1" xfId="0" applyFont="1" applyFill="1" applyBorder="1" applyAlignment="1">
      <x:alignment horizontal="center" vertical="center"/>
    </x:xf>
    <x:xf numFmtId="0" fontId="12" fillId="6" borderId="2" xfId="0" applyFont="1" applyFill="1" applyBorder="1" applyAlignment="1">
      <x:alignment horizontal="center" vertical="center"/>
    </x:xf>
    <x:xf numFmtId="0" fontId="9" fillId="8" borderId="1" xfId="1" applyFont="1" applyFill="1" applyBorder="1" applyAlignment="1">
      <x:alignment horizontal="center" vertical="center"/>
    </x:xf>
    <x:xf numFmtId="0" fontId="9" fillId="9" borderId="1" xfId="1" applyFont="1" applyFill="1" applyBorder="1" applyAlignment="1">
      <x:alignment horizontal="center" vertical="center" textRotation="90" wrapText="1"/>
    </x:xf>
    <x:xf numFmtId="0" fontId="9" fillId="9" borderId="1" xfId="1" applyFont="1" applyFill="1" applyBorder="1" applyAlignment="1">
      <x:alignment horizontal="center" vertical="center"/>
    </x:xf>
    <x:xf numFmtId="0" fontId="9" fillId="6" borderId="2" xfId="1" applyFont="1" applyFill="1" applyBorder="1" applyAlignment="1">
      <x:alignment horizontal="center" vertical="center"/>
    </x:xf>
    <x:xf numFmtId="0" fontId="9" fillId="10" borderId="1" xfId="1" applyFont="1" applyFill="1" applyBorder="1" applyAlignment="1">
      <x:alignment horizontal="center" vertical="center"/>
    </x:xf>
    <x:xf numFmtId="0" fontId="9" fillId="11" borderId="1" xfId="1" applyFont="1" applyFill="1" applyBorder="1" applyAlignment="1">
      <x:alignment horizontal="center" vertical="center"/>
    </x:xf>
    <x:xf numFmtId="0" fontId="9" fillId="12" borderId="1" xfId="1" applyFont="1" applyFill="1" applyBorder="1" applyAlignment="1">
      <x:alignment horizontal="center" vertical="center"/>
    </x:xf>
    <x:xf numFmtId="0" fontId="9" fillId="6" borderId="6" xfId="1" applyFont="1" applyFill="1" applyBorder="1" applyAlignment="1">
      <x:alignment horizontal="center" vertical="center"/>
    </x:xf>
    <x:xf numFmtId="0" fontId="9" fillId="13" borderId="1" xfId="1" applyFont="1" applyFill="1" applyBorder="1" applyAlignment="1">
      <x:alignment horizontal="center" vertical="center" textRotation="90" wrapText="1"/>
    </x:xf>
    <x:xf numFmtId="0" fontId="9" fillId="13" borderId="1" xfId="1" applyFont="1" applyFill="1" applyBorder="1" applyAlignment="1">
      <x:alignment horizontal="center" vertical="center"/>
    </x:xf>
    <x:xf numFmtId="0" fontId="13" fillId="0" borderId="7" xfId="0" applyFont="1" applyBorder="1" applyAlignment="1">
      <x:alignment horizontal="center" vertical="center"/>
    </x:xf>
    <x:xf numFmtId="0" fontId="14" fillId="0" borderId="12" xfId="0" applyFont="1" applyBorder="1" applyAlignment="1">
      <x:alignment horizontal="center" vertical="center"/>
    </x:xf>
    <x:xf numFmtId="0" fontId="15" fillId="0" borderId="14" xfId="0" applyFont="1" applyBorder="1" applyAlignment="1">
      <x:alignment horizontal="center" vertical="center"/>
    </x:xf>
    <x:xf numFmtId="0" fontId="15" fillId="0" borderId="15" xfId="0" applyFont="1" applyBorder="1" applyAlignment="1">
      <x:alignment horizontal="center" vertical="center"/>
    </x:xf>
    <x:xf numFmtId="0" fontId="16" fillId="0" borderId="16" xfId="0" applyFont="1" applyBorder="1" applyAlignment="1">
      <x:alignment horizontal="center" vertical="center" wrapText="1"/>
    </x:xf>
    <x:xf numFmtId="0" fontId="16" fillId="0" borderId="17" xfId="0" applyFont="1" applyBorder="1" applyAlignment="1">
      <x:alignment horizontal="center" vertical="center" wrapText="1"/>
    </x:xf>
    <x:xf numFmtId="0" fontId="7" fillId="0" borderId="18" xfId="0" applyFont="1" applyBorder="1" applyAlignment="1">
      <x:alignment horizontal="left" vertical="top" wrapText="1"/>
    </x:xf>
    <x:xf numFmtId="0" fontId="0" fillId="0" borderId="19" xfId="0" applyBorder="1"/>
    <x:xf numFmtId="0" fontId="0" fillId="0" borderId="21" xfId="0" applyBorder="1"/>
    <x:xf numFmtId="0" fontId="0" fillId="0" borderId="23" xfId="0" applyBorder="1"/>
    <x:xf numFmtId="0" fontId="7" fillId="0" borderId="24" xfId="0" applyFont="1" applyBorder="1" applyAlignment="1">
      <x:alignment horizontal="left" vertical="top" wrapText="1"/>
    </x:xf>
    <x:xf numFmtId="0" fontId="0" fillId="0" borderId="25" xfId="0" applyBorder="1"/>
    <x:xf numFmtId="0" fontId="0" fillId="0" borderId="26" xfId="0" applyBorder="1"/>
    <x:xf numFmtId="0" fontId="0" fillId="0" borderId="5" xfId="0" applyBorder="1"/>
    <x:xf numFmtId="0" fontId="0" fillId="0" borderId="27" xfId="0" applyBorder="1"/>
    <x:xf numFmtId="0" fontId="7" fillId="0" borderId="13" xfId="0" applyFont="1" applyBorder="1" applyAlignment="1">
      <x:alignment horizontal="left" vertical="top" wrapText="1"/>
    </x:xf>
    <x:xf numFmtId="0" fontId="0" fillId="0" borderId="28" xfId="0" applyBorder="1"/>
    <x:xf numFmtId="0" fontId="0" fillId="0" borderId="29" xfId="0" applyBorder="1"/>
    <x:xf numFmtId="0" fontId="0" fillId="0" borderId="30" xfId="0" applyBorder="1"/>
    <x:xf numFmtId="0" fontId="0" fillId="0" borderId="31" xfId="0" applyBorder="1"/>
    <x:xf numFmtId="0" fontId="0" fillId="0" borderId="32" xfId="0" applyBorder="1"/>
    <x:xf numFmtId="0" fontId="7" fillId="0" borderId="4" xfId="0" applyFont="1" applyBorder="1" applyAlignment="1">
      <x:alignment horizontal="left" vertical="top" wrapText="1"/>
    </x:xf>
    <x:xf numFmtId="0" fontId="0" fillId="0" borderId="33" xfId="0" applyBorder="1"/>
    <x:xf numFmtId="0" fontId="0" fillId="0" borderId="4" xfId="0" applyBorder="1"/>
    <x:xf numFmtId="0" fontId="0" fillId="0" borderId="34" xfId="0" applyBorder="1"/>
    <x:xf numFmtId="0" fontId="0" fillId="0" borderId="35" xfId="0" applyBorder="1"/>
    <x:xf numFmtId="0" fontId="0" fillId="0" borderId="36" xfId="0" applyBorder="1"/>
    <x:xf numFmtId="0" fontId="7" fillId="0" borderId="8" xfId="0" applyFont="1" applyBorder="1" applyAlignment="1">
      <x:alignment horizontal="left" vertical="top" wrapText="1"/>
    </x:xf>
    <x:xf numFmtId="0" fontId="7" fillId="0" borderId="2" xfId="0" applyFont="1" applyBorder="1" applyAlignment="1">
      <x:alignment horizontal="left" vertical="top" wrapText="1"/>
    </x:xf>
    <x:xf numFmtId="0" fontId="7" fillId="0" borderId="28" xfId="0" applyFont="1" applyBorder="1" applyAlignment="1">
      <x:alignment horizontal="left" vertical="top" wrapText="1"/>
    </x:xf>
    <x:xf numFmtId="0" fontId="7" fillId="0" borderId="20" xfId="0" applyFont="1" applyBorder="1" applyAlignment="1">
      <x:alignment horizontal="left" vertical="top" wrapText="1"/>
    </x:xf>
    <x:xf numFmtId="0" fontId="7" fillId="0" borderId="22" xfId="0" applyFont="1" applyBorder="1" applyAlignment="1">
      <x:alignment horizontal="left" vertical="top" wrapText="1"/>
    </x:xf>
    <x:xf numFmtId="0" fontId="0" fillId="0" borderId="37" xfId="0" applyBorder="1"/>
    <x:xf numFmtId="0" fontId="0" fillId="0" borderId="38" xfId="0" applyBorder="1"/>
    <x:xf numFmtId="0" fontId="0" fillId="0" borderId="39" xfId="0" applyBorder="1"/>
    <x:xf numFmtId="0" fontId="7" fillId="0" borderId="5" xfId="0" applyFont="1" applyBorder="1" applyAlignment="1">
      <x:alignment horizontal="left" vertical="top" wrapText="1"/>
    </x:xf>
    <x:xf numFmtId="0" fontId="0" fillId="0" borderId="41" xfId="0" applyBorder="1"/>
    <x:xf numFmtId="0" fontId="7" fillId="0" borderId="42" xfId="0" applyFont="1" applyBorder="1" applyAlignment="1">
      <x:alignment horizontal="left" vertical="top" wrapText="1"/>
    </x:xf>
    <x:xf numFmtId="0" fontId="7" fillId="0" borderId="3" xfId="0" applyFont="1" applyBorder="1" applyAlignment="1">
      <x:alignment horizontal="left" vertical="top" wrapText="1"/>
    </x:xf>
    <x:xf numFmtId="0" fontId="14" fillId="0" borderId="43" xfId="0" applyFont="1" applyBorder="1" applyAlignment="1">
      <x:alignment horizontal="center" vertical="center"/>
    </x:xf>
    <x:xf numFmtId="0" fontId="0" fillId="16" borderId="25" xfId="0" applyFill="1" applyBorder="1" applyAlignment="1">
      <x:alignment horizontal="center" vertical="center"/>
    </x:xf>
    <x:xf numFmtId="0" fontId="0" fillId="16" borderId="1" xfId="0" applyFill="1" applyBorder="1" applyAlignment="1">
      <x:alignment horizontal="center" vertical="center"/>
    </x:xf>
    <x:xf numFmtId="0" fontId="0" fillId="15" borderId="26" xfId="0" applyFill="1" applyBorder="1" applyAlignment="1">
      <x:alignment horizontal="center" vertical="center"/>
    </x:xf>
    <x:xf numFmtId="0" fontId="5" fillId="15" borderId="26" xfId="2" applyFill="1" applyBorder="1" applyAlignment="1">
      <x:alignment horizontal="center" vertical="center"/>
    </x:xf>
    <x:xf numFmtId="0" fontId="0" fillId="16" borderId="29" xfId="0" applyFill="1" applyBorder="1" applyAlignment="1">
      <x:alignment horizontal="center" vertical="center"/>
    </x:xf>
    <x:xf numFmtId="0" fontId="0" fillId="15" borderId="27" xfId="0" applyFill="1" applyBorder="1" applyAlignment="1">
      <x:alignment horizontal="center" vertical="center"/>
    </x:xf>
    <x:xf numFmtId="0" fontId="0" fillId="14" borderId="27" xfId="0" applyFill="1" applyBorder="1" applyAlignment="1">
      <x:alignment horizontal="center" vertical="center"/>
    </x:xf>
    <x:xf numFmtId="0" fontId="0" fillId="16" borderId="38" xfId="0" applyFill="1" applyBorder="1" applyAlignment="1">
      <x:alignment horizontal="center" vertical="center"/>
    </x:xf>
    <x:xf numFmtId="0" fontId="0" fillId="16" borderId="37" xfId="0" applyFill="1" applyBorder="1" applyAlignment="1">
      <x:alignment horizontal="center" vertical="center"/>
    </x:xf>
    <x:xf numFmtId="0" fontId="0" fillId="15" borderId="39" xfId="0" applyFill="1" applyBorder="1" applyAlignment="1">
      <x:alignment horizontal="center" vertical="center"/>
    </x:xf>
    <x:xf numFmtId="0" fontId="0" fillId="16" borderId="33" xfId="0" applyFill="1" applyBorder="1" applyAlignment="1">
      <x:alignment horizontal="center" vertical="center"/>
    </x:xf>
    <x:xf numFmtId="0" fontId="0" fillId="16" borderId="4" xfId="0" applyFill="1" applyBorder="1" applyAlignment="1">
      <x:alignment horizontal="center" vertical="center"/>
    </x:xf>
    <x:xf numFmtId="0" fontId="0" fillId="15" borderId="36" xfId="0" applyFill="1" applyBorder="1" applyAlignment="1">
      <x:alignment horizontal="center" vertical="center"/>
    </x:xf>
    <x:xf numFmtId="0" fontId="0" fillId="16" borderId="41" xfId="0" applyFill="1" applyBorder="1" applyAlignment="1">
      <x:alignment horizontal="center" vertical="center"/>
    </x:xf>
    <x:xf numFmtId="0" fontId="4" fillId="0" borderId="1" xfId="1" applyBorder="1" applyAlignment="1">
      <x:alignment horizontal="center" vertical="center"/>
    </x:xf>
    <x:xf numFmtId="0" fontId="9" fillId="6" borderId="1" xfId="1" applyFont="1" applyFill="1" applyBorder="1" applyAlignment="1">
      <x:alignment horizontal="center" vertical="center"/>
    </x:xf>
    <x:xf numFmtId="0" fontId="0" fillId="15" borderId="34" xfId="0" applyFill="1" applyBorder="1" applyAlignment="1">
      <x:alignment horizontal="center" vertical="center"/>
    </x:xf>
    <x:xf numFmtId="0" fontId="7" fillId="0" borderId="0" xfId="0" applyFont="1" applyAlignment="1">
      <x:alignment horizontal="left" vertical="top" wrapText="1"/>
    </x:xf>
    <x:xf numFmtId="0" fontId="15" fillId="0" borderId="0" xfId="0" applyFont="1" applyAlignment="1">
      <x:alignment horizontal="center" vertical="center"/>
    </x:xf>
    <x:xf numFmtId="0" fontId="7" fillId="17" borderId="24" xfId="0" applyFont="1" applyFill="1" applyBorder="1" applyAlignment="1">
      <x:alignment horizontal="left" vertical="top" wrapText="1"/>
    </x:xf>
    <x:xf numFmtId="0" fontId="7" fillId="17" borderId="1" xfId="0" applyFont="1" applyFill="1" applyBorder="1" applyAlignment="1">
      <x:alignment horizontal="left" vertical="top" wrapText="1"/>
    </x:xf>
    <x:xf numFmtId="0" fontId="7" fillId="17" borderId="5" xfId="0" applyFont="1" applyFill="1" applyBorder="1" applyAlignment="1">
      <x:alignment horizontal="left" vertical="top" wrapText="1"/>
    </x:xf>
    <x:xf numFmtId="0" fontId="18" fillId="0" borderId="1" xfId="0" applyFont="1" applyBorder="1" applyAlignment="1">
      <x:alignment horizontal="left" vertical="top" wrapText="1"/>
    </x:xf>
    <x:xf numFmtId="0" fontId="15" fillId="0" borderId="48" xfId="0" applyFont="1" applyBorder="1" applyAlignment="1">
      <x:alignment horizontal="center" vertical="center"/>
    </x:xf>
    <x:xf numFmtId="0" fontId="15" fillId="0" borderId="45" xfId="0" applyFont="1" applyBorder="1" applyAlignment="1">
      <x:alignment horizontal="center" vertical="center"/>
    </x:xf>
    <x:xf numFmtId="0" fontId="16" fillId="0" borderId="49" xfId="0" applyFont="1" applyBorder="1" applyAlignment="1">
      <x:alignment horizontal="center" vertical="center" wrapText="1"/>
    </x:xf>
    <x:xf numFmtId="0" fontId="7" fillId="0" borderId="50" xfId="0" applyFont="1" applyBorder="1" applyAlignment="1">
      <x:alignment horizontal="left" vertical="top" wrapText="1"/>
    </x:xf>
    <x:xf numFmtId="0" fontId="18" fillId="0" borderId="5" xfId="0" applyFont="1" applyBorder="1" applyAlignment="1">
      <x:alignment horizontal="left" vertical="top" wrapText="1"/>
    </x:xf>
    <x:xf numFmtId="0" fontId="18" fillId="17" borderId="1" xfId="0" applyFont="1" applyFill="1" applyBorder="1" applyAlignment="1">
      <x:alignment horizontal="left" vertical="top" wrapText="1"/>
    </x:xf>
    <x:xf numFmtId="0" fontId="18" fillId="0" borderId="3" xfId="0" applyFont="1" applyBorder="1" applyAlignment="1">
      <x:alignment horizontal="left" vertical="top" wrapText="1"/>
    </x:xf>
    <x:xf numFmtId="0" fontId="15" fillId="0" borderId="51" xfId="0" applyFont="1" applyBorder="1" applyAlignment="1">
      <x:alignment horizontal="center" vertical="center"/>
    </x:xf>
    <x:xf numFmtId="0" fontId="0" fillId="0" borderId="52" xfId="0" applyBorder="1"/>
    <x:xf numFmtId="0" fontId="0" fillId="0" borderId="6" xfId="0" applyBorder="1"/>
    <x:xf numFmtId="0" fontId="7" fillId="0" borderId="19" xfId="0" applyFont="1" applyBorder="1" applyAlignment="1">
      <x:alignment horizontal="left" vertical="top" wrapText="1"/>
    </x:xf>
    <x:xf numFmtId="0" fontId="7" fillId="0" borderId="23" xfId="0" applyFont="1" applyBorder="1" applyAlignment="1">
      <x:alignment horizontal="left" vertical="top" wrapText="1"/>
    </x:xf>
    <x:xf numFmtId="0" fontId="7" fillId="0" borderId="25" xfId="0" applyFont="1" applyBorder="1" applyAlignment="1">
      <x:alignment horizontal="left" vertical="top" wrapText="1"/>
    </x:xf>
    <x:xf numFmtId="0" fontId="18" fillId="0" borderId="25" xfId="0" applyFont="1" applyBorder="1" applyAlignment="1">
      <x:alignment horizontal="left" vertical="top" wrapText="1"/>
    </x:xf>
    <x:xf numFmtId="0" fontId="7" fillId="17" borderId="27" xfId="0" applyFont="1" applyFill="1" applyBorder="1" applyAlignment="1">
      <x:alignment horizontal="left" vertical="top" wrapText="1"/>
    </x:xf>
    <x:xf numFmtId="0" fontId="7" fillId="0" borderId="32" xfId="0" applyFont="1" applyBorder="1" applyAlignment="1">
      <x:alignment horizontal="left" vertical="top" wrapText="1"/>
    </x:xf>
    <x:xf numFmtId="0" fontId="0" fillId="0" borderId="53" xfId="0" applyBorder="1"/>
    <x:xf numFmtId="0" fontId="0" fillId="16" borderId="54" xfId="0" applyFill="1" applyBorder="1" applyAlignment="1">
      <x:alignment horizontal="center" vertical="center"/>
    </x:xf>
    <x:xf numFmtId="0" fontId="0" fillId="15" borderId="55" xfId="0" applyFill="1" applyBorder="1" applyAlignment="1">
      <x:alignment horizontal="center" vertical="center"/>
    </x:xf>
    <x:xf numFmtId="0" fontId="0" fillId="16" borderId="56" xfId="0" applyFill="1" applyBorder="1" applyAlignment="1">
      <x:alignment horizontal="center" vertical="center"/>
    </x:xf>
    <x:xf numFmtId="0" fontId="0" fillId="16" borderId="57" xfId="0" applyFill="1" applyBorder="1" applyAlignment="1">
      <x:alignment horizontal="center" vertical="center"/>
    </x:xf>
    <x:xf numFmtId="0" fontId="0" fillId="15" borderId="58" xfId="0" applyFill="1" applyBorder="1" applyAlignment="1">
      <x:alignment horizontal="center" vertical="center"/>
    </x:xf>
    <x:xf numFmtId="0" fontId="7" fillId="0" borderId="31" xfId="0" applyFont="1" applyBorder="1" applyAlignment="1">
      <x:alignment horizontal="left" vertical="top" wrapText="1"/>
    </x:xf>
    <x:xf numFmtId="0" fontId="0" fillId="0" borderId="54" xfId="0" applyBorder="1"/>
    <x:xf numFmtId="0" fontId="0" fillId="0" borderId="55" xfId="0" applyBorder="1"/>
    <x:xf numFmtId="0" fontId="0" fillId="0" borderId="56" xfId="0" applyBorder="1"/>
    <x:xf numFmtId="0" fontId="0" fillId="0" borderId="57" xfId="0" applyBorder="1"/>
    <x:xf numFmtId="0" fontId="0" fillId="0" borderId="58" xfId="0" applyBorder="1"/>
    <x:xf numFmtId="0" fontId="0" fillId="0" borderId="59" xfId="0" applyBorder="1"/>
    <x:xf numFmtId="0" fontId="7" fillId="0" borderId="60" xfId="0" applyFont="1" applyBorder="1" applyAlignment="1">
      <x:alignment horizontal="left" vertical="top" wrapText="1"/>
    </x:xf>
    <x:xf numFmtId="0" fontId="7" fillId="0" borderId="61" xfId="0" applyFont="1" applyBorder="1" applyAlignment="1">
      <x:alignment horizontal="left" vertical="top" wrapText="1"/>
    </x:xf>
    <x:xf numFmtId="0" fontId="0" fillId="16" borderId="28" xfId="0" applyFill="1" applyBorder="1" applyAlignment="1">
      <x:alignment horizontal="center" vertical="center"/>
    </x:xf>
    <x:xf numFmtId="0" fontId="0" fillId="15" borderId="32" xfId="0" applyFill="1" applyBorder="1" applyAlignment="1">
      <x:alignment horizontal="center" vertical="center"/>
    </x:xf>
    <x:xf numFmtId="0" fontId="7" fillId="0" borderId="21" xfId="0" applyFont="1" applyBorder="1" applyAlignment="1">
      <x:alignment horizontal="left" vertical="top" wrapText="1"/>
    </x:xf>
    <x:xf numFmtId="0" fontId="7" fillId="0" borderId="26" xfId="0" applyFont="1" applyBorder="1" applyAlignment="1">
      <x:alignment horizontal="left" vertical="top" wrapText="1"/>
    </x:xf>
    <x:xf numFmtId="0" fontId="0" fillId="0" borderId="0" xfId="0" applyAlignment="1">
      <x:alignment horizontal="center" vertical="center"/>
    </x:xf>
    <x:xf numFmtId="0" fontId="7" fillId="17" borderId="25" xfId="0" applyFont="1" applyFill="1" applyBorder="1" applyAlignment="1">
      <x:alignment horizontal="left" vertical="top" wrapText="1"/>
    </x:xf>
    <x:xf numFmtId="0" fontId="7" fillId="0" borderId="27" xfId="0" applyFont="1" applyBorder="1" applyAlignment="1">
      <x:alignment horizontal="left" vertical="top" wrapText="1"/>
    </x:xf>
    <x:xf numFmtId="0" fontId="0" fillId="19" borderId="0" xfId="0" applyFill="1"/>
    <x:xf numFmtId="0" fontId="0" fillId="20" borderId="0" xfId="0" applyFill="1"/>
    <x:xf numFmtId="0" fontId="0" fillId="21" borderId="0" xfId="0" applyFill="1"/>
    <x:xf numFmtId="0" fontId="0" fillId="22" borderId="21" xfId="0" applyFill="1" applyBorder="1" applyAlignment="1">
      <x:alignment horizontal="center" vertical="center"/>
    </x:xf>
    <x:xf numFmtId="0" fontId="0" fillId="22" borderId="26" xfId="0" applyFill="1" applyBorder="1" applyAlignment="1">
      <x:alignment horizontal="center" vertical="center"/>
    </x:xf>
    <x:xf numFmtId="0" fontId="7" fillId="23" borderId="24" xfId="0" applyFont="1" applyFill="1" applyBorder="1" applyAlignment="1">
      <x:alignment horizontal="left" vertical="center"/>
    </x:xf>
    <x:xf numFmtId="0" fontId="0" fillId="22" borderId="30" xfId="0" applyFill="1" applyBorder="1" applyAlignment="1">
      <x:alignment horizontal="center" vertical="center"/>
    </x:xf>
    <x:xf numFmtId="0" fontId="6" fillId="22" borderId="26" xfId="3" applyFill="1" applyBorder="1" applyAlignment="1">
      <x:alignment horizontal="center" vertical="center"/>
    </x:xf>
    <x:xf numFmtId="0" fontId="0" fillId="24" borderId="1" xfId="0" applyFill="1" applyBorder="1" applyAlignment="1">
      <x:alignment horizontal="center" vertical="center"/>
    </x:xf>
    <x:xf numFmtId="0" fontId="7" fillId="0" borderId="24" xfId="0" applyFont="1" applyBorder="1" applyAlignment="1">
      <x:alignment horizontal="left" vertical="center"/>
    </x:xf>
    <x:xf numFmtId="0" fontId="0" fillId="25" borderId="25" xfId="0" applyFill="1" applyBorder="1" applyAlignment="1">
      <x:alignment horizontal="center" vertical="center"/>
    </x:xf>
    <x:xf numFmtId="0" fontId="0" fillId="22" borderId="34" xfId="0" applyFill="1" applyBorder="1" applyAlignment="1">
      <x:alignment horizontal="center" vertical="center"/>
    </x:xf>
    <x:xf numFmtId="0" fontId="7" fillId="23" borderId="1" xfId="0" applyFont="1" applyFill="1" applyBorder="1" applyAlignment="1">
      <x:alignment horizontal="left" vertical="center"/>
    </x:xf>
    <x:xf numFmtId="0" fontId="7" fillId="23" borderId="25" xfId="0" applyFont="1" applyFill="1" applyBorder="1" applyAlignment="1">
      <x:alignment horizontal="left" vertical="center"/>
    </x:xf>
    <x:xf numFmtId="0" fontId="0" fillId="24" borderId="29" xfId="0" applyFill="1" applyBorder="1" applyAlignment="1">
      <x:alignment horizontal="center" vertical="center"/>
    </x:xf>
    <x:xf numFmtId="0" fontId="0" fillId="22" borderId="39" xfId="0" applyFill="1" applyBorder="1" applyAlignment="1">
      <x:alignment horizontal="center" vertical="center"/>
    </x:xf>
    <x:xf numFmtId="0" fontId="0" fillId="22" borderId="27" xfId="0" applyFill="1" applyBorder="1" applyAlignment="1">
      <x:alignment horizontal="center" vertical="center"/>
    </x:xf>
    <x:xf numFmtId="0" fontId="0" fillId="22" borderId="32" xfId="0" applyFill="1" applyBorder="1" applyAlignment="1">
      <x:alignment horizontal="center" vertical="center"/>
    </x:xf>
    <x:xf numFmtId="0" fontId="0" fillId="22" borderId="36" xfId="0" applyFill="1" applyBorder="1" applyAlignment="1">
      <x:alignment horizontal="center" vertical="center"/>
    </x:xf>
    <x:xf numFmtId="0" fontId="0" fillId="25" borderId="1" xfId="0" applyFill="1" applyBorder="1" applyAlignment="1">
      <x:alignment horizontal="center" vertical="center"/>
    </x:xf>
    <x:xf numFmtId="0" fontId="7" fillId="0" borderId="1" xfId="0" applyFont="1" applyBorder="1" applyAlignment="1">
      <x:alignment horizontal="left" vertical="center"/>
    </x:xf>
    <x:xf numFmtId="0" fontId="7" fillId="23" borderId="19" xfId="0" applyFont="1" applyFill="1" applyBorder="1" applyAlignment="1">
      <x:alignment horizontal="left" vertical="center"/>
    </x:xf>
    <x:xf numFmtId="0" fontId="0" fillId="24" borderId="41" xfId="0" applyFill="1" applyBorder="1" applyAlignment="1">
      <x:alignment horizontal="center" vertical="center"/>
    </x:xf>
    <x:xf numFmtId="0" fontId="0" fillId="22" borderId="55" xfId="0" applyFill="1" applyBorder="1" applyAlignment="1">
      <x:alignment horizontal="center" vertical="center"/>
    </x:xf>
    <x:xf numFmtId="0" fontId="7" fillId="23" borderId="28" xfId="0" applyFont="1" applyFill="1" applyBorder="1" applyAlignment="1">
      <x:alignment horizontal="left" vertical="center"/>
    </x:xf>
    <x:xf numFmtId="0" fontId="0" fillId="24" borderId="38" xfId="0" applyFill="1" applyBorder="1" applyAlignment="1">
      <x:alignment horizontal="center" vertical="center"/>
    </x:xf>
    <x:xf numFmtId="0" fontId="7" fillId="23" borderId="20" xfId="0" applyFont="1" applyFill="1" applyBorder="1" applyAlignment="1">
      <x:alignment horizontal="left" vertical="center"/>
    </x:xf>
    <x:xf numFmtId="0" fontId="0" fillId="24" borderId="4" xfId="0" applyFill="1" applyBorder="1" applyAlignment="1">
      <x:alignment horizontal="center" vertical="center"/>
    </x:xf>
    <x:xf numFmtId="0" fontId="0" fillId="24" borderId="20" xfId="0" applyFill="1" applyBorder="1" applyAlignment="1">
      <x:alignment horizontal="center" vertical="center"/>
    </x:xf>
    <x:xf numFmtId="0" fontId="6" fillId="22" borderId="32" xfId="3" applyFill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19" xfId="0" applyBorder="1" applyAlignment="1">
      <x:alignment horizontal="center" vertical="center"/>
    </x:xf>
    <x:xf numFmtId="0" fontId="0" fillId="0" borderId="20" xfId="0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0" fillId="0" borderId="25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26" xfId="0" applyBorder="1" applyAlignment="1">
      <x:alignment horizontal="center" vertical="center"/>
    </x:xf>
    <x:xf numFmtId="0" fontId="0" fillId="0" borderId="28" xfId="0" applyBorder="1" applyAlignment="1">
      <x:alignment horizontal="center" vertical="center"/>
    </x:xf>
    <x:xf numFmtId="0" fontId="0" fillId="0" borderId="29" xfId="0" applyBorder="1" applyAlignment="1">
      <x:alignment horizontal="center" vertical="center"/>
    </x:xf>
    <x:xf numFmtId="0" fontId="0" fillId="0" borderId="30" xfId="0" applyBorder="1" applyAlignment="1">
      <x:alignment horizontal="center" vertical="center"/>
    </x:xf>
    <x:xf numFmtId="0" fontId="15" fillId="0" borderId="63" xfId="0" applyFont="1" applyBorder="1" applyAlignment="1">
      <x:alignment horizontal="center" vertical="center"/>
    </x:xf>
    <x:xf numFmtId="0" fontId="15" fillId="0" borderId="1" xfId="0" applyFont="1" applyBorder="1" applyAlignment="1">
      <x:alignment horizontal="center" vertical="center"/>
    </x:xf>
    <x:xf numFmtId="0" fontId="15" fillId="0" borderId="62" xfId="0" applyFont="1" applyBorder="1" applyAlignment="1">
      <x:alignment horizontal="center" vertical="center"/>
    </x:xf>
    <x:xf numFmtId="0" fontId="16" fillId="0" borderId="27" xfId="0" applyFont="1" applyBorder="1" applyAlignment="1">
      <x:alignment horizontal="center" vertical="center" wrapText="1"/>
    </x:xf>
    <x:xf numFmtId="0" fontId="0" fillId="0" borderId="62" xfId="0" applyBorder="1"/>
    <x:xf numFmtId="0" fontId="6" fillId="22" borderId="30" xfId="3" applyFill="1" applyBorder="1" applyAlignment="1">
      <x:alignment horizontal="center" vertical="center"/>
    </x:xf>
    <x:xf numFmtId="0" fontId="16" fillId="0" borderId="5" xfId="0" applyFont="1" applyBorder="1" applyAlignment="1">
      <x:alignment horizontal="center" vertical="center" wrapText="1"/>
    </x:xf>
    <x:xf numFmtId="0" fontId="16" fillId="0" borderId="44" xfId="0" applyFont="1" applyBorder="1" applyAlignment="1">
      <x:alignment horizontal="center" vertical="center" wrapText="1"/>
    </x:xf>
    <x:xf numFmtId="0" fontId="15" fillId="0" borderId="2" xfId="0" applyFont="1" applyBorder="1" applyAlignment="1">
      <x:alignment horizontal="center" vertical="center"/>
    </x:xf>
    <x:xf numFmtId="0" fontId="0" fillId="0" borderId="64" xfId="0" applyBorder="1"/>
    <x:xf numFmtId="0" fontId="6" fillId="22" borderId="21" xfId="3" applyFill="1" applyBorder="1" applyAlignment="1">
      <x:alignment horizontal="center" vertical="center"/>
    </x:xf>
    <x:xf numFmtId="0" fontId="16" fillId="0" borderId="23" xfId="0" applyFont="1" applyBorder="1" applyAlignment="1">
      <x:alignment horizontal="center" vertical="center" wrapText="1"/>
    </x:xf>
    <x:xf numFmtId="0" fontId="0" fillId="0" borderId="62" xfId="0" applyBorder="1" applyAlignment="1">
      <x:alignment horizontal="center" vertical="center"/>
    </x:xf>
    <x:xf numFmtId="0" fontId="6" fillId="0" borderId="21" xfId="3" applyFill="1" applyBorder="1" applyAlignment="1">
      <x:alignment horizontal="center" vertical="center"/>
    </x:xf>
    <x:xf numFmtId="0" fontId="6" fillId="0" borderId="26" xfId="3" applyFill="1" applyBorder="1" applyAlignment="1">
      <x:alignment horizontal="center" vertical="center"/>
    </x:xf>
    <x:xf numFmtId="0" fontId="6" fillId="0" borderId="30" xfId="3" applyFill="1" applyBorder="1" applyAlignment="1">
      <x:alignment horizontal="center" vertical="center"/>
    </x:xf>
    <x:xf numFmtId="0" fontId="15" fillId="0" borderId="19" xfId="0" applyFont="1" applyBorder="1" applyAlignment="1">
      <x:alignment horizontal="center" vertical="center"/>
    </x:xf>
    <x:xf numFmtId="0" fontId="15" fillId="0" borderId="20" xfId="0" applyFont="1" applyBorder="1" applyAlignment="1">
      <x:alignment horizontal="center" vertical="center"/>
    </x:xf>
    <x:xf numFmtId="0" fontId="0" fillId="0" borderId="3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34" xfId="0" applyBorder="1" applyAlignment="1">
      <x:alignment horizontal="center" vertical="center"/>
    </x:xf>
    <x:xf numFmtId="0" fontId="0" fillId="0" borderId="62" xfId="0" applyBorder="1" applyAlignment="1">
      <x:alignment vertical="center"/>
    </x:xf>
    <x:xf numFmtId="0" fontId="0" fillId="0" borderId="1" xfId="0" applyBorder="1"/>
    <x:xf numFmtId="0" fontId="15" fillId="0" borderId="11" xfId="0" applyFont="1" applyBorder="1" applyAlignment="1">
      <x:alignment horizontal="center" vertical="center"/>
    </x:xf>
    <x:xf numFmtId="0" fontId="15" fillId="0" borderId="65" xfId="0" applyFont="1" applyBorder="1" applyAlignment="1">
      <x:alignment horizontal="center" vertical="center"/>
    </x:xf>
    <x:xf numFmtId="0" fontId="16" fillId="0" borderId="10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horizontal="left" vertical="top" wrapText="1"/>
    </x:xf>
    <x:xf numFmtId="0" fontId="0" fillId="22" borderId="16" xfId="0" applyFill="1" applyBorder="1" applyAlignment="1">
      <x:alignment horizontal="center" vertical="center"/>
    </x:xf>
    <x:xf numFmtId="0" fontId="0" fillId="0" borderId="14" xfId="0" applyBorder="1"/>
    <x:xf numFmtId="0" fontId="0" fillId="0" borderId="15" xfId="0" applyBorder="1"/>
    <x:xf numFmtId="0" fontId="0" fillId="0" borderId="66" xfId="0" applyBorder="1"/>
    <x:xf numFmtId="0" fontId="0" fillId="0" borderId="17" xfId="0" applyBorder="1"/>
    <x:xf numFmtId="0" fontId="7" fillId="0" borderId="66" xfId="0" applyFont="1" applyBorder="1" applyAlignment="1">
      <x:alignment horizontal="left" vertical="top" wrapText="1"/>
    </x:xf>
    <x:xf numFmtId="0" fontId="0" fillId="16" borderId="62" xfId="0" applyFill="1" applyBorder="1" applyAlignment="1">
      <x:alignment horizontal="center" vertical="center"/>
    </x:xf>
    <x:xf numFmtId="0" fontId="0" fillId="0" borderId="27" xfId="0" applyBorder="1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5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37" xfId="0" applyBorder="1" applyAlignment="1">
      <x:alignment horizontal="center" vertical="center"/>
    </x:xf>
    <x:xf numFmtId="0" fontId="0" fillId="0" borderId="38" xfId="0" applyBorder="1" applyAlignment="1">
      <x:alignment horizontal="center" vertical="center"/>
    </x:xf>
    <x:xf numFmtId="0" fontId="0" fillId="0" borderId="39" xfId="0" applyBorder="1" applyAlignment="1">
      <x:alignment horizontal="center" vertical="center"/>
    </x:xf>
    <x:xf numFmtId="0" fontId="0" fillId="0" borderId="32" xfId="0" applyBorder="1" applyAlignment="1">
      <x:alignment horizontal="center" vertical="center"/>
    </x:xf>
    <x:xf numFmtId="0" fontId="16" fillId="0" borderId="67" xfId="0" applyFont="1" applyBorder="1" applyAlignment="1">
      <x:alignment horizontal="center" vertical="center" wrapText="1"/>
    </x:xf>
    <x:xf numFmtId="0" fontId="0" fillId="0" borderId="36" xfId="0" applyBorder="1" applyAlignment="1">
      <x:alignment horizontal="center" vertical="center"/>
    </x:xf>
    <x:xf numFmtId="0" fontId="7" fillId="0" borderId="62" xfId="0" applyFont="1" applyBorder="1" applyAlignment="1">
      <x:alignment horizontal="left" vertical="top" wrapText="1"/>
    </x:xf>
    <x:xf numFmtId="0" fontId="7" fillId="17" borderId="62" xfId="0" applyFont="1" applyFill="1" applyBorder="1" applyAlignment="1">
      <x:alignment horizontal="left" vertical="top" wrapText="1"/>
    </x:xf>
    <x:xf numFmtId="0" fontId="0" fillId="0" borderId="54" xfId="0" applyBorder="1" applyAlignment="1">
      <x:alignment horizontal="center" vertical="center"/>
    </x:xf>
    <x:xf numFmtId="0" fontId="0" fillId="0" borderId="41" xfId="0" applyBorder="1" applyAlignment="1">
      <x:alignment horizontal="center" vertical="center"/>
    </x:xf>
    <x:xf numFmtId="0" fontId="0" fillId="0" borderId="55" xfId="0" applyBorder="1" applyAlignment="1">
      <x:alignment horizontal="center" vertical="center"/>
    </x:xf>
    <x:xf numFmtId="0" fontId="0" fillId="0" borderId="56" xfId="0" applyBorder="1" applyAlignment="1">
      <x:alignment horizontal="center" vertical="center"/>
    </x:xf>
    <x:xf numFmtId="0" fontId="0" fillId="0" borderId="57" xfId="0" applyBorder="1" applyAlignment="1">
      <x:alignment horizontal="center" vertical="center"/>
    </x:xf>
    <x:xf numFmtId="0" fontId="0" fillId="0" borderId="58" xfId="0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0" borderId="60" xfId="0" applyBorder="1" applyAlignment="1">
      <x:alignment vertical="center"/>
    </x:xf>
    <x:xf numFmtId="0" fontId="18" fillId="17" borderId="62" xfId="0" applyFont="1" applyFill="1" applyBorder="1" applyAlignment="1">
      <x:alignment horizontal="left" vertical="top" wrapText="1"/>
    </x:xf>
    <x:xf numFmtId="0" fontId="5" fillId="0" borderId="26" xfId="2" applyFill="1" applyBorder="1" applyAlignment="1">
      <x:alignment horizontal="center" vertical="center"/>
    </x:xf>
    <x:xf numFmtId="0" fontId="6" fillId="0" borderId="32" xfId="3" applyFill="1" applyBorder="1" applyAlignment="1">
      <x:alignment horizontal="center" vertical="center"/>
    </x:xf>
    <x:xf numFmtId="0" fontId="21" fillId="0" borderId="7" xfId="0" applyFont="1" applyBorder="1" applyAlignment="1">
      <x:alignment horizontal="center" vertical="center"/>
    </x:xf>
    <x:xf numFmtId="0" fontId="0" fillId="0" borderId="2" xfId="0" applyBorder="1"/>
    <x:xf numFmtId="0" fontId="0" fillId="0" borderId="20" xfId="0" applyBorder="1"/>
    <x:xf numFmtId="0" fontId="0" fillId="0" borderId="22" xfId="0" applyBorder="1"/>
    <x:xf numFmtId="0" fontId="0" fillId="0" borderId="0" xfId="0"/>
    <x:xf numFmtId="0" fontId="17" fillId="0" borderId="0" xfId="0" applyFont="1"/>
    <x:xf numFmtId="0" fontId="17" fillId="0" borderId="40" xfId="0" applyFont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0" fontId="0" fillId="26" borderId="23" xfId="0" applyFill="1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26" borderId="27" xfId="0" applyFill="1" applyBorder="1" applyAlignment="1">
      <x:alignment horizontal="center" vertical="center"/>
    </x:xf>
    <x:xf numFmtId="0" fontId="7" fillId="27" borderId="24" xfId="0" applyFont="1" applyFill="1" applyBorder="1" applyAlignment="1">
      <x:alignment horizontal="left" vertical="center"/>
    </x:xf>
    <x:xf numFmtId="0" fontId="0" fillId="28" borderId="25" xfId="0" applyFill="1" applyBorder="1" applyAlignment="1">
      <x:alignment horizontal="center" vertical="center"/>
    </x:xf>
    <x:xf numFmtId="0" fontId="0" fillId="28" borderId="1" xfId="0" applyFill="1" applyBorder="1" applyAlignment="1">
      <x:alignment horizontal="center" vertical="center"/>
    </x:xf>
    <x:xf numFmtId="0" fontId="0" fillId="28" borderId="5" xfId="0" applyFill="1" applyBorder="1" applyAlignment="1">
      <x:alignment horizontal="center" vertical="center"/>
    </x:xf>
    <x:xf numFmtId="0" fontId="0" fillId="27" borderId="27" xfId="0" applyFill="1" applyBorder="1" applyAlignment="1">
      <x:alignment horizontal="center" vertical="center"/>
    </x:xf>
    <x:xf numFmtId="0" fontId="0" fillId="0" borderId="31" xfId="0" applyBorder="1" applyAlignment="1">
      <x:alignment horizontal="center" vertical="center"/>
    </x:xf>
    <x:xf numFmtId="0" fontId="0" fillId="26" borderId="32" xfId="0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29" borderId="1" xfId="0" applyFill="1" applyBorder="1" applyAlignment="1">
      <x:alignment horizontal="center" vertical="center"/>
    </x:xf>
    <x:xf numFmtId="0" fontId="0" fillId="0" borderId="64" xfId="0" applyBorder="1" applyAlignment="1">
      <x:alignment horizontal="center" vertical="center"/>
    </x:xf>
    <x:xf numFmtId="0" fontId="7" fillId="27" borderId="1" xfId="0" applyFont="1" applyFill="1" applyBorder="1" applyAlignment="1">
      <x:alignment horizontal="left" vertical="center"/>
    </x:xf>
    <x:xf numFmtId="0" fontId="0" fillId="0" borderId="35" xfId="0" applyBorder="1" applyAlignment="1">
      <x:alignment horizontal="center" vertical="center"/>
    </x:xf>
    <x:xf numFmtId="0" fontId="0" fillId="26" borderId="36" xfId="0" applyFill="1" applyBorder="1" applyAlignment="1">
      <x:alignment horizontal="center" vertical="center"/>
    </x:xf>
    <x:xf numFmtId="0" fontId="0" fillId="28" borderId="33" xfId="0" applyFill="1" applyBorder="1" applyAlignment="1">
      <x:alignment horizontal="center" vertical="center"/>
    </x:xf>
    <x:xf numFmtId="0" fontId="0" fillId="27" borderId="34" xfId="0" applyFill="1" applyBorder="1" applyAlignment="1">
      <x:alignment horizontal="center" vertical="center"/>
    </x:xf>
    <x:xf numFmtId="0" fontId="0" fillId="26" borderId="34" xfId="0" applyFill="1" applyBorder="1" applyAlignment="1">
      <x:alignment horizontal="center" vertical="center"/>
    </x:xf>
    <x:xf numFmtId="0" fontId="0" fillId="28" borderId="28" xfId="0" applyFill="1" applyBorder="1" applyAlignment="1">
      <x:alignment horizontal="center" vertical="center"/>
    </x:xf>
    <x:xf numFmtId="0" fontId="0" fillId="28" borderId="29" xfId="0" applyFill="1" applyBorder="1" applyAlignment="1">
      <x:alignment horizontal="center" vertical="center"/>
    </x:xf>
    <x:xf numFmtId="0" fontId="0" fillId="27" borderId="30" xfId="0" applyFill="1" applyBorder="1" applyAlignment="1">
      <x:alignment horizontal="center" vertical="center"/>
    </x:xf>
    <x:xf numFmtId="0" fontId="7" fillId="27" borderId="25" xfId="0" applyFont="1" applyFill="1" applyBorder="1" applyAlignment="1">
      <x:alignment horizontal="left" vertical="center"/>
    </x:xf>
    <x:xf numFmtId="0" fontId="0" fillId="28" borderId="62" xfId="0" applyFill="1" applyBorder="1" applyAlignment="1">
      <x:alignment horizontal="center" vertical="center"/>
    </x:xf>
    <x:xf numFmtId="0" fontId="0" fillId="26" borderId="39" xfId="0" applyFill="1" applyBorder="1" applyAlignment="1">
      <x:alignment horizontal="center" vertical="center"/>
    </x:xf>
    <x:xf numFmtId="0" fontId="0" fillId="28" borderId="38" xfId="0" applyFill="1" applyBorder="1" applyAlignment="1">
      <x:alignment horizontal="center" vertical="center"/>
    </x:xf>
    <x:xf numFmtId="0" fontId="18" fillId="27" borderId="1" xfId="0" applyFont="1" applyFill="1" applyBorder="1" applyAlignment="1">
      <x:alignment horizontal="left" vertical="center"/>
    </x:xf>
    <x:xf numFmtId="0" fontId="0" fillId="0" borderId="52" xfId="0" applyBorder="1" applyAlignment="1">
      <x:alignment horizontal="center" vertical="center"/>
    </x:xf>
    <x:xf numFmtId="0" fontId="0" fillId="24" borderId="25" xfId="0" applyFill="1" applyBorder="1" applyAlignment="1">
      <x:alignment horizontal="center" vertical="center"/>
    </x:xf>
    <x:xf numFmtId="0" fontId="0" fillId="23" borderId="27" xfId="0" applyFill="1" applyBorder="1" applyAlignment="1">
      <x:alignment horizontal="center" vertical="center"/>
    </x:xf>
    <x:xf numFmtId="0" fontId="0" fillId="28" borderId="2" xfId="0" applyFill="1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28" borderId="4" xfId="0" applyFill="1" applyBorder="1" applyAlignment="1">
      <x:alignment horizontal="center" vertical="center"/>
    </x:xf>
    <x:xf numFmtId="0" fontId="0" fillId="0" borderId="53" xfId="0" applyBorder="1" applyAlignment="1">
      <x:alignment horizontal="center" vertical="center"/>
    </x:xf>
    <x:xf numFmtId="0" fontId="0" fillId="28" borderId="41" xfId="0" applyFill="1" applyBorder="1" applyAlignment="1">
      <x:alignment horizontal="center" vertical="center"/>
    </x:xf>
    <x:xf numFmtId="0" fontId="0" fillId="26" borderId="55" xfId="0" applyFill="1" applyBorder="1" applyAlignment="1">
      <x:alignment horizontal="center" vertical="center"/>
    </x:xf>
    <x:xf numFmtId="0" fontId="0" fillId="28" borderId="53" xfId="0" applyFill="1" applyBorder="1" applyAlignment="1">
      <x:alignment horizontal="center" vertical="center"/>
    </x:xf>
    <x:xf numFmtId="0" fontId="0" fillId="27" borderId="55" xfId="0" applyFill="1" applyBorder="1" applyAlignment="1">
      <x:alignment horizontal="center" vertical="center"/>
    </x:xf>
    <x:xf numFmtId="0" fontId="0" fillId="29" borderId="41" xfId="0" applyFill="1" applyBorder="1" applyAlignment="1">
      <x:alignment horizontal="center" vertical="center"/>
    </x:xf>
    <x:xf numFmtId="0" fontId="0" fillId="24" borderId="54" xfId="0" applyFill="1" applyBorder="1" applyAlignment="1">
      <x:alignment horizontal="center" vertical="center"/>
    </x:xf>
    <x:xf numFmtId="0" fontId="0" fillId="23" borderId="55" xfId="0" applyFill="1" applyBorder="1" applyAlignment="1">
      <x:alignment horizontal="center" vertical="center"/>
    </x:xf>
    <x:xf numFmtId="0" fontId="7" fillId="0" borderId="25" xfId="0" applyFont="1" applyBorder="1" applyAlignment="1">
      <x:alignment horizontal="left" vertical="center"/>
    </x:xf>
    <x:xf numFmtId="0" fontId="7" fillId="27" borderId="28" xfId="0" applyFont="1" applyFill="1" applyBorder="1" applyAlignment="1">
      <x:alignment horizontal="left" vertical="center"/>
    </x:xf>
    <x:xf numFmtId="0" fontId="0" fillId="28" borderId="59" xfId="0" applyFill="1" applyBorder="1" applyAlignment="1">
      <x:alignment horizontal="center" vertical="center"/>
    </x:xf>
    <x:xf numFmtId="0" fontId="0" fillId="28" borderId="57" xfId="0" applyFill="1" applyBorder="1" applyAlignment="1">
      <x:alignment horizontal="center" vertical="center"/>
    </x:xf>
    <x:xf numFmtId="0" fontId="0" fillId="27" borderId="58" xfId="0" applyFill="1" applyBorder="1" applyAlignment="1">
      <x:alignment horizontal="center" vertical="center"/>
    </x:xf>
    <x:xf numFmtId="0" fontId="7" fillId="27" borderId="62" xfId="0" applyFont="1" applyFill="1" applyBorder="1" applyAlignment="1">
      <x:alignment horizontal="left" vertical="center"/>
    </x:xf>
    <x:xf numFmtId="0" fontId="0" fillId="27" borderId="36" xfId="0" applyFill="1" applyBorder="1" applyAlignment="1">
      <x:alignment horizontal="center" vertical="center"/>
    </x:xf>
    <x:xf numFmtId="0" fontId="7" fillId="27" borderId="19" xfId="0" applyFont="1" applyFill="1" applyBorder="1" applyAlignment="1">
      <x:alignment horizontal="left" vertical="center"/>
    </x:xf>
    <x:xf numFmtId="0" fontId="0" fillId="28" borderId="37" xfId="0" applyFill="1" applyBorder="1" applyAlignment="1">
      <x:alignment horizontal="center" vertical="center"/>
    </x:xf>
    <x:xf numFmtId="0" fontId="0" fillId="27" borderId="39" xfId="0" applyFill="1" applyBorder="1" applyAlignment="1">
      <x:alignment horizontal="center" vertical="center"/>
    </x:xf>
    <x:xf numFmtId="0" fontId="0" fillId="29" borderId="4" xfId="0" applyFill="1" applyBorder="1" applyAlignment="1">
      <x:alignment horizontal="center" vertical="center"/>
    </x:xf>
    <x:xf numFmtId="0" fontId="7" fillId="27" borderId="60" xfId="0" applyFont="1" applyFill="1" applyBorder="1" applyAlignment="1">
      <x:alignment horizontal="left" vertical="center"/>
    </x:xf>
    <x:xf numFmtId="0" fontId="0" fillId="29" borderId="62" xfId="0" applyFill="1" applyBorder="1" applyAlignment="1">
      <x:alignment horizontal="center" vertical="center"/>
    </x:xf>
    <x:xf numFmtId="0" fontId="0" fillId="29" borderId="5" xfId="0" applyFill="1" applyBorder="1" applyAlignment="1">
      <x:alignment horizontal="center" vertical="center"/>
    </x:xf>
    <x:xf numFmtId="0" fontId="0" fillId="27" borderId="32" xfId="0" applyFill="1" applyBorder="1" applyAlignment="1">
      <x:alignment horizontal="center" vertical="center"/>
    </x:xf>
    <x:xf numFmtId="0" fontId="22" fillId="30" borderId="0" xfId="0" applyFont="1" applyFill="1" applyAlignment="1">
      <x:alignment horizontal="center" vertical="center"/>
    </x:xf>
    <x:xf numFmtId="0" fontId="0" fillId="29" borderId="0" xfId="0" applyFill="1" applyAlignment="1">
      <x:alignment horizontal="center" vertical="center"/>
    </x:xf>
    <x:xf numFmtId="0" fontId="0" fillId="28" borderId="0" xfId="0" applyFill="1" applyAlignment="1">
      <x:alignment horizontal="center" vertical="center"/>
    </x:xf>
    <x:xf numFmtId="0" fontId="0" fillId="26" borderId="0" xfId="0" applyFill="1" applyAlignment="1">
      <x:alignment horizontal="center" vertical="center"/>
    </x:xf>
    <x:xf numFmtId="0" fontId="23" fillId="0" borderId="0" xfId="0" applyFont="1"/>
    <x:xf numFmtId="0" fontId="22" fillId="31" borderId="0" xfId="0" applyFont="1" applyFill="1"/>
    <x:xf numFmtId="0" fontId="22" fillId="30" borderId="68" xfId="0" applyFont="1" applyFill="1" applyBorder="1" applyAlignment="1">
      <x:alignment vertical="center" wrapText="1"/>
    </x:xf>
    <x:xf numFmtId="0" fontId="0" fillId="32" borderId="68" xfId="0" applyFill="1" applyBorder="1" applyAlignment="1">
      <x:alignment vertical="center" wrapText="1"/>
    </x:xf>
    <x:xf numFmtId="0" fontId="0" fillId="29" borderId="68" xfId="0" applyFill="1" applyBorder="1" applyAlignment="1">
      <x:alignment vertical="center" wrapText="1"/>
    </x:xf>
    <x:xf numFmtId="0" fontId="0" fillId="0" borderId="68" xfId="0" applyBorder="1" applyAlignment="1">
      <x:alignment vertical="center" wrapText="1"/>
    </x:xf>
    <x:xf numFmtId="0" fontId="22" fillId="0" borderId="0" xfId="0" applyFont="1"/>
    <x:xf numFmtId="0" fontId="2" fillId="0" borderId="2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4" fillId="26" borderId="27" xfId="0" applyFont="1" applyFill="1" applyBorder="1" applyAlignment="1">
      <x:alignment horizontal="center" vertical="center"/>
    </x:xf>
    <x:xf numFmtId="0" fontId="2" fillId="0" borderId="62" xfId="0" applyFont="1" applyBorder="1" applyAlignment="1">
      <x:alignment horizontal="center" vertical="center"/>
    </x:xf>
    <x:xf numFmtId="0" fontId="24" fillId="0" borderId="27" xfId="0" applyFont="1" applyBorder="1" applyAlignment="1">
      <x:alignment horizontal="center" vertical="center" wrapText="1"/>
    </x:xf>
    <x:xf numFmtId="0" fontId="2" fillId="0" borderId="0" xfId="0" applyFont="1"/>
    <x:xf numFmtId="0" fontId="0" fillId="0" borderId="0" xfId="0"/>
    <x:xf numFmtId="0" fontId="0" fillId="0" borderId="25" xfId="0" applyFill="1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27" xfId="0" applyFill="1" applyBorder="1" applyAlignment="1">
      <x:alignment horizontal="center" vertical="center"/>
    </x:xf>
    <x:xf numFmtId="0" fontId="7" fillId="0" borderId="2" xfId="0" applyFont="1" applyBorder="1" applyAlignment="1">
      <x:alignment horizontal="left" vertical="center"/>
    </x:xf>
    <x:xf numFmtId="0" fontId="0" fillId="0" borderId="20" xfId="0" applyBorder="1"/>
    <x:xf numFmtId="0" fontId="0" fillId="0" borderId="22" xfId="0" applyBorder="1"/>
    <x:xf numFmtId="0" fontId="17" fillId="0" borderId="0" xfId="0" applyFont="1" applyAlignment="1">
      <x:alignment horizontal="center" vertical="center"/>
    </x:xf>
    <x:xf numFmtId="0" fontId="0" fillId="0" borderId="54" xfId="0" applyFill="1" applyBorder="1" applyAlignment="1">
      <x:alignment horizontal="center" vertical="center"/>
    </x:xf>
    <x:xf numFmtId="0" fontId="0" fillId="0" borderId="41" xfId="0" applyFill="1" applyBorder="1" applyAlignment="1">
      <x:alignment horizontal="center" vertical="center"/>
    </x:xf>
    <x:xf numFmtId="0" fontId="0" fillId="0" borderId="55" xfId="0" applyFill="1" applyBorder="1" applyAlignment="1">
      <x:alignment horizontal="center" vertical="center"/>
    </x:xf>
    <x:xf numFmtId="0" fontId="0" fillId="0" borderId="26" xfId="0" applyFill="1" applyBorder="1" applyAlignment="1">
      <x:alignment horizontal="center" vertical="center"/>
    </x:xf>
    <x:xf numFmtId="0" fontId="7" fillId="0" borderId="69" xfId="0" applyFont="1" applyBorder="1" applyAlignment="1">
      <x:alignment horizontal="left" vertical="top" wrapText="1"/>
    </x:xf>
    <x:xf numFmtId="0" fontId="1" fillId="0" borderId="0" xfId="4"/>
    <x:xf numFmtId="0" fontId="27" fillId="0" borderId="28" xfId="4" applyFont="1" applyBorder="1" applyAlignment="1">
      <x:alignment horizontal="center" vertical="center"/>
    </x:xf>
    <x:xf numFmtId="0" fontId="27" fillId="0" borderId="31" xfId="4" applyFont="1" applyBorder="1" applyAlignment="1">
      <x:alignment horizontal="center" vertical="center"/>
    </x:xf>
    <x:xf numFmtId="0" fontId="17" fillId="33" borderId="29" xfId="4" applyFont="1" applyFill="1" applyBorder="1" applyAlignment="1">
      <x:alignment horizontal="center" vertical="center"/>
    </x:xf>
    <x:xf numFmtId="0" fontId="17" fillId="34" borderId="29" xfId="4" applyFont="1" applyFill="1" applyBorder="1" applyAlignment="1">
      <x:alignment horizontal="center" vertical="center"/>
    </x:xf>
    <x:xf numFmtId="0" fontId="17" fillId="35" borderId="29" xfId="4" applyFont="1" applyFill="1" applyBorder="1" applyAlignment="1">
      <x:alignment horizontal="center" vertical="center"/>
    </x:xf>
    <x:xf numFmtId="0" fontId="17" fillId="36" borderId="29" xfId="4" applyFont="1" applyFill="1" applyBorder="1" applyAlignment="1">
      <x:alignment horizontal="center" vertical="center"/>
    </x:xf>
    <x:xf numFmtId="0" fontId="17" fillId="37" borderId="29" xfId="4" applyFont="1" applyFill="1" applyBorder="1" applyAlignment="1">
      <x:alignment horizontal="center" vertical="center"/>
    </x:xf>
    <x:xf numFmtId="0" fontId="17" fillId="38" borderId="29" xfId="4" applyFont="1" applyFill="1" applyBorder="1" applyAlignment="1">
      <x:alignment horizontal="center" vertical="center"/>
    </x:xf>
    <x:xf numFmtId="0" fontId="17" fillId="39" borderId="29" xfId="4" applyFont="1" applyFill="1" applyBorder="1" applyAlignment="1">
      <x:alignment horizontal="center" vertical="center"/>
    </x:xf>
    <x:xf numFmtId="0" fontId="17" fillId="40" borderId="29" xfId="4" applyFont="1" applyFill="1" applyBorder="1" applyAlignment="1">
      <x:alignment horizontal="center" vertical="center"/>
    </x:xf>
    <x:xf numFmtId="0" fontId="17" fillId="41" borderId="29" xfId="4" applyFont="1" applyFill="1" applyBorder="1" applyAlignment="1">
      <x:alignment horizontal="center" vertical="center"/>
    </x:xf>
    <x:xf numFmtId="0" fontId="17" fillId="42" borderId="29" xfId="4" applyFont="1" applyFill="1" applyBorder="1" applyAlignment="1">
      <x:alignment horizontal="center" vertical="center"/>
    </x:xf>
    <x:xf numFmtId="0" fontId="17" fillId="43" borderId="29" xfId="4" applyFont="1" applyFill="1" applyBorder="1" applyAlignment="1">
      <x:alignment horizontal="center" vertical="center"/>
    </x:xf>
    <x:xf numFmtId="0" fontId="17" fillId="44" borderId="31" xfId="4" applyFont="1" applyFill="1" applyBorder="1" applyAlignment="1">
      <x:alignment horizontal="center" vertical="center"/>
    </x:xf>
    <x:xf numFmtId="0" fontId="1" fillId="0" borderId="60" xfId="4" applyBorder="1" applyAlignment="1">
      <x:alignment horizontal="left" vertical="center"/>
    </x:xf>
    <x:xf numFmtId="0" fontId="1" fillId="33" borderId="62" xfId="4" applyFill="1" applyBorder="1" applyAlignment="1">
      <x:alignment horizontal="center" vertical="center"/>
    </x:xf>
    <x:xf numFmtId="0" fontId="1" fillId="34" borderId="1" xfId="4" applyFill="1" applyBorder="1" applyAlignment="1">
      <x:alignment horizontal="center" vertical="center"/>
    </x:xf>
    <x:xf numFmtId="0" fontId="1" fillId="35" borderId="1" xfId="4" applyFill="1" applyBorder="1" applyAlignment="1">
      <x:alignment horizontal="center" vertical="center"/>
    </x:xf>
    <x:xf numFmtId="0" fontId="1" fillId="36" borderId="1" xfId="4" applyFill="1" applyBorder="1" applyAlignment="1">
      <x:alignment horizontal="center" vertical="center"/>
    </x:xf>
    <x:xf numFmtId="0" fontId="1" fillId="37" borderId="1" xfId="4" applyFill="1" applyBorder="1" applyAlignment="1">
      <x:alignment horizontal="center" vertical="center"/>
    </x:xf>
    <x:xf numFmtId="0" fontId="1" fillId="38" borderId="1" xfId="4" applyFill="1" applyBorder="1" applyAlignment="1">
      <x:alignment horizontal="center" vertical="center"/>
    </x:xf>
    <x:xf numFmtId="0" fontId="1" fillId="39" borderId="1" xfId="4" applyFill="1" applyBorder="1" applyAlignment="1">
      <x:alignment horizontal="center" vertical="center"/>
    </x:xf>
    <x:xf numFmtId="0" fontId="1" fillId="40" borderId="1" xfId="4" applyFill="1" applyBorder="1" applyAlignment="1">
      <x:alignment horizontal="center" vertical="center"/>
    </x:xf>
    <x:xf numFmtId="0" fontId="1" fillId="41" borderId="1" xfId="4" applyFill="1" applyBorder="1" applyAlignment="1">
      <x:alignment horizontal="center" vertical="center"/>
    </x:xf>
    <x:xf numFmtId="0" fontId="1" fillId="42" borderId="1" xfId="4" applyFill="1" applyBorder="1" applyAlignment="1">
      <x:alignment horizontal="center" vertical="center"/>
    </x:xf>
    <x:xf numFmtId="0" fontId="1" fillId="43" borderId="1" xfId="4" applyFill="1" applyBorder="1" applyAlignment="1">
      <x:alignment horizontal="center" vertical="center"/>
    </x:xf>
    <x:xf numFmtId="0" fontId="1" fillId="44" borderId="5" xfId="4" applyFill="1" applyBorder="1" applyAlignment="1">
      <x:alignment horizontal="center" vertical="center"/>
    </x:xf>
    <x:xf numFmtId="0" fontId="1" fillId="0" borderId="24" xfId="4" applyBorder="1" applyAlignment="1">
      <x:alignment horizontal="center" vertical="center"/>
    </x:xf>
    <x:xf numFmtId="0" fontId="1" fillId="0" borderId="0" xfId="4" applyAlignment="1">
      <x:alignment vertical="center"/>
    </x:xf>
    <x:xf numFmtId="0" fontId="1" fillId="0" borderId="1" xfId="4" applyBorder="1" applyAlignment="1">
      <x:alignment horizontal="center" vertical="center"/>
    </x:xf>
    <x:xf numFmtId="0" fontId="1" fillId="0" borderId="3" xfId="4" applyBorder="1" applyAlignment="1">
      <x:alignment horizontal="left"/>
    </x:xf>
    <x:xf numFmtId="0" fontId="1" fillId="0" borderId="0" xfId="4" applyAlignment="1">
      <x:alignment vertical="top"/>
    </x:xf>
    <x:xf numFmtId="0" fontId="1" fillId="0" borderId="3" xfId="4" applyBorder="1" applyAlignment="1">
      <x:alignment horizontal="left" vertical="center"/>
    </x:xf>
    <x:xf numFmtId="0" fontId="1" fillId="0" borderId="72" xfId="4" applyBorder="1" applyAlignment="1">
      <x:alignment horizontal="left"/>
    </x:xf>
    <x:xf numFmtId="0" fontId="1" fillId="33" borderId="28" xfId="4" applyFill="1" applyBorder="1" applyAlignment="1">
      <x:alignment horizontal="center" vertical="center"/>
    </x:xf>
    <x:xf numFmtId="0" fontId="1" fillId="34" borderId="29" xfId="4" applyFill="1" applyBorder="1" applyAlignment="1">
      <x:alignment horizontal="center" vertical="center"/>
    </x:xf>
    <x:xf numFmtId="0" fontId="1" fillId="35" borderId="29" xfId="4" applyFill="1" applyBorder="1" applyAlignment="1">
      <x:alignment horizontal="center" vertical="center"/>
    </x:xf>
    <x:xf numFmtId="0" fontId="1" fillId="36" borderId="29" xfId="4" applyFill="1" applyBorder="1" applyAlignment="1">
      <x:alignment horizontal="center" vertical="center"/>
    </x:xf>
    <x:xf numFmtId="0" fontId="1" fillId="37" borderId="29" xfId="4" applyFill="1" applyBorder="1" applyAlignment="1">
      <x:alignment horizontal="center" vertical="center"/>
    </x:xf>
    <x:xf numFmtId="0" fontId="1" fillId="38" borderId="29" xfId="4" applyFill="1" applyBorder="1" applyAlignment="1">
      <x:alignment horizontal="center" vertical="center"/>
    </x:xf>
    <x:xf numFmtId="0" fontId="1" fillId="39" borderId="29" xfId="4" applyFill="1" applyBorder="1" applyAlignment="1">
      <x:alignment horizontal="center" vertical="center"/>
    </x:xf>
    <x:xf numFmtId="0" fontId="1" fillId="40" borderId="29" xfId="4" applyFill="1" applyBorder="1" applyAlignment="1">
      <x:alignment horizontal="center" vertical="center"/>
    </x:xf>
    <x:xf numFmtId="0" fontId="1" fillId="41" borderId="29" xfId="4" applyFill="1" applyBorder="1" applyAlignment="1">
      <x:alignment horizontal="center" vertical="center"/>
    </x:xf>
    <x:xf numFmtId="0" fontId="1" fillId="42" borderId="29" xfId="4" applyFill="1" applyBorder="1" applyAlignment="1">
      <x:alignment horizontal="center" vertical="center"/>
    </x:xf>
    <x:xf numFmtId="0" fontId="1" fillId="43" borderId="29" xfId="4" applyFill="1" applyBorder="1" applyAlignment="1">
      <x:alignment horizontal="center" vertical="center"/>
    </x:xf>
    <x:xf numFmtId="0" fontId="1" fillId="44" borderId="31" xfId="4" applyFill="1" applyBorder="1" applyAlignment="1">
      <x:alignment horizontal="center" vertical="center"/>
    </x:xf>
    <x:xf numFmtId="0" fontId="1" fillId="0" borderId="13" xfId="4" applyBorder="1" applyAlignment="1">
      <x:alignment horizontal="center" vertical="center"/>
    </x:xf>
    <x:xf numFmtId="0" fontId="1" fillId="0" borderId="60" xfId="4" applyBorder="1" applyAlignment="1">
      <x:alignment horizontal="left"/>
    </x:xf>
    <x:xf numFmtId="0" fontId="1" fillId="34" borderId="20" xfId="4" applyFill="1" applyBorder="1" applyAlignment="1">
      <x:alignment horizontal="center" vertical="center"/>
    </x:xf>
    <x:xf numFmtId="0" fontId="1" fillId="35" borderId="20" xfId="4" applyFill="1" applyBorder="1" applyAlignment="1">
      <x:alignment horizontal="center" vertical="center"/>
    </x:xf>
    <x:xf numFmtId="0" fontId="1" fillId="36" borderId="20" xfId="4" applyFill="1" applyBorder="1" applyAlignment="1">
      <x:alignment horizontal="center" vertical="center"/>
    </x:xf>
    <x:xf numFmtId="0" fontId="1" fillId="37" borderId="20" xfId="4" applyFill="1" applyBorder="1" applyAlignment="1">
      <x:alignment horizontal="center" vertical="center"/>
    </x:xf>
    <x:xf numFmtId="0" fontId="1" fillId="38" borderId="20" xfId="4" applyFill="1" applyBorder="1" applyAlignment="1">
      <x:alignment horizontal="center" vertical="center"/>
    </x:xf>
    <x:xf numFmtId="0" fontId="1" fillId="39" borderId="20" xfId="4" applyFill="1" applyBorder="1" applyAlignment="1">
      <x:alignment horizontal="center" vertical="center"/>
    </x:xf>
    <x:xf numFmtId="0" fontId="1" fillId="40" borderId="20" xfId="4" applyFill="1" applyBorder="1" applyAlignment="1">
      <x:alignment horizontal="center" vertical="center"/>
    </x:xf>
    <x:xf numFmtId="0" fontId="1" fillId="41" borderId="20" xfId="4" applyFill="1" applyBorder="1" applyAlignment="1">
      <x:alignment horizontal="center" vertical="center"/>
    </x:xf>
    <x:xf numFmtId="0" fontId="1" fillId="42" borderId="20" xfId="4" applyFill="1" applyBorder="1" applyAlignment="1">
      <x:alignment horizontal="center" vertical="center"/>
    </x:xf>
    <x:xf numFmtId="0" fontId="1" fillId="43" borderId="20" xfId="4" applyFill="1" applyBorder="1" applyAlignment="1">
      <x:alignment horizontal="center" vertical="center"/>
    </x:xf>
    <x:xf numFmtId="0" fontId="1" fillId="44" borderId="22" xfId="4" applyFill="1" applyBorder="1" applyAlignment="1">
      <x:alignment horizontal="center" vertical="center"/>
    </x:xf>
    <x:xf numFmtId="0" fontId="1" fillId="0" borderId="18" xfId="4" applyBorder="1" applyAlignment="1">
      <x:alignment horizontal="center"/>
    </x:xf>
    <x:xf numFmtId="0" fontId="1" fillId="0" borderId="1" xfId="4" quotePrefix="1" applyBorder="1" applyAlignment="1">
      <x:alignment horizontal="center"/>
    </x:xf>
    <x:xf numFmtId="0" fontId="30" fillId="0" borderId="60" xfId="4" applyFont="1" applyBorder="1" applyAlignment="1">
      <x:alignment horizontal="left"/>
    </x:xf>
    <x:xf numFmtId="0" fontId="1" fillId="0" borderId="73" xfId="4" applyBorder="1" applyAlignment="1">
      <x:alignment horizontal="left"/>
    </x:xf>
    <x:xf numFmtId="0" fontId="1" fillId="0" borderId="75" xfId="4" applyBorder="1" applyAlignment="1">
      <x:alignment horizontal="left"/>
    </x:xf>
    <x:xf numFmtId="0" fontId="1" fillId="0" borderId="70" xfId="4" applyBorder="1" applyAlignment="1">
      <x:alignment horizontal="left"/>
    </x:xf>
    <x:xf numFmtId="0" fontId="1" fillId="33" borderId="37" xfId="4" applyFill="1" applyBorder="1" applyAlignment="1">
      <x:alignment horizontal="center" vertical="center"/>
    </x:xf>
    <x:xf numFmtId="0" fontId="1" fillId="34" borderId="38" xfId="4" applyFill="1" applyBorder="1" applyAlignment="1">
      <x:alignment horizontal="center" vertical="center"/>
    </x:xf>
    <x:xf numFmtId="0" fontId="1" fillId="35" borderId="38" xfId="4" applyFill="1" applyBorder="1" applyAlignment="1">
      <x:alignment horizontal="center" vertical="center"/>
    </x:xf>
    <x:xf numFmtId="0" fontId="1" fillId="36" borderId="38" xfId="4" applyFill="1" applyBorder="1" applyAlignment="1">
      <x:alignment horizontal="center" vertical="center"/>
    </x:xf>
    <x:xf numFmtId="0" fontId="1" fillId="37" borderId="38" xfId="4" applyFill="1" applyBorder="1" applyAlignment="1">
      <x:alignment horizontal="center" vertical="center"/>
    </x:xf>
    <x:xf numFmtId="0" fontId="1" fillId="38" borderId="38" xfId="4" applyFill="1" applyBorder="1" applyAlignment="1">
      <x:alignment horizontal="center" vertical="center"/>
    </x:xf>
    <x:xf numFmtId="0" fontId="1" fillId="39" borderId="38" xfId="4" applyFill="1" applyBorder="1" applyAlignment="1">
      <x:alignment horizontal="center" vertical="center"/>
    </x:xf>
    <x:xf numFmtId="0" fontId="1" fillId="40" borderId="38" xfId="4" applyFill="1" applyBorder="1" applyAlignment="1">
      <x:alignment horizontal="center" vertical="center"/>
    </x:xf>
    <x:xf numFmtId="0" fontId="1" fillId="41" borderId="38" xfId="4" applyFill="1" applyBorder="1" applyAlignment="1">
      <x:alignment horizontal="center" vertical="center"/>
    </x:xf>
    <x:xf numFmtId="0" fontId="1" fillId="42" borderId="38" xfId="4" applyFill="1" applyBorder="1" applyAlignment="1">
      <x:alignment horizontal="center" vertical="center"/>
    </x:xf>
    <x:xf numFmtId="0" fontId="1" fillId="43" borderId="38" xfId="4" applyFill="1" applyBorder="1" applyAlignment="1">
      <x:alignment horizontal="center" vertical="center"/>
    </x:xf>
    <x:xf numFmtId="0" fontId="1" fillId="44" borderId="71" xfId="4" applyFill="1" applyBorder="1" applyAlignment="1">
      <x:alignment horizontal="center" vertical="center"/>
    </x:xf>
    <x:xf numFmtId="0" fontId="1" fillId="0" borderId="8" xfId="4" applyBorder="1" applyAlignment="1">
      <x:alignment horizontal="center"/>
    </x:xf>
    <x:xf numFmtId="0" fontId="1" fillId="0" borderId="60" xfId="4" applyBorder="1"/>
    <x:xf numFmtId="0" fontId="1" fillId="45" borderId="75" xfId="4" applyFill="1" applyBorder="1"/>
    <x:xf numFmtId="0" fontId="1" fillId="33" borderId="33" xfId="4" applyFill="1" applyBorder="1" applyAlignment="1">
      <x:alignment horizontal="center" vertical="center"/>
    </x:xf>
    <x:xf numFmtId="0" fontId="1" fillId="34" borderId="4" xfId="4" applyFill="1" applyBorder="1" applyAlignment="1">
      <x:alignment horizontal="center" vertical="center"/>
    </x:xf>
    <x:xf numFmtId="0" fontId="1" fillId="35" borderId="4" xfId="4" applyFill="1" applyBorder="1" applyAlignment="1">
      <x:alignment horizontal="center" vertical="center"/>
    </x:xf>
    <x:xf numFmtId="0" fontId="1" fillId="36" borderId="4" xfId="4" applyFill="1" applyBorder="1" applyAlignment="1">
      <x:alignment horizontal="center" vertical="center"/>
    </x:xf>
    <x:xf numFmtId="0" fontId="1" fillId="37" borderId="4" xfId="4" applyFill="1" applyBorder="1" applyAlignment="1">
      <x:alignment horizontal="center" vertical="center"/>
    </x:xf>
    <x:xf numFmtId="0" fontId="1" fillId="38" borderId="4" xfId="4" applyFill="1" applyBorder="1" applyAlignment="1">
      <x:alignment horizontal="center" vertical="center"/>
    </x:xf>
    <x:xf numFmtId="0" fontId="1" fillId="39" borderId="4" xfId="4" applyFill="1" applyBorder="1" applyAlignment="1">
      <x:alignment horizontal="center" vertical="center"/>
    </x:xf>
    <x:xf numFmtId="0" fontId="1" fillId="40" borderId="4" xfId="4" applyFill="1" applyBorder="1" applyAlignment="1">
      <x:alignment horizontal="center" vertical="center"/>
    </x:xf>
    <x:xf numFmtId="0" fontId="1" fillId="41" borderId="4" xfId="4" applyFill="1" applyBorder="1" applyAlignment="1">
      <x:alignment horizontal="center" vertical="center"/>
    </x:xf>
    <x:xf numFmtId="0" fontId="1" fillId="42" borderId="4" xfId="4" applyFill="1" applyBorder="1" applyAlignment="1">
      <x:alignment horizontal="center" vertical="center"/>
    </x:xf>
    <x:xf numFmtId="0" fontId="1" fillId="43" borderId="4" xfId="4" applyFill="1" applyBorder="1" applyAlignment="1">
      <x:alignment horizontal="center" vertical="center"/>
    </x:xf>
    <x:xf numFmtId="0" fontId="1" fillId="44" borderId="35" xfId="4" applyFill="1" applyBorder="1" applyAlignment="1">
      <x:alignment horizontal="center" vertical="center"/>
    </x:xf>
    <x:xf numFmtId="0" fontId="1" fillId="0" borderId="43" xfId="4" applyBorder="1" applyAlignment="1">
      <x:alignment horizontal="center"/>
    </x:xf>
    <x:xf numFmtId="0" fontId="1" fillId="0" borderId="50" xfId="4" applyBorder="1" applyAlignment="1">
      <x:alignment horizontal="left"/>
    </x:xf>
    <x:xf numFmtId="0" fontId="1" fillId="0" borderId="24" xfId="4" applyBorder="1" applyAlignment="1">
      <x:alignment horizontal="center"/>
    </x:xf>
    <x:xf numFmtId="0" fontId="1" fillId="45" borderId="60" xfId="4" applyFill="1" applyBorder="1" applyAlignment="1">
      <x:alignment horizontal="left"/>
    </x:xf>
    <x:xf numFmtId="0" fontId="1" fillId="0" borderId="13" xfId="4" applyBorder="1" applyAlignment="1">
      <x:alignment horizontal="center"/>
    </x:xf>
    <x:xf numFmtId="0" fontId="1" fillId="0" borderId="8" xfId="4" applyBorder="1" applyAlignment="1">
      <x:alignment horizontal="left"/>
    </x:xf>
    <x:xf numFmtId="0" fontId="1" fillId="33" borderId="69" xfId="4" applyFill="1" applyBorder="1" applyAlignment="1">
      <x:alignment horizontal="center" vertical="center"/>
    </x:xf>
    <x:xf numFmtId="0" fontId="1" fillId="0" borderId="24" xfId="4" applyBorder="1" applyAlignment="1">
      <x:alignment horizontal="left"/>
    </x:xf>
    <x:xf numFmtId="0" fontId="1" fillId="33" borderId="2" xfId="4" applyFill="1" applyBorder="1" applyAlignment="1">
      <x:alignment horizontal="center" vertical="center"/>
    </x:xf>
    <x:xf numFmtId="0" fontId="1" fillId="0" borderId="24" xfId="4" applyBorder="1" applyAlignment="1">
      <x:alignment horizontal="left" vertical="center"/>
    </x:xf>
    <x:xf numFmtId="0" fontId="1" fillId="0" borderId="74" xfId="4" applyBorder="1" applyAlignment="1">
      <x:alignment horizontal="left"/>
    </x:xf>
    <x:xf numFmtId="0" fontId="1" fillId="33" borderId="6" xfId="4" applyFill="1" applyBorder="1" applyAlignment="1">
      <x:alignment horizontal="center" vertical="center"/>
    </x:xf>
    <x:xf numFmtId="0" fontId="1" fillId="33" borderId="52" xfId="4" applyFill="1" applyBorder="1" applyAlignment="1">
      <x:alignment horizontal="center" vertical="center"/>
    </x:xf>
    <x:xf numFmtId="0" fontId="1" fillId="0" borderId="18" xfId="4" applyBorder="1" applyAlignment="1">
      <x:alignment horizontal="left"/>
    </x:xf>
    <x:xf numFmtId="0" fontId="1" fillId="0" borderId="13" xfId="4" applyBorder="1" applyAlignment="1">
      <x:alignment horizontal="left"/>
    </x:xf>
    <x:xf numFmtId="0" fontId="1" fillId="33" borderId="64" xfId="4" applyFill="1" applyBorder="1" applyAlignment="1">
      <x:alignment horizontal="center" vertical="center"/>
    </x:xf>
    <x:xf numFmtId="0" fontId="1" fillId="0" borderId="0" xfId="4" applyAlignment="1">
      <x:alignment horizontal="left" vertical="center"/>
    </x:xf>
    <x:xf numFmtId="0" fontId="1" fillId="33" borderId="19" xfId="4" applyFill="1" applyBorder="1" applyAlignment="1">
      <x:alignment horizontal="center" vertical="center"/>
    </x:xf>
    <x:xf numFmtId="0" fontId="1" fillId="33" borderId="20" xfId="4" applyFill="1" applyBorder="1" applyAlignment="1">
      <x:alignment horizontal="center" vertical="center"/>
    </x:xf>
    <x:xf numFmtId="0" fontId="1" fillId="0" borderId="24" xfId="4" applyBorder="1"/>
    <x:xf numFmtId="0" fontId="1" fillId="0" borderId="74" xfId="4" applyBorder="1"/>
    <x:xf numFmtId="0" fontId="1" fillId="0" borderId="74" xfId="4" applyBorder="1" applyAlignment="1">
      <x:alignment horizontal="center"/>
    </x:xf>
    <x:xf numFmtId="0" fontId="1" fillId="0" borderId="13" xfId="4" applyBorder="1"/>
    <x:xf numFmtId="0" fontId="1" fillId="0" borderId="12" xfId="4" applyBorder="1" applyAlignment="1">
      <x:alignment horizontal="center"/>
    </x:xf>
    <x:xf numFmtId="0" fontId="1" fillId="33" borderId="38" xfId="4" applyFill="1" applyBorder="1" applyAlignment="1">
      <x:alignment horizontal="center" vertical="center"/>
    </x:xf>
    <x:xf numFmtId="0" fontId="1" fillId="33" borderId="1" xfId="4" applyFill="1" applyBorder="1" applyAlignment="1">
      <x:alignment horizontal="center" vertical="center"/>
    </x:xf>
    <x:xf numFmtId="0" fontId="1" fillId="33" borderId="29" xfId="4" applyFill="1" applyBorder="1" applyAlignment="1">
      <x:alignment horizontal="center" vertical="center"/>
    </x:xf>
    <x:xf numFmtId="0" fontId="1" fillId="0" borderId="18" xfId="4" applyBorder="1"/>
    <x:xf numFmtId="0" fontId="1" fillId="0" borderId="76" xfId="4" applyBorder="1" applyAlignment="1">
      <x:alignment horizontal="left" vertical="center"/>
    </x:xf>
    <x:xf numFmtId="0" fontId="1" fillId="0" borderId="8" xfId="4" applyBorder="1"/>
    <x:xf numFmtId="0" fontId="1" fillId="33" borderId="4" xfId="4" applyFill="1" applyBorder="1" applyAlignment="1">
      <x:alignment horizontal="center" vertical="center"/>
    </x:xf>
    <x:xf numFmtId="0" fontId="1" fillId="0" borderId="8" xfId="4" applyBorder="1" applyAlignment="1">
      <x:alignment horizontal="left" vertical="center"/>
    </x:xf>
    <x:xf numFmtId="0" fontId="1" fillId="0" borderId="18" xfId="4" applyBorder="1" applyAlignment="1">
      <x:alignment horizontal="left" vertical="center"/>
    </x:xf>
    <x:xf numFmtId="0" fontId="1" fillId="0" borderId="74" xfId="4" applyBorder="1" applyAlignment="1">
      <x:alignment horizontal="left" vertical="center"/>
    </x:xf>
    <x:xf numFmtId="0" fontId="1" fillId="0" borderId="8" xfId="4" applyBorder="1" applyAlignment="1">
      <x:alignment horizontal="left" vertical="top" wrapText="1"/>
    </x:xf>
    <x:xf numFmtId="0" fontId="1" fillId="0" borderId="24" xfId="4" applyBorder="1" applyAlignment="1">
      <x:alignment horizontal="left" vertical="top" wrapText="1"/>
    </x:xf>
    <x:xf numFmtId="0" fontId="1" fillId="0" borderId="13" xfId="4" applyBorder="1" applyAlignment="1">
      <x:alignment horizontal="left" vertical="top" wrapText="1"/>
    </x:xf>
    <x:xf numFmtId="0" fontId="1" fillId="44" borderId="38" xfId="4" applyFill="1" applyBorder="1" applyAlignment="1">
      <x:alignment horizontal="center" vertical="center"/>
    </x:xf>
    <x:xf numFmtId="0" fontId="1" fillId="0" borderId="39" xfId="4" applyBorder="1" applyAlignment="1">
      <x:alignment horizontal="center"/>
    </x:xf>
    <x:xf numFmtId="0" fontId="1" fillId="33" borderId="80" xfId="4" applyFill="1" applyBorder="1" applyAlignment="1">
      <x:alignment horizontal="center" vertical="center"/>
    </x:xf>
    <x:xf numFmtId="0" fontId="1" fillId="34" borderId="81" xfId="4" applyFill="1" applyBorder="1" applyAlignment="1">
      <x:alignment horizontal="center" vertical="center"/>
    </x:xf>
    <x:xf numFmtId="0" fontId="1" fillId="35" borderId="81" xfId="4" applyFill="1" applyBorder="1" applyAlignment="1">
      <x:alignment horizontal="center" vertical="center"/>
    </x:xf>
    <x:xf numFmtId="0" fontId="1" fillId="36" borderId="81" xfId="4" applyFill="1" applyBorder="1" applyAlignment="1">
      <x:alignment horizontal="center" vertical="center"/>
    </x:xf>
    <x:xf numFmtId="0" fontId="1" fillId="37" borderId="81" xfId="4" applyFill="1" applyBorder="1" applyAlignment="1">
      <x:alignment horizontal="center" vertical="center"/>
    </x:xf>
    <x:xf numFmtId="0" fontId="1" fillId="38" borderId="81" xfId="4" applyFill="1" applyBorder="1" applyAlignment="1">
      <x:alignment horizontal="center" vertical="center"/>
    </x:xf>
    <x:xf numFmtId="0" fontId="1" fillId="39" borderId="81" xfId="4" applyFill="1" applyBorder="1" applyAlignment="1">
      <x:alignment horizontal="center" vertical="center"/>
    </x:xf>
    <x:xf numFmtId="0" fontId="1" fillId="40" borderId="81" xfId="4" applyFill="1" applyBorder="1" applyAlignment="1">
      <x:alignment horizontal="center" vertical="center"/>
    </x:xf>
    <x:xf numFmtId="0" fontId="1" fillId="41" borderId="81" xfId="4" applyFill="1" applyBorder="1" applyAlignment="1">
      <x:alignment horizontal="center" vertical="center"/>
    </x:xf>
    <x:xf numFmtId="0" fontId="1" fillId="42" borderId="81" xfId="4" applyFill="1" applyBorder="1" applyAlignment="1">
      <x:alignment horizontal="center" vertical="center"/>
    </x:xf>
    <x:xf numFmtId="0" fontId="1" fillId="43" borderId="81" xfId="4" applyFill="1" applyBorder="1" applyAlignment="1">
      <x:alignment horizontal="center" vertical="center"/>
    </x:xf>
    <x:xf numFmtId="0" fontId="1" fillId="44" borderId="82" xfId="4" applyFill="1" applyBorder="1" applyAlignment="1">
      <x:alignment horizontal="center" vertical="center"/>
    </x:xf>
    <x:xf numFmtId="0" fontId="1" fillId="0" borderId="76" xfId="4" applyBorder="1" applyAlignment="1">
      <x:alignment horizontal="center"/>
    </x:xf>
    <x:xf numFmtId="0" fontId="1" fillId="0" borderId="18" xfId="4" applyBorder="1" applyAlignment="1">
      <x:alignment horizontal="left" vertical="top" wrapText="1"/>
    </x:xf>
    <x:xf numFmtId="0" fontId="1" fillId="0" borderId="74" xfId="4" applyBorder="1" applyAlignment="1">
      <x:alignment horizontal="left" vertical="top" wrapText="1"/>
    </x:xf>
    <x:xf numFmtId="0" fontId="1" fillId="45" borderId="8" xfId="4" applyFill="1" applyBorder="1" applyAlignment="1">
      <x:alignment horizontal="left"/>
    </x:xf>
    <x:xf numFmtId="0" fontId="1" fillId="45" borderId="24" xfId="4" applyFill="1" applyBorder="1" applyAlignment="1">
      <x:alignment horizontal="left"/>
    </x:xf>
    <x:xf numFmtId="0" fontId="1" fillId="45" borderId="24" xfId="4" applyFill="1" applyBorder="1" applyAlignment="1">
      <x:alignment horizontal="left" vertical="center"/>
    </x:xf>
    <x:xf numFmtId="0" fontId="1" fillId="45" borderId="13" xfId="4" applyFill="1" applyBorder="1" applyAlignment="1">
      <x:alignment horizontal="left"/>
    </x:xf>
    <x:xf numFmtId="0" fontId="1" fillId="0" borderId="20" xfId="4" applyBorder="1"/>
    <x:xf numFmtId="0" fontId="1" fillId="0" borderId="22" xfId="4" applyBorder="1"/>
    <x:xf numFmtId="0" fontId="1" fillId="44" borderId="20" xfId="4" applyFill="1" applyBorder="1" applyAlignment="1">
      <x:alignment horizontal="center" vertical="center"/>
    </x:xf>
    <x:xf numFmtId="0" fontId="1" fillId="0" borderId="20" xfId="4" applyBorder="1" applyAlignment="1">
      <x:alignment horizontal="center"/>
    </x:xf>
    <x:xf numFmtId="0" fontId="1" fillId="0" borderId="1" xfId="4" applyBorder="1"/>
    <x:xf numFmtId="0" fontId="1" fillId="0" borderId="5" xfId="4" applyBorder="1"/>
    <x:xf numFmtId="0" fontId="1" fillId="44" borderId="1" xfId="4" applyFill="1" applyBorder="1" applyAlignment="1">
      <x:alignment horizontal="center" vertical="center"/>
    </x:xf>
    <x:xf numFmtId="0" fontId="1" fillId="0" borderId="1" xfId="4" applyBorder="1" applyAlignment="1">
      <x:alignment horizontal="center"/>
    </x:xf>
    <x:xf numFmtId="0" fontId="9" fillId="11" borderId="5" xfId="1" applyFont="1" applyFill="1" applyBorder="1" applyAlignment="1">
      <x:alignment horizontal="center" vertical="center" textRotation="90" wrapText="1"/>
    </x:xf>
    <x:xf numFmtId="0" fontId="0" fillId="0" borderId="44" xfId="0" applyBorder="1"/>
    <x:xf numFmtId="0" fontId="0" fillId="0" borderId="22" xfId="0" applyBorder="1"/>
    <x:xf numFmtId="0" fontId="9" fillId="0" borderId="2" xfId="1" applyFont="1" applyBorder="1" applyAlignment="1">
      <x:alignment horizontal="center" vertical="center"/>
    </x:xf>
    <x:xf numFmtId="0" fontId="0" fillId="0" borderId="3" xfId="0" applyBorder="1"/>
    <x:xf numFmtId="0" fontId="0" fillId="0" borderId="2" xfId="0" applyBorder="1"/>
    <x:xf numFmtId="0" fontId="9" fillId="12" borderId="1" xfId="1" applyFont="1" applyFill="1" applyBorder="1" applyAlignment="1">
      <x:alignment horizontal="center" vertical="center" textRotation="90" wrapText="1"/>
    </x:xf>
    <x:xf numFmtId="0" fontId="0" fillId="0" borderId="20" xfId="0" applyBorder="1"/>
    <x:xf numFmtId="0" fontId="9" fillId="10" borderId="1" xfId="1" applyFont="1" applyFill="1" applyBorder="1" applyAlignment="1">
      <x:alignment horizontal="center" vertical="center" textRotation="90"/>
    </x:xf>
    <x:xf numFmtId="0" fontId="0" fillId="0" borderId="45" xfId="0" applyBorder="1"/>
    <x:xf numFmtId="0" fontId="9" fillId="6" borderId="1" xfId="1" applyFont="1" applyFill="1" applyBorder="1" applyAlignment="1">
      <x:alignment horizontal="right"/>
    </x:xf>
    <x:xf numFmtId="0" fontId="9" fillId="6" borderId="1" xfId="1" applyFont="1" applyFill="1" applyBorder="1" applyAlignment="1">
      <x:alignment horizontal="right" vertical="center"/>
    </x:xf>
    <x:xf numFmtId="0" fontId="9" fillId="8" borderId="1" xfId="1" applyFont="1" applyFill="1" applyBorder="1" applyAlignment="1">
      <x:alignment horizontal="center" vertical="center" textRotation="90"/>
    </x:xf>
    <x:xf numFmtId="0" fontId="9" fillId="0" borderId="2" xfId="1" applyFont="1" applyBorder="1" applyAlignment="1">
      <x:alignment horizontal="center" vertical="center" wrapText="1"/>
    </x:xf>
    <x:xf numFmtId="0" fontId="9" fillId="7" borderId="4" xfId="1" applyFont="1" applyFill="1" applyBorder="1" applyAlignment="1">
      <x:alignment horizontal="center" vertical="center" textRotation="90"/>
    </x:xf>
    <x:xf numFmtId="0" fontId="9" fillId="7" borderId="45" xfId="1" applyFont="1" applyFill="1" applyBorder="1" applyAlignment="1">
      <x:alignment horizontal="center" vertical="center" textRotation="90"/>
    </x:xf>
    <x:xf numFmtId="0" fontId="9" fillId="7" borderId="20" xfId="1" applyFont="1" applyFill="1" applyBorder="1" applyAlignment="1">
      <x:alignment horizontal="center" vertical="center" textRotation="90"/>
    </x:xf>
    <x:xf numFmtId="0" fontId="17" fillId="0" borderId="46" xfId="0" applyFont="1" applyBorder="1" applyAlignment="1">
      <x:alignment horizontal="center"/>
    </x:xf>
    <x:xf numFmtId="0" fontId="17" fillId="0" borderId="46" xfId="0" applyFont="1" applyBorder="1"/>
    <x:xf numFmtId="0" fontId="14" fillId="0" borderId="7" xfId="0" applyFont="1" applyBorder="1" applyAlignment="1">
      <x:alignment horizontal="center" vertical="center"/>
    </x:xf>
    <x:xf numFmtId="0" fontId="0" fillId="0" borderId="9" xfId="0" applyBorder="1"/>
    <x:xf numFmtId="0" fontId="0" fillId="0" borderId="10" xfId="0" applyBorder="1"/>
    <x:xf numFmtId="0" fontId="20" fillId="0" borderId="8" xfId="0" applyFont="1" applyBorder="1" applyAlignment="1">
      <x:alignment horizontal="center" vertical="center"/>
    </x:xf>
    <x:xf numFmtId="0" fontId="17" fillId="0" borderId="12" xfId="0" applyFont="1" applyBorder="1"/>
    <x:xf numFmtId="0" fontId="17" fillId="0" borderId="0" xfId="0" applyFont="1" applyAlignment="1">
      <x:alignment horizontal="center"/>
    </x:xf>
    <x:xf numFmtId="0" fontId="0" fillId="0" borderId="0" xfId="0"/>
    <x:xf numFmtId="0" fontId="14" fillId="0" borderId="10" xfId="0" applyFont="1" applyBorder="1" applyAlignment="1">
      <x:alignment horizontal="center" vertical="center"/>
    </x:xf>
    <x:xf numFmtId="0" fontId="17" fillId="0" borderId="47" xfId="0" applyFont="1" applyBorder="1" applyAlignment="1">
      <x:alignment horizontal="center"/>
    </x:xf>
    <x:xf numFmtId="0" fontId="17" fillId="0" borderId="47" xfId="0" applyFont="1" applyBorder="1"/>
    <x:xf numFmtId="0" fontId="0" fillId="0" borderId="47" xfId="0" applyBorder="1"/>
    <x:xf numFmtId="0" fontId="0" fillId="18" borderId="62" xfId="0" applyFill="1" applyBorder="1" applyAlignment="1">
      <x:alignment horizontal="center" vertical="center"/>
    </x:xf>
    <x:xf numFmtId="0" fontId="19" fillId="0" borderId="7" xfId="0" applyFont="1" applyBorder="1" applyAlignment="1">
      <x:alignment horizontal="center" vertical="center"/>
    </x:xf>
    <x:xf numFmtId="0" fontId="0" fillId="0" borderId="46" xfId="0" applyBorder="1"/>
    <x:xf numFmtId="0" fontId="20" fillId="0" borderId="7" xfId="0" applyFont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7" fillId="0" borderId="40" xfId="0" applyFont="1" applyBorder="1" applyAlignment="1">
      <x:alignment horizontal="center"/>
    </x:xf>
    <x:xf numFmtId="0" fontId="0" fillId="0" borderId="40" xfId="0" applyBorder="1"/>
    <x:xf numFmtId="0" fontId="17" fillId="0" borderId="47" xfId="0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17" fillId="0" borderId="40" xfId="0" applyFont="1" applyBorder="1" applyAlignment="1">
      <x:alignment horizontal="center" vertical="center"/>
    </x:xf>
    <x:xf numFmtId="0" fontId="0" fillId="0" borderId="12" xfId="0" applyBorder="1"/>
    <x:xf numFmtId="0" fontId="32" fillId="0" borderId="8" xfId="4" applyFont="1" applyBorder="1" applyAlignment="1">
      <x:alignment horizontal="center" vertical="center" textRotation="90" wrapText="1"/>
    </x:xf>
    <x:xf numFmtId="0" fontId="32" fillId="0" borderId="24" xfId="4" applyFont="1" applyBorder="1" applyAlignment="1">
      <x:alignment horizontal="center" vertical="center" textRotation="90" wrapText="1"/>
    </x:xf>
    <x:xf numFmtId="0" fontId="32" fillId="0" borderId="13" xfId="4" applyFont="1" applyBorder="1" applyAlignment="1">
      <x:alignment horizontal="center" vertical="center" textRotation="90" wrapText="1"/>
    </x:xf>
    <x:xf numFmtId="0" fontId="1" fillId="0" borderId="1" xfId="4" applyBorder="1" applyAlignment="1">
      <x:alignment horizontal="center" vertical="center"/>
    </x:xf>
    <x:xf numFmtId="0" fontId="1" fillId="0" borderId="1" xfId="4" applyBorder="1" applyAlignment="1">
      <x:alignment horizontal="left" vertical="center"/>
    </x:xf>
    <x:xf numFmtId="0" fontId="29" fillId="0" borderId="8" xfId="4" applyFont="1" applyBorder="1" applyAlignment="1">
      <x:alignment horizontal="center" vertical="center" textRotation="90" wrapText="1"/>
    </x:xf>
    <x:xf numFmtId="0" fontId="29" fillId="0" borderId="24" xfId="4" applyFont="1" applyBorder="1" applyAlignment="1">
      <x:alignment horizontal="center" vertical="center" textRotation="90" wrapText="1"/>
    </x:xf>
    <x:xf numFmtId="0" fontId="29" fillId="0" borderId="74" xfId="4" applyFont="1" applyBorder="1" applyAlignment="1">
      <x:alignment horizontal="center" vertical="center" textRotation="90" wrapText="1"/>
    </x:xf>
    <x:xf numFmtId="0" fontId="29" fillId="0" borderId="13" xfId="4" applyFont="1" applyBorder="1" applyAlignment="1">
      <x:alignment horizontal="center" vertical="center" textRotation="90" wrapText="1"/>
    </x:xf>
    <x:xf numFmtId="0" fontId="31" fillId="0" borderId="8" xfId="4" applyFont="1" applyBorder="1" applyAlignment="1">
      <x:alignment horizontal="center" vertical="center" textRotation="90" wrapText="1"/>
    </x:xf>
    <x:xf numFmtId="0" fontId="31" fillId="0" borderId="24" xfId="4" applyFont="1" applyBorder="1" applyAlignment="1">
      <x:alignment horizontal="center" vertical="center" textRotation="90" wrapText="1"/>
    </x:xf>
    <x:xf numFmtId="0" fontId="31" fillId="0" borderId="13" xfId="4" applyFont="1" applyBorder="1" applyAlignment="1">
      <x:alignment horizontal="center" vertical="center" textRotation="90" wrapText="1"/>
    </x:xf>
    <x:xf numFmtId="0" fontId="29" fillId="0" borderId="77" xfId="4" applyFont="1" applyBorder="1" applyAlignment="1">
      <x:alignment horizontal="center" vertical="center" textRotation="90" wrapText="1"/>
    </x:xf>
    <x:xf numFmtId="0" fontId="29" fillId="0" borderId="78" xfId="4" applyFont="1" applyBorder="1" applyAlignment="1">
      <x:alignment horizontal="center" vertical="center" textRotation="90" wrapText="1"/>
    </x:xf>
    <x:xf numFmtId="0" fontId="29" fillId="0" borderId="79" xfId="4" applyFont="1" applyBorder="1" applyAlignment="1">
      <x:alignment horizontal="center" vertical="center" textRotation="90" wrapText="1"/>
    </x:xf>
    <x:xf numFmtId="0" fontId="29" fillId="0" borderId="70" xfId="4" applyFont="1" applyBorder="1" applyAlignment="1">
      <x:alignment horizontal="center" vertical="center" textRotation="90" wrapText="1"/>
    </x:xf>
    <x:xf numFmtId="0" fontId="29" fillId="0" borderId="60" xfId="4" applyFont="1" applyBorder="1" applyAlignment="1">
      <x:alignment horizontal="center" vertical="center" textRotation="90" wrapText="1"/>
    </x:xf>
    <x:xf numFmtId="0" fontId="29" fillId="0" borderId="75" xfId="4" applyFont="1" applyBorder="1" applyAlignment="1">
      <x:alignment horizontal="center" vertical="center" textRotation="90" wrapText="1"/>
    </x:xf>
    <x:xf numFmtId="0" fontId="29" fillId="0" borderId="50" xfId="4" applyFont="1" applyBorder="1" applyAlignment="1">
      <x:alignment horizontal="center" vertical="center" textRotation="90" wrapText="1"/>
    </x:xf>
    <x:xf numFmtId="0" fontId="29" fillId="0" borderId="73" xfId="4" applyFont="1" applyBorder="1" applyAlignment="1">
      <x:alignment horizontal="center" vertical="center" textRotation="90" wrapText="1"/>
    </x:xf>
    <x:xf numFmtId="0" fontId="1" fillId="0" borderId="1" xfId="4" applyBorder="1" applyAlignment="1">
      <x:alignment horizontal="left" vertical="center" wrapText="1"/>
    </x:xf>
    <x:xf numFmtId="0" fontId="29" fillId="0" borderId="18" xfId="4" applyFont="1" applyBorder="1" applyAlignment="1">
      <x:alignment horizontal="center" vertical="center" textRotation="90" wrapText="1"/>
    </x:xf>
    <x:xf numFmtId="0" fontId="32" fillId="0" borderId="18" xfId="4" applyFont="1" applyBorder="1" applyAlignment="1">
      <x:alignment horizontal="center" vertical="center" textRotation="90" wrapText="1"/>
    </x:xf>
    <x:xf numFmtId="0" fontId="29" fillId="0" borderId="8" xfId="4" applyFont="1" applyBorder="1" applyAlignment="1">
      <x:alignment horizontal="center" vertical="center" textRotation="90"/>
    </x:xf>
    <x:xf numFmtId="0" fontId="29" fillId="0" borderId="24" xfId="4" applyFont="1" applyBorder="1" applyAlignment="1">
      <x:alignment horizontal="center" vertical="center" textRotation="90"/>
    </x:xf>
    <x:xf numFmtId="0" fontId="29" fillId="0" borderId="74" xfId="4" applyFont="1" applyBorder="1" applyAlignment="1">
      <x:alignment horizontal="center" vertical="center" textRotation="90"/>
    </x:xf>
    <x:xf numFmtId="0" fontId="29" fillId="0" borderId="13" xfId="4" applyFont="1" applyBorder="1" applyAlignment="1">
      <x:alignment horizontal="center" vertical="center" textRotation="90"/>
    </x:xf>
    <x:xf numFmtId="0" fontId="32" fillId="0" borderId="8" xfId="4" applyFont="1" applyBorder="1" applyAlignment="1">
      <x:alignment horizontal="center" vertical="center" textRotation="90"/>
    </x:xf>
    <x:xf numFmtId="0" fontId="32" fillId="0" borderId="24" xfId="4" applyFont="1" applyBorder="1" applyAlignment="1">
      <x:alignment horizontal="center" vertical="center" textRotation="90"/>
    </x:xf>
    <x:xf numFmtId="0" fontId="32" fillId="0" borderId="13" xfId="4" applyFont="1" applyBorder="1" applyAlignment="1">
      <x:alignment horizontal="center" vertical="center" textRotation="90"/>
    </x:xf>
    <x:xf numFmtId="0" fontId="29" fillId="0" borderId="18" xfId="4" applyFont="1" applyBorder="1" applyAlignment="1">
      <x:alignment horizontal="center" vertical="center" textRotation="90"/>
    </x:xf>
    <x:xf numFmtId="0" fontId="31" fillId="0" borderId="76" xfId="4" applyFont="1" applyBorder="1" applyAlignment="1">
      <x:alignment horizontal="center" vertical="center" textRotation="90"/>
    </x:xf>
    <x:xf numFmtId="0" fontId="31" fillId="0" borderId="43" xfId="4" applyFont="1" applyBorder="1" applyAlignment="1">
      <x:alignment horizontal="center" vertical="center" textRotation="90"/>
    </x:xf>
    <x:xf numFmtId="0" fontId="31" fillId="0" borderId="12" xfId="4" applyFont="1" applyBorder="1" applyAlignment="1">
      <x:alignment horizontal="center" vertical="center" textRotation="90"/>
    </x:xf>
    <x:xf numFmtId="0" fontId="25" fillId="0" borderId="70" xfId="4" applyFont="1" applyBorder="1" applyAlignment="1">
      <x:alignment horizontal="center" vertical="center"/>
    </x:xf>
    <x:xf numFmtId="0" fontId="25" fillId="0" borderId="52" xfId="4" applyFont="1" applyBorder="1" applyAlignment="1">
      <x:alignment horizontal="center" vertical="center"/>
    </x:xf>
    <x:xf numFmtId="0" fontId="25" fillId="0" borderId="38" xfId="4" applyFont="1" applyBorder="1" applyAlignment="1">
      <x:alignment horizontal="center" vertical="center"/>
    </x:xf>
    <x:xf numFmtId="0" fontId="25" fillId="0" borderId="71" xfId="4" applyFont="1" applyBorder="1" applyAlignment="1">
      <x:alignment horizontal="center" vertical="center"/>
    </x:xf>
    <x:xf numFmtId="0" fontId="26" fillId="0" borderId="8" xfId="4" applyFont="1" applyBorder="1" applyAlignment="1">
      <x:alignment horizontal="center" vertical="center"/>
    </x:xf>
    <x:xf numFmtId="0" fontId="28" fillId="0" borderId="13" xfId="4" applyFont="1" applyBorder="1" applyAlignment="1">
      <x:alignment horizontal="center" vertical="center"/>
    </x:xf>
    <x:xf numFmtId="0" fontId="8" fillId="4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5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6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6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7" borderId="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7" borderId="45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2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7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8" borderId="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9" borderId="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10" borderId="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1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11" borderId="5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11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12" borderId="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1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7" borderId="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1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6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6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7" borderId="2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47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6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46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5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7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17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6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6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5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18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7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15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1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6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7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1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8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1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47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17" borderId="2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17" borderId="6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47" borderId="1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7" borderId="6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15" borderId="6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7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1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7" borderId="2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15" borderId="1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8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8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6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9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15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17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8" fillId="17" borderId="6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15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9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7" borderId="6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15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8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9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1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1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9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8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5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6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7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8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9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0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1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1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0" borderId="8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" fillId="9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8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5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6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7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8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9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0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1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1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9" fillId="0" borderId="4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" fillId="0" borderId="3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5" fillId="50" borderId="8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0" borderId="8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2" borderId="8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49" borderId="8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8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">
    <x:cellStyle name="Обычный" xfId="0" builtinId="0"/>
    <x:cellStyle name="Обычный 2" xfId="1" xr:uid="{00000000-0005-0000-0000-000001000000}"/>
    <x:cellStyle name="Обычный 3" xfId="4" xr:uid="{7A859B9F-AC1D-48D0-84F5-217FE2953D33}"/>
    <x:cellStyle name="Плохой" xfId="2" builtinId="27"/>
    <x:cellStyle name="Хороший" xfId="3" builtinId="26"/>
  </x:cellStyles>
  <x:dxfs count="9"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ill>
        <x:patternFill patternType="solid">
          <x:fgColor auto="1"/>
          <x:bgColor rgb="FF00EE6C"/>
        </x:patternFill>
      </x:fill>
    </x:dxf>
    <x:dxf>
      <x:fill>
        <x:patternFill patternType="solid">
          <x:fgColor auto="1"/>
          <x:bgColor rgb="FFFFFF8B"/>
        </x:patternFill>
      </x:fill>
    </x:dxf>
    <x:dxf>
      <x:fill>
        <x:patternFill patternType="solid">
          <x:fgColor auto="1"/>
          <x:bgColor rgb="FFFF7575"/>
        </x:patternFill>
      </x:fill>
    </x:dxf>
    <x:dxf>
      <x:fill>
        <x:patternFill patternType="solid">
          <x:fgColor auto="1"/>
          <x:bgColor theme="4" tint="0.7998901333658864"/>
        </x:patternFill>
      </x:fill>
    </x:dxf>
    <x:dxf>
      <x:fill>
        <x:patternFill patternType="solid">
          <x:fgColor auto="1"/>
          <x:bgColor theme="8" tint="0.7998901333658864"/>
        </x:patternFill>
      </x:fill>
    </x:dxf>
    <x:dxf>
      <x:fill>
        <x:patternFill patternType="solid">
          <x:fgColor auto="1"/>
          <x:bgColor theme="7" tint="0.7998901333658864"/>
        </x:patternFill>
      </x:fill>
    </x:dxf>
    <x:dxf>
      <x:fill>
        <x:patternFill patternType="solid">
          <x:fgColor auto="1"/>
          <x:bgColor indexed="5"/>
        </x:patternFill>
      </x:fill>
    </x:dxf>
    <x:dxf>
      <x:fill>
        <x:patternFill patternType="solid">
          <x:fgColor auto="1"/>
          <x:bgColor rgb="00F2F2F2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styles" Target="styles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calcChain" Target="calcChain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externalLink" Target="externalLinks/externalLink2.xml" Id="rId37" /><Relationship Type="http://schemas.openxmlformats.org/officeDocument/2006/relationships/sharedStrings" Target="sharedStrings.xml" Id="rId40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externalLink" Target="externalLinks/externalLink1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theme" Target="theme/theme1.xml" Id="rId38" /><Relationship Type="http://schemas.openxmlformats.org/officeDocument/2006/relationships/worksheet" Target="/xl/worksheets/sheet36.xml" Id="rId42" /><Relationship Type="http://schemas.openxmlformats.org/officeDocument/2006/relationships/worksheet" Target="/xl/worksheets/sheet37.xml" Id="rId43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-03122421C9/Desktop/3.%20&#1055;&#1088;&#1086;&#1075;&#1088;&#1072;&#1084;&#1084;&#1099;/13.%20&#1040;&#1085;&#1072;&#1083;&#1080;&#1079;%20&#1087;&#1088;&#1086;&#1093;&#1086;&#1078;&#1076;&#1077;&#1085;&#1080;&#1103;%20&#1085;&#1086;&#1074;&#1099;&#1081;%20&#1092;&#1086;&#1088;&#1084;&#1072;&#1090;/output/&#1040;&#1085;&#1072;&#1083;&#1080;&#1079;_&#1087;&#1088;&#1086;&#1093;&#1086;&#1078;&#1076;&#1077;&#1085;&#1080;&#1103;_&#1088;&#1077;&#1079;&#1091;&#1083;&#1100;&#1090;&#1072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.%20&#1055;&#1088;&#1086;&#1075;&#1088;&#1072;&#1084;&#1084;&#1099;\&#1040;&#1085;&#1072;&#1083;&#1080;&#1079;%20&#1087;&#1088;&#1086;&#1093;&#1086;&#1078;&#1076;&#1077;&#1085;&#1080;&#1103;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Р"/>
      <sheetName val="Сводная"/>
      <sheetName val="ЭЛОУ-АВТ-6"/>
      <sheetName val="ГФУ-2"/>
      <sheetName val="ВБ"/>
      <sheetName val="УПБ"/>
      <sheetName val="ЛЧ_35_11_1000"/>
      <sheetName val="УИЛН+КЦА"/>
      <sheetName val="ЛЧ_24_2000"/>
      <sheetName val="Л 24_5"/>
      <sheetName val="МТБЭ"/>
      <sheetName val="ГОБКК"/>
      <sheetName val="УПС"/>
      <sheetName val="УПВ"/>
      <sheetName val="ФУиУСУГиП"/>
      <sheetName val="ТАМЕ"/>
      <sheetName val="Г-43-107"/>
      <sheetName val="КУПН"/>
      <sheetName val="УПА"/>
      <sheetName val="Котельные"/>
      <sheetName val="ЦВК"/>
      <sheetName val="ХВП"/>
      <sheetName val="ГРС"/>
      <sheetName val="АСБиКТ"/>
      <sheetName val="СНМиВГ"/>
      <sheetName val="БРиДТ"/>
      <sheetName val="РХиПНО"/>
      <sheetName val="ЭНСН"/>
      <sheetName val="КОС"/>
      <sheetName val="БОВ-8а"/>
      <sheetName val="ЦУП"/>
      <sheetName val="Шаблон"/>
      <sheetName val="Новые сотрудники"/>
      <sheetName val="Отчёт обработ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0">
          <cell r="C30">
            <v>0</v>
          </cell>
          <cell r="I30">
            <v>0</v>
          </cell>
          <cell r="O30">
            <v>0</v>
          </cell>
          <cell r="U30">
            <v>0</v>
          </cell>
          <cell r="AA30">
            <v>0</v>
          </cell>
          <cell r="AG30">
            <v>0</v>
          </cell>
          <cell r="AM30">
            <v>8</v>
          </cell>
          <cell r="AS30">
            <v>21</v>
          </cell>
          <cell r="AY30">
            <v>0</v>
          </cell>
          <cell r="BE30">
            <v>0</v>
          </cell>
          <cell r="BK30">
            <v>0</v>
          </cell>
          <cell r="BQ3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4">
          <cell r="C24">
            <v>0</v>
          </cell>
          <cell r="I24">
            <v>0</v>
          </cell>
          <cell r="O24">
            <v>0</v>
          </cell>
          <cell r="U24">
            <v>0</v>
          </cell>
          <cell r="AA24">
            <v>0</v>
          </cell>
          <cell r="AG24">
            <v>0</v>
          </cell>
          <cell r="AM24">
            <v>0</v>
          </cell>
          <cell r="AS24">
            <v>0</v>
          </cell>
          <cell r="AY24">
            <v>0</v>
          </cell>
          <cell r="BE24">
            <v>0</v>
          </cell>
          <cell r="BK24">
            <v>0</v>
          </cell>
          <cell r="BQ24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Р"/>
      <sheetName val="УЦ vs МНПЗ"/>
      <sheetName val="Статистика новичков"/>
      <sheetName val="Сценарии"/>
      <sheetName val="03_нюансы"/>
      <sheetName val="04_нюансы"/>
      <sheetName val="Персонал"/>
      <sheetName val="06_нюансы"/>
      <sheetName val="07_нюансы"/>
      <sheetName val="08_нюансы"/>
      <sheetName val="09_нюансы"/>
      <sheetName val="10_нюансы"/>
      <sheetName val="11_нюансы"/>
      <sheetName val="12_нюансы"/>
      <sheetName val="Общая статистика"/>
      <sheetName val="ЭЛОУ-АВТ-6"/>
      <sheetName val="ГФУ-2"/>
      <sheetName val="АТ-ВБ"/>
      <sheetName val="УПБ"/>
      <sheetName val="ЛЧ-35_11-1000"/>
      <sheetName val="УИЛН+КЦА"/>
      <sheetName val="ЛЧ-24-2000"/>
      <sheetName val="МТБЭ"/>
      <sheetName val="ГОБКК"/>
      <sheetName val="УПС"/>
      <sheetName val="УПВ"/>
      <sheetName val="ФУ и УСУГиП"/>
      <sheetName val="Г-43-107"/>
      <sheetName val="Г-43-107 маш."/>
      <sheetName val="КУПН"/>
      <sheetName val="УПА"/>
      <sheetName val="Котельные"/>
      <sheetName val="75_24"/>
      <sheetName val="ЦВК"/>
      <sheetName val="ХВП"/>
      <sheetName val="ГРС"/>
      <sheetName val="АСБиКТ"/>
      <sheetName val="СНМиВГ"/>
      <sheetName val="БРиДТ"/>
      <sheetName val="РХиПНО"/>
      <sheetName val="ЭНСН"/>
      <sheetName val="КОС"/>
      <sheetName val="РНК ЦУП"/>
      <sheetName val="ИТР ЦУП"/>
      <sheetName val="График посещаемост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E3" t="str">
            <v>Да</v>
          </cell>
          <cell r="I3" t="str">
            <v>Да</v>
          </cell>
          <cell r="O3" t="str">
            <v>Да</v>
          </cell>
          <cell r="U3" t="str">
            <v>Да</v>
          </cell>
          <cell r="AA3" t="str">
            <v>Да</v>
          </cell>
          <cell r="AF3" t="str">
            <v>Да</v>
          </cell>
          <cell r="AK3" t="str">
            <v>Да</v>
          </cell>
          <cell r="AR3" t="str">
            <v>Да</v>
          </cell>
          <cell r="AX3" t="str">
            <v>Да</v>
          </cell>
          <cell r="BD3" t="str">
            <v>Да</v>
          </cell>
          <cell r="BJ3" t="str">
            <v>Да</v>
          </cell>
          <cell r="BP3" t="str">
            <v>Да</v>
          </cell>
        </row>
        <row r="4">
          <cell r="E4" t="str">
            <v>Да</v>
          </cell>
          <cell r="I4" t="str">
            <v>Да</v>
          </cell>
          <cell r="O4" t="str">
            <v>Да</v>
          </cell>
          <cell r="U4" t="str">
            <v>Да</v>
          </cell>
          <cell r="AA4" t="str">
            <v>Да</v>
          </cell>
          <cell r="AF4" t="str">
            <v>Да</v>
          </cell>
          <cell r="AK4" t="str">
            <v>Да</v>
          </cell>
          <cell r="AR4" t="str">
            <v>Да</v>
          </cell>
          <cell r="AX4" t="str">
            <v>Да</v>
          </cell>
          <cell r="BD4" t="str">
            <v>Нет</v>
          </cell>
          <cell r="BJ4" t="str">
            <v>Да</v>
          </cell>
          <cell r="BP4" t="str">
            <v>Да</v>
          </cell>
        </row>
        <row r="5">
          <cell r="E5" t="str">
            <v>Да</v>
          </cell>
          <cell r="I5" t="str">
            <v>Да</v>
          </cell>
          <cell r="O5" t="str">
            <v>Да</v>
          </cell>
          <cell r="U5" t="str">
            <v>Да</v>
          </cell>
          <cell r="AA5" t="str">
            <v>Да</v>
          </cell>
          <cell r="AF5" t="str">
            <v>Да</v>
          </cell>
          <cell r="AK5" t="str">
            <v>Да</v>
          </cell>
          <cell r="AR5" t="str">
            <v>Да</v>
          </cell>
          <cell r="AX5" t="str">
            <v>Да</v>
          </cell>
          <cell r="BD5" t="str">
            <v>Да</v>
          </cell>
          <cell r="BJ5" t="str">
            <v>Да</v>
          </cell>
          <cell r="BP5" t="str">
            <v>Да</v>
          </cell>
        </row>
        <row r="6">
          <cell r="E6" t="str">
            <v>Да</v>
          </cell>
          <cell r="I6" t="str">
            <v>Да</v>
          </cell>
          <cell r="O6" t="str">
            <v>Нет</v>
          </cell>
          <cell r="U6" t="str">
            <v>Нет</v>
          </cell>
          <cell r="AA6" t="str">
            <v>Да</v>
          </cell>
          <cell r="AF6" t="str">
            <v>Нет</v>
          </cell>
          <cell r="AK6" t="str">
            <v>Да</v>
          </cell>
          <cell r="AR6" t="str">
            <v>Да</v>
          </cell>
          <cell r="AX6" t="str">
            <v>Да</v>
          </cell>
          <cell r="BD6" t="str">
            <v>Да</v>
          </cell>
          <cell r="BJ6" t="str">
            <v>Да</v>
          </cell>
          <cell r="BP6" t="str">
            <v>Да</v>
          </cell>
        </row>
        <row r="7">
          <cell r="E7" t="str">
            <v>Да</v>
          </cell>
          <cell r="I7" t="str">
            <v>Да</v>
          </cell>
          <cell r="O7" t="str">
            <v>Да</v>
          </cell>
          <cell r="U7" t="str">
            <v>Да</v>
          </cell>
          <cell r="AA7" t="str">
            <v>Да</v>
          </cell>
          <cell r="AF7" t="str">
            <v>Да</v>
          </cell>
          <cell r="AK7" t="str">
            <v>Да</v>
          </cell>
          <cell r="AR7" t="str">
            <v>Да</v>
          </cell>
          <cell r="AX7" t="str">
            <v>Да</v>
          </cell>
          <cell r="BD7" t="str">
            <v>Да</v>
          </cell>
          <cell r="BJ7" t="str">
            <v>Да</v>
          </cell>
          <cell r="BP7" t="str">
            <v>Да</v>
          </cell>
        </row>
        <row r="8">
          <cell r="E8" t="str">
            <v>Да</v>
          </cell>
          <cell r="I8" t="str">
            <v>Да</v>
          </cell>
          <cell r="O8" t="str">
            <v>Да</v>
          </cell>
          <cell r="U8" t="str">
            <v>Да</v>
          </cell>
          <cell r="AA8" t="str">
            <v>Да</v>
          </cell>
          <cell r="AF8" t="str">
            <v>Да</v>
          </cell>
          <cell r="AK8" t="str">
            <v>Да</v>
          </cell>
          <cell r="AR8" t="str">
            <v>Да</v>
          </cell>
          <cell r="AX8" t="str">
            <v>Да</v>
          </cell>
          <cell r="BD8" t="str">
            <v>Да</v>
          </cell>
          <cell r="BJ8" t="str">
            <v>Да</v>
          </cell>
          <cell r="BP8" t="str">
            <v>Да</v>
          </cell>
        </row>
        <row r="9">
          <cell r="E9" t="str">
            <v>Нет</v>
          </cell>
          <cell r="I9" t="str">
            <v>Да</v>
          </cell>
          <cell r="O9" t="str">
            <v>Да</v>
          </cell>
          <cell r="U9" t="str">
            <v>Да</v>
          </cell>
          <cell r="AA9" t="str">
            <v>Да</v>
          </cell>
          <cell r="AF9" t="str">
            <v>Да</v>
          </cell>
          <cell r="AK9" t="str">
            <v>Да</v>
          </cell>
          <cell r="AR9" t="str">
            <v>Да</v>
          </cell>
          <cell r="AX9" t="str">
            <v>Да</v>
          </cell>
          <cell r="BD9" t="str">
            <v>Да</v>
          </cell>
          <cell r="BJ9" t="str">
            <v>Да</v>
          </cell>
          <cell r="BP9" t="str">
            <v>Да</v>
          </cell>
        </row>
        <row r="10">
          <cell r="E10" t="str">
            <v>Да</v>
          </cell>
          <cell r="I10" t="str">
            <v>Нет</v>
          </cell>
          <cell r="O10" t="str">
            <v>Да</v>
          </cell>
          <cell r="U10" t="str">
            <v>Да</v>
          </cell>
          <cell r="AA10" t="str">
            <v>Да</v>
          </cell>
          <cell r="AF10" t="str">
            <v>Да</v>
          </cell>
          <cell r="AK10" t="str">
            <v>Да</v>
          </cell>
          <cell r="AR10" t="str">
            <v>Да</v>
          </cell>
          <cell r="AX10" t="str">
            <v>Да</v>
          </cell>
          <cell r="BD10" t="str">
            <v>Да</v>
          </cell>
          <cell r="BJ10" t="str">
            <v>Да</v>
          </cell>
          <cell r="BP10" t="str">
            <v>Да</v>
          </cell>
        </row>
        <row r="11">
          <cell r="E11" t="str">
            <v>Да</v>
          </cell>
          <cell r="I11" t="str">
            <v>Да</v>
          </cell>
          <cell r="O11" t="str">
            <v>Да</v>
          </cell>
          <cell r="U11" t="str">
            <v>Да</v>
          </cell>
          <cell r="AA11" t="str">
            <v>Да</v>
          </cell>
          <cell r="AF11" t="str">
            <v>Да</v>
          </cell>
          <cell r="AK11" t="str">
            <v>Да</v>
          </cell>
          <cell r="AR11" t="str">
            <v>Да</v>
          </cell>
          <cell r="AX11" t="str">
            <v>Да</v>
          </cell>
          <cell r="BD11" t="str">
            <v>Да</v>
          </cell>
          <cell r="BJ11" t="str">
            <v>Да</v>
          </cell>
          <cell r="BP11" t="str">
            <v>Да</v>
          </cell>
        </row>
        <row r="12">
          <cell r="E12" t="str">
            <v>Да</v>
          </cell>
          <cell r="I12" t="str">
            <v>Да</v>
          </cell>
          <cell r="O12" t="str">
            <v>Да</v>
          </cell>
          <cell r="U12" t="str">
            <v>Да</v>
          </cell>
          <cell r="AA12" t="str">
            <v>Да</v>
          </cell>
          <cell r="AF12" t="str">
            <v>Да</v>
          </cell>
          <cell r="AK12" t="str">
            <v>Да</v>
          </cell>
          <cell r="AR12" t="str">
            <v>Да</v>
          </cell>
          <cell r="AX12" t="str">
            <v>Да</v>
          </cell>
          <cell r="BD12" t="str">
            <v>Да</v>
          </cell>
          <cell r="BJ12" t="str">
            <v>Да</v>
          </cell>
          <cell r="BP12" t="str">
            <v>Да</v>
          </cell>
        </row>
        <row r="13">
          <cell r="E13" t="str">
            <v>Да</v>
          </cell>
          <cell r="I13" t="str">
            <v>Да</v>
          </cell>
          <cell r="O13" t="str">
            <v>Да</v>
          </cell>
          <cell r="U13" t="str">
            <v>Да</v>
          </cell>
          <cell r="AA13" t="str">
            <v>Да</v>
          </cell>
          <cell r="AF13" t="str">
            <v>Да</v>
          </cell>
          <cell r="AK13" t="str">
            <v>Да</v>
          </cell>
          <cell r="AR13" t="str">
            <v>Да</v>
          </cell>
          <cell r="AX13" t="str">
            <v>Да</v>
          </cell>
          <cell r="BD13" t="str">
            <v>Да</v>
          </cell>
          <cell r="BJ13" t="str">
            <v>Да</v>
          </cell>
          <cell r="BP13" t="str">
            <v>Да</v>
          </cell>
        </row>
        <row r="14">
          <cell r="E14" t="str">
            <v>Да</v>
          </cell>
          <cell r="I14" t="str">
            <v>Да</v>
          </cell>
          <cell r="O14" t="str">
            <v>Да</v>
          </cell>
          <cell r="U14" t="str">
            <v>Да</v>
          </cell>
          <cell r="AA14" t="str">
            <v>Да</v>
          </cell>
          <cell r="AF14" t="str">
            <v>Да</v>
          </cell>
          <cell r="AK14" t="str">
            <v>Да</v>
          </cell>
          <cell r="AR14" t="str">
            <v>Нет</v>
          </cell>
          <cell r="AX14" t="str">
            <v>Да</v>
          </cell>
          <cell r="BD14" t="str">
            <v>Да</v>
          </cell>
          <cell r="BJ14" t="str">
            <v>Да</v>
          </cell>
          <cell r="BP14" t="str">
            <v>Да</v>
          </cell>
        </row>
        <row r="15">
          <cell r="E15" t="str">
            <v>Нет</v>
          </cell>
          <cell r="I15" t="str">
            <v>Да</v>
          </cell>
          <cell r="O15" t="str">
            <v>Да</v>
          </cell>
          <cell r="U15" t="str">
            <v>Да</v>
          </cell>
          <cell r="AA15" t="str">
            <v>Да</v>
          </cell>
          <cell r="AF15" t="str">
            <v>Да</v>
          </cell>
          <cell r="AK15" t="str">
            <v>Да</v>
          </cell>
          <cell r="AR15" t="str">
            <v>Да</v>
          </cell>
          <cell r="AX15" t="str">
            <v>Да</v>
          </cell>
          <cell r="BD15" t="str">
            <v>Да</v>
          </cell>
          <cell r="BJ15" t="str">
            <v>Да</v>
          </cell>
          <cell r="BP15" t="str">
            <v>Да</v>
          </cell>
        </row>
        <row r="16">
          <cell r="E16" t="str">
            <v>Да</v>
          </cell>
          <cell r="I16" t="str">
            <v>Да</v>
          </cell>
          <cell r="O16" t="str">
            <v>Да</v>
          </cell>
          <cell r="U16" t="str">
            <v>Да</v>
          </cell>
          <cell r="AA16" t="str">
            <v>Да</v>
          </cell>
          <cell r="AF16" t="str">
            <v>Да</v>
          </cell>
          <cell r="AK16" t="str">
            <v>Да</v>
          </cell>
          <cell r="AR16" t="str">
            <v>Да</v>
          </cell>
          <cell r="AX16" t="str">
            <v>Да</v>
          </cell>
          <cell r="BD16" t="str">
            <v>Да</v>
          </cell>
          <cell r="BJ16" t="str">
            <v>Да</v>
          </cell>
          <cell r="BP16" t="str">
            <v>Да</v>
          </cell>
        </row>
        <row r="17">
          <cell r="E17"/>
          <cell r="I17"/>
          <cell r="O17"/>
          <cell r="U17"/>
          <cell r="AA17"/>
          <cell r="AF17"/>
          <cell r="AK17" t="str">
            <v>Да</v>
          </cell>
          <cell r="AR17" t="str">
            <v>Да</v>
          </cell>
          <cell r="AX17" t="str">
            <v>Да</v>
          </cell>
          <cell r="BD17" t="str">
            <v>Да</v>
          </cell>
          <cell r="BJ17" t="str">
            <v>Да</v>
          </cell>
          <cell r="BP17" t="str">
            <v>Да</v>
          </cell>
        </row>
        <row r="18">
          <cell r="E18" t="str">
            <v>Да</v>
          </cell>
          <cell r="I18" t="str">
            <v>Да</v>
          </cell>
          <cell r="O18" t="str">
            <v>Да</v>
          </cell>
          <cell r="U18" t="str">
            <v>Да</v>
          </cell>
          <cell r="AA18" t="str">
            <v>Да</v>
          </cell>
          <cell r="AF18" t="str">
            <v>Да</v>
          </cell>
          <cell r="AK18" t="str">
            <v>Да</v>
          </cell>
          <cell r="AR18" t="str">
            <v>Да</v>
          </cell>
          <cell r="AX18" t="str">
            <v>Да</v>
          </cell>
          <cell r="BD18" t="str">
            <v>Да</v>
          </cell>
          <cell r="BJ18" t="str">
            <v>Да</v>
          </cell>
          <cell r="BP18" t="str">
            <v>Да</v>
          </cell>
        </row>
        <row r="19">
          <cell r="E19" t="str">
            <v>Да</v>
          </cell>
          <cell r="I19" t="str">
            <v>Да</v>
          </cell>
          <cell r="O19" t="str">
            <v>Да</v>
          </cell>
          <cell r="U19" t="str">
            <v>Да</v>
          </cell>
          <cell r="AA19" t="str">
            <v>Да</v>
          </cell>
          <cell r="AF19" t="str">
            <v>Да</v>
          </cell>
          <cell r="AK19" t="str">
            <v>Да</v>
          </cell>
          <cell r="AR19" t="str">
            <v>Да</v>
          </cell>
          <cell r="AX19" t="str">
            <v>Да</v>
          </cell>
          <cell r="BD19" t="str">
            <v>Да</v>
          </cell>
          <cell r="BJ19" t="str">
            <v>Да</v>
          </cell>
          <cell r="BP19" t="str">
            <v>Да</v>
          </cell>
        </row>
        <row r="20">
          <cell r="E20" t="str">
            <v>Нет</v>
          </cell>
          <cell r="I20" t="str">
            <v>Нет</v>
          </cell>
          <cell r="O20" t="str">
            <v>Да</v>
          </cell>
          <cell r="U20" t="str">
            <v>Да</v>
          </cell>
          <cell r="AA20" t="str">
            <v>Да</v>
          </cell>
          <cell r="AF20" t="str">
            <v>Да</v>
          </cell>
          <cell r="AK20" t="str">
            <v>Да</v>
          </cell>
          <cell r="AR20" t="str">
            <v>Да</v>
          </cell>
          <cell r="AX20" t="str">
            <v>Да</v>
          </cell>
          <cell r="BD20" t="str">
            <v>Да</v>
          </cell>
          <cell r="BJ20" t="str">
            <v>Да</v>
          </cell>
          <cell r="BP20" t="str">
            <v>Да</v>
          </cell>
        </row>
        <row r="21">
          <cell r="E21" t="str">
            <v>Да</v>
          </cell>
          <cell r="I21" t="str">
            <v>Нет</v>
          </cell>
          <cell r="O21" t="str">
            <v>Да</v>
          </cell>
          <cell r="U21" t="str">
            <v>Да</v>
          </cell>
          <cell r="AA21" t="str">
            <v>Да</v>
          </cell>
          <cell r="AF21" t="str">
            <v>Нет</v>
          </cell>
          <cell r="AK21" t="str">
            <v>Нет</v>
          </cell>
          <cell r="AR21" t="str">
            <v>Да</v>
          </cell>
          <cell r="AX21" t="str">
            <v>Да</v>
          </cell>
          <cell r="BD21" t="str">
            <v>Да</v>
          </cell>
          <cell r="BJ21" t="str">
            <v>Да</v>
          </cell>
          <cell r="BP21" t="str">
            <v>Да</v>
          </cell>
        </row>
        <row r="22">
          <cell r="E22" t="str">
            <v>Да</v>
          </cell>
          <cell r="I22" t="str">
            <v>Да</v>
          </cell>
          <cell r="O22" t="str">
            <v>Да</v>
          </cell>
          <cell r="U22" t="str">
            <v>Да</v>
          </cell>
          <cell r="AA22" t="str">
            <v>Да</v>
          </cell>
          <cell r="AF22" t="str">
            <v>Да</v>
          </cell>
          <cell r="AK22" t="str">
            <v>Да</v>
          </cell>
          <cell r="AR22" t="str">
            <v>Да</v>
          </cell>
          <cell r="AX22" t="str">
            <v>Да</v>
          </cell>
          <cell r="BD22" t="str">
            <v>Да</v>
          </cell>
          <cell r="BJ22" t="str">
            <v>Да</v>
          </cell>
          <cell r="BP22" t="str">
            <v>Да</v>
          </cell>
        </row>
        <row r="23">
          <cell r="E23"/>
          <cell r="I23"/>
          <cell r="O23"/>
          <cell r="U23" t="str">
            <v>Да</v>
          </cell>
          <cell r="AA23" t="str">
            <v>Да</v>
          </cell>
          <cell r="AF23" t="str">
            <v>Да</v>
          </cell>
          <cell r="AK23" t="str">
            <v>Да</v>
          </cell>
          <cell r="AR23" t="str">
            <v>Да</v>
          </cell>
          <cell r="AX23" t="str">
            <v>Да</v>
          </cell>
          <cell r="BD23" t="str">
            <v>Да</v>
          </cell>
          <cell r="BJ23" t="str">
            <v>Нет</v>
          </cell>
          <cell r="BP23" t="str">
            <v>Нет</v>
          </cell>
        </row>
        <row r="24">
          <cell r="E24" t="str">
            <v>Нет</v>
          </cell>
          <cell r="I24" t="str">
            <v>Нет</v>
          </cell>
          <cell r="O24" t="str">
            <v>Нет</v>
          </cell>
          <cell r="U24" t="str">
            <v>Нет</v>
          </cell>
          <cell r="AA24" t="str">
            <v>Нет</v>
          </cell>
          <cell r="AF24" t="str">
            <v>Нет</v>
          </cell>
          <cell r="AK24" t="str">
            <v>Нет</v>
          </cell>
          <cell r="AR24" t="str">
            <v>Нет</v>
          </cell>
          <cell r="AX24" t="str">
            <v>Нет</v>
          </cell>
          <cell r="BD24" t="str">
            <v>Нет</v>
          </cell>
          <cell r="BJ24" t="str">
            <v>Нет</v>
          </cell>
          <cell r="BP24" t="str">
            <v>Нет</v>
          </cell>
        </row>
        <row r="25">
          <cell r="E25" t="str">
            <v>Да</v>
          </cell>
          <cell r="I25" t="str">
            <v>Да</v>
          </cell>
          <cell r="O25" t="str">
            <v>Да</v>
          </cell>
          <cell r="U25" t="str">
            <v>Да</v>
          </cell>
          <cell r="AA25" t="str">
            <v>Да</v>
          </cell>
          <cell r="AF25" t="str">
            <v>Да</v>
          </cell>
          <cell r="AK25" t="str">
            <v>Да</v>
          </cell>
          <cell r="AR25" t="str">
            <v>Да</v>
          </cell>
          <cell r="AX25" t="str">
            <v>Да</v>
          </cell>
          <cell r="BD25" t="str">
            <v>Да</v>
          </cell>
          <cell r="BJ25" t="str">
            <v>Да</v>
          </cell>
          <cell r="BP25" t="str">
            <v>Да</v>
          </cell>
        </row>
        <row r="26">
          <cell r="E26" t="str">
            <v>Да</v>
          </cell>
          <cell r="I26" t="str">
            <v>Да</v>
          </cell>
          <cell r="O26" t="str">
            <v>Да</v>
          </cell>
          <cell r="U26" t="str">
            <v>Да</v>
          </cell>
          <cell r="AA26" t="str">
            <v>Да</v>
          </cell>
          <cell r="AF26" t="str">
            <v>Да</v>
          </cell>
          <cell r="AK26" t="str">
            <v>Да</v>
          </cell>
          <cell r="AR26" t="str">
            <v>Да</v>
          </cell>
          <cell r="AX26" t="str">
            <v>Да</v>
          </cell>
          <cell r="BD26" t="str">
            <v>Да</v>
          </cell>
          <cell r="BJ26" t="str">
            <v>Да</v>
          </cell>
          <cell r="BP26" t="str">
            <v>Да</v>
          </cell>
        </row>
        <row r="27">
          <cell r="E27" t="str">
            <v>Нет</v>
          </cell>
          <cell r="I27" t="str">
            <v>Да</v>
          </cell>
          <cell r="O27" t="str">
            <v>Да</v>
          </cell>
          <cell r="U27" t="str">
            <v>Да</v>
          </cell>
          <cell r="AA27" t="str">
            <v>Да</v>
          </cell>
          <cell r="AF27" t="str">
            <v>Да</v>
          </cell>
          <cell r="AK27" t="str">
            <v>Да</v>
          </cell>
          <cell r="AR27" t="str">
            <v>Да</v>
          </cell>
          <cell r="AX27" t="str">
            <v>Да</v>
          </cell>
          <cell r="BD27" t="str">
            <v>Да</v>
          </cell>
          <cell r="BJ27" t="str">
            <v>Да</v>
          </cell>
          <cell r="BP27" t="str">
            <v>Да</v>
          </cell>
        </row>
        <row r="28">
          <cell r="E28" t="str">
            <v>Да</v>
          </cell>
          <cell r="I28" t="str">
            <v>Да</v>
          </cell>
          <cell r="O28" t="str">
            <v>Да</v>
          </cell>
          <cell r="U28" t="str">
            <v>Да</v>
          </cell>
          <cell r="AA28" t="str">
            <v>Да</v>
          </cell>
          <cell r="AF28" t="str">
            <v>Да</v>
          </cell>
          <cell r="AK28" t="str">
            <v>Да</v>
          </cell>
          <cell r="AR28" t="str">
            <v>Да</v>
          </cell>
          <cell r="AX28" t="str">
            <v>Да</v>
          </cell>
          <cell r="BD28" t="str">
            <v>Да</v>
          </cell>
          <cell r="BJ28" t="str">
            <v>Да</v>
          </cell>
          <cell r="BP28" t="str">
            <v>Да</v>
          </cell>
        </row>
        <row r="29">
          <cell r="E29" t="str">
            <v>Да</v>
          </cell>
          <cell r="I29" t="str">
            <v>Да</v>
          </cell>
          <cell r="O29" t="str">
            <v>Да</v>
          </cell>
          <cell r="U29" t="str">
            <v>Да</v>
          </cell>
          <cell r="AA29" t="str">
            <v>Да</v>
          </cell>
          <cell r="AF29" t="str">
            <v>Да</v>
          </cell>
          <cell r="AK29" t="str">
            <v>Да</v>
          </cell>
          <cell r="AR29" t="str">
            <v>Да</v>
          </cell>
          <cell r="AX29" t="str">
            <v>Да</v>
          </cell>
          <cell r="BD29" t="str">
            <v>Да</v>
          </cell>
          <cell r="BJ29" t="str">
            <v>Да</v>
          </cell>
          <cell r="BP29" t="str">
            <v>Да</v>
          </cell>
        </row>
        <row r="30">
          <cell r="E30" t="str">
            <v>Да</v>
          </cell>
          <cell r="I30" t="str">
            <v>Нет</v>
          </cell>
          <cell r="O30" t="str">
            <v>Нет</v>
          </cell>
          <cell r="U30" t="str">
            <v>Нет</v>
          </cell>
          <cell r="AA30" t="str">
            <v>Нет</v>
          </cell>
          <cell r="AF30" t="str">
            <v>Нет</v>
          </cell>
          <cell r="AK30" t="str">
            <v>Нет</v>
          </cell>
          <cell r="AR30" t="str">
            <v>Нет</v>
          </cell>
          <cell r="AX30" t="str">
            <v>Нет</v>
          </cell>
          <cell r="BD30" t="str">
            <v>Нет</v>
          </cell>
          <cell r="BJ30" t="str">
            <v>Нет</v>
          </cell>
          <cell r="BP30" t="str">
            <v>Нет</v>
          </cell>
        </row>
        <row r="31">
          <cell r="E31" t="str">
            <v>Да</v>
          </cell>
          <cell r="I31" t="str">
            <v>Да</v>
          </cell>
          <cell r="O31" t="str">
            <v>Да</v>
          </cell>
          <cell r="U31" t="str">
            <v>Да</v>
          </cell>
          <cell r="AA31" t="str">
            <v>Да</v>
          </cell>
          <cell r="AF31" t="str">
            <v>Да</v>
          </cell>
          <cell r="AK31" t="str">
            <v>Да</v>
          </cell>
          <cell r="AR31" t="str">
            <v>Да</v>
          </cell>
          <cell r="AX31" t="str">
            <v>Да</v>
          </cell>
          <cell r="BD31" t="str">
            <v>Да</v>
          </cell>
          <cell r="BJ31" t="str">
            <v>Да</v>
          </cell>
          <cell r="BP31" t="str">
            <v>Да</v>
          </cell>
        </row>
        <row r="32">
          <cell r="E32" t="str">
            <v>Да</v>
          </cell>
          <cell r="I32" t="str">
            <v>Да</v>
          </cell>
          <cell r="O32" t="str">
            <v>Да</v>
          </cell>
          <cell r="U32" t="str">
            <v>Да</v>
          </cell>
          <cell r="AA32" t="str">
            <v>Да</v>
          </cell>
          <cell r="AF32" t="str">
            <v>Да</v>
          </cell>
          <cell r="AK32" t="str">
            <v>Да</v>
          </cell>
          <cell r="AR32" t="str">
            <v>Да</v>
          </cell>
          <cell r="AX32" t="str">
            <v>Да</v>
          </cell>
          <cell r="BD32" t="str">
            <v>Да</v>
          </cell>
          <cell r="BJ32" t="str">
            <v>Да</v>
          </cell>
          <cell r="BP32" t="str">
            <v>Да</v>
          </cell>
        </row>
        <row r="33">
          <cell r="E33" t="str">
            <v>Да</v>
          </cell>
          <cell r="I33" t="str">
            <v>Да</v>
          </cell>
          <cell r="O33" t="str">
            <v>Да</v>
          </cell>
          <cell r="U33" t="str">
            <v>Да</v>
          </cell>
          <cell r="AA33" t="str">
            <v>Да</v>
          </cell>
          <cell r="AF33" t="str">
            <v>Да</v>
          </cell>
          <cell r="AK33" t="str">
            <v>Да</v>
          </cell>
          <cell r="AR33" t="str">
            <v>Да</v>
          </cell>
          <cell r="AX33" t="str">
            <v>Да</v>
          </cell>
          <cell r="BD33" t="str">
            <v>Да</v>
          </cell>
          <cell r="BJ33" t="str">
            <v>Да</v>
          </cell>
          <cell r="BP33" t="str">
            <v>Да</v>
          </cell>
        </row>
        <row r="34">
          <cell r="E34" t="str">
            <v>Да</v>
          </cell>
          <cell r="I34" t="str">
            <v>Да</v>
          </cell>
          <cell r="O34" t="str">
            <v>Да</v>
          </cell>
          <cell r="U34" t="str">
            <v>Да</v>
          </cell>
          <cell r="AA34" t="str">
            <v>Да</v>
          </cell>
          <cell r="AF34" t="str">
            <v>Да</v>
          </cell>
          <cell r="AK34" t="str">
            <v>Да</v>
          </cell>
          <cell r="AR34" t="str">
            <v>Да</v>
          </cell>
          <cell r="AX34" t="str">
            <v>Да</v>
          </cell>
          <cell r="BD34" t="str">
            <v>Да</v>
          </cell>
          <cell r="BJ34" t="str">
            <v>Да</v>
          </cell>
          <cell r="BP34" t="str">
            <v>Да</v>
          </cell>
        </row>
        <row r="35">
          <cell r="E35"/>
          <cell r="I35"/>
          <cell r="O35"/>
          <cell r="U35"/>
          <cell r="AA35" t="str">
            <v>Да</v>
          </cell>
          <cell r="AF35" t="str">
            <v>Да</v>
          </cell>
          <cell r="AK35" t="str">
            <v>Нет</v>
          </cell>
          <cell r="AR35" t="str">
            <v>Да</v>
          </cell>
          <cell r="AX35" t="str">
            <v>Нет</v>
          </cell>
          <cell r="BD35" t="str">
            <v>Да</v>
          </cell>
          <cell r="BJ35" t="str">
            <v>Да</v>
          </cell>
          <cell r="BP35" t="str">
            <v>Да</v>
          </cell>
        </row>
        <row r="36">
          <cell r="E36" t="str">
            <v>Да</v>
          </cell>
          <cell r="I36" t="str">
            <v>Да</v>
          </cell>
          <cell r="O36" t="str">
            <v>Да</v>
          </cell>
          <cell r="U36" t="str">
            <v>Да</v>
          </cell>
          <cell r="AA36" t="str">
            <v>Да</v>
          </cell>
          <cell r="AF36" t="str">
            <v>Да</v>
          </cell>
          <cell r="AK36" t="str">
            <v>Да</v>
          </cell>
          <cell r="AR36" t="str">
            <v>Да</v>
          </cell>
          <cell r="AX36" t="str">
            <v>Да</v>
          </cell>
          <cell r="BD36" t="str">
            <v>Да</v>
          </cell>
          <cell r="BJ36" t="str">
            <v>Да</v>
          </cell>
          <cell r="BP36" t="str">
            <v>Да</v>
          </cell>
        </row>
        <row r="37">
          <cell r="E37" t="str">
            <v>Да</v>
          </cell>
          <cell r="I37" t="str">
            <v>Нет</v>
          </cell>
          <cell r="O37" t="str">
            <v>Да</v>
          </cell>
          <cell r="U37" t="str">
            <v>Да</v>
          </cell>
          <cell r="AA37" t="str">
            <v>Нет</v>
          </cell>
          <cell r="AF37" t="str">
            <v>Да</v>
          </cell>
          <cell r="AK37" t="str">
            <v>Да</v>
          </cell>
          <cell r="AR37" t="str">
            <v>Нет</v>
          </cell>
          <cell r="AX37" t="str">
            <v>Да</v>
          </cell>
          <cell r="BD37" t="str">
            <v>Да</v>
          </cell>
          <cell r="BJ37" t="str">
            <v>Да</v>
          </cell>
          <cell r="BP37" t="str">
            <v>Да</v>
          </cell>
        </row>
        <row r="38">
          <cell r="E38" t="str">
            <v>Да</v>
          </cell>
          <cell r="I38" t="str">
            <v>Да</v>
          </cell>
          <cell r="O38" t="str">
            <v>Да</v>
          </cell>
          <cell r="U38" t="str">
            <v>Да</v>
          </cell>
          <cell r="AA38" t="str">
            <v>Да</v>
          </cell>
          <cell r="AF38" t="str">
            <v>Да</v>
          </cell>
          <cell r="AK38" t="str">
            <v>Да</v>
          </cell>
          <cell r="AR38" t="str">
            <v>Да</v>
          </cell>
          <cell r="AX38" t="str">
            <v>Да</v>
          </cell>
          <cell r="BD38" t="str">
            <v>Да</v>
          </cell>
          <cell r="BJ38" t="str">
            <v>Да</v>
          </cell>
          <cell r="BP38" t="str">
            <v>Да</v>
          </cell>
        </row>
        <row r="39">
          <cell r="E39" t="str">
            <v>Да</v>
          </cell>
          <cell r="I39" t="str">
            <v>Да</v>
          </cell>
          <cell r="O39" t="str">
            <v>Да</v>
          </cell>
          <cell r="U39" t="str">
            <v>Нет</v>
          </cell>
          <cell r="AA39" t="str">
            <v>Да</v>
          </cell>
          <cell r="AF39" t="str">
            <v>Нет</v>
          </cell>
          <cell r="AK39" t="str">
            <v>Да</v>
          </cell>
          <cell r="AR39" t="str">
            <v>Да</v>
          </cell>
          <cell r="AX39" t="str">
            <v>Да</v>
          </cell>
          <cell r="BD39" t="str">
            <v>Да</v>
          </cell>
          <cell r="BJ39" t="str">
            <v>Да</v>
          </cell>
          <cell r="BP39" t="str">
            <v>Да</v>
          </cell>
        </row>
        <row r="40">
          <cell r="E40" t="str">
            <v>Да</v>
          </cell>
          <cell r="I40" t="str">
            <v>Да</v>
          </cell>
          <cell r="O40" t="str">
            <v>Да</v>
          </cell>
          <cell r="U40" t="str">
            <v>Да</v>
          </cell>
          <cell r="AA40" t="str">
            <v>Нет</v>
          </cell>
          <cell r="AF40" t="str">
            <v>Да</v>
          </cell>
          <cell r="AK40" t="str">
            <v>Да</v>
          </cell>
          <cell r="AR40" t="str">
            <v>Да</v>
          </cell>
          <cell r="AX40" t="str">
            <v>Да</v>
          </cell>
          <cell r="BD40" t="str">
            <v>Да</v>
          </cell>
          <cell r="BJ40" t="str">
            <v>Да</v>
          </cell>
          <cell r="BP40" t="str">
            <v>Да</v>
          </cell>
        </row>
        <row r="41">
          <cell r="E41" t="str">
            <v>Да</v>
          </cell>
          <cell r="I41" t="str">
            <v>Нет</v>
          </cell>
          <cell r="O41" t="str">
            <v>Да</v>
          </cell>
          <cell r="U41" t="str">
            <v>Да</v>
          </cell>
          <cell r="AA41" t="str">
            <v>Да</v>
          </cell>
          <cell r="AF41" t="str">
            <v>Нет</v>
          </cell>
          <cell r="AK41" t="str">
            <v>Нет</v>
          </cell>
          <cell r="AR41" t="str">
            <v>Да</v>
          </cell>
          <cell r="AX41" t="str">
            <v>Да</v>
          </cell>
          <cell r="BD41" t="str">
            <v>Да</v>
          </cell>
          <cell r="BJ41" t="str">
            <v>Да</v>
          </cell>
          <cell r="BP41" t="str">
            <v>Да</v>
          </cell>
        </row>
        <row r="42">
          <cell r="E42" t="str">
            <v>Да</v>
          </cell>
          <cell r="I42" t="str">
            <v>Да</v>
          </cell>
          <cell r="O42" t="str">
            <v>Да</v>
          </cell>
          <cell r="U42" t="str">
            <v>Да</v>
          </cell>
          <cell r="AA42" t="str">
            <v>Да</v>
          </cell>
          <cell r="AF42" t="str">
            <v>Да</v>
          </cell>
          <cell r="AK42" t="str">
            <v>Да</v>
          </cell>
          <cell r="AR42" t="str">
            <v>Да</v>
          </cell>
          <cell r="AX42" t="str">
            <v>Да</v>
          </cell>
          <cell r="BD42" t="str">
            <v>Да</v>
          </cell>
          <cell r="BJ42" t="str">
            <v>Да</v>
          </cell>
          <cell r="BP42" t="str">
            <v>Да</v>
          </cell>
        </row>
        <row r="43">
          <cell r="E43" t="str">
            <v>Да</v>
          </cell>
          <cell r="I43" t="str">
            <v>Да</v>
          </cell>
          <cell r="O43" t="str">
            <v>Да</v>
          </cell>
          <cell r="U43" t="str">
            <v>Да</v>
          </cell>
          <cell r="AA43" t="str">
            <v>Да</v>
          </cell>
          <cell r="AF43" t="str">
            <v>Да</v>
          </cell>
          <cell r="AK43" t="str">
            <v>Да</v>
          </cell>
          <cell r="AR43" t="str">
            <v>Да</v>
          </cell>
          <cell r="AX43" t="str">
            <v>Да</v>
          </cell>
          <cell r="BD43" t="str">
            <v>Да</v>
          </cell>
          <cell r="BJ43" t="str">
            <v>Да</v>
          </cell>
          <cell r="BP43" t="str">
            <v>Да</v>
          </cell>
        </row>
        <row r="44">
          <cell r="E44" t="str">
            <v>Да</v>
          </cell>
          <cell r="I44" t="str">
            <v>Да</v>
          </cell>
          <cell r="O44" t="str">
            <v>Да</v>
          </cell>
          <cell r="U44" t="str">
            <v>Да</v>
          </cell>
          <cell r="AA44" t="str">
            <v>Да</v>
          </cell>
          <cell r="AF44" t="str">
            <v>Да</v>
          </cell>
          <cell r="AK44" t="str">
            <v>Да</v>
          </cell>
          <cell r="AR44" t="str">
            <v>Да</v>
          </cell>
          <cell r="AX44" t="str">
            <v>Да</v>
          </cell>
          <cell r="BD44" t="str">
            <v>Да</v>
          </cell>
          <cell r="BJ44" t="str">
            <v>Да</v>
          </cell>
          <cell r="BP44" t="str">
            <v>Да</v>
          </cell>
        </row>
        <row r="45">
          <cell r="E45" t="str">
            <v>Да</v>
          </cell>
          <cell r="I45" t="str">
            <v>Да</v>
          </cell>
          <cell r="O45" t="str">
            <v>Да</v>
          </cell>
          <cell r="U45" t="str">
            <v>Да</v>
          </cell>
          <cell r="AA45" t="str">
            <v>Да</v>
          </cell>
          <cell r="AF45" t="str">
            <v>Да</v>
          </cell>
          <cell r="AK45" t="str">
            <v>Да</v>
          </cell>
          <cell r="AR45" t="str">
            <v>Да</v>
          </cell>
          <cell r="AX45" t="str">
            <v>Нет</v>
          </cell>
          <cell r="BD45" t="str">
            <v>Да</v>
          </cell>
          <cell r="BJ45" t="str">
            <v>Да</v>
          </cell>
          <cell r="BP45" t="str">
            <v>Да</v>
          </cell>
        </row>
        <row r="46">
          <cell r="E46" t="str">
            <v>Да</v>
          </cell>
          <cell r="I46" t="str">
            <v>Да</v>
          </cell>
          <cell r="O46" t="str">
            <v>Да</v>
          </cell>
          <cell r="U46" t="str">
            <v>Да</v>
          </cell>
          <cell r="AA46" t="str">
            <v>Да</v>
          </cell>
          <cell r="AF46" t="str">
            <v>Да</v>
          </cell>
          <cell r="AK46" t="str">
            <v>Да</v>
          </cell>
          <cell r="AR46" t="str">
            <v>Да</v>
          </cell>
          <cell r="AX46" t="str">
            <v>Да</v>
          </cell>
          <cell r="BD46" t="str">
            <v>Да</v>
          </cell>
          <cell r="BJ46" t="str">
            <v>Да</v>
          </cell>
          <cell r="BP46" t="str">
            <v>Да</v>
          </cell>
        </row>
      </sheetData>
      <sheetData sheetId="16">
        <row r="3">
          <cell r="J3" t="str">
            <v>Да</v>
          </cell>
          <cell r="R3" t="str">
            <v>Да</v>
          </cell>
          <cell r="Z3" t="str">
            <v>Да</v>
          </cell>
          <cell r="AG3" t="str">
            <v>Да</v>
          </cell>
          <cell r="AL3" t="str">
            <v>Да</v>
          </cell>
          <cell r="AQ3" t="str">
            <v>Да</v>
          </cell>
          <cell r="AW3" t="str">
            <v>Да</v>
          </cell>
          <cell r="BC3" t="str">
            <v>Да</v>
          </cell>
          <cell r="BJ3" t="str">
            <v>Да</v>
          </cell>
          <cell r="BO3" t="str">
            <v>Да</v>
          </cell>
          <cell r="BT3" t="str">
            <v>Да</v>
          </cell>
          <cell r="BY3" t="str">
            <v>Да</v>
          </cell>
        </row>
        <row r="4">
          <cell r="J4" t="str">
            <v>Да</v>
          </cell>
          <cell r="R4" t="str">
            <v>Да</v>
          </cell>
          <cell r="Z4" t="str">
            <v>Нет</v>
          </cell>
          <cell r="AG4" t="str">
            <v>Нет</v>
          </cell>
          <cell r="AL4" t="str">
            <v>Нет</v>
          </cell>
          <cell r="AQ4" t="str">
            <v>Нет</v>
          </cell>
          <cell r="AW4" t="str">
            <v>Нет</v>
          </cell>
          <cell r="BC4" t="str">
            <v>Нет</v>
          </cell>
          <cell r="BJ4" t="str">
            <v>Нет</v>
          </cell>
          <cell r="BO4" t="str">
            <v>Нет</v>
          </cell>
          <cell r="BT4" t="str">
            <v>Нет</v>
          </cell>
          <cell r="BY4" t="str">
            <v>Нет</v>
          </cell>
        </row>
        <row r="5">
          <cell r="J5" t="str">
            <v>Да</v>
          </cell>
          <cell r="R5" t="str">
            <v>Да</v>
          </cell>
          <cell r="Z5" t="str">
            <v>Да</v>
          </cell>
          <cell r="AG5" t="str">
            <v>Да</v>
          </cell>
          <cell r="AL5" t="str">
            <v>Да</v>
          </cell>
          <cell r="AQ5" t="str">
            <v>Да</v>
          </cell>
          <cell r="AW5" t="str">
            <v>Да</v>
          </cell>
          <cell r="BC5" t="str">
            <v>Да</v>
          </cell>
          <cell r="BJ5" t="str">
            <v>Да</v>
          </cell>
          <cell r="BO5" t="str">
            <v>Да</v>
          </cell>
          <cell r="BT5" t="str">
            <v>Да</v>
          </cell>
          <cell r="BY5" t="str">
            <v>Да</v>
          </cell>
        </row>
        <row r="6">
          <cell r="J6" t="str">
            <v>Да</v>
          </cell>
          <cell r="R6" t="str">
            <v>Да</v>
          </cell>
          <cell r="Z6" t="str">
            <v>Да</v>
          </cell>
          <cell r="AG6" t="str">
            <v>Да</v>
          </cell>
          <cell r="AL6" t="str">
            <v>Да</v>
          </cell>
          <cell r="AQ6" t="str">
            <v>Да</v>
          </cell>
          <cell r="AW6" t="str">
            <v>Да</v>
          </cell>
          <cell r="BC6" t="str">
            <v>Да</v>
          </cell>
          <cell r="BJ6" t="str">
            <v>Да</v>
          </cell>
          <cell r="BO6" t="str">
            <v>Да</v>
          </cell>
          <cell r="BT6" t="str">
            <v>Да</v>
          </cell>
          <cell r="BY6" t="str">
            <v>Да</v>
          </cell>
        </row>
        <row r="7">
          <cell r="J7" t="str">
            <v>Да</v>
          </cell>
          <cell r="R7" t="str">
            <v>Да</v>
          </cell>
          <cell r="Z7" t="str">
            <v>Да</v>
          </cell>
          <cell r="AG7" t="str">
            <v>Да</v>
          </cell>
          <cell r="AL7" t="str">
            <v>Да</v>
          </cell>
          <cell r="AQ7" t="str">
            <v>Да</v>
          </cell>
          <cell r="AW7" t="str">
            <v>Да</v>
          </cell>
          <cell r="BC7" t="str">
            <v>Да</v>
          </cell>
          <cell r="BJ7" t="str">
            <v>Да</v>
          </cell>
          <cell r="BO7" t="str">
            <v>Да</v>
          </cell>
          <cell r="BT7" t="str">
            <v>Да</v>
          </cell>
          <cell r="BY7" t="str">
            <v>Да</v>
          </cell>
        </row>
        <row r="8">
          <cell r="J8" t="str">
            <v>Да</v>
          </cell>
          <cell r="R8" t="str">
            <v>Да</v>
          </cell>
          <cell r="Z8" t="str">
            <v>Да</v>
          </cell>
          <cell r="AG8" t="str">
            <v>Да</v>
          </cell>
          <cell r="AL8" t="str">
            <v>Да</v>
          </cell>
          <cell r="AQ8" t="str">
            <v>Да</v>
          </cell>
          <cell r="AW8" t="str">
            <v>Да</v>
          </cell>
          <cell r="BC8" t="str">
            <v>Да</v>
          </cell>
          <cell r="BJ8" t="str">
            <v>Да</v>
          </cell>
          <cell r="BO8" t="str">
            <v>Да</v>
          </cell>
          <cell r="BT8" t="str">
            <v>Да</v>
          </cell>
          <cell r="BY8" t="str">
            <v>Да</v>
          </cell>
        </row>
        <row r="9">
          <cell r="J9" t="str">
            <v>Да</v>
          </cell>
          <cell r="R9" t="str">
            <v>Да</v>
          </cell>
          <cell r="Z9" t="str">
            <v>Да</v>
          </cell>
          <cell r="AG9" t="str">
            <v>Да</v>
          </cell>
          <cell r="AL9" t="str">
            <v>Да</v>
          </cell>
          <cell r="AQ9" t="str">
            <v>Да</v>
          </cell>
          <cell r="AW9" t="str">
            <v>Да</v>
          </cell>
          <cell r="BC9" t="str">
            <v>Да</v>
          </cell>
          <cell r="BJ9" t="str">
            <v>Да</v>
          </cell>
          <cell r="BO9" t="str">
            <v>Да</v>
          </cell>
          <cell r="BT9" t="str">
            <v>Да</v>
          </cell>
          <cell r="BY9" t="str">
            <v>Да</v>
          </cell>
        </row>
        <row r="10">
          <cell r="J10" t="str">
            <v>Да</v>
          </cell>
          <cell r="R10" t="str">
            <v>Да</v>
          </cell>
          <cell r="Z10" t="str">
            <v>Нет</v>
          </cell>
          <cell r="AG10" t="str">
            <v>Нет</v>
          </cell>
          <cell r="AL10" t="str">
            <v>Нет</v>
          </cell>
          <cell r="AQ10" t="str">
            <v>Нет</v>
          </cell>
          <cell r="AW10" t="str">
            <v>Нет</v>
          </cell>
          <cell r="BC10" t="str">
            <v>Нет</v>
          </cell>
          <cell r="BJ10" t="str">
            <v>Нет</v>
          </cell>
          <cell r="BO10" t="str">
            <v>Нет</v>
          </cell>
          <cell r="BT10" t="str">
            <v>Нет</v>
          </cell>
          <cell r="BY10" t="str">
            <v>Нет</v>
          </cell>
        </row>
        <row r="11">
          <cell r="J11" t="str">
            <v>Да</v>
          </cell>
          <cell r="R11" t="str">
            <v>Да</v>
          </cell>
          <cell r="Z11" t="str">
            <v>Да</v>
          </cell>
          <cell r="AG11" t="str">
            <v>Да</v>
          </cell>
          <cell r="AL11" t="str">
            <v>Да</v>
          </cell>
          <cell r="AQ11" t="str">
            <v>Да</v>
          </cell>
          <cell r="AW11" t="str">
            <v>Да</v>
          </cell>
          <cell r="BC11" t="str">
            <v>Да</v>
          </cell>
          <cell r="BJ11" t="str">
            <v>Да</v>
          </cell>
          <cell r="BO11" t="str">
            <v>Да</v>
          </cell>
          <cell r="BT11" t="str">
            <v>Да</v>
          </cell>
          <cell r="BY11" t="str">
            <v>Да</v>
          </cell>
        </row>
        <row r="12">
          <cell r="J12" t="str">
            <v>Да</v>
          </cell>
          <cell r="R12" t="str">
            <v>Да</v>
          </cell>
          <cell r="Z12" t="str">
            <v>Да</v>
          </cell>
          <cell r="AG12" t="str">
            <v>Да</v>
          </cell>
          <cell r="AL12" t="str">
            <v>Да</v>
          </cell>
          <cell r="AQ12" t="str">
            <v>Да</v>
          </cell>
          <cell r="AW12" t="str">
            <v>Да</v>
          </cell>
          <cell r="BC12" t="str">
            <v>Да</v>
          </cell>
          <cell r="BJ12" t="str">
            <v>Да</v>
          </cell>
          <cell r="BO12" t="str">
            <v>Да</v>
          </cell>
          <cell r="BT12" t="str">
            <v>Да</v>
          </cell>
          <cell r="BY12" t="str">
            <v>Да</v>
          </cell>
        </row>
        <row r="13">
          <cell r="J13" t="str">
            <v>Да</v>
          </cell>
          <cell r="R13" t="str">
            <v>Да</v>
          </cell>
          <cell r="Z13" t="str">
            <v>Да</v>
          </cell>
          <cell r="AG13" t="str">
            <v>Да</v>
          </cell>
          <cell r="AL13" t="str">
            <v>Да</v>
          </cell>
          <cell r="AQ13" t="str">
            <v>Да</v>
          </cell>
          <cell r="AW13" t="str">
            <v>Да</v>
          </cell>
          <cell r="BC13" t="str">
            <v>Да</v>
          </cell>
          <cell r="BJ13" t="str">
            <v>Да</v>
          </cell>
          <cell r="BO13" t="str">
            <v>Да</v>
          </cell>
          <cell r="BT13" t="str">
            <v>Да</v>
          </cell>
          <cell r="BY13" t="str">
            <v>Да</v>
          </cell>
        </row>
        <row r="14">
          <cell r="J14" t="str">
            <v>Да</v>
          </cell>
          <cell r="R14" t="str">
            <v>Да</v>
          </cell>
          <cell r="Z14" t="str">
            <v>Да</v>
          </cell>
          <cell r="AG14" t="str">
            <v>Да</v>
          </cell>
          <cell r="AL14" t="str">
            <v>Да</v>
          </cell>
          <cell r="AQ14" t="str">
            <v>Да</v>
          </cell>
          <cell r="AW14" t="str">
            <v>Да</v>
          </cell>
          <cell r="BC14" t="str">
            <v>Да</v>
          </cell>
          <cell r="BJ14" t="str">
            <v>Да</v>
          </cell>
          <cell r="BO14" t="str">
            <v>Да</v>
          </cell>
          <cell r="BT14" t="str">
            <v>Да</v>
          </cell>
          <cell r="BY14" t="str">
            <v>Да</v>
          </cell>
        </row>
        <row r="15">
          <cell r="J15" t="str">
            <v>Да</v>
          </cell>
          <cell r="R15" t="str">
            <v>Да</v>
          </cell>
          <cell r="Z15" t="str">
            <v>Да</v>
          </cell>
          <cell r="AG15" t="str">
            <v>Да</v>
          </cell>
          <cell r="AL15" t="str">
            <v>Да</v>
          </cell>
          <cell r="AQ15" t="str">
            <v>Да</v>
          </cell>
          <cell r="AW15" t="str">
            <v>Да</v>
          </cell>
          <cell r="BC15" t="str">
            <v>Да</v>
          </cell>
          <cell r="BJ15" t="str">
            <v>Да</v>
          </cell>
          <cell r="BO15" t="str">
            <v>Да</v>
          </cell>
          <cell r="BT15" t="str">
            <v>Да</v>
          </cell>
          <cell r="BY15" t="str">
            <v>Да</v>
          </cell>
        </row>
        <row r="16">
          <cell r="J16" t="str">
            <v>Да</v>
          </cell>
          <cell r="R16" t="str">
            <v>Да</v>
          </cell>
          <cell r="Z16" t="str">
            <v>Да</v>
          </cell>
          <cell r="AG16" t="str">
            <v>Да</v>
          </cell>
          <cell r="AL16" t="str">
            <v>Да</v>
          </cell>
          <cell r="AQ16" t="str">
            <v>Нет</v>
          </cell>
          <cell r="AW16" t="str">
            <v>Да</v>
          </cell>
          <cell r="BC16" t="str">
            <v>Да</v>
          </cell>
          <cell r="BJ16" t="str">
            <v>Да</v>
          </cell>
          <cell r="BO16" t="str">
            <v>Да</v>
          </cell>
          <cell r="BT16" t="str">
            <v>Да</v>
          </cell>
          <cell r="BY16" t="str">
            <v>Да</v>
          </cell>
        </row>
        <row r="17">
          <cell r="J17" t="str">
            <v>Да</v>
          </cell>
          <cell r="R17" t="str">
            <v>Да</v>
          </cell>
          <cell r="Z17" t="str">
            <v>Да</v>
          </cell>
          <cell r="AG17" t="str">
            <v>Да</v>
          </cell>
          <cell r="AL17" t="str">
            <v>Да</v>
          </cell>
          <cell r="AQ17" t="str">
            <v>Да</v>
          </cell>
          <cell r="AW17" t="str">
            <v>Да</v>
          </cell>
          <cell r="BC17" t="str">
            <v>Да</v>
          </cell>
          <cell r="BJ17" t="str">
            <v>Да</v>
          </cell>
          <cell r="BO17" t="str">
            <v>Да</v>
          </cell>
          <cell r="BT17" t="str">
            <v>Да</v>
          </cell>
          <cell r="BY17" t="str">
            <v>Да</v>
          </cell>
        </row>
        <row r="18">
          <cell r="J18" t="str">
            <v>Да</v>
          </cell>
          <cell r="R18" t="str">
            <v>Да</v>
          </cell>
          <cell r="Z18" t="str">
            <v>Да</v>
          </cell>
          <cell r="AG18" t="str">
            <v>Да</v>
          </cell>
          <cell r="AL18" t="str">
            <v>Да</v>
          </cell>
          <cell r="AQ18" t="str">
            <v>Да</v>
          </cell>
          <cell r="AW18" t="str">
            <v>Да</v>
          </cell>
          <cell r="BC18" t="str">
            <v>Да</v>
          </cell>
          <cell r="BJ18" t="str">
            <v>Да</v>
          </cell>
          <cell r="BO18" t="str">
            <v>Да</v>
          </cell>
          <cell r="BT18" t="str">
            <v>Да</v>
          </cell>
          <cell r="BY18" t="str">
            <v>Да</v>
          </cell>
        </row>
        <row r="19">
          <cell r="J19" t="str">
            <v>Да</v>
          </cell>
          <cell r="R19" t="str">
            <v>Да</v>
          </cell>
          <cell r="Z19" t="str">
            <v>Да</v>
          </cell>
          <cell r="AG19" t="str">
            <v>Да</v>
          </cell>
          <cell r="AL19" t="str">
            <v>Да</v>
          </cell>
          <cell r="AQ19" t="str">
            <v>Да</v>
          </cell>
          <cell r="AW19" t="str">
            <v>Да</v>
          </cell>
          <cell r="BC19" t="str">
            <v>Да</v>
          </cell>
          <cell r="BJ19" t="str">
            <v>Да</v>
          </cell>
          <cell r="BO19" t="str">
            <v>Да</v>
          </cell>
          <cell r="BT19" t="str">
            <v>Да</v>
          </cell>
          <cell r="BY19" t="str">
            <v>Да</v>
          </cell>
        </row>
        <row r="20">
          <cell r="J20" t="str">
            <v>Да</v>
          </cell>
          <cell r="R20" t="str">
            <v>Да</v>
          </cell>
          <cell r="Z20" t="str">
            <v>Да</v>
          </cell>
          <cell r="AG20" t="str">
            <v>Да</v>
          </cell>
          <cell r="AL20" t="str">
            <v>Да</v>
          </cell>
          <cell r="AQ20" t="str">
            <v>Да</v>
          </cell>
          <cell r="AW20" t="str">
            <v>Да</v>
          </cell>
          <cell r="BC20" t="str">
            <v>Да</v>
          </cell>
          <cell r="BJ20" t="str">
            <v>Да</v>
          </cell>
          <cell r="BO20" t="str">
            <v>Да</v>
          </cell>
          <cell r="BT20" t="str">
            <v>Да</v>
          </cell>
          <cell r="BY20" t="str">
            <v>Да</v>
          </cell>
        </row>
        <row r="21">
          <cell r="J21"/>
          <cell r="R21" t="str">
            <v>Да</v>
          </cell>
          <cell r="Z21" t="str">
            <v>Да</v>
          </cell>
          <cell r="AG21" t="str">
            <v>Да</v>
          </cell>
          <cell r="AL21" t="str">
            <v>Да</v>
          </cell>
          <cell r="AQ21" t="str">
            <v>Да</v>
          </cell>
          <cell r="AW21" t="str">
            <v>Да</v>
          </cell>
          <cell r="BC21" t="str">
            <v>Да</v>
          </cell>
          <cell r="BJ21" t="str">
            <v>Да</v>
          </cell>
          <cell r="BO21" t="str">
            <v>Да</v>
          </cell>
          <cell r="BT21" t="str">
            <v>Да</v>
          </cell>
          <cell r="BY21" t="str">
            <v>Да</v>
          </cell>
        </row>
        <row r="22">
          <cell r="J22"/>
          <cell r="R22"/>
          <cell r="Z22"/>
          <cell r="AG22"/>
          <cell r="AL22"/>
          <cell r="AQ22"/>
          <cell r="AW22"/>
          <cell r="BC22" t="str">
            <v>Да</v>
          </cell>
          <cell r="BJ22" t="str">
            <v>Да</v>
          </cell>
          <cell r="BO22" t="str">
            <v>Да</v>
          </cell>
          <cell r="BT22" t="str">
            <v>Да</v>
          </cell>
          <cell r="BY22" t="str">
            <v>Да</v>
          </cell>
        </row>
        <row r="23">
          <cell r="J23" t="str">
            <v>Да</v>
          </cell>
          <cell r="R23" t="str">
            <v>Да</v>
          </cell>
          <cell r="Z23" t="str">
            <v>Да</v>
          </cell>
          <cell r="AG23" t="str">
            <v>Да</v>
          </cell>
          <cell r="AL23" t="str">
            <v>Да</v>
          </cell>
          <cell r="AQ23" t="str">
            <v>Да</v>
          </cell>
          <cell r="AW23" t="str">
            <v>Да</v>
          </cell>
          <cell r="BC23" t="str">
            <v>Да</v>
          </cell>
          <cell r="BJ23" t="str">
            <v>Да</v>
          </cell>
          <cell r="BO23" t="str">
            <v>Да</v>
          </cell>
          <cell r="BT23" t="str">
            <v>Да</v>
          </cell>
          <cell r="BY23" t="str">
            <v>Да</v>
          </cell>
        </row>
        <row r="24">
          <cell r="J24"/>
          <cell r="R24"/>
          <cell r="Z24"/>
          <cell r="AG24"/>
          <cell r="AL24" t="str">
            <v>Да</v>
          </cell>
          <cell r="AQ24" t="str">
            <v>Да</v>
          </cell>
          <cell r="AW24" t="str">
            <v>Да</v>
          </cell>
          <cell r="BC24" t="str">
            <v>Да</v>
          </cell>
          <cell r="BJ24" t="str">
            <v>Да</v>
          </cell>
          <cell r="BO24" t="str">
            <v>Да</v>
          </cell>
          <cell r="BT24" t="str">
            <v>Да</v>
          </cell>
          <cell r="BY24" t="str">
            <v>Да</v>
          </cell>
        </row>
        <row r="25">
          <cell r="J25" t="str">
            <v>Да</v>
          </cell>
          <cell r="R25" t="str">
            <v>Да</v>
          </cell>
          <cell r="Z25" t="str">
            <v>Да</v>
          </cell>
          <cell r="AG25" t="str">
            <v>Да</v>
          </cell>
          <cell r="AL25" t="str">
            <v>Да</v>
          </cell>
          <cell r="AQ25" t="str">
            <v>Да</v>
          </cell>
          <cell r="AW25" t="str">
            <v>Да</v>
          </cell>
          <cell r="BC25" t="str">
            <v>Да</v>
          </cell>
          <cell r="BJ25" t="str">
            <v>Да</v>
          </cell>
          <cell r="BO25" t="str">
            <v>Да</v>
          </cell>
          <cell r="BT25" t="str">
            <v>Да</v>
          </cell>
          <cell r="BY25" t="str">
            <v>Да</v>
          </cell>
        </row>
      </sheetData>
      <sheetData sheetId="17">
        <row r="3">
          <cell r="I3" t="str">
            <v>Да</v>
          </cell>
          <cell r="O3" t="str">
            <v>Да</v>
          </cell>
          <cell r="V3" t="str">
            <v>Да</v>
          </cell>
          <cell r="AB3" t="str">
            <v>Да</v>
          </cell>
          <cell r="AH3" t="str">
            <v>Да</v>
          </cell>
          <cell r="AN3" t="str">
            <v>Да</v>
          </cell>
          <cell r="AU3" t="str">
            <v>Да</v>
          </cell>
          <cell r="BB3" t="str">
            <v>Да</v>
          </cell>
          <cell r="BE3" t="str">
            <v>Да</v>
          </cell>
          <cell r="BG3" t="str">
            <v>Да</v>
          </cell>
          <cell r="BN3" t="str">
            <v>Да</v>
          </cell>
          <cell r="BU3" t="str">
            <v>Да</v>
          </cell>
        </row>
        <row r="4">
          <cell r="I4" t="str">
            <v>Да</v>
          </cell>
          <cell r="O4" t="str">
            <v>Да</v>
          </cell>
          <cell r="V4" t="str">
            <v>Да</v>
          </cell>
          <cell r="AB4" t="str">
            <v>Нет</v>
          </cell>
          <cell r="AH4" t="str">
            <v>Да</v>
          </cell>
          <cell r="AN4" t="str">
            <v>Да</v>
          </cell>
          <cell r="AU4" t="str">
            <v>Да</v>
          </cell>
          <cell r="BB4" t="str">
            <v>Да</v>
          </cell>
          <cell r="BE4" t="str">
            <v>Да</v>
          </cell>
          <cell r="BG4" t="str">
            <v>Да</v>
          </cell>
          <cell r="BN4" t="str">
            <v>Да</v>
          </cell>
          <cell r="BU4" t="str">
            <v>Да</v>
          </cell>
        </row>
        <row r="5">
          <cell r="I5" t="str">
            <v>Да</v>
          </cell>
          <cell r="O5" t="str">
            <v>Да</v>
          </cell>
          <cell r="V5" t="str">
            <v>Да</v>
          </cell>
          <cell r="AB5" t="str">
            <v>Да</v>
          </cell>
          <cell r="AH5" t="str">
            <v>Да</v>
          </cell>
          <cell r="AN5" t="str">
            <v>Да</v>
          </cell>
          <cell r="AU5" t="str">
            <v>Да</v>
          </cell>
          <cell r="BB5" t="str">
            <v>Да</v>
          </cell>
          <cell r="BE5" t="str">
            <v>Да</v>
          </cell>
          <cell r="BG5" t="str">
            <v>Да</v>
          </cell>
          <cell r="BN5" t="str">
            <v>Да</v>
          </cell>
          <cell r="BU5" t="str">
            <v>Да</v>
          </cell>
        </row>
        <row r="6">
          <cell r="I6" t="str">
            <v>Нет</v>
          </cell>
          <cell r="O6" t="str">
            <v>Нет</v>
          </cell>
          <cell r="V6" t="str">
            <v>Нет</v>
          </cell>
          <cell r="AB6" t="str">
            <v>Нет</v>
          </cell>
          <cell r="AH6" t="str">
            <v>Нет</v>
          </cell>
          <cell r="AN6" t="str">
            <v>Нет</v>
          </cell>
          <cell r="AU6" t="str">
            <v>Нет</v>
          </cell>
          <cell r="BB6" t="str">
            <v>Нет</v>
          </cell>
          <cell r="BE6" t="str">
            <v>Нет</v>
          </cell>
          <cell r="BG6" t="str">
            <v>Нет</v>
          </cell>
          <cell r="BN6" t="str">
            <v>Нет</v>
          </cell>
          <cell r="BU6" t="str">
            <v>Нет</v>
          </cell>
        </row>
        <row r="7">
          <cell r="I7" t="str">
            <v>Да</v>
          </cell>
          <cell r="O7" t="str">
            <v>Да</v>
          </cell>
          <cell r="V7" t="str">
            <v>Да</v>
          </cell>
          <cell r="AB7" t="str">
            <v>Нет</v>
          </cell>
          <cell r="AH7" t="str">
            <v>Да</v>
          </cell>
          <cell r="AN7" t="str">
            <v>Да</v>
          </cell>
          <cell r="AU7" t="str">
            <v>Да</v>
          </cell>
          <cell r="BB7" t="str">
            <v>Да</v>
          </cell>
          <cell r="BE7" t="str">
            <v>Да</v>
          </cell>
          <cell r="BG7" t="str">
            <v>Да</v>
          </cell>
          <cell r="BN7" t="str">
            <v>Да</v>
          </cell>
          <cell r="BU7" t="str">
            <v>Да</v>
          </cell>
        </row>
        <row r="8">
          <cell r="I8"/>
          <cell r="O8"/>
          <cell r="V8"/>
          <cell r="AB8"/>
          <cell r="AH8"/>
          <cell r="AN8"/>
          <cell r="AU8"/>
          <cell r="BB8" t="str">
            <v>Да</v>
          </cell>
          <cell r="BE8" t="str">
            <v>Да</v>
          </cell>
          <cell r="BG8" t="str">
            <v>Да</v>
          </cell>
          <cell r="BN8" t="str">
            <v>Да</v>
          </cell>
          <cell r="BU8" t="str">
            <v>Да</v>
          </cell>
        </row>
        <row r="9">
          <cell r="I9" t="str">
            <v>Да</v>
          </cell>
          <cell r="O9" t="str">
            <v>Да</v>
          </cell>
          <cell r="V9" t="str">
            <v>Да</v>
          </cell>
          <cell r="AB9" t="str">
            <v>Нет</v>
          </cell>
          <cell r="AH9" t="str">
            <v>Да</v>
          </cell>
          <cell r="AN9" t="str">
            <v>Да</v>
          </cell>
          <cell r="AU9" t="str">
            <v>Да</v>
          </cell>
          <cell r="BB9" t="str">
            <v>Да</v>
          </cell>
          <cell r="BE9" t="str">
            <v>Да</v>
          </cell>
          <cell r="BG9" t="str">
            <v>Да</v>
          </cell>
          <cell r="BN9" t="str">
            <v>Да</v>
          </cell>
          <cell r="BU9" t="str">
            <v>Да</v>
          </cell>
        </row>
        <row r="10">
          <cell r="I10" t="str">
            <v>Да</v>
          </cell>
          <cell r="O10" t="str">
            <v>Да</v>
          </cell>
          <cell r="V10" t="str">
            <v>Да</v>
          </cell>
          <cell r="AB10" t="str">
            <v>Нет</v>
          </cell>
          <cell r="AH10" t="str">
            <v>Да</v>
          </cell>
          <cell r="AN10" t="str">
            <v>Да</v>
          </cell>
          <cell r="AU10" t="str">
            <v>Да</v>
          </cell>
          <cell r="BB10" t="str">
            <v>Да</v>
          </cell>
          <cell r="BE10" t="str">
            <v>Да</v>
          </cell>
          <cell r="BG10" t="str">
            <v>Да</v>
          </cell>
          <cell r="BN10" t="str">
            <v>Да</v>
          </cell>
          <cell r="BU10" t="str">
            <v>Да</v>
          </cell>
        </row>
        <row r="11">
          <cell r="I11" t="str">
            <v>Да</v>
          </cell>
          <cell r="O11" t="str">
            <v>Да</v>
          </cell>
          <cell r="V11" t="str">
            <v>Да</v>
          </cell>
          <cell r="AB11" t="str">
            <v>Да</v>
          </cell>
          <cell r="AH11" t="str">
            <v>Да</v>
          </cell>
          <cell r="AN11" t="str">
            <v>Да</v>
          </cell>
          <cell r="AU11" t="str">
            <v>Да</v>
          </cell>
          <cell r="BB11" t="str">
            <v>Да</v>
          </cell>
          <cell r="BE11" t="str">
            <v>Да</v>
          </cell>
          <cell r="BG11" t="str">
            <v>Да</v>
          </cell>
          <cell r="BN11" t="str">
            <v>Да</v>
          </cell>
          <cell r="BU11" t="str">
            <v>Да</v>
          </cell>
        </row>
        <row r="12">
          <cell r="I12"/>
          <cell r="O12"/>
          <cell r="V12"/>
          <cell r="AB12"/>
          <cell r="AH12"/>
          <cell r="AN12"/>
          <cell r="AU12"/>
          <cell r="BB12"/>
          <cell r="BE12" t="str">
            <v>Да</v>
          </cell>
          <cell r="BG12" t="str">
            <v>Да</v>
          </cell>
          <cell r="BN12" t="str">
            <v>Нет</v>
          </cell>
          <cell r="BU12" t="str">
            <v>Нет</v>
          </cell>
        </row>
        <row r="13">
          <cell r="I13"/>
          <cell r="O13"/>
          <cell r="V13"/>
          <cell r="AB13"/>
          <cell r="AH13"/>
          <cell r="AN13"/>
          <cell r="AU13"/>
          <cell r="BB13" t="str">
            <v>Да</v>
          </cell>
          <cell r="BE13" t="str">
            <v>Да</v>
          </cell>
          <cell r="BG13" t="str">
            <v>Да</v>
          </cell>
          <cell r="BN13" t="str">
            <v>Да</v>
          </cell>
          <cell r="BU13" t="str">
            <v>Да</v>
          </cell>
        </row>
        <row r="14">
          <cell r="I14" t="str">
            <v>Да</v>
          </cell>
          <cell r="O14" t="str">
            <v>Да</v>
          </cell>
          <cell r="V14" t="str">
            <v>Да</v>
          </cell>
          <cell r="AB14" t="str">
            <v>Да</v>
          </cell>
          <cell r="AH14" t="str">
            <v>Да</v>
          </cell>
          <cell r="AN14" t="str">
            <v>Да</v>
          </cell>
          <cell r="AU14" t="str">
            <v>Да</v>
          </cell>
          <cell r="BB14" t="str">
            <v>Да</v>
          </cell>
          <cell r="BE14" t="str">
            <v>Да</v>
          </cell>
          <cell r="BG14" t="str">
            <v>Да</v>
          </cell>
          <cell r="BN14" t="str">
            <v>Да</v>
          </cell>
          <cell r="BU14" t="str">
            <v>Да</v>
          </cell>
        </row>
        <row r="15">
          <cell r="I15" t="str">
            <v>Да</v>
          </cell>
          <cell r="O15" t="str">
            <v>Да</v>
          </cell>
          <cell r="V15" t="str">
            <v>Да</v>
          </cell>
          <cell r="AB15" t="str">
            <v>Нет</v>
          </cell>
          <cell r="AH15" t="str">
            <v>Да</v>
          </cell>
          <cell r="AN15" t="str">
            <v>Да</v>
          </cell>
          <cell r="AU15" t="str">
            <v>Да</v>
          </cell>
          <cell r="BB15" t="str">
            <v>Да</v>
          </cell>
          <cell r="BE15" t="str">
            <v>Да</v>
          </cell>
          <cell r="BG15" t="str">
            <v>Да</v>
          </cell>
          <cell r="BN15" t="str">
            <v>Да</v>
          </cell>
          <cell r="BU15" t="str">
            <v>Да</v>
          </cell>
        </row>
        <row r="16">
          <cell r="I16" t="str">
            <v>Да</v>
          </cell>
          <cell r="O16" t="str">
            <v>Да</v>
          </cell>
          <cell r="V16" t="str">
            <v>Да</v>
          </cell>
          <cell r="AB16" t="str">
            <v>Нет</v>
          </cell>
          <cell r="AH16" t="str">
            <v>Да</v>
          </cell>
          <cell r="AN16" t="str">
            <v>Да</v>
          </cell>
          <cell r="AU16" t="str">
            <v>Да</v>
          </cell>
          <cell r="BB16" t="str">
            <v>Да</v>
          </cell>
          <cell r="BE16" t="str">
            <v>Да</v>
          </cell>
          <cell r="BG16" t="str">
            <v>Да</v>
          </cell>
          <cell r="BN16" t="str">
            <v>Да</v>
          </cell>
          <cell r="BU16" t="str">
            <v>Да</v>
          </cell>
        </row>
        <row r="17">
          <cell r="I17" t="str">
            <v>Да</v>
          </cell>
          <cell r="O17" t="str">
            <v>Да</v>
          </cell>
          <cell r="V17" t="str">
            <v>Нет</v>
          </cell>
          <cell r="AB17" t="str">
            <v>Нет</v>
          </cell>
          <cell r="AH17" t="str">
            <v>Нет</v>
          </cell>
          <cell r="AN17" t="str">
            <v>Нет</v>
          </cell>
          <cell r="AU17" t="str">
            <v>Нет</v>
          </cell>
          <cell r="BB17" t="str">
            <v>Нет</v>
          </cell>
          <cell r="BE17" t="str">
            <v>Нет</v>
          </cell>
          <cell r="BG17" t="str">
            <v>Нет</v>
          </cell>
          <cell r="BN17" t="str">
            <v>Нет</v>
          </cell>
          <cell r="BU17" t="str">
            <v>Нет</v>
          </cell>
        </row>
        <row r="18">
          <cell r="I18" t="str">
            <v>Да</v>
          </cell>
          <cell r="O18" t="str">
            <v>Да</v>
          </cell>
          <cell r="V18" t="str">
            <v>Да</v>
          </cell>
          <cell r="AB18" t="str">
            <v>Нет</v>
          </cell>
          <cell r="AH18" t="str">
            <v>Да</v>
          </cell>
          <cell r="AN18" t="str">
            <v>Да</v>
          </cell>
          <cell r="AU18" t="str">
            <v>Да</v>
          </cell>
          <cell r="BB18" t="str">
            <v>Да</v>
          </cell>
          <cell r="BE18" t="str">
            <v>Да</v>
          </cell>
          <cell r="BG18" t="str">
            <v>Да</v>
          </cell>
          <cell r="BN18" t="str">
            <v>Да</v>
          </cell>
          <cell r="BU18" t="str">
            <v>Да</v>
          </cell>
        </row>
        <row r="19">
          <cell r="I19" t="str">
            <v>Да</v>
          </cell>
          <cell r="O19" t="str">
            <v>Да</v>
          </cell>
          <cell r="V19" t="str">
            <v>Да</v>
          </cell>
          <cell r="AB19" t="str">
            <v>Нет</v>
          </cell>
          <cell r="AH19" t="str">
            <v>Да</v>
          </cell>
          <cell r="AN19" t="str">
            <v>Да</v>
          </cell>
          <cell r="AU19" t="str">
            <v>Да</v>
          </cell>
          <cell r="BB19" t="str">
            <v>Да</v>
          </cell>
          <cell r="BE19" t="str">
            <v>Да</v>
          </cell>
          <cell r="BG19" t="str">
            <v>Нет</v>
          </cell>
          <cell r="BN19" t="str">
            <v>Да</v>
          </cell>
          <cell r="BU19" t="str">
            <v>Да</v>
          </cell>
        </row>
        <row r="20">
          <cell r="I20" t="str">
            <v>Да</v>
          </cell>
          <cell r="O20" t="str">
            <v>Да</v>
          </cell>
          <cell r="V20" t="str">
            <v>Да</v>
          </cell>
          <cell r="AB20" t="str">
            <v>Да</v>
          </cell>
          <cell r="AH20" t="str">
            <v>Да</v>
          </cell>
          <cell r="AN20" t="str">
            <v>Да</v>
          </cell>
          <cell r="AU20" t="str">
            <v>Да</v>
          </cell>
          <cell r="BB20" t="str">
            <v>Да</v>
          </cell>
          <cell r="BE20" t="str">
            <v>Да</v>
          </cell>
          <cell r="BG20" t="str">
            <v>Да</v>
          </cell>
          <cell r="BN20" t="str">
            <v>Да</v>
          </cell>
          <cell r="BU20" t="str">
            <v>Да</v>
          </cell>
        </row>
        <row r="21">
          <cell r="I21" t="str">
            <v>Да</v>
          </cell>
          <cell r="O21" t="str">
            <v>Да</v>
          </cell>
          <cell r="V21" t="str">
            <v>Да</v>
          </cell>
          <cell r="AB21" t="str">
            <v>Нет</v>
          </cell>
          <cell r="AH21" t="str">
            <v>Да</v>
          </cell>
          <cell r="AN21" t="str">
            <v>Да</v>
          </cell>
          <cell r="AU21" t="str">
            <v>Да</v>
          </cell>
          <cell r="BB21" t="str">
            <v>Да</v>
          </cell>
          <cell r="BE21" t="str">
            <v>Да</v>
          </cell>
          <cell r="BG21" t="str">
            <v>Да</v>
          </cell>
          <cell r="BN21" t="str">
            <v>Да</v>
          </cell>
          <cell r="BU21" t="str">
            <v>Да</v>
          </cell>
        </row>
        <row r="22">
          <cell r="I22" t="str">
            <v>Да</v>
          </cell>
          <cell r="O22" t="str">
            <v>Да</v>
          </cell>
          <cell r="V22" t="str">
            <v>Да</v>
          </cell>
          <cell r="AB22" t="str">
            <v>Нет</v>
          </cell>
          <cell r="AH22" t="str">
            <v>Нет</v>
          </cell>
          <cell r="AN22" t="str">
            <v>Да</v>
          </cell>
          <cell r="AU22" t="str">
            <v>Да</v>
          </cell>
          <cell r="BB22" t="str">
            <v>Да</v>
          </cell>
          <cell r="BE22" t="str">
            <v>Да</v>
          </cell>
          <cell r="BG22" t="str">
            <v>Да</v>
          </cell>
          <cell r="BN22" t="str">
            <v>Да</v>
          </cell>
          <cell r="BU22" t="str">
            <v>Да</v>
          </cell>
        </row>
        <row r="23">
          <cell r="I23" t="str">
            <v>Да</v>
          </cell>
          <cell r="O23" t="str">
            <v>Да</v>
          </cell>
          <cell r="V23" t="str">
            <v>Да</v>
          </cell>
          <cell r="AB23" t="str">
            <v>Да</v>
          </cell>
          <cell r="AH23" t="str">
            <v>Да</v>
          </cell>
          <cell r="AN23" t="str">
            <v>Да</v>
          </cell>
          <cell r="AU23" t="str">
            <v>Да</v>
          </cell>
          <cell r="BB23" t="str">
            <v>Да</v>
          </cell>
          <cell r="BE23" t="str">
            <v>Да</v>
          </cell>
          <cell r="BG23" t="str">
            <v>Да</v>
          </cell>
          <cell r="BN23" t="str">
            <v>Да</v>
          </cell>
          <cell r="BU23" t="str">
            <v>Да</v>
          </cell>
        </row>
        <row r="24">
          <cell r="I24"/>
          <cell r="O24"/>
          <cell r="V24"/>
          <cell r="AB24"/>
          <cell r="AH24"/>
          <cell r="AN24"/>
          <cell r="AU24" t="str">
            <v>Да</v>
          </cell>
          <cell r="BB24" t="str">
            <v>Да</v>
          </cell>
          <cell r="BE24" t="str">
            <v>Да</v>
          </cell>
          <cell r="BG24" t="str">
            <v>Да</v>
          </cell>
          <cell r="BN24" t="str">
            <v>Да</v>
          </cell>
          <cell r="BU24" t="str">
            <v>Нет</v>
          </cell>
        </row>
        <row r="25">
          <cell r="I25" t="str">
            <v>Нет</v>
          </cell>
          <cell r="O25" t="str">
            <v>Нет</v>
          </cell>
          <cell r="V25" t="str">
            <v>Да</v>
          </cell>
          <cell r="AB25" t="str">
            <v>Нет</v>
          </cell>
          <cell r="AH25" t="str">
            <v>Да</v>
          </cell>
          <cell r="AN25" t="str">
            <v>Да</v>
          </cell>
          <cell r="AU25" t="str">
            <v>Нет</v>
          </cell>
          <cell r="BB25" t="str">
            <v>Да</v>
          </cell>
          <cell r="BE25" t="str">
            <v>Да</v>
          </cell>
          <cell r="BG25" t="str">
            <v>Да</v>
          </cell>
          <cell r="BN25" t="str">
            <v>Нет</v>
          </cell>
          <cell r="BU25" t="str">
            <v>Нет</v>
          </cell>
        </row>
        <row r="26">
          <cell r="I26" t="str">
            <v>Да</v>
          </cell>
          <cell r="O26" t="str">
            <v>Да</v>
          </cell>
          <cell r="V26" t="str">
            <v>Да</v>
          </cell>
          <cell r="AB26" t="str">
            <v>Да</v>
          </cell>
          <cell r="AH26" t="str">
            <v>Да</v>
          </cell>
          <cell r="AN26" t="str">
            <v>Да</v>
          </cell>
          <cell r="AU26" t="str">
            <v>Да</v>
          </cell>
          <cell r="BB26" t="str">
            <v>Да</v>
          </cell>
          <cell r="BE26" t="str">
            <v>Да</v>
          </cell>
          <cell r="BG26" t="str">
            <v>Да</v>
          </cell>
          <cell r="BN26" t="str">
            <v>Да</v>
          </cell>
          <cell r="BU26" t="str">
            <v>Да</v>
          </cell>
        </row>
        <row r="27">
          <cell r="I27" t="str">
            <v>Да</v>
          </cell>
          <cell r="O27" t="str">
            <v>Да</v>
          </cell>
          <cell r="V27" t="str">
            <v>Да</v>
          </cell>
          <cell r="AB27" t="str">
            <v>Нет</v>
          </cell>
          <cell r="AH27" t="str">
            <v>Да</v>
          </cell>
          <cell r="AN27" t="str">
            <v>Да</v>
          </cell>
          <cell r="AU27" t="str">
            <v>Да</v>
          </cell>
          <cell r="BB27" t="str">
            <v>Да</v>
          </cell>
          <cell r="BE27" t="str">
            <v>Да</v>
          </cell>
          <cell r="BG27" t="str">
            <v>Да</v>
          </cell>
          <cell r="BN27" t="str">
            <v>Да</v>
          </cell>
          <cell r="BU27" t="str">
            <v>Да</v>
          </cell>
        </row>
        <row r="28">
          <cell r="I28" t="str">
            <v>Да</v>
          </cell>
          <cell r="O28" t="str">
            <v>Да</v>
          </cell>
          <cell r="V28" t="str">
            <v>Да</v>
          </cell>
          <cell r="AB28" t="str">
            <v>Да</v>
          </cell>
          <cell r="AH28" t="str">
            <v>Да</v>
          </cell>
          <cell r="AN28" t="str">
            <v>Да</v>
          </cell>
          <cell r="AU28" t="str">
            <v>Да</v>
          </cell>
          <cell r="BB28" t="str">
            <v>Да</v>
          </cell>
          <cell r="BE28" t="str">
            <v>Да</v>
          </cell>
          <cell r="BG28" t="str">
            <v>Да</v>
          </cell>
          <cell r="BN28" t="str">
            <v>Да</v>
          </cell>
          <cell r="BU28" t="str">
            <v>Да</v>
          </cell>
        </row>
        <row r="29">
          <cell r="I29" t="str">
            <v>Да</v>
          </cell>
          <cell r="O29" t="str">
            <v>Да</v>
          </cell>
          <cell r="V29" t="str">
            <v>Да</v>
          </cell>
          <cell r="AB29" t="str">
            <v>Нет</v>
          </cell>
          <cell r="AH29" t="str">
            <v>Да</v>
          </cell>
          <cell r="AN29" t="str">
            <v>Да</v>
          </cell>
          <cell r="AU29" t="str">
            <v>Да</v>
          </cell>
          <cell r="BB29" t="str">
            <v>Да</v>
          </cell>
          <cell r="BE29" t="str">
            <v>Да</v>
          </cell>
          <cell r="BG29" t="str">
            <v>Да</v>
          </cell>
          <cell r="BN29" t="str">
            <v>Да</v>
          </cell>
          <cell r="BU29" t="str">
            <v>Да</v>
          </cell>
        </row>
        <row r="30">
          <cell r="I30" t="str">
            <v>Да</v>
          </cell>
          <cell r="O30" t="str">
            <v>Да</v>
          </cell>
          <cell r="V30" t="str">
            <v>Да</v>
          </cell>
          <cell r="AB30" t="str">
            <v>Да</v>
          </cell>
          <cell r="AH30" t="str">
            <v>Да</v>
          </cell>
          <cell r="AN30" t="str">
            <v>Да</v>
          </cell>
          <cell r="AU30" t="str">
            <v>Да</v>
          </cell>
          <cell r="BB30" t="str">
            <v>Да</v>
          </cell>
          <cell r="BE30" t="str">
            <v>Да</v>
          </cell>
          <cell r="BG30" t="str">
            <v>Да</v>
          </cell>
          <cell r="BN30" t="str">
            <v>Да</v>
          </cell>
          <cell r="BU30" t="str">
            <v>Да</v>
          </cell>
        </row>
        <row r="31">
          <cell r="I31" t="str">
            <v>Да</v>
          </cell>
          <cell r="O31" t="str">
            <v>Да</v>
          </cell>
          <cell r="V31" t="str">
            <v>Да</v>
          </cell>
          <cell r="AB31" t="str">
            <v>Нет</v>
          </cell>
          <cell r="AH31" t="str">
            <v>Да</v>
          </cell>
          <cell r="AN31" t="str">
            <v>Да</v>
          </cell>
          <cell r="AU31" t="str">
            <v>Да</v>
          </cell>
          <cell r="BB31" t="str">
            <v>Да</v>
          </cell>
          <cell r="BE31" t="str">
            <v>Да</v>
          </cell>
          <cell r="BG31" t="str">
            <v>Да</v>
          </cell>
          <cell r="BN31" t="str">
            <v>Да</v>
          </cell>
          <cell r="BU31" t="str">
            <v>Да</v>
          </cell>
        </row>
        <row r="32">
          <cell r="I32" t="str">
            <v>Нет</v>
          </cell>
          <cell r="O32" t="str">
            <v>Да</v>
          </cell>
          <cell r="V32" t="str">
            <v>Да</v>
          </cell>
          <cell r="AB32" t="str">
            <v>Нет</v>
          </cell>
          <cell r="AH32" t="str">
            <v>Нет</v>
          </cell>
          <cell r="AN32" t="str">
            <v>Нет</v>
          </cell>
          <cell r="AU32" t="str">
            <v>Нет</v>
          </cell>
          <cell r="BB32" t="str">
            <v>Нет</v>
          </cell>
          <cell r="BE32" t="str">
            <v>Нет</v>
          </cell>
          <cell r="BG32" t="str">
            <v>Нет</v>
          </cell>
          <cell r="BN32" t="str">
            <v>Нет</v>
          </cell>
          <cell r="BU32" t="str">
            <v>Нет</v>
          </cell>
        </row>
      </sheetData>
      <sheetData sheetId="18">
        <row r="3">
          <cell r="J3" t="str">
            <v>Да</v>
          </cell>
          <cell r="T3" t="str">
            <v>Да</v>
          </cell>
          <cell r="AF3" t="str">
            <v>Да</v>
          </cell>
          <cell r="AM3" t="str">
            <v>Да</v>
          </cell>
          <cell r="AS3" t="str">
            <v>Да</v>
          </cell>
          <cell r="AX3" t="str">
            <v>Да</v>
          </cell>
          <cell r="BE3" t="str">
            <v>Да</v>
          </cell>
          <cell r="BK3" t="str">
            <v>Да</v>
          </cell>
          <cell r="BS3" t="str">
            <v>Да</v>
          </cell>
          <cell r="BX3" t="str">
            <v>Да</v>
          </cell>
          <cell r="CD3" t="str">
            <v>Да</v>
          </cell>
          <cell r="CK3" t="str">
            <v>Да</v>
          </cell>
        </row>
        <row r="4">
          <cell r="J4" t="str">
            <v>Да</v>
          </cell>
          <cell r="T4" t="str">
            <v>Да</v>
          </cell>
          <cell r="AF4" t="str">
            <v>Да</v>
          </cell>
          <cell r="AM4" t="str">
            <v>Да</v>
          </cell>
          <cell r="AS4" t="str">
            <v>Да</v>
          </cell>
          <cell r="AX4" t="str">
            <v>Да</v>
          </cell>
          <cell r="BE4" t="str">
            <v>Да</v>
          </cell>
          <cell r="BK4" t="str">
            <v>Да</v>
          </cell>
          <cell r="BS4" t="str">
            <v>Да</v>
          </cell>
          <cell r="BX4" t="str">
            <v>Да</v>
          </cell>
          <cell r="CD4" t="str">
            <v>Да</v>
          </cell>
          <cell r="CK4" t="str">
            <v>Да</v>
          </cell>
        </row>
        <row r="5">
          <cell r="J5" t="str">
            <v>Да</v>
          </cell>
          <cell r="T5" t="str">
            <v>Нет</v>
          </cell>
          <cell r="AF5" t="str">
            <v>Нет</v>
          </cell>
          <cell r="AM5" t="str">
            <v>Нет</v>
          </cell>
          <cell r="AS5" t="str">
            <v>Нет</v>
          </cell>
          <cell r="AX5" t="str">
            <v>Нет</v>
          </cell>
          <cell r="BE5" t="str">
            <v>Да</v>
          </cell>
          <cell r="BK5" t="str">
            <v>Да</v>
          </cell>
          <cell r="BS5" t="str">
            <v>Да</v>
          </cell>
          <cell r="BX5" t="str">
            <v>Да</v>
          </cell>
          <cell r="CD5" t="str">
            <v>Да</v>
          </cell>
          <cell r="CK5" t="str">
            <v>Да</v>
          </cell>
        </row>
        <row r="6">
          <cell r="J6" t="str">
            <v>Да</v>
          </cell>
          <cell r="T6" t="str">
            <v>Да</v>
          </cell>
          <cell r="AF6" t="str">
            <v>Да</v>
          </cell>
          <cell r="AM6" t="str">
            <v>Да</v>
          </cell>
          <cell r="AS6" t="str">
            <v>Да</v>
          </cell>
          <cell r="AX6" t="str">
            <v>Да</v>
          </cell>
          <cell r="BE6" t="str">
            <v>Да</v>
          </cell>
          <cell r="BK6" t="str">
            <v>Да</v>
          </cell>
          <cell r="BS6" t="str">
            <v>Да</v>
          </cell>
          <cell r="BX6" t="str">
            <v>Да</v>
          </cell>
          <cell r="CD6" t="str">
            <v>Да</v>
          </cell>
          <cell r="CK6" t="str">
            <v>Да</v>
          </cell>
        </row>
        <row r="7">
          <cell r="J7" t="str">
            <v>Да</v>
          </cell>
          <cell r="T7" t="str">
            <v>Да</v>
          </cell>
          <cell r="AF7" t="str">
            <v>Да</v>
          </cell>
          <cell r="AM7" t="str">
            <v>Да</v>
          </cell>
          <cell r="AS7" t="str">
            <v>Да</v>
          </cell>
          <cell r="AX7" t="str">
            <v>Да</v>
          </cell>
          <cell r="BE7" t="str">
            <v>Да</v>
          </cell>
          <cell r="BK7" t="str">
            <v>Да</v>
          </cell>
          <cell r="BS7" t="str">
            <v>Да</v>
          </cell>
          <cell r="BX7" t="str">
            <v>Да</v>
          </cell>
          <cell r="CD7" t="str">
            <v>Да</v>
          </cell>
          <cell r="CK7" t="str">
            <v>Да</v>
          </cell>
        </row>
        <row r="8">
          <cell r="J8" t="str">
            <v>Да</v>
          </cell>
          <cell r="T8" t="str">
            <v>Да</v>
          </cell>
          <cell r="AF8" t="str">
            <v>Да</v>
          </cell>
          <cell r="AM8" t="str">
            <v>Да</v>
          </cell>
          <cell r="AS8" t="str">
            <v>Да</v>
          </cell>
          <cell r="AX8" t="str">
            <v>Да</v>
          </cell>
          <cell r="BE8" t="str">
            <v>Да</v>
          </cell>
          <cell r="BK8" t="str">
            <v>Да</v>
          </cell>
          <cell r="BS8" t="str">
            <v>Да</v>
          </cell>
          <cell r="BX8" t="str">
            <v>Да</v>
          </cell>
          <cell r="CD8" t="str">
            <v>Да</v>
          </cell>
          <cell r="CK8" t="str">
            <v>Да</v>
          </cell>
        </row>
        <row r="9">
          <cell r="J9" t="str">
            <v>Да</v>
          </cell>
          <cell r="T9" t="str">
            <v>Да</v>
          </cell>
          <cell r="AF9" t="str">
            <v>Да</v>
          </cell>
          <cell r="AM9" t="str">
            <v>Да</v>
          </cell>
          <cell r="AS9" t="str">
            <v>Да</v>
          </cell>
          <cell r="AX9" t="str">
            <v>Да</v>
          </cell>
          <cell r="BE9" t="str">
            <v>Да</v>
          </cell>
          <cell r="BK9" t="str">
            <v>Да</v>
          </cell>
          <cell r="BS9" t="str">
            <v>Да</v>
          </cell>
          <cell r="BX9" t="str">
            <v>Да</v>
          </cell>
          <cell r="CD9" t="str">
            <v>Да</v>
          </cell>
          <cell r="CK9" t="str">
            <v>Да</v>
          </cell>
        </row>
        <row r="10">
          <cell r="J10" t="str">
            <v>Да</v>
          </cell>
          <cell r="T10" t="str">
            <v>Да</v>
          </cell>
          <cell r="AF10" t="str">
            <v>Да</v>
          </cell>
          <cell r="AM10" t="str">
            <v>Да</v>
          </cell>
          <cell r="AS10" t="str">
            <v>Да</v>
          </cell>
          <cell r="AX10" t="str">
            <v>Да</v>
          </cell>
          <cell r="BE10" t="str">
            <v>Да</v>
          </cell>
          <cell r="BK10" t="str">
            <v>Да</v>
          </cell>
          <cell r="BS10" t="str">
            <v>Да</v>
          </cell>
          <cell r="BX10" t="str">
            <v>Да</v>
          </cell>
          <cell r="CD10" t="str">
            <v>Да</v>
          </cell>
          <cell r="CK10" t="str">
            <v>Да</v>
          </cell>
        </row>
        <row r="11">
          <cell r="J11" t="str">
            <v>Да</v>
          </cell>
          <cell r="T11" t="str">
            <v>Да</v>
          </cell>
          <cell r="AF11" t="str">
            <v>Да</v>
          </cell>
          <cell r="AM11" t="str">
            <v>Да</v>
          </cell>
          <cell r="AS11" t="str">
            <v>Да</v>
          </cell>
          <cell r="AX11" t="str">
            <v>Да</v>
          </cell>
          <cell r="BE11" t="str">
            <v>Да</v>
          </cell>
          <cell r="BK11" t="str">
            <v>Да</v>
          </cell>
          <cell r="BS11" t="str">
            <v>Да</v>
          </cell>
          <cell r="BX11" t="str">
            <v>Да</v>
          </cell>
          <cell r="CD11" t="str">
            <v>Да</v>
          </cell>
          <cell r="CK11" t="str">
            <v>Да</v>
          </cell>
        </row>
        <row r="12">
          <cell r="J12" t="str">
            <v>Да</v>
          </cell>
          <cell r="T12" t="str">
            <v>Да</v>
          </cell>
          <cell r="AF12" t="str">
            <v>Да</v>
          </cell>
          <cell r="AM12" t="str">
            <v>Нет</v>
          </cell>
          <cell r="AS12" t="str">
            <v>Нет</v>
          </cell>
          <cell r="AX12" t="str">
            <v>Да</v>
          </cell>
          <cell r="BE12" t="str">
            <v>Да</v>
          </cell>
          <cell r="BK12" t="str">
            <v>Нет</v>
          </cell>
          <cell r="BS12" t="str">
            <v>Да</v>
          </cell>
          <cell r="BX12" t="str">
            <v>Да</v>
          </cell>
          <cell r="CD12" t="str">
            <v>Да</v>
          </cell>
          <cell r="CK12" t="str">
            <v>Да</v>
          </cell>
        </row>
        <row r="13">
          <cell r="J13" t="str">
            <v>Да</v>
          </cell>
          <cell r="T13" t="str">
            <v>Да</v>
          </cell>
          <cell r="AF13" t="str">
            <v>Да</v>
          </cell>
          <cell r="AM13" t="str">
            <v>Да</v>
          </cell>
          <cell r="AS13" t="str">
            <v>Да</v>
          </cell>
          <cell r="AX13" t="str">
            <v>Да</v>
          </cell>
          <cell r="BE13" t="str">
            <v>Да</v>
          </cell>
          <cell r="BK13" t="str">
            <v>Да</v>
          </cell>
          <cell r="BS13" t="str">
            <v>Да</v>
          </cell>
          <cell r="BX13" t="str">
            <v>Да</v>
          </cell>
          <cell r="CD13" t="str">
            <v>Да</v>
          </cell>
          <cell r="CK13" t="str">
            <v>Да</v>
          </cell>
        </row>
        <row r="14">
          <cell r="J14" t="str">
            <v>Да</v>
          </cell>
          <cell r="T14" t="str">
            <v>Да</v>
          </cell>
          <cell r="AF14" t="str">
            <v>Да</v>
          </cell>
          <cell r="AM14" t="str">
            <v>Да</v>
          </cell>
          <cell r="AS14" t="str">
            <v>Да</v>
          </cell>
          <cell r="AX14" t="str">
            <v>Да</v>
          </cell>
          <cell r="BE14" t="str">
            <v>Да</v>
          </cell>
          <cell r="BK14" t="str">
            <v>Да</v>
          </cell>
          <cell r="BS14" t="str">
            <v>Да</v>
          </cell>
          <cell r="BX14" t="str">
            <v>Да</v>
          </cell>
          <cell r="CD14" t="str">
            <v>Да</v>
          </cell>
          <cell r="CK14" t="str">
            <v>Да</v>
          </cell>
        </row>
        <row r="15">
          <cell r="J15" t="str">
            <v>Да</v>
          </cell>
          <cell r="T15" t="str">
            <v>Да</v>
          </cell>
          <cell r="AF15" t="str">
            <v>Да</v>
          </cell>
          <cell r="AM15" t="str">
            <v>Да</v>
          </cell>
          <cell r="AS15" t="str">
            <v>Да</v>
          </cell>
          <cell r="AX15" t="str">
            <v>Да</v>
          </cell>
          <cell r="BE15" t="str">
            <v>Да</v>
          </cell>
          <cell r="BK15" t="str">
            <v>Да</v>
          </cell>
          <cell r="BS15" t="str">
            <v>Да</v>
          </cell>
          <cell r="BX15" t="str">
            <v>Да</v>
          </cell>
          <cell r="CD15" t="str">
            <v>Да</v>
          </cell>
          <cell r="CK15" t="str">
            <v>Да</v>
          </cell>
        </row>
        <row r="16">
          <cell r="J16"/>
          <cell r="T16"/>
          <cell r="AF16"/>
          <cell r="AM16"/>
          <cell r="AS16"/>
          <cell r="AX16"/>
          <cell r="BE16"/>
          <cell r="BK16"/>
          <cell r="BS16" t="str">
            <v>Да</v>
          </cell>
          <cell r="BX16" t="str">
            <v>Да</v>
          </cell>
          <cell r="CD16" t="str">
            <v>Да</v>
          </cell>
          <cell r="CK16" t="str">
            <v>Да</v>
          </cell>
        </row>
        <row r="17">
          <cell r="J17" t="str">
            <v>Да</v>
          </cell>
          <cell r="T17" t="str">
            <v>Да</v>
          </cell>
          <cell r="AF17" t="str">
            <v>Да</v>
          </cell>
          <cell r="AM17" t="str">
            <v>Да</v>
          </cell>
          <cell r="AS17" t="str">
            <v>Да</v>
          </cell>
          <cell r="AX17" t="str">
            <v>Да</v>
          </cell>
          <cell r="BE17" t="str">
            <v>Да</v>
          </cell>
          <cell r="BK17" t="str">
            <v>Да</v>
          </cell>
          <cell r="BS17" t="str">
            <v>Да</v>
          </cell>
          <cell r="BX17" t="str">
            <v>Да</v>
          </cell>
          <cell r="CD17" t="str">
            <v>Да</v>
          </cell>
          <cell r="CK17" t="str">
            <v>Да</v>
          </cell>
        </row>
        <row r="18">
          <cell r="J18" t="str">
            <v>Нет</v>
          </cell>
          <cell r="T18" t="str">
            <v>Нет</v>
          </cell>
          <cell r="AF18" t="str">
            <v>Нет</v>
          </cell>
          <cell r="AM18" t="str">
            <v>Нет</v>
          </cell>
          <cell r="AS18" t="str">
            <v>Да</v>
          </cell>
          <cell r="AX18" t="str">
            <v>Да</v>
          </cell>
          <cell r="BE18" t="str">
            <v>Да</v>
          </cell>
          <cell r="BK18" t="str">
            <v>Да</v>
          </cell>
          <cell r="BS18" t="str">
            <v>Да</v>
          </cell>
          <cell r="BX18" t="str">
            <v>Да</v>
          </cell>
          <cell r="CD18" t="str">
            <v>Да</v>
          </cell>
          <cell r="CK18" t="str">
            <v>Да</v>
          </cell>
        </row>
        <row r="19">
          <cell r="J19" t="str">
            <v>Да</v>
          </cell>
          <cell r="T19" t="str">
            <v>Да</v>
          </cell>
          <cell r="AF19" t="str">
            <v>Да</v>
          </cell>
          <cell r="AM19" t="str">
            <v>Да</v>
          </cell>
          <cell r="AS19" t="str">
            <v>Да</v>
          </cell>
          <cell r="AX19" t="str">
            <v>Да</v>
          </cell>
          <cell r="BE19" t="str">
            <v>Да</v>
          </cell>
          <cell r="BK19" t="str">
            <v>Да</v>
          </cell>
          <cell r="BS19" t="str">
            <v>Да</v>
          </cell>
          <cell r="BX19" t="str">
            <v>Да</v>
          </cell>
          <cell r="CD19" t="str">
            <v>Да</v>
          </cell>
          <cell r="CK19" t="str">
            <v>Да</v>
          </cell>
        </row>
        <row r="20">
          <cell r="J20" t="str">
            <v>Да</v>
          </cell>
          <cell r="T20" t="str">
            <v>Да</v>
          </cell>
          <cell r="AF20" t="str">
            <v>Да</v>
          </cell>
          <cell r="AM20" t="str">
            <v>Да</v>
          </cell>
          <cell r="AS20" t="str">
            <v>Да</v>
          </cell>
          <cell r="AX20" t="str">
            <v>Да</v>
          </cell>
          <cell r="BE20" t="str">
            <v>Да</v>
          </cell>
          <cell r="BK20" t="str">
            <v>Да</v>
          </cell>
          <cell r="BS20" t="str">
            <v>Да</v>
          </cell>
          <cell r="BX20" t="str">
            <v>Да</v>
          </cell>
          <cell r="CD20" t="str">
            <v>Да</v>
          </cell>
          <cell r="CK20" t="str">
            <v>Да</v>
          </cell>
        </row>
        <row r="21">
          <cell r="J21"/>
          <cell r="T21"/>
          <cell r="AF21"/>
          <cell r="AM21"/>
          <cell r="AS21"/>
          <cell r="AX21"/>
          <cell r="BE21" t="str">
            <v>Да</v>
          </cell>
          <cell r="BK21" t="str">
            <v>Да</v>
          </cell>
          <cell r="BS21" t="str">
            <v>Да</v>
          </cell>
          <cell r="BX21" t="str">
            <v>Нет</v>
          </cell>
          <cell r="CD21" t="str">
            <v>Нет</v>
          </cell>
          <cell r="CK21" t="str">
            <v>Да</v>
          </cell>
        </row>
        <row r="22">
          <cell r="J22" t="str">
            <v>Да</v>
          </cell>
          <cell r="T22" t="str">
            <v>Да</v>
          </cell>
          <cell r="AF22" t="str">
            <v>Да</v>
          </cell>
          <cell r="AM22" t="str">
            <v>Да</v>
          </cell>
          <cell r="AS22" t="str">
            <v>Да</v>
          </cell>
          <cell r="AX22" t="str">
            <v>Да</v>
          </cell>
          <cell r="BE22" t="str">
            <v>Да</v>
          </cell>
          <cell r="BK22" t="str">
            <v>Да</v>
          </cell>
          <cell r="BS22" t="str">
            <v>Да</v>
          </cell>
          <cell r="BX22" t="str">
            <v>Да</v>
          </cell>
          <cell r="CD22" t="str">
            <v>Да</v>
          </cell>
          <cell r="CK22" t="str">
            <v>Да</v>
          </cell>
        </row>
        <row r="23">
          <cell r="J23" t="str">
            <v>Да</v>
          </cell>
          <cell r="T23" t="str">
            <v>Нет</v>
          </cell>
          <cell r="AF23" t="str">
            <v>Да</v>
          </cell>
          <cell r="AM23" t="str">
            <v>Да</v>
          </cell>
          <cell r="AS23" t="str">
            <v>Да</v>
          </cell>
          <cell r="AX23" t="str">
            <v>Нет</v>
          </cell>
          <cell r="BE23" t="str">
            <v>Да</v>
          </cell>
          <cell r="BK23" t="str">
            <v>Да</v>
          </cell>
          <cell r="BS23" t="str">
            <v>Да</v>
          </cell>
          <cell r="BX23" t="str">
            <v>Да</v>
          </cell>
          <cell r="CD23" t="str">
            <v>Да</v>
          </cell>
          <cell r="CK23" t="str">
            <v>Да</v>
          </cell>
        </row>
        <row r="24">
          <cell r="J24" t="str">
            <v>Да</v>
          </cell>
          <cell r="T24" t="str">
            <v>Да</v>
          </cell>
          <cell r="AF24" t="str">
            <v>Да</v>
          </cell>
          <cell r="AM24" t="str">
            <v>Да</v>
          </cell>
          <cell r="AS24" t="str">
            <v>Да</v>
          </cell>
          <cell r="AX24" t="str">
            <v>Да</v>
          </cell>
          <cell r="BE24" t="str">
            <v>Да</v>
          </cell>
          <cell r="BK24" t="str">
            <v>Да</v>
          </cell>
          <cell r="BS24" t="str">
            <v>Да</v>
          </cell>
          <cell r="BX24" t="str">
            <v>Да</v>
          </cell>
          <cell r="CD24" t="str">
            <v>Да</v>
          </cell>
          <cell r="CK24" t="str">
            <v>Да</v>
          </cell>
        </row>
        <row r="25">
          <cell r="J25" t="str">
            <v>Да</v>
          </cell>
          <cell r="T25" t="str">
            <v>Да</v>
          </cell>
          <cell r="AF25" t="str">
            <v>Да</v>
          </cell>
          <cell r="AM25" t="str">
            <v>Да</v>
          </cell>
          <cell r="AS25" t="str">
            <v>Да</v>
          </cell>
          <cell r="AX25" t="str">
            <v>Да</v>
          </cell>
          <cell r="BE25" t="str">
            <v>Да</v>
          </cell>
          <cell r="BK25" t="str">
            <v>Да</v>
          </cell>
          <cell r="BS25" t="str">
            <v>Да</v>
          </cell>
          <cell r="BX25" t="str">
            <v>Да</v>
          </cell>
          <cell r="CD25" t="str">
            <v>Да</v>
          </cell>
          <cell r="CK25" t="str">
            <v>Да</v>
          </cell>
        </row>
        <row r="26">
          <cell r="J26" t="str">
            <v>Да</v>
          </cell>
          <cell r="T26" t="str">
            <v>Да</v>
          </cell>
          <cell r="AF26" t="str">
            <v>Да</v>
          </cell>
          <cell r="AM26" t="str">
            <v>Да</v>
          </cell>
          <cell r="AS26" t="str">
            <v>Да</v>
          </cell>
          <cell r="AX26" t="str">
            <v>Да</v>
          </cell>
          <cell r="BE26" t="str">
            <v>Да</v>
          </cell>
          <cell r="BK26" t="str">
            <v>Да</v>
          </cell>
          <cell r="BS26" t="str">
            <v>Да</v>
          </cell>
          <cell r="BX26" t="str">
            <v>Да</v>
          </cell>
          <cell r="CD26" t="str">
            <v>Да</v>
          </cell>
          <cell r="CK26" t="str">
            <v>Да</v>
          </cell>
        </row>
        <row r="27">
          <cell r="J27" t="str">
            <v>Да</v>
          </cell>
          <cell r="T27" t="str">
            <v>Да</v>
          </cell>
          <cell r="AF27" t="str">
            <v>Да</v>
          </cell>
          <cell r="AM27" t="str">
            <v>Да</v>
          </cell>
          <cell r="AS27" t="str">
            <v>Да</v>
          </cell>
          <cell r="AX27" t="str">
            <v>Да</v>
          </cell>
          <cell r="BE27" t="str">
            <v>Да</v>
          </cell>
          <cell r="BK27" t="str">
            <v>Да</v>
          </cell>
          <cell r="BS27" t="str">
            <v>Да</v>
          </cell>
          <cell r="BX27" t="str">
            <v>Да</v>
          </cell>
          <cell r="CD27" t="str">
            <v>Да</v>
          </cell>
          <cell r="CK27" t="str">
            <v>Да</v>
          </cell>
        </row>
        <row r="28">
          <cell r="J28" t="str">
            <v>Да</v>
          </cell>
          <cell r="T28" t="str">
            <v>Да</v>
          </cell>
          <cell r="AF28" t="str">
            <v>Да</v>
          </cell>
          <cell r="AM28" t="str">
            <v>Да</v>
          </cell>
          <cell r="AS28" t="str">
            <v>Да</v>
          </cell>
          <cell r="AX28" t="str">
            <v>Да</v>
          </cell>
          <cell r="BE28" t="str">
            <v>Да</v>
          </cell>
          <cell r="BK28" t="str">
            <v>Да</v>
          </cell>
          <cell r="BS28" t="str">
            <v>Да</v>
          </cell>
          <cell r="BX28" t="str">
            <v>Да</v>
          </cell>
          <cell r="CD28" t="str">
            <v>Да</v>
          </cell>
          <cell r="CK28" t="str">
            <v>Да</v>
          </cell>
        </row>
        <row r="29">
          <cell r="J29" t="str">
            <v>Да</v>
          </cell>
          <cell r="T29" t="str">
            <v>Да</v>
          </cell>
          <cell r="AF29" t="str">
            <v>Да</v>
          </cell>
          <cell r="AM29" t="str">
            <v>Да</v>
          </cell>
          <cell r="AS29" t="str">
            <v>Да</v>
          </cell>
          <cell r="AX29" t="str">
            <v>Да</v>
          </cell>
          <cell r="BE29" t="str">
            <v>Да</v>
          </cell>
          <cell r="BK29" t="str">
            <v>Да</v>
          </cell>
          <cell r="BS29" t="str">
            <v>Да</v>
          </cell>
          <cell r="BX29" t="str">
            <v>Да</v>
          </cell>
          <cell r="CD29" t="str">
            <v>Да</v>
          </cell>
          <cell r="CK29" t="str">
            <v>Да</v>
          </cell>
        </row>
        <row r="30">
          <cell r="J30" t="str">
            <v>Да</v>
          </cell>
          <cell r="T30" t="str">
            <v>Да</v>
          </cell>
          <cell r="AF30" t="str">
            <v>Да</v>
          </cell>
          <cell r="AM30" t="str">
            <v>Да</v>
          </cell>
          <cell r="AS30" t="str">
            <v>Да</v>
          </cell>
          <cell r="AX30" t="str">
            <v>Да</v>
          </cell>
          <cell r="BE30" t="str">
            <v>Да</v>
          </cell>
          <cell r="BK30" t="str">
            <v>Да</v>
          </cell>
          <cell r="BS30" t="str">
            <v>Да</v>
          </cell>
          <cell r="BX30" t="str">
            <v>Да</v>
          </cell>
          <cell r="CD30" t="str">
            <v>Да</v>
          </cell>
          <cell r="CK30" t="str">
            <v>Да</v>
          </cell>
        </row>
        <row r="31">
          <cell r="J31" t="str">
            <v>Да</v>
          </cell>
          <cell r="T31" t="str">
            <v>Да</v>
          </cell>
          <cell r="AF31" t="str">
            <v>Нет</v>
          </cell>
          <cell r="AM31" t="str">
            <v>Да</v>
          </cell>
          <cell r="AS31" t="str">
            <v>Да</v>
          </cell>
          <cell r="AX31" t="str">
            <v>Да</v>
          </cell>
          <cell r="BE31" t="str">
            <v>Да</v>
          </cell>
          <cell r="BK31" t="str">
            <v>Да</v>
          </cell>
          <cell r="BS31" t="str">
            <v>Да</v>
          </cell>
          <cell r="BX31" t="str">
            <v>Да</v>
          </cell>
          <cell r="CD31" t="str">
            <v>Да</v>
          </cell>
          <cell r="CK31" t="str">
            <v>Да</v>
          </cell>
        </row>
        <row r="32">
          <cell r="J32" t="str">
            <v>Да</v>
          </cell>
          <cell r="T32" t="str">
            <v>Да</v>
          </cell>
          <cell r="AF32" t="str">
            <v>Да</v>
          </cell>
          <cell r="AM32" t="str">
            <v>Да</v>
          </cell>
          <cell r="AS32" t="str">
            <v>Да</v>
          </cell>
          <cell r="AX32" t="str">
            <v>Нет</v>
          </cell>
          <cell r="BE32" t="str">
            <v>Нет</v>
          </cell>
          <cell r="BK32" t="str">
            <v>Нет</v>
          </cell>
          <cell r="BS32" t="str">
            <v>Нет</v>
          </cell>
          <cell r="BX32" t="str">
            <v>Нет</v>
          </cell>
          <cell r="CD32" t="str">
            <v>Нет</v>
          </cell>
          <cell r="CK32" t="str">
            <v>Нет</v>
          </cell>
        </row>
        <row r="33">
          <cell r="J33" t="str">
            <v>Да</v>
          </cell>
          <cell r="T33" t="str">
            <v>Да</v>
          </cell>
          <cell r="AF33" t="str">
            <v>Да</v>
          </cell>
          <cell r="AM33" t="str">
            <v>Да</v>
          </cell>
          <cell r="AS33" t="str">
            <v>Да</v>
          </cell>
          <cell r="AX33" t="str">
            <v>Да</v>
          </cell>
          <cell r="BE33" t="str">
            <v>Да</v>
          </cell>
          <cell r="BK33" t="str">
            <v>Да</v>
          </cell>
          <cell r="BS33" t="str">
            <v>Да</v>
          </cell>
          <cell r="BX33" t="str">
            <v>Да</v>
          </cell>
          <cell r="CD33" t="str">
            <v>Да</v>
          </cell>
          <cell r="CK33" t="str">
            <v>Да</v>
          </cell>
        </row>
        <row r="34">
          <cell r="J34" t="str">
            <v>Да</v>
          </cell>
          <cell r="T34" t="str">
            <v>Да</v>
          </cell>
          <cell r="AF34" t="str">
            <v>Да</v>
          </cell>
          <cell r="AM34" t="str">
            <v>Да</v>
          </cell>
          <cell r="AS34" t="str">
            <v>Да</v>
          </cell>
          <cell r="AX34" t="str">
            <v>Да</v>
          </cell>
          <cell r="BE34" t="str">
            <v>Да</v>
          </cell>
          <cell r="BK34" t="str">
            <v>Да</v>
          </cell>
          <cell r="BS34" t="str">
            <v>Да</v>
          </cell>
          <cell r="BX34" t="str">
            <v>Да</v>
          </cell>
          <cell r="CD34" t="str">
            <v>Да</v>
          </cell>
          <cell r="CK34" t="str">
            <v>Да</v>
          </cell>
        </row>
        <row r="35">
          <cell r="J35" t="str">
            <v>Нет</v>
          </cell>
          <cell r="T35" t="str">
            <v>Да</v>
          </cell>
          <cell r="AF35" t="str">
            <v>Да</v>
          </cell>
          <cell r="AM35" t="str">
            <v>Да</v>
          </cell>
          <cell r="AS35" t="str">
            <v>Да</v>
          </cell>
          <cell r="AX35" t="str">
            <v>Да</v>
          </cell>
          <cell r="BE35" t="str">
            <v>Да</v>
          </cell>
          <cell r="BK35" t="str">
            <v>Да</v>
          </cell>
          <cell r="BS35" t="str">
            <v>Да</v>
          </cell>
          <cell r="BX35" t="str">
            <v>Да</v>
          </cell>
          <cell r="CD35" t="str">
            <v>Да</v>
          </cell>
          <cell r="CK35" t="str">
            <v>Да</v>
          </cell>
        </row>
        <row r="36">
          <cell r="J36" t="str">
            <v>Нет</v>
          </cell>
          <cell r="T36" t="str">
            <v>Нет</v>
          </cell>
          <cell r="AF36" t="str">
            <v>Нет</v>
          </cell>
          <cell r="AM36" t="str">
            <v>Нет</v>
          </cell>
          <cell r="AS36" t="str">
            <v>Да</v>
          </cell>
          <cell r="AX36" t="str">
            <v>Нет</v>
          </cell>
          <cell r="BE36" t="str">
            <v>Да</v>
          </cell>
          <cell r="BK36" t="str">
            <v>Да</v>
          </cell>
          <cell r="BS36" t="str">
            <v>Да</v>
          </cell>
          <cell r="BX36" t="str">
            <v>Да</v>
          </cell>
          <cell r="CD36" t="str">
            <v>Да</v>
          </cell>
          <cell r="CK36" t="str">
            <v>Да</v>
          </cell>
        </row>
        <row r="37">
          <cell r="J37" t="str">
            <v>Да</v>
          </cell>
          <cell r="T37" t="str">
            <v>Да</v>
          </cell>
          <cell r="AF37" t="str">
            <v>Да</v>
          </cell>
          <cell r="AM37" t="str">
            <v>Да</v>
          </cell>
          <cell r="AS37" t="str">
            <v>Да</v>
          </cell>
          <cell r="AX37" t="str">
            <v>Да</v>
          </cell>
          <cell r="BE37" t="str">
            <v>Да</v>
          </cell>
          <cell r="BK37" t="str">
            <v>Да</v>
          </cell>
          <cell r="BS37" t="str">
            <v>Да</v>
          </cell>
          <cell r="BX37" t="str">
            <v>Да</v>
          </cell>
          <cell r="CD37" t="str">
            <v>Да</v>
          </cell>
          <cell r="CK37" t="str">
            <v>Да</v>
          </cell>
        </row>
        <row r="38">
          <cell r="J38" t="str">
            <v>Нет</v>
          </cell>
          <cell r="T38" t="str">
            <v>Нет</v>
          </cell>
          <cell r="AF38" t="str">
            <v>Нет</v>
          </cell>
          <cell r="AM38" t="str">
            <v>Нет</v>
          </cell>
          <cell r="AS38" t="str">
            <v>Да</v>
          </cell>
          <cell r="AX38" t="str">
            <v>Нет</v>
          </cell>
          <cell r="BE38" t="str">
            <v>Да</v>
          </cell>
          <cell r="BK38" t="str">
            <v>Да</v>
          </cell>
          <cell r="BS38" t="str">
            <v>Да</v>
          </cell>
          <cell r="BX38" t="str">
            <v>Да</v>
          </cell>
          <cell r="CD38" t="str">
            <v>Да</v>
          </cell>
          <cell r="CK38" t="str">
            <v>Да</v>
          </cell>
        </row>
        <row r="39">
          <cell r="J39" t="str">
            <v>Да</v>
          </cell>
          <cell r="T39" t="str">
            <v>Да</v>
          </cell>
          <cell r="AF39" t="str">
            <v>Да</v>
          </cell>
          <cell r="AM39" t="str">
            <v>Да</v>
          </cell>
          <cell r="AS39" t="str">
            <v>Да</v>
          </cell>
          <cell r="AX39" t="str">
            <v>Да</v>
          </cell>
          <cell r="BE39" t="str">
            <v>Да</v>
          </cell>
          <cell r="BK39" t="str">
            <v>Да</v>
          </cell>
          <cell r="BS39" t="str">
            <v>Да</v>
          </cell>
          <cell r="BX39" t="str">
            <v>Да</v>
          </cell>
          <cell r="CD39" t="str">
            <v>Да</v>
          </cell>
          <cell r="CK39" t="str">
            <v>Да</v>
          </cell>
        </row>
        <row r="40">
          <cell r="J40" t="str">
            <v>Да</v>
          </cell>
          <cell r="T40" t="str">
            <v>Да</v>
          </cell>
          <cell r="AF40" t="str">
            <v>Да</v>
          </cell>
          <cell r="AM40" t="str">
            <v>Да</v>
          </cell>
          <cell r="AS40" t="str">
            <v>Да</v>
          </cell>
          <cell r="AX40" t="str">
            <v>Да</v>
          </cell>
          <cell r="BE40" t="str">
            <v>Да</v>
          </cell>
          <cell r="BK40" t="str">
            <v>Да</v>
          </cell>
          <cell r="BS40" t="str">
            <v>Да</v>
          </cell>
          <cell r="BX40" t="str">
            <v>Да</v>
          </cell>
          <cell r="CD40" t="str">
            <v>Да</v>
          </cell>
          <cell r="CK40" t="str">
            <v>Да</v>
          </cell>
        </row>
        <row r="41">
          <cell r="J41" t="str">
            <v>Да</v>
          </cell>
          <cell r="T41" t="str">
            <v>Да</v>
          </cell>
          <cell r="AF41" t="str">
            <v>Да</v>
          </cell>
          <cell r="AM41" t="str">
            <v>Да</v>
          </cell>
          <cell r="AS41" t="str">
            <v>Да</v>
          </cell>
          <cell r="AX41" t="str">
            <v>Да</v>
          </cell>
          <cell r="BE41" t="str">
            <v>Да</v>
          </cell>
          <cell r="BK41" t="str">
            <v>Да</v>
          </cell>
          <cell r="BS41" t="str">
            <v>Да</v>
          </cell>
          <cell r="BX41" t="str">
            <v>Да</v>
          </cell>
          <cell r="CD41" t="str">
            <v>Да</v>
          </cell>
          <cell r="CK41" t="str">
            <v>Да</v>
          </cell>
        </row>
        <row r="42">
          <cell r="J42" t="str">
            <v>Да</v>
          </cell>
          <cell r="T42" t="str">
            <v>Да</v>
          </cell>
          <cell r="AF42" t="str">
            <v>Да</v>
          </cell>
          <cell r="AM42" t="str">
            <v>Да</v>
          </cell>
          <cell r="AS42" t="str">
            <v>Да</v>
          </cell>
          <cell r="AX42" t="str">
            <v>Нет</v>
          </cell>
          <cell r="BE42" t="str">
            <v>Да</v>
          </cell>
          <cell r="BK42" t="str">
            <v>Да</v>
          </cell>
          <cell r="BS42" t="str">
            <v>Да</v>
          </cell>
          <cell r="BX42" t="str">
            <v>Да</v>
          </cell>
          <cell r="CD42" t="str">
            <v>Да</v>
          </cell>
          <cell r="CK42" t="str">
            <v>Да</v>
          </cell>
        </row>
        <row r="43">
          <cell r="J43" t="str">
            <v>Да</v>
          </cell>
          <cell r="T43" t="str">
            <v>Да</v>
          </cell>
          <cell r="AF43" t="str">
            <v>Да</v>
          </cell>
          <cell r="AM43" t="str">
            <v>Да</v>
          </cell>
          <cell r="AS43" t="str">
            <v>Да</v>
          </cell>
          <cell r="AX43" t="str">
            <v>Да</v>
          </cell>
          <cell r="BE43" t="str">
            <v>Да</v>
          </cell>
          <cell r="BK43" t="str">
            <v>Да</v>
          </cell>
          <cell r="BS43" t="str">
            <v>Да</v>
          </cell>
          <cell r="BX43" t="str">
            <v>Да</v>
          </cell>
          <cell r="CD43" t="str">
            <v>Да</v>
          </cell>
          <cell r="CK43" t="str">
            <v>Да</v>
          </cell>
        </row>
        <row r="44">
          <cell r="J44" t="str">
            <v>Да</v>
          </cell>
          <cell r="T44" t="str">
            <v>Да</v>
          </cell>
          <cell r="AF44" t="str">
            <v>Да</v>
          </cell>
          <cell r="AM44" t="str">
            <v>Да</v>
          </cell>
          <cell r="AS44" t="str">
            <v>Да</v>
          </cell>
          <cell r="AX44" t="str">
            <v>Да</v>
          </cell>
          <cell r="BE44" t="str">
            <v>Да</v>
          </cell>
          <cell r="BK44" t="str">
            <v>Да</v>
          </cell>
          <cell r="BS44" t="str">
            <v>Да</v>
          </cell>
          <cell r="BX44" t="str">
            <v>Да</v>
          </cell>
          <cell r="CD44" t="str">
            <v>Да</v>
          </cell>
          <cell r="CK44" t="str">
            <v>Да</v>
          </cell>
        </row>
        <row r="45">
          <cell r="J45" t="str">
            <v>Да</v>
          </cell>
          <cell r="T45" t="str">
            <v>Да</v>
          </cell>
          <cell r="AF45" t="str">
            <v>Нет</v>
          </cell>
          <cell r="AM45" t="str">
            <v>Да</v>
          </cell>
          <cell r="AS45" t="str">
            <v>Да</v>
          </cell>
          <cell r="AX45" t="str">
            <v>Да</v>
          </cell>
          <cell r="BE45" t="str">
            <v>Да</v>
          </cell>
          <cell r="BK45" t="str">
            <v>Да</v>
          </cell>
          <cell r="BS45" t="str">
            <v>Да</v>
          </cell>
          <cell r="BX45" t="str">
            <v>Да</v>
          </cell>
          <cell r="CD45" t="str">
            <v>Да</v>
          </cell>
          <cell r="CK45" t="str">
            <v>Да</v>
          </cell>
        </row>
        <row r="46">
          <cell r="J46" t="str">
            <v>Нет</v>
          </cell>
          <cell r="T46" t="str">
            <v>Да</v>
          </cell>
          <cell r="AF46" t="str">
            <v>Да</v>
          </cell>
          <cell r="AM46" t="str">
            <v>Да</v>
          </cell>
          <cell r="AS46" t="str">
            <v>Да</v>
          </cell>
          <cell r="AX46" t="str">
            <v>Да</v>
          </cell>
          <cell r="BE46" t="str">
            <v>Да</v>
          </cell>
          <cell r="BK46" t="str">
            <v>Да</v>
          </cell>
          <cell r="BS46" t="str">
            <v>Да</v>
          </cell>
          <cell r="BX46" t="str">
            <v>Да</v>
          </cell>
          <cell r="CD46" t="str">
            <v>Да</v>
          </cell>
          <cell r="CK46" t="str">
            <v>Да</v>
          </cell>
        </row>
        <row r="47">
          <cell r="J47"/>
          <cell r="T47"/>
          <cell r="AF47"/>
          <cell r="AM47"/>
          <cell r="AS47"/>
          <cell r="AX47" t="str">
            <v>Да</v>
          </cell>
          <cell r="BE47" t="str">
            <v>Да</v>
          </cell>
          <cell r="BK47" t="str">
            <v>Да</v>
          </cell>
          <cell r="BS47" t="str">
            <v>Да</v>
          </cell>
          <cell r="BX47" t="str">
            <v>Да</v>
          </cell>
          <cell r="CD47" t="str">
            <v>Да</v>
          </cell>
          <cell r="CK47" t="str">
            <v>Да</v>
          </cell>
        </row>
        <row r="48">
          <cell r="J48" t="str">
            <v>Да</v>
          </cell>
          <cell r="T48" t="str">
            <v>Да</v>
          </cell>
          <cell r="AF48" t="str">
            <v>Да</v>
          </cell>
          <cell r="AM48" t="str">
            <v>Да</v>
          </cell>
          <cell r="AS48" t="str">
            <v>Да</v>
          </cell>
          <cell r="AX48" t="str">
            <v>Да</v>
          </cell>
          <cell r="BE48" t="str">
            <v>Да</v>
          </cell>
          <cell r="BK48" t="str">
            <v>Да</v>
          </cell>
          <cell r="BS48" t="str">
            <v>Да</v>
          </cell>
          <cell r="BX48" t="str">
            <v>Да</v>
          </cell>
          <cell r="CD48" t="str">
            <v>Да</v>
          </cell>
          <cell r="CK48" t="str">
            <v>Да</v>
          </cell>
        </row>
        <row r="49">
          <cell r="J49" t="str">
            <v>Да</v>
          </cell>
          <cell r="T49" t="str">
            <v>Да</v>
          </cell>
          <cell r="AF49" t="str">
            <v>Да</v>
          </cell>
          <cell r="AM49" t="str">
            <v>Да</v>
          </cell>
          <cell r="AS49" t="str">
            <v>Да</v>
          </cell>
          <cell r="AX49" t="str">
            <v>Да</v>
          </cell>
          <cell r="BE49" t="str">
            <v>Да</v>
          </cell>
          <cell r="BK49" t="str">
            <v>Да</v>
          </cell>
          <cell r="BS49" t="str">
            <v>Да</v>
          </cell>
          <cell r="BX49" t="str">
            <v>Да</v>
          </cell>
          <cell r="CD49" t="str">
            <v>Да</v>
          </cell>
          <cell r="CK49" t="str">
            <v>Да</v>
          </cell>
        </row>
        <row r="50">
          <cell r="J50" t="str">
            <v>Да</v>
          </cell>
          <cell r="T50" t="str">
            <v>Да</v>
          </cell>
          <cell r="AF50" t="str">
            <v>Да</v>
          </cell>
          <cell r="AM50" t="str">
            <v>Да</v>
          </cell>
          <cell r="AS50" t="str">
            <v>Да</v>
          </cell>
          <cell r="AX50" t="str">
            <v>Да</v>
          </cell>
          <cell r="BE50" t="str">
            <v>Да</v>
          </cell>
          <cell r="BK50" t="str">
            <v>Да</v>
          </cell>
          <cell r="BS50" t="str">
            <v>Да</v>
          </cell>
          <cell r="BX50" t="str">
            <v>Да</v>
          </cell>
          <cell r="CD50" t="str">
            <v>Да</v>
          </cell>
          <cell r="CK50" t="str">
            <v>Да</v>
          </cell>
        </row>
      </sheetData>
      <sheetData sheetId="19">
        <row r="3">
          <cell r="L3" t="str">
            <v>Да</v>
          </cell>
          <cell r="V3" t="str">
            <v>Да</v>
          </cell>
          <cell r="AG3" t="str">
            <v>Да</v>
          </cell>
          <cell r="AR3" t="str">
            <v>Да</v>
          </cell>
          <cell r="BB3" t="str">
            <v>Да</v>
          </cell>
          <cell r="BM3" t="str">
            <v>Да</v>
          </cell>
          <cell r="BW3" t="str">
            <v>Да</v>
          </cell>
          <cell r="CH3" t="str">
            <v>Да</v>
          </cell>
          <cell r="CR3" t="str">
            <v>Да</v>
          </cell>
          <cell r="DB3" t="str">
            <v>Да</v>
          </cell>
          <cell r="DK3" t="str">
            <v>Да</v>
          </cell>
          <cell r="DU3" t="str">
            <v>Да</v>
          </cell>
        </row>
        <row r="4">
          <cell r="L4" t="str">
            <v>Да</v>
          </cell>
          <cell r="V4" t="str">
            <v>Да</v>
          </cell>
          <cell r="AG4" t="str">
            <v>Да</v>
          </cell>
          <cell r="AR4" t="str">
            <v>Да</v>
          </cell>
          <cell r="BB4" t="str">
            <v>Да</v>
          </cell>
          <cell r="BM4" t="str">
            <v>Да</v>
          </cell>
          <cell r="BW4" t="str">
            <v>Да</v>
          </cell>
          <cell r="CH4" t="str">
            <v>Да</v>
          </cell>
          <cell r="CR4" t="str">
            <v>Да</v>
          </cell>
          <cell r="DB4" t="str">
            <v>Да</v>
          </cell>
          <cell r="DK4" t="str">
            <v>Да</v>
          </cell>
          <cell r="DU4" t="str">
            <v>Да</v>
          </cell>
        </row>
        <row r="5">
          <cell r="L5" t="str">
            <v>Да</v>
          </cell>
          <cell r="V5" t="str">
            <v>Да</v>
          </cell>
          <cell r="AG5" t="str">
            <v>Да</v>
          </cell>
          <cell r="AR5" t="str">
            <v>Да</v>
          </cell>
          <cell r="BB5" t="str">
            <v>Да</v>
          </cell>
          <cell r="BM5" t="str">
            <v>Да</v>
          </cell>
          <cell r="BW5" t="str">
            <v>Да</v>
          </cell>
          <cell r="CH5" t="str">
            <v>Да</v>
          </cell>
          <cell r="CR5" t="str">
            <v>Да</v>
          </cell>
          <cell r="DB5" t="str">
            <v>Да</v>
          </cell>
          <cell r="DK5" t="str">
            <v>Да</v>
          </cell>
          <cell r="DU5" t="str">
            <v>Да</v>
          </cell>
        </row>
        <row r="6">
          <cell r="L6" t="str">
            <v>Нет</v>
          </cell>
          <cell r="V6" t="str">
            <v>Нет</v>
          </cell>
          <cell r="AG6" t="str">
            <v>Нет</v>
          </cell>
          <cell r="AR6" t="str">
            <v>Нет</v>
          </cell>
          <cell r="BB6" t="str">
            <v>Нет</v>
          </cell>
          <cell r="BM6" t="str">
            <v>Нет</v>
          </cell>
          <cell r="BW6" t="str">
            <v>Нет</v>
          </cell>
          <cell r="CH6" t="str">
            <v>Нет</v>
          </cell>
          <cell r="CR6" t="str">
            <v>Нет</v>
          </cell>
          <cell r="DB6" t="str">
            <v>Нет</v>
          </cell>
          <cell r="DK6" t="str">
            <v>Нет</v>
          </cell>
          <cell r="DU6" t="str">
            <v>Нет</v>
          </cell>
        </row>
        <row r="7">
          <cell r="L7" t="str">
            <v>Да</v>
          </cell>
          <cell r="V7" t="str">
            <v>Да</v>
          </cell>
          <cell r="AG7" t="str">
            <v>Да</v>
          </cell>
          <cell r="AR7" t="str">
            <v>Да</v>
          </cell>
          <cell r="BB7" t="str">
            <v>Да</v>
          </cell>
          <cell r="BM7" t="str">
            <v>Да</v>
          </cell>
          <cell r="BW7" t="str">
            <v>Да</v>
          </cell>
          <cell r="CH7" t="str">
            <v>Да</v>
          </cell>
          <cell r="CR7" t="str">
            <v>Да</v>
          </cell>
          <cell r="DB7" t="str">
            <v>Да</v>
          </cell>
          <cell r="DK7" t="str">
            <v>Да</v>
          </cell>
          <cell r="DU7" t="str">
            <v>Да</v>
          </cell>
        </row>
        <row r="8">
          <cell r="L8" t="str">
            <v>Да</v>
          </cell>
          <cell r="V8" t="str">
            <v>Да</v>
          </cell>
          <cell r="AG8" t="str">
            <v>Да</v>
          </cell>
          <cell r="AR8" t="str">
            <v>Да</v>
          </cell>
          <cell r="BB8" t="str">
            <v>Да</v>
          </cell>
          <cell r="BM8" t="str">
            <v>Да</v>
          </cell>
          <cell r="BW8" t="str">
            <v>Да</v>
          </cell>
          <cell r="CH8" t="str">
            <v>Да</v>
          </cell>
          <cell r="CR8" t="str">
            <v>Да</v>
          </cell>
          <cell r="DB8" t="str">
            <v>Да</v>
          </cell>
          <cell r="DK8" t="str">
            <v>Да</v>
          </cell>
          <cell r="DU8" t="str">
            <v>Да</v>
          </cell>
        </row>
        <row r="9">
          <cell r="L9" t="str">
            <v>Да</v>
          </cell>
          <cell r="V9" t="str">
            <v>Да</v>
          </cell>
          <cell r="AG9" t="str">
            <v>Да</v>
          </cell>
          <cell r="AR9" t="str">
            <v>Да</v>
          </cell>
          <cell r="BB9" t="str">
            <v>Да</v>
          </cell>
          <cell r="BM9" t="str">
            <v>Да</v>
          </cell>
          <cell r="BW9" t="str">
            <v>Да</v>
          </cell>
          <cell r="CH9" t="str">
            <v>Да</v>
          </cell>
          <cell r="CR9" t="str">
            <v>Да</v>
          </cell>
          <cell r="DB9" t="str">
            <v>Да</v>
          </cell>
          <cell r="DK9" t="str">
            <v>Да</v>
          </cell>
          <cell r="DU9" t="str">
            <v>Да</v>
          </cell>
        </row>
        <row r="10">
          <cell r="L10" t="str">
            <v>Да</v>
          </cell>
          <cell r="V10" t="str">
            <v>Да</v>
          </cell>
          <cell r="AG10" t="str">
            <v>Да</v>
          </cell>
          <cell r="AR10" t="str">
            <v>Да</v>
          </cell>
          <cell r="BB10" t="str">
            <v>Да</v>
          </cell>
          <cell r="BM10" t="str">
            <v>Да</v>
          </cell>
          <cell r="BW10" t="str">
            <v>Да</v>
          </cell>
          <cell r="CH10" t="str">
            <v>Да</v>
          </cell>
          <cell r="CR10" t="str">
            <v>Да</v>
          </cell>
          <cell r="DB10" t="str">
            <v>Да</v>
          </cell>
          <cell r="DK10" t="str">
            <v>Да</v>
          </cell>
          <cell r="DU10" t="str">
            <v>Да</v>
          </cell>
        </row>
        <row r="11">
          <cell r="L11" t="str">
            <v>Да</v>
          </cell>
          <cell r="V11" t="str">
            <v>Да</v>
          </cell>
          <cell r="AG11" t="str">
            <v>Да</v>
          </cell>
          <cell r="AR11" t="str">
            <v>Да</v>
          </cell>
          <cell r="BB11" t="str">
            <v>Да</v>
          </cell>
          <cell r="BM11" t="str">
            <v>Да</v>
          </cell>
          <cell r="BW11" t="str">
            <v>Да</v>
          </cell>
          <cell r="CH11" t="str">
            <v>Да</v>
          </cell>
          <cell r="CR11" t="str">
            <v>Да</v>
          </cell>
          <cell r="DB11" t="str">
            <v>Да</v>
          </cell>
          <cell r="DK11" t="str">
            <v>Да</v>
          </cell>
          <cell r="DU11" t="str">
            <v>Да</v>
          </cell>
        </row>
        <row r="12">
          <cell r="L12" t="str">
            <v>Да</v>
          </cell>
          <cell r="V12" t="str">
            <v>Да</v>
          </cell>
          <cell r="AG12" t="str">
            <v>Да</v>
          </cell>
          <cell r="AR12" t="str">
            <v>Да</v>
          </cell>
          <cell r="BB12" t="str">
            <v>Да</v>
          </cell>
          <cell r="BM12" t="str">
            <v>Да</v>
          </cell>
          <cell r="BW12" t="str">
            <v>Да</v>
          </cell>
          <cell r="CH12" t="str">
            <v>Да</v>
          </cell>
          <cell r="CR12" t="str">
            <v>Да</v>
          </cell>
          <cell r="DB12" t="str">
            <v>Да</v>
          </cell>
          <cell r="DK12" t="str">
            <v>Да</v>
          </cell>
          <cell r="DU12" t="str">
            <v>Да</v>
          </cell>
        </row>
        <row r="13">
          <cell r="L13" t="str">
            <v>Да</v>
          </cell>
          <cell r="V13" t="str">
            <v>Да</v>
          </cell>
          <cell r="AG13" t="str">
            <v>Да</v>
          </cell>
          <cell r="AR13" t="str">
            <v>Да</v>
          </cell>
          <cell r="BB13" t="str">
            <v>Да</v>
          </cell>
          <cell r="BM13" t="str">
            <v>Да</v>
          </cell>
          <cell r="BW13" t="str">
            <v>Да</v>
          </cell>
          <cell r="CH13" t="str">
            <v>Да</v>
          </cell>
          <cell r="CR13" t="str">
            <v>Да</v>
          </cell>
          <cell r="DB13" t="str">
            <v>Да</v>
          </cell>
          <cell r="DK13" t="str">
            <v>Да</v>
          </cell>
          <cell r="DU13" t="str">
            <v>Да</v>
          </cell>
        </row>
        <row r="14">
          <cell r="L14" t="str">
            <v>Да</v>
          </cell>
          <cell r="V14" t="str">
            <v>Да</v>
          </cell>
          <cell r="AG14" t="str">
            <v>Да</v>
          </cell>
          <cell r="AR14" t="str">
            <v>Да</v>
          </cell>
          <cell r="BB14" t="str">
            <v>Да</v>
          </cell>
          <cell r="BM14" t="str">
            <v>Да</v>
          </cell>
          <cell r="BW14" t="str">
            <v>Да</v>
          </cell>
          <cell r="CH14" t="str">
            <v>Да</v>
          </cell>
          <cell r="CR14" t="str">
            <v>Да</v>
          </cell>
          <cell r="DB14" t="str">
            <v>Да</v>
          </cell>
          <cell r="DK14" t="str">
            <v>Да</v>
          </cell>
          <cell r="DU14" t="str">
            <v>Да</v>
          </cell>
        </row>
        <row r="15">
          <cell r="L15" t="str">
            <v>Да</v>
          </cell>
          <cell r="V15" t="str">
            <v>Да</v>
          </cell>
          <cell r="AG15" t="str">
            <v>Да</v>
          </cell>
          <cell r="AR15" t="str">
            <v>Да</v>
          </cell>
          <cell r="BB15" t="str">
            <v>Да</v>
          </cell>
          <cell r="BM15" t="str">
            <v>Да</v>
          </cell>
          <cell r="BW15" t="str">
            <v>Да</v>
          </cell>
          <cell r="CH15" t="str">
            <v>Да</v>
          </cell>
          <cell r="CR15" t="str">
            <v>Да</v>
          </cell>
          <cell r="DB15" t="str">
            <v>Да</v>
          </cell>
          <cell r="DK15" t="str">
            <v>Да</v>
          </cell>
          <cell r="DU15" t="str">
            <v>Да</v>
          </cell>
        </row>
        <row r="16">
          <cell r="L16" t="str">
            <v>Да</v>
          </cell>
          <cell r="V16" t="str">
            <v>Да</v>
          </cell>
          <cell r="AG16" t="str">
            <v>Да</v>
          </cell>
          <cell r="AR16" t="str">
            <v>Да</v>
          </cell>
          <cell r="BB16" t="str">
            <v>Да</v>
          </cell>
          <cell r="BM16" t="str">
            <v>Да</v>
          </cell>
          <cell r="BW16" t="str">
            <v>Да</v>
          </cell>
          <cell r="CH16" t="str">
            <v>Да</v>
          </cell>
          <cell r="CR16" t="str">
            <v>Да</v>
          </cell>
          <cell r="DB16" t="str">
            <v>Да</v>
          </cell>
          <cell r="DK16" t="str">
            <v>Да</v>
          </cell>
          <cell r="DU16" t="str">
            <v>Да</v>
          </cell>
        </row>
        <row r="17">
          <cell r="L17" t="str">
            <v>Да</v>
          </cell>
          <cell r="V17" t="str">
            <v>Нет</v>
          </cell>
          <cell r="AG17" t="str">
            <v>Нет</v>
          </cell>
          <cell r="AR17" t="str">
            <v>Нет</v>
          </cell>
          <cell r="BB17" t="str">
            <v>Нет</v>
          </cell>
          <cell r="BM17" t="str">
            <v>Нет</v>
          </cell>
          <cell r="BW17" t="str">
            <v>Нет</v>
          </cell>
          <cell r="CH17" t="str">
            <v>Нет</v>
          </cell>
          <cell r="CR17" t="str">
            <v>Нет</v>
          </cell>
          <cell r="DB17" t="str">
            <v>Нет</v>
          </cell>
          <cell r="DK17" t="str">
            <v>Нет</v>
          </cell>
          <cell r="DU17" t="str">
            <v>Нет</v>
          </cell>
        </row>
        <row r="18">
          <cell r="L18" t="str">
            <v>Да</v>
          </cell>
          <cell r="V18" t="str">
            <v>Да</v>
          </cell>
          <cell r="AG18" t="str">
            <v>Да</v>
          </cell>
          <cell r="AR18" t="str">
            <v>Да</v>
          </cell>
          <cell r="BB18" t="str">
            <v>Да</v>
          </cell>
          <cell r="BM18" t="str">
            <v>Да</v>
          </cell>
          <cell r="BW18" t="str">
            <v>Да</v>
          </cell>
          <cell r="CH18" t="str">
            <v>Да</v>
          </cell>
          <cell r="CR18" t="str">
            <v>Да</v>
          </cell>
          <cell r="DB18" t="str">
            <v>Да</v>
          </cell>
          <cell r="DK18" t="str">
            <v>Да</v>
          </cell>
          <cell r="DU18" t="str">
            <v>Да</v>
          </cell>
        </row>
        <row r="19">
          <cell r="L19"/>
          <cell r="V19"/>
          <cell r="AG19"/>
          <cell r="AR19" t="str">
            <v>Нет</v>
          </cell>
          <cell r="BB19" t="str">
            <v>Да</v>
          </cell>
          <cell r="BM19" t="str">
            <v>Да</v>
          </cell>
          <cell r="BW19" t="str">
            <v>Да</v>
          </cell>
          <cell r="CH19" t="str">
            <v>Да</v>
          </cell>
          <cell r="CR19" t="str">
            <v>Да</v>
          </cell>
          <cell r="DB19" t="str">
            <v>Да</v>
          </cell>
          <cell r="DK19" t="str">
            <v>Да</v>
          </cell>
          <cell r="DU19" t="str">
            <v>Да</v>
          </cell>
        </row>
        <row r="20">
          <cell r="L20" t="str">
            <v>Да</v>
          </cell>
          <cell r="V20" t="str">
            <v>Да</v>
          </cell>
          <cell r="AG20" t="str">
            <v>Да</v>
          </cell>
          <cell r="AR20" t="str">
            <v>Да</v>
          </cell>
          <cell r="BB20" t="str">
            <v>Да</v>
          </cell>
          <cell r="BM20" t="str">
            <v>Да</v>
          </cell>
          <cell r="BW20" t="str">
            <v>Да</v>
          </cell>
          <cell r="CH20" t="str">
            <v>Да</v>
          </cell>
          <cell r="CR20" t="str">
            <v>Да</v>
          </cell>
          <cell r="DB20" t="str">
            <v>Да</v>
          </cell>
          <cell r="DK20" t="str">
            <v>Да</v>
          </cell>
          <cell r="DU20" t="str">
            <v>Да</v>
          </cell>
        </row>
        <row r="21">
          <cell r="L21" t="str">
            <v>Да</v>
          </cell>
          <cell r="V21" t="str">
            <v>Да</v>
          </cell>
          <cell r="AG21" t="str">
            <v>Да</v>
          </cell>
          <cell r="AR21" t="str">
            <v>Да</v>
          </cell>
          <cell r="BB21" t="str">
            <v>Да</v>
          </cell>
          <cell r="BM21" t="str">
            <v>Да</v>
          </cell>
          <cell r="BW21" t="str">
            <v>Да</v>
          </cell>
          <cell r="CH21" t="str">
            <v>Да</v>
          </cell>
          <cell r="CR21" t="str">
            <v>Да</v>
          </cell>
          <cell r="DB21" t="str">
            <v>Да</v>
          </cell>
          <cell r="DK21" t="str">
            <v>Да</v>
          </cell>
          <cell r="DU21" t="str">
            <v>Да</v>
          </cell>
        </row>
        <row r="22">
          <cell r="L22" t="str">
            <v>Да</v>
          </cell>
          <cell r="V22" t="str">
            <v>Да</v>
          </cell>
          <cell r="AG22" t="str">
            <v>Да</v>
          </cell>
          <cell r="AR22" t="str">
            <v>Да</v>
          </cell>
          <cell r="BB22" t="str">
            <v>Да</v>
          </cell>
          <cell r="BM22" t="str">
            <v>Да</v>
          </cell>
          <cell r="BW22" t="str">
            <v>Да</v>
          </cell>
          <cell r="CH22" t="str">
            <v>Да</v>
          </cell>
          <cell r="CR22" t="str">
            <v>Да</v>
          </cell>
          <cell r="DB22" t="str">
            <v>Да</v>
          </cell>
          <cell r="DK22" t="str">
            <v>Да</v>
          </cell>
          <cell r="DU22" t="str">
            <v>Да</v>
          </cell>
        </row>
        <row r="23">
          <cell r="L23" t="str">
            <v>Да</v>
          </cell>
          <cell r="V23" t="str">
            <v>Да</v>
          </cell>
          <cell r="AG23" t="str">
            <v>Да</v>
          </cell>
          <cell r="AR23" t="str">
            <v>Да</v>
          </cell>
          <cell r="BB23" t="str">
            <v>Да</v>
          </cell>
          <cell r="BM23" t="str">
            <v>Да</v>
          </cell>
          <cell r="BW23" t="str">
            <v>Да</v>
          </cell>
          <cell r="CH23" t="str">
            <v>Да</v>
          </cell>
          <cell r="CR23" t="str">
            <v>Да</v>
          </cell>
          <cell r="DB23" t="str">
            <v>Да</v>
          </cell>
          <cell r="DK23" t="str">
            <v>Да</v>
          </cell>
          <cell r="DU23" t="str">
            <v>Да</v>
          </cell>
        </row>
        <row r="24">
          <cell r="L24" t="str">
            <v>Да</v>
          </cell>
          <cell r="V24" t="str">
            <v>Да</v>
          </cell>
          <cell r="AG24" t="str">
            <v>Да</v>
          </cell>
          <cell r="AR24" t="str">
            <v>Да</v>
          </cell>
          <cell r="BB24" t="str">
            <v>Да</v>
          </cell>
          <cell r="BM24" t="str">
            <v>Да</v>
          </cell>
          <cell r="BW24" t="str">
            <v>Да</v>
          </cell>
          <cell r="CH24" t="str">
            <v>Да</v>
          </cell>
          <cell r="CR24" t="str">
            <v>Да</v>
          </cell>
          <cell r="DB24" t="str">
            <v>Да</v>
          </cell>
          <cell r="DK24" t="str">
            <v>Да</v>
          </cell>
          <cell r="DU24" t="str">
            <v>Да</v>
          </cell>
        </row>
        <row r="25">
          <cell r="L25"/>
          <cell r="V25" t="str">
            <v>Да</v>
          </cell>
          <cell r="AG25" t="str">
            <v>Да</v>
          </cell>
          <cell r="AR25" t="str">
            <v>Да</v>
          </cell>
          <cell r="BB25" t="str">
            <v>Да</v>
          </cell>
          <cell r="BM25" t="str">
            <v>Да</v>
          </cell>
          <cell r="BW25" t="str">
            <v>Да</v>
          </cell>
          <cell r="CH25" t="str">
            <v>Да</v>
          </cell>
          <cell r="CR25" t="str">
            <v>Да</v>
          </cell>
          <cell r="DB25" t="str">
            <v>Да</v>
          </cell>
          <cell r="DK25" t="str">
            <v>Да</v>
          </cell>
          <cell r="DU25" t="str">
            <v>Да</v>
          </cell>
        </row>
        <row r="26">
          <cell r="L26" t="str">
            <v>Да</v>
          </cell>
          <cell r="V26" t="str">
            <v>Да</v>
          </cell>
          <cell r="AG26" t="str">
            <v>Да</v>
          </cell>
          <cell r="AR26" t="str">
            <v>Да</v>
          </cell>
          <cell r="BB26" t="str">
            <v>Да</v>
          </cell>
          <cell r="BM26" t="str">
            <v>Да</v>
          </cell>
          <cell r="BW26" t="str">
            <v>Да</v>
          </cell>
          <cell r="CH26" t="str">
            <v>Да</v>
          </cell>
          <cell r="CR26" t="str">
            <v>Да</v>
          </cell>
          <cell r="DB26" t="str">
            <v>Да</v>
          </cell>
          <cell r="DK26" t="str">
            <v>Да</v>
          </cell>
          <cell r="DU26" t="str">
            <v>Да</v>
          </cell>
        </row>
        <row r="27">
          <cell r="L27" t="str">
            <v>Да</v>
          </cell>
          <cell r="V27" t="str">
            <v>Да</v>
          </cell>
          <cell r="AG27" t="str">
            <v>Да</v>
          </cell>
          <cell r="AR27" t="str">
            <v>Да</v>
          </cell>
          <cell r="BB27" t="str">
            <v>Да</v>
          </cell>
          <cell r="BM27" t="str">
            <v>Да</v>
          </cell>
          <cell r="BW27" t="str">
            <v>Да</v>
          </cell>
          <cell r="CH27" t="str">
            <v>Да</v>
          </cell>
          <cell r="CR27" t="str">
            <v>Да</v>
          </cell>
          <cell r="DB27" t="str">
            <v>Да</v>
          </cell>
          <cell r="DK27" t="str">
            <v>Да</v>
          </cell>
          <cell r="DU27" t="str">
            <v>Да</v>
          </cell>
        </row>
        <row r="28">
          <cell r="L28" t="str">
            <v>Да</v>
          </cell>
          <cell r="V28" t="str">
            <v>Да</v>
          </cell>
          <cell r="AG28" t="str">
            <v>Да</v>
          </cell>
          <cell r="AR28" t="str">
            <v>Да</v>
          </cell>
          <cell r="BB28" t="str">
            <v>Да</v>
          </cell>
          <cell r="BM28" t="str">
            <v>Да</v>
          </cell>
          <cell r="BW28" t="str">
            <v>Да</v>
          </cell>
          <cell r="CH28" t="str">
            <v>Да</v>
          </cell>
          <cell r="CR28" t="str">
            <v>Да</v>
          </cell>
          <cell r="DB28" t="str">
            <v>Да</v>
          </cell>
          <cell r="DK28" t="str">
            <v>Да</v>
          </cell>
          <cell r="DU28" t="str">
            <v>Да</v>
          </cell>
        </row>
        <row r="29">
          <cell r="L29" t="str">
            <v>Да</v>
          </cell>
          <cell r="V29" t="str">
            <v>Да</v>
          </cell>
          <cell r="AG29" t="str">
            <v>Да</v>
          </cell>
          <cell r="AR29" t="str">
            <v>Да</v>
          </cell>
          <cell r="BB29" t="str">
            <v>Да</v>
          </cell>
          <cell r="BM29" t="str">
            <v>Да</v>
          </cell>
          <cell r="BW29" t="str">
            <v>Да</v>
          </cell>
          <cell r="CH29" t="str">
            <v>Да</v>
          </cell>
          <cell r="CR29" t="str">
            <v>Да</v>
          </cell>
          <cell r="DB29" t="str">
            <v>Да</v>
          </cell>
          <cell r="DK29" t="str">
            <v>Да</v>
          </cell>
          <cell r="DU29" t="str">
            <v>Да</v>
          </cell>
        </row>
        <row r="30">
          <cell r="L30" t="str">
            <v>Нет</v>
          </cell>
          <cell r="V30" t="str">
            <v>Нет</v>
          </cell>
          <cell r="AG30" t="str">
            <v>Нет</v>
          </cell>
          <cell r="AR30" t="str">
            <v>Нет</v>
          </cell>
          <cell r="BB30" t="str">
            <v>Нет</v>
          </cell>
          <cell r="BM30" t="str">
            <v>Нет</v>
          </cell>
          <cell r="BW30" t="str">
            <v>Нет</v>
          </cell>
          <cell r="CH30" t="str">
            <v>Нет</v>
          </cell>
          <cell r="CR30" t="str">
            <v>Нет</v>
          </cell>
          <cell r="DB30" t="str">
            <v>Нет</v>
          </cell>
          <cell r="DK30" t="str">
            <v>Нет</v>
          </cell>
          <cell r="DU30" t="str">
            <v>Нет</v>
          </cell>
        </row>
        <row r="31">
          <cell r="L31"/>
          <cell r="V31"/>
          <cell r="AG31"/>
          <cell r="AR31"/>
          <cell r="BB31"/>
          <cell r="BM31"/>
          <cell r="BW31"/>
          <cell r="CH31"/>
          <cell r="CR31" t="str">
            <v>Да</v>
          </cell>
          <cell r="DB31" t="str">
            <v>Да</v>
          </cell>
          <cell r="DK31" t="str">
            <v>Да</v>
          </cell>
          <cell r="DU31" t="str">
            <v>Да</v>
          </cell>
        </row>
        <row r="32">
          <cell r="L32"/>
          <cell r="V32"/>
          <cell r="AG32" t="str">
            <v>Да</v>
          </cell>
          <cell r="AR32" t="str">
            <v>Нет</v>
          </cell>
          <cell r="BB32" t="str">
            <v>Нет</v>
          </cell>
          <cell r="BM32" t="str">
            <v>Нет</v>
          </cell>
          <cell r="BW32" t="str">
            <v>Нет</v>
          </cell>
          <cell r="CH32" t="str">
            <v>Нет</v>
          </cell>
          <cell r="CR32" t="str">
            <v>Нет</v>
          </cell>
          <cell r="DB32" t="str">
            <v>Нет</v>
          </cell>
          <cell r="DK32" t="str">
            <v>Нет</v>
          </cell>
          <cell r="DU32" t="str">
            <v>Нет</v>
          </cell>
        </row>
        <row r="33">
          <cell r="L33" t="str">
            <v>Да</v>
          </cell>
          <cell r="V33" t="str">
            <v>Да</v>
          </cell>
          <cell r="AG33" t="str">
            <v>Да</v>
          </cell>
          <cell r="AR33" t="str">
            <v>Да</v>
          </cell>
          <cell r="BB33" t="str">
            <v>Да</v>
          </cell>
          <cell r="BM33" t="str">
            <v>Да</v>
          </cell>
          <cell r="BW33" t="str">
            <v>Да</v>
          </cell>
          <cell r="CH33" t="str">
            <v>Да</v>
          </cell>
          <cell r="CR33" t="str">
            <v>Да</v>
          </cell>
          <cell r="DB33" t="str">
            <v>Да</v>
          </cell>
          <cell r="DK33" t="str">
            <v>Да</v>
          </cell>
          <cell r="DU33" t="str">
            <v>Да</v>
          </cell>
        </row>
        <row r="34">
          <cell r="L34" t="str">
            <v>Да</v>
          </cell>
          <cell r="V34" t="str">
            <v>Да</v>
          </cell>
          <cell r="AG34" t="str">
            <v>Да</v>
          </cell>
          <cell r="AR34" t="str">
            <v>Да</v>
          </cell>
          <cell r="BB34" t="str">
            <v>Да</v>
          </cell>
          <cell r="BM34" t="str">
            <v>Да</v>
          </cell>
          <cell r="BW34" t="str">
            <v>Да</v>
          </cell>
          <cell r="CH34" t="str">
            <v>Да</v>
          </cell>
          <cell r="CR34" t="str">
            <v>Да</v>
          </cell>
          <cell r="DB34" t="str">
            <v>Да</v>
          </cell>
          <cell r="DK34" t="str">
            <v>Да</v>
          </cell>
          <cell r="DU34" t="str">
            <v>Да</v>
          </cell>
        </row>
        <row r="35">
          <cell r="L35" t="str">
            <v>Да</v>
          </cell>
          <cell r="V35" t="str">
            <v>Да</v>
          </cell>
          <cell r="AG35" t="str">
            <v>Да</v>
          </cell>
          <cell r="AR35" t="str">
            <v>Да</v>
          </cell>
          <cell r="BB35" t="str">
            <v>Да</v>
          </cell>
          <cell r="BM35" t="str">
            <v>Да</v>
          </cell>
          <cell r="BW35" t="str">
            <v>Да</v>
          </cell>
          <cell r="CH35" t="str">
            <v>Да</v>
          </cell>
          <cell r="CR35" t="str">
            <v>Да</v>
          </cell>
          <cell r="DB35" t="str">
            <v>Да</v>
          </cell>
          <cell r="DK35" t="str">
            <v>Да</v>
          </cell>
          <cell r="DU35" t="str">
            <v>Да</v>
          </cell>
        </row>
        <row r="36">
          <cell r="L36" t="str">
            <v>Да</v>
          </cell>
          <cell r="V36" t="str">
            <v>Да</v>
          </cell>
          <cell r="AG36" t="str">
            <v>Да</v>
          </cell>
          <cell r="AR36" t="str">
            <v>Да</v>
          </cell>
          <cell r="BB36" t="str">
            <v>Да</v>
          </cell>
          <cell r="BM36" t="str">
            <v>Да</v>
          </cell>
          <cell r="BW36" t="str">
            <v>Да</v>
          </cell>
          <cell r="CH36" t="str">
            <v>Да</v>
          </cell>
          <cell r="CR36" t="str">
            <v>Да</v>
          </cell>
          <cell r="DB36" t="str">
            <v>Да</v>
          </cell>
          <cell r="DK36" t="str">
            <v>Да</v>
          </cell>
          <cell r="DU36" t="str">
            <v>Да</v>
          </cell>
        </row>
        <row r="37">
          <cell r="L37" t="str">
            <v>Да</v>
          </cell>
          <cell r="V37" t="str">
            <v>Да</v>
          </cell>
          <cell r="AG37" t="str">
            <v>Да</v>
          </cell>
          <cell r="AR37" t="str">
            <v>Да</v>
          </cell>
          <cell r="BB37" t="str">
            <v>Да</v>
          </cell>
          <cell r="BM37" t="str">
            <v>Да</v>
          </cell>
          <cell r="BW37" t="str">
            <v>Да</v>
          </cell>
          <cell r="CH37" t="str">
            <v>Да</v>
          </cell>
          <cell r="CR37" t="str">
            <v>Да</v>
          </cell>
          <cell r="DB37" t="str">
            <v>Да</v>
          </cell>
          <cell r="DK37" t="str">
            <v>Да</v>
          </cell>
          <cell r="DU37" t="str">
            <v>Да</v>
          </cell>
        </row>
        <row r="38">
          <cell r="L38"/>
          <cell r="V38"/>
          <cell r="AG38"/>
          <cell r="AR38" t="str">
            <v>Нет</v>
          </cell>
          <cell r="BB38" t="str">
            <v>Да</v>
          </cell>
          <cell r="BM38" t="str">
            <v>Да</v>
          </cell>
          <cell r="BW38" t="str">
            <v>Да</v>
          </cell>
          <cell r="CH38" t="str">
            <v>Да</v>
          </cell>
          <cell r="CR38" t="str">
            <v>Да</v>
          </cell>
          <cell r="DB38" t="str">
            <v>Да</v>
          </cell>
          <cell r="DK38" t="str">
            <v>Да</v>
          </cell>
          <cell r="DU38" t="str">
            <v>Да</v>
          </cell>
        </row>
        <row r="39">
          <cell r="L39"/>
          <cell r="V39"/>
          <cell r="AG39"/>
          <cell r="AR39"/>
          <cell r="BB39"/>
          <cell r="BM39"/>
          <cell r="BW39"/>
          <cell r="CH39" t="str">
            <v>Да</v>
          </cell>
          <cell r="CR39" t="str">
            <v>Да</v>
          </cell>
          <cell r="DB39" t="str">
            <v>Да</v>
          </cell>
          <cell r="DK39" t="str">
            <v>Да</v>
          </cell>
          <cell r="DU39" t="str">
            <v>Да</v>
          </cell>
        </row>
        <row r="40">
          <cell r="L40" t="str">
            <v>Да</v>
          </cell>
          <cell r="V40" t="str">
            <v>Да</v>
          </cell>
          <cell r="AG40" t="str">
            <v>Да</v>
          </cell>
          <cell r="AR40" t="str">
            <v>Да</v>
          </cell>
          <cell r="BB40" t="str">
            <v>Да</v>
          </cell>
          <cell r="BM40" t="str">
            <v>Да</v>
          </cell>
          <cell r="BW40" t="str">
            <v>Да</v>
          </cell>
          <cell r="CH40" t="str">
            <v>Да</v>
          </cell>
          <cell r="CR40" t="str">
            <v>Да</v>
          </cell>
          <cell r="DB40" t="str">
            <v>Да</v>
          </cell>
          <cell r="DK40" t="str">
            <v>Да</v>
          </cell>
          <cell r="DU40" t="str">
            <v>Да</v>
          </cell>
        </row>
        <row r="41">
          <cell r="L41" t="str">
            <v>Да</v>
          </cell>
          <cell r="V41" t="str">
            <v>Да</v>
          </cell>
          <cell r="AG41" t="str">
            <v>Да</v>
          </cell>
          <cell r="AR41" t="str">
            <v>Нет</v>
          </cell>
          <cell r="BB41" t="str">
            <v>Нет</v>
          </cell>
          <cell r="BM41" t="str">
            <v>Нет</v>
          </cell>
          <cell r="BW41" t="str">
            <v>Нет</v>
          </cell>
          <cell r="CH41" t="str">
            <v>Да</v>
          </cell>
          <cell r="CR41" t="str">
            <v>Да</v>
          </cell>
          <cell r="DB41" t="str">
            <v>Да</v>
          </cell>
          <cell r="DK41" t="str">
            <v>Да</v>
          </cell>
          <cell r="DU41" t="str">
            <v>Да</v>
          </cell>
        </row>
        <row r="42">
          <cell r="L42" t="str">
            <v>Да</v>
          </cell>
          <cell r="V42" t="str">
            <v>Да</v>
          </cell>
          <cell r="AG42" t="str">
            <v>Да</v>
          </cell>
          <cell r="AR42" t="str">
            <v>Да</v>
          </cell>
          <cell r="BB42" t="str">
            <v>Да</v>
          </cell>
          <cell r="BM42" t="str">
            <v>Да</v>
          </cell>
          <cell r="BW42" t="str">
            <v>Да</v>
          </cell>
          <cell r="CH42" t="str">
            <v>Да</v>
          </cell>
          <cell r="CR42" t="str">
            <v>Да</v>
          </cell>
          <cell r="DB42" t="str">
            <v>Да</v>
          </cell>
          <cell r="DK42" t="str">
            <v>Да</v>
          </cell>
          <cell r="DU42" t="str">
            <v>Да</v>
          </cell>
        </row>
        <row r="43">
          <cell r="L43"/>
          <cell r="V43"/>
          <cell r="AG43"/>
          <cell r="AR43"/>
          <cell r="BB43"/>
          <cell r="BM43"/>
          <cell r="BW43" t="str">
            <v>Да</v>
          </cell>
          <cell r="CH43" t="str">
            <v>Да</v>
          </cell>
          <cell r="CR43" t="str">
            <v>Да</v>
          </cell>
          <cell r="DB43" t="str">
            <v>Да</v>
          </cell>
          <cell r="DK43" t="str">
            <v>Да</v>
          </cell>
          <cell r="DU43" t="str">
            <v>Да</v>
          </cell>
        </row>
        <row r="44">
          <cell r="L44" t="str">
            <v>Да</v>
          </cell>
          <cell r="V44" t="str">
            <v>Да</v>
          </cell>
          <cell r="AG44" t="str">
            <v>Да</v>
          </cell>
          <cell r="AR44" t="str">
            <v>Да</v>
          </cell>
          <cell r="BB44" t="str">
            <v>Да</v>
          </cell>
          <cell r="BM44" t="str">
            <v>Да</v>
          </cell>
          <cell r="BW44" t="str">
            <v>Да</v>
          </cell>
          <cell r="CH44" t="str">
            <v>Да</v>
          </cell>
          <cell r="CR44" t="str">
            <v>Да</v>
          </cell>
          <cell r="DB44" t="str">
            <v>Да</v>
          </cell>
          <cell r="DK44" t="str">
            <v>Да</v>
          </cell>
          <cell r="DU44" t="str">
            <v>Да</v>
          </cell>
        </row>
        <row r="45">
          <cell r="L45" t="str">
            <v>Да</v>
          </cell>
          <cell r="V45" t="str">
            <v>Да</v>
          </cell>
          <cell r="AG45" t="str">
            <v>Да</v>
          </cell>
          <cell r="AR45" t="str">
            <v>Да</v>
          </cell>
          <cell r="BB45" t="str">
            <v>Да</v>
          </cell>
          <cell r="BM45" t="str">
            <v>Да</v>
          </cell>
          <cell r="BW45" t="str">
            <v>Да</v>
          </cell>
          <cell r="CH45" t="str">
            <v>Да</v>
          </cell>
          <cell r="CR45" t="str">
            <v>Да</v>
          </cell>
          <cell r="DB45" t="str">
            <v>Да</v>
          </cell>
          <cell r="DK45" t="str">
            <v>Да</v>
          </cell>
          <cell r="DU45" t="str">
            <v>Да</v>
          </cell>
        </row>
        <row r="46">
          <cell r="L46" t="str">
            <v>Да</v>
          </cell>
          <cell r="V46" t="str">
            <v>Да</v>
          </cell>
          <cell r="AG46" t="str">
            <v>Да</v>
          </cell>
          <cell r="AR46" t="str">
            <v>Да</v>
          </cell>
          <cell r="BB46" t="str">
            <v>Да</v>
          </cell>
          <cell r="BM46" t="str">
            <v>Да</v>
          </cell>
          <cell r="BW46" t="str">
            <v>Да</v>
          </cell>
          <cell r="CH46" t="str">
            <v>Да</v>
          </cell>
          <cell r="CR46" t="str">
            <v>Да</v>
          </cell>
          <cell r="DB46" t="str">
            <v>Да</v>
          </cell>
          <cell r="DK46" t="str">
            <v>Да</v>
          </cell>
          <cell r="DU46" t="str">
            <v>Да</v>
          </cell>
        </row>
        <row r="47">
          <cell r="L47"/>
          <cell r="V47"/>
          <cell r="AG47" t="str">
            <v>Да</v>
          </cell>
          <cell r="AR47" t="str">
            <v>Нет</v>
          </cell>
          <cell r="BB47" t="str">
            <v>Да</v>
          </cell>
          <cell r="BM47" t="str">
            <v>Да</v>
          </cell>
          <cell r="BW47" t="str">
            <v>Да</v>
          </cell>
          <cell r="CH47" t="str">
            <v>Да</v>
          </cell>
          <cell r="CR47" t="str">
            <v>Да</v>
          </cell>
          <cell r="DB47" t="str">
            <v>Да</v>
          </cell>
          <cell r="DK47" t="str">
            <v>Да</v>
          </cell>
          <cell r="DU47" t="str">
            <v>Да</v>
          </cell>
        </row>
        <row r="48">
          <cell r="L48" t="str">
            <v>Да</v>
          </cell>
          <cell r="V48" t="str">
            <v>Да</v>
          </cell>
          <cell r="AG48" t="str">
            <v>Да</v>
          </cell>
          <cell r="AR48" t="str">
            <v>Да</v>
          </cell>
          <cell r="BB48" t="str">
            <v>Да</v>
          </cell>
          <cell r="BM48" t="str">
            <v>Да</v>
          </cell>
          <cell r="BW48" t="str">
            <v>Да</v>
          </cell>
          <cell r="CH48" t="str">
            <v>Да</v>
          </cell>
          <cell r="CR48" t="str">
            <v>Да</v>
          </cell>
          <cell r="DB48" t="str">
            <v>Да</v>
          </cell>
          <cell r="DK48" t="str">
            <v>Да</v>
          </cell>
          <cell r="DU48" t="str">
            <v>Да</v>
          </cell>
        </row>
        <row r="49">
          <cell r="L49" t="str">
            <v>Нет</v>
          </cell>
          <cell r="V49" t="str">
            <v>Нет</v>
          </cell>
          <cell r="AG49" t="str">
            <v>Нет</v>
          </cell>
          <cell r="AR49" t="str">
            <v>Нет</v>
          </cell>
          <cell r="BB49" t="str">
            <v>Нет</v>
          </cell>
          <cell r="BM49" t="str">
            <v>Нет</v>
          </cell>
          <cell r="BW49" t="str">
            <v>Нет</v>
          </cell>
          <cell r="CH49" t="str">
            <v>Нет</v>
          </cell>
          <cell r="CR49" t="str">
            <v>Нет</v>
          </cell>
          <cell r="DB49" t="str">
            <v>Нет</v>
          </cell>
          <cell r="DK49" t="str">
            <v>Нет</v>
          </cell>
          <cell r="DU49" t="str">
            <v>Нет</v>
          </cell>
        </row>
        <row r="50">
          <cell r="L50" t="str">
            <v>Да</v>
          </cell>
          <cell r="V50" t="str">
            <v>Нет</v>
          </cell>
          <cell r="AG50" t="str">
            <v>Нет</v>
          </cell>
          <cell r="AR50" t="str">
            <v>Нет</v>
          </cell>
          <cell r="BB50" t="str">
            <v>Нет</v>
          </cell>
          <cell r="BM50" t="str">
            <v>Нет</v>
          </cell>
          <cell r="BW50" t="str">
            <v>Нет</v>
          </cell>
          <cell r="CH50" t="str">
            <v>Нет</v>
          </cell>
          <cell r="CR50" t="str">
            <v>Нет</v>
          </cell>
          <cell r="DB50" t="str">
            <v>Нет</v>
          </cell>
          <cell r="DK50" t="str">
            <v>Нет</v>
          </cell>
          <cell r="DU50" t="str">
            <v>Нет</v>
          </cell>
        </row>
        <row r="51">
          <cell r="L51" t="str">
            <v>Да</v>
          </cell>
          <cell r="V51" t="str">
            <v>Да</v>
          </cell>
          <cell r="AG51" t="str">
            <v>Да</v>
          </cell>
          <cell r="AR51" t="str">
            <v>Да</v>
          </cell>
          <cell r="BB51" t="str">
            <v>Да</v>
          </cell>
          <cell r="BM51" t="str">
            <v>Да</v>
          </cell>
          <cell r="BW51" t="str">
            <v>Нет</v>
          </cell>
          <cell r="CH51" t="str">
            <v>Нет</v>
          </cell>
          <cell r="CR51" t="str">
            <v>Нет</v>
          </cell>
          <cell r="DB51" t="str">
            <v>Нет</v>
          </cell>
          <cell r="DK51" t="str">
            <v>Нет</v>
          </cell>
          <cell r="DU51" t="str">
            <v>Нет</v>
          </cell>
        </row>
      </sheetData>
      <sheetData sheetId="20">
        <row r="3">
          <cell r="J3" t="str">
            <v>Да</v>
          </cell>
          <cell r="S3" t="str">
            <v>Да</v>
          </cell>
          <cell r="AA3" t="str">
            <v>Да</v>
          </cell>
          <cell r="AI3" t="str">
            <v>Да</v>
          </cell>
          <cell r="AP3" t="str">
            <v>Да</v>
          </cell>
          <cell r="AX3" t="str">
            <v>Да</v>
          </cell>
          <cell r="BG3" t="str">
            <v>Да</v>
          </cell>
          <cell r="BP3" t="str">
            <v>Да</v>
          </cell>
          <cell r="BX3" t="str">
            <v>Да</v>
          </cell>
          <cell r="CF3" t="str">
            <v>Да</v>
          </cell>
          <cell r="CM3" t="str">
            <v>Да</v>
          </cell>
          <cell r="CS3" t="str">
            <v>Да</v>
          </cell>
        </row>
        <row r="4">
          <cell r="J4" t="str">
            <v>Да</v>
          </cell>
          <cell r="S4" t="str">
            <v>Да</v>
          </cell>
          <cell r="AA4" t="str">
            <v>Да</v>
          </cell>
          <cell r="AI4" t="str">
            <v>Да</v>
          </cell>
          <cell r="AP4" t="str">
            <v>Да</v>
          </cell>
          <cell r="AX4" t="str">
            <v>Да</v>
          </cell>
          <cell r="BG4" t="str">
            <v>Да</v>
          </cell>
          <cell r="BP4" t="str">
            <v>Да</v>
          </cell>
          <cell r="BX4" t="str">
            <v>Да</v>
          </cell>
          <cell r="CF4" t="str">
            <v>Да</v>
          </cell>
          <cell r="CM4" t="str">
            <v>Нет</v>
          </cell>
          <cell r="CS4" t="str">
            <v>Да</v>
          </cell>
        </row>
        <row r="5">
          <cell r="J5" t="str">
            <v>Да</v>
          </cell>
          <cell r="S5" t="str">
            <v>Да</v>
          </cell>
          <cell r="AA5" t="str">
            <v>Да</v>
          </cell>
          <cell r="AI5" t="str">
            <v>Да</v>
          </cell>
          <cell r="AP5" t="str">
            <v>Да</v>
          </cell>
          <cell r="AX5" t="str">
            <v>Да</v>
          </cell>
          <cell r="BG5" t="str">
            <v>Да</v>
          </cell>
          <cell r="BP5" t="str">
            <v>Да</v>
          </cell>
          <cell r="BX5" t="str">
            <v>Да</v>
          </cell>
          <cell r="CF5" t="str">
            <v>Да</v>
          </cell>
          <cell r="CM5" t="str">
            <v>Да</v>
          </cell>
          <cell r="CS5" t="str">
            <v>Да</v>
          </cell>
        </row>
        <row r="6">
          <cell r="J6" t="str">
            <v>Да</v>
          </cell>
          <cell r="S6" t="str">
            <v>Да</v>
          </cell>
          <cell r="AA6" t="str">
            <v>Да</v>
          </cell>
          <cell r="AI6" t="str">
            <v>Да</v>
          </cell>
          <cell r="AP6" t="str">
            <v>Да</v>
          </cell>
          <cell r="AX6" t="str">
            <v>Да</v>
          </cell>
          <cell r="BG6" t="str">
            <v>Да</v>
          </cell>
          <cell r="BP6" t="str">
            <v>Да</v>
          </cell>
          <cell r="BX6" t="str">
            <v>Да</v>
          </cell>
          <cell r="CF6" t="str">
            <v>Да</v>
          </cell>
          <cell r="CM6" t="str">
            <v>Да</v>
          </cell>
          <cell r="CS6" t="str">
            <v>Да</v>
          </cell>
        </row>
        <row r="7">
          <cell r="J7" t="str">
            <v>Да</v>
          </cell>
          <cell r="S7" t="str">
            <v>Да</v>
          </cell>
          <cell r="AA7" t="str">
            <v>Нет</v>
          </cell>
          <cell r="AI7" t="str">
            <v>Да</v>
          </cell>
          <cell r="AP7" t="str">
            <v>Да</v>
          </cell>
          <cell r="AX7" t="str">
            <v>Да</v>
          </cell>
          <cell r="BG7" t="str">
            <v>Нет</v>
          </cell>
          <cell r="BP7" t="str">
            <v>Да</v>
          </cell>
          <cell r="BX7" t="str">
            <v>Да</v>
          </cell>
          <cell r="CF7" t="str">
            <v>Да</v>
          </cell>
          <cell r="CM7" t="str">
            <v>Да</v>
          </cell>
          <cell r="CS7" t="str">
            <v>Нет</v>
          </cell>
        </row>
        <row r="8">
          <cell r="J8" t="str">
            <v>Да</v>
          </cell>
          <cell r="S8" t="str">
            <v>Да</v>
          </cell>
          <cell r="AA8" t="str">
            <v>Да</v>
          </cell>
          <cell r="AI8" t="str">
            <v>Да</v>
          </cell>
          <cell r="AP8" t="str">
            <v>Да</v>
          </cell>
          <cell r="AX8" t="str">
            <v>Да</v>
          </cell>
          <cell r="BG8" t="str">
            <v>Да</v>
          </cell>
          <cell r="BP8" t="str">
            <v>Да</v>
          </cell>
          <cell r="BX8" t="str">
            <v>Да</v>
          </cell>
          <cell r="CF8" t="str">
            <v>Да</v>
          </cell>
          <cell r="CM8" t="str">
            <v>Да</v>
          </cell>
          <cell r="CS8" t="str">
            <v>Да</v>
          </cell>
        </row>
        <row r="9">
          <cell r="J9" t="str">
            <v>Нет</v>
          </cell>
          <cell r="S9" t="str">
            <v>Да</v>
          </cell>
          <cell r="AA9" t="str">
            <v>Да</v>
          </cell>
          <cell r="AI9" t="str">
            <v>Да</v>
          </cell>
          <cell r="AP9" t="str">
            <v>Да</v>
          </cell>
          <cell r="AX9" t="str">
            <v>Да</v>
          </cell>
          <cell r="BG9" t="str">
            <v>Да</v>
          </cell>
          <cell r="BP9" t="str">
            <v>Да</v>
          </cell>
          <cell r="BX9" t="str">
            <v>Да</v>
          </cell>
          <cell r="CF9" t="str">
            <v>Да</v>
          </cell>
          <cell r="CM9" t="str">
            <v>Да</v>
          </cell>
          <cell r="CS9" t="str">
            <v>Нет</v>
          </cell>
        </row>
        <row r="10">
          <cell r="J10" t="str">
            <v>Да</v>
          </cell>
          <cell r="S10" t="str">
            <v>Да</v>
          </cell>
          <cell r="AA10" t="str">
            <v>Да</v>
          </cell>
          <cell r="AI10" t="str">
            <v>Да</v>
          </cell>
          <cell r="AP10" t="str">
            <v>Да</v>
          </cell>
          <cell r="AX10" t="str">
            <v>Да</v>
          </cell>
          <cell r="BG10" t="str">
            <v>Да</v>
          </cell>
          <cell r="BP10" t="str">
            <v>Да</v>
          </cell>
          <cell r="BX10" t="str">
            <v>Да</v>
          </cell>
          <cell r="CF10" t="str">
            <v>Да</v>
          </cell>
          <cell r="CM10" t="str">
            <v>Да</v>
          </cell>
          <cell r="CS10" t="str">
            <v>Да</v>
          </cell>
        </row>
        <row r="11">
          <cell r="J11" t="str">
            <v>Да</v>
          </cell>
          <cell r="S11" t="str">
            <v>Да</v>
          </cell>
          <cell r="AA11" t="str">
            <v>Да</v>
          </cell>
          <cell r="AI11" t="str">
            <v>Да</v>
          </cell>
          <cell r="AP11" t="str">
            <v>Да</v>
          </cell>
          <cell r="AX11" t="str">
            <v>Да</v>
          </cell>
          <cell r="BG11" t="str">
            <v>Да</v>
          </cell>
          <cell r="BP11" t="str">
            <v>Да</v>
          </cell>
          <cell r="BX11" t="str">
            <v>Да</v>
          </cell>
          <cell r="CF11" t="str">
            <v>Да</v>
          </cell>
          <cell r="CM11" t="str">
            <v>Да</v>
          </cell>
          <cell r="CS11" t="str">
            <v>Да</v>
          </cell>
        </row>
        <row r="12">
          <cell r="J12" t="str">
            <v>Да</v>
          </cell>
          <cell r="S12" t="str">
            <v>Да</v>
          </cell>
          <cell r="AA12" t="str">
            <v>Да</v>
          </cell>
          <cell r="AI12" t="str">
            <v>Да</v>
          </cell>
          <cell r="AP12" t="str">
            <v>Да</v>
          </cell>
          <cell r="AX12" t="str">
            <v>Да</v>
          </cell>
          <cell r="BG12" t="str">
            <v>Да</v>
          </cell>
          <cell r="BP12" t="str">
            <v>Да</v>
          </cell>
          <cell r="BX12" t="str">
            <v>Да</v>
          </cell>
          <cell r="CF12" t="str">
            <v>Да</v>
          </cell>
          <cell r="CM12" t="str">
            <v>Да</v>
          </cell>
          <cell r="CS12" t="str">
            <v>Да</v>
          </cell>
        </row>
        <row r="13">
          <cell r="J13" t="str">
            <v>Да</v>
          </cell>
          <cell r="S13" t="str">
            <v>Да</v>
          </cell>
          <cell r="AA13" t="str">
            <v>Да</v>
          </cell>
          <cell r="AI13" t="str">
            <v>Да</v>
          </cell>
          <cell r="AP13" t="str">
            <v>Да</v>
          </cell>
          <cell r="AX13" t="str">
            <v>Да</v>
          </cell>
          <cell r="BG13" t="str">
            <v>Да</v>
          </cell>
          <cell r="BP13" t="str">
            <v>Да</v>
          </cell>
          <cell r="BX13" t="str">
            <v>Да</v>
          </cell>
          <cell r="CF13" t="str">
            <v>Да</v>
          </cell>
          <cell r="CM13" t="str">
            <v>Да</v>
          </cell>
          <cell r="CS13" t="str">
            <v>Да</v>
          </cell>
        </row>
        <row r="14">
          <cell r="J14"/>
          <cell r="S14"/>
          <cell r="AA14"/>
          <cell r="AI14"/>
          <cell r="AP14"/>
          <cell r="AX14"/>
          <cell r="BG14"/>
          <cell r="BP14"/>
          <cell r="BX14" t="str">
            <v>Да</v>
          </cell>
          <cell r="CF14" t="str">
            <v>Да</v>
          </cell>
          <cell r="CM14" t="str">
            <v>Да</v>
          </cell>
          <cell r="CS14" t="str">
            <v>Да</v>
          </cell>
        </row>
        <row r="15">
          <cell r="J15" t="str">
            <v>Да</v>
          </cell>
          <cell r="S15" t="str">
            <v>Да</v>
          </cell>
          <cell r="AA15" t="str">
            <v>Да</v>
          </cell>
          <cell r="AI15" t="str">
            <v>Да</v>
          </cell>
          <cell r="AP15" t="str">
            <v>Да</v>
          </cell>
          <cell r="AX15" t="str">
            <v>Да</v>
          </cell>
          <cell r="BG15" t="str">
            <v>Да</v>
          </cell>
          <cell r="BP15" t="str">
            <v>Да</v>
          </cell>
          <cell r="BX15" t="str">
            <v>Да</v>
          </cell>
          <cell r="CF15" t="str">
            <v>Да</v>
          </cell>
          <cell r="CM15" t="str">
            <v>Да</v>
          </cell>
          <cell r="CS15" t="str">
            <v>Да</v>
          </cell>
        </row>
        <row r="16">
          <cell r="J16" t="str">
            <v>Да</v>
          </cell>
          <cell r="S16" t="str">
            <v>Да</v>
          </cell>
          <cell r="AA16" t="str">
            <v>Да</v>
          </cell>
          <cell r="AI16" t="str">
            <v>Да</v>
          </cell>
          <cell r="AP16" t="str">
            <v>Да</v>
          </cell>
          <cell r="AX16" t="str">
            <v>Да</v>
          </cell>
          <cell r="BG16" t="str">
            <v>Да</v>
          </cell>
          <cell r="BP16" t="str">
            <v>Да</v>
          </cell>
          <cell r="BX16" t="str">
            <v>Да</v>
          </cell>
          <cell r="CF16" t="str">
            <v>Да</v>
          </cell>
          <cell r="CM16" t="str">
            <v>Да</v>
          </cell>
          <cell r="CS16" t="str">
            <v>Да</v>
          </cell>
        </row>
        <row r="17">
          <cell r="J17" t="str">
            <v>Да</v>
          </cell>
          <cell r="S17" t="str">
            <v>Да</v>
          </cell>
          <cell r="AA17" t="str">
            <v>Да</v>
          </cell>
          <cell r="AI17" t="str">
            <v>Да</v>
          </cell>
          <cell r="AP17" t="str">
            <v>Да</v>
          </cell>
          <cell r="AX17" t="str">
            <v>Да</v>
          </cell>
          <cell r="BG17" t="str">
            <v>Да</v>
          </cell>
          <cell r="BP17" t="str">
            <v>Да</v>
          </cell>
          <cell r="BX17" t="str">
            <v>Да</v>
          </cell>
          <cell r="CF17" t="str">
            <v>Да</v>
          </cell>
          <cell r="CM17" t="str">
            <v>Да</v>
          </cell>
          <cell r="CS17" t="str">
            <v>Да</v>
          </cell>
        </row>
        <row r="18">
          <cell r="J18" t="str">
            <v>Да</v>
          </cell>
          <cell r="S18" t="str">
            <v>Да</v>
          </cell>
          <cell r="AA18" t="str">
            <v>Да</v>
          </cell>
          <cell r="AI18" t="str">
            <v>Да</v>
          </cell>
          <cell r="AP18" t="str">
            <v>Да</v>
          </cell>
          <cell r="AX18" t="str">
            <v>Да</v>
          </cell>
          <cell r="BG18" t="str">
            <v>Да</v>
          </cell>
          <cell r="BP18" t="str">
            <v>Да</v>
          </cell>
          <cell r="BX18" t="str">
            <v>Да</v>
          </cell>
          <cell r="CF18" t="str">
            <v>Да</v>
          </cell>
          <cell r="CM18" t="str">
            <v>Да</v>
          </cell>
          <cell r="CS18" t="str">
            <v>Да</v>
          </cell>
        </row>
        <row r="19">
          <cell r="J19" t="str">
            <v>Да</v>
          </cell>
          <cell r="S19" t="str">
            <v>Да</v>
          </cell>
          <cell r="AA19" t="str">
            <v>Да</v>
          </cell>
          <cell r="AI19" t="str">
            <v>Да</v>
          </cell>
          <cell r="AP19" t="str">
            <v>Да</v>
          </cell>
          <cell r="AX19" t="str">
            <v>Да</v>
          </cell>
          <cell r="BG19" t="str">
            <v>Да</v>
          </cell>
          <cell r="BP19" t="str">
            <v>Да</v>
          </cell>
          <cell r="BX19" t="str">
            <v>Да</v>
          </cell>
          <cell r="CF19" t="str">
            <v>Да</v>
          </cell>
          <cell r="CM19" t="str">
            <v>Да</v>
          </cell>
          <cell r="CS19" t="str">
            <v>Да</v>
          </cell>
        </row>
        <row r="20">
          <cell r="J20" t="str">
            <v>Да</v>
          </cell>
          <cell r="S20" t="str">
            <v>Да</v>
          </cell>
          <cell r="AA20" t="str">
            <v>Да</v>
          </cell>
          <cell r="AI20" t="str">
            <v>Да</v>
          </cell>
          <cell r="AP20" t="str">
            <v>Да</v>
          </cell>
          <cell r="AX20" t="str">
            <v>Да</v>
          </cell>
          <cell r="BG20" t="str">
            <v>Да</v>
          </cell>
          <cell r="BP20" t="str">
            <v>Да</v>
          </cell>
          <cell r="BX20" t="str">
            <v>Да</v>
          </cell>
          <cell r="CF20" t="str">
            <v>Да</v>
          </cell>
          <cell r="CM20" t="str">
            <v>Да</v>
          </cell>
          <cell r="CS20" t="str">
            <v>Да</v>
          </cell>
        </row>
        <row r="21">
          <cell r="J21" t="str">
            <v>Да</v>
          </cell>
          <cell r="S21" t="str">
            <v>Да</v>
          </cell>
          <cell r="AA21" t="str">
            <v>Да</v>
          </cell>
          <cell r="AI21" t="str">
            <v>Да</v>
          </cell>
          <cell r="AP21" t="str">
            <v>Да</v>
          </cell>
          <cell r="AX21" t="str">
            <v>Да</v>
          </cell>
          <cell r="BG21" t="str">
            <v>Да</v>
          </cell>
          <cell r="BP21" t="str">
            <v>Да</v>
          </cell>
          <cell r="BX21" t="str">
            <v>Да</v>
          </cell>
          <cell r="CF21" t="str">
            <v>Да</v>
          </cell>
          <cell r="CM21" t="str">
            <v>Да</v>
          </cell>
          <cell r="CS21" t="str">
            <v>Да</v>
          </cell>
        </row>
        <row r="22">
          <cell r="J22" t="str">
            <v>Да</v>
          </cell>
          <cell r="S22" t="str">
            <v>Да</v>
          </cell>
          <cell r="AA22" t="str">
            <v>Да</v>
          </cell>
          <cell r="AI22" t="str">
            <v>Да</v>
          </cell>
          <cell r="AP22" t="str">
            <v>Да</v>
          </cell>
          <cell r="AX22" t="str">
            <v>Да</v>
          </cell>
          <cell r="BG22" t="str">
            <v>Да</v>
          </cell>
          <cell r="BP22" t="str">
            <v>Да</v>
          </cell>
          <cell r="BX22" t="str">
            <v>Да</v>
          </cell>
          <cell r="CF22" t="str">
            <v>Да</v>
          </cell>
          <cell r="CM22" t="str">
            <v>Да</v>
          </cell>
          <cell r="CS22" t="str">
            <v>Да</v>
          </cell>
        </row>
        <row r="23">
          <cell r="J23" t="str">
            <v>Да</v>
          </cell>
          <cell r="S23" t="str">
            <v>Да</v>
          </cell>
          <cell r="AA23" t="str">
            <v>Да</v>
          </cell>
          <cell r="AI23" t="str">
            <v>Да</v>
          </cell>
          <cell r="AP23" t="str">
            <v>Да</v>
          </cell>
          <cell r="AX23" t="str">
            <v>Да</v>
          </cell>
          <cell r="BG23" t="str">
            <v>Да</v>
          </cell>
          <cell r="BP23" t="str">
            <v>Да</v>
          </cell>
          <cell r="BX23" t="str">
            <v>Да</v>
          </cell>
          <cell r="CF23" t="str">
            <v>Да</v>
          </cell>
          <cell r="CM23" t="str">
            <v>Да</v>
          </cell>
          <cell r="CS23" t="str">
            <v>Да</v>
          </cell>
        </row>
        <row r="24">
          <cell r="J24" t="str">
            <v>Да</v>
          </cell>
          <cell r="S24" t="str">
            <v>Да</v>
          </cell>
          <cell r="AA24" t="str">
            <v>Да</v>
          </cell>
          <cell r="AI24" t="str">
            <v>Да</v>
          </cell>
          <cell r="AP24" t="str">
            <v>Да</v>
          </cell>
          <cell r="AX24" t="str">
            <v>Да</v>
          </cell>
          <cell r="BG24" t="str">
            <v>Да</v>
          </cell>
          <cell r="BP24" t="str">
            <v>Да</v>
          </cell>
          <cell r="BX24" t="str">
            <v>Да</v>
          </cell>
          <cell r="CF24" t="str">
            <v>Да</v>
          </cell>
          <cell r="CM24" t="str">
            <v>Да</v>
          </cell>
          <cell r="CS24" t="str">
            <v>Да</v>
          </cell>
        </row>
        <row r="25">
          <cell r="J25" t="str">
            <v>Да</v>
          </cell>
          <cell r="S25" t="str">
            <v>Нет</v>
          </cell>
          <cell r="AA25" t="str">
            <v>Нет</v>
          </cell>
          <cell r="AI25" t="str">
            <v>Нет</v>
          </cell>
          <cell r="AP25" t="str">
            <v>Нет</v>
          </cell>
          <cell r="AX25" t="str">
            <v>Нет</v>
          </cell>
          <cell r="BG25" t="str">
            <v>Нет</v>
          </cell>
          <cell r="BP25" t="str">
            <v>Нет</v>
          </cell>
          <cell r="BX25" t="str">
            <v>Нет</v>
          </cell>
          <cell r="CF25" t="str">
            <v>Нет</v>
          </cell>
          <cell r="CM25" t="str">
            <v>Нет</v>
          </cell>
          <cell r="CS25" t="str">
            <v>Нет</v>
          </cell>
        </row>
        <row r="26">
          <cell r="J26" t="str">
            <v>Да</v>
          </cell>
          <cell r="S26" t="str">
            <v>Да</v>
          </cell>
          <cell r="AA26" t="str">
            <v>Да</v>
          </cell>
          <cell r="AI26" t="str">
            <v>Да</v>
          </cell>
          <cell r="AP26" t="str">
            <v>Да</v>
          </cell>
          <cell r="AX26" t="str">
            <v>Да</v>
          </cell>
          <cell r="BG26" t="str">
            <v>Да</v>
          </cell>
          <cell r="BP26" t="str">
            <v>Да</v>
          </cell>
          <cell r="BX26" t="str">
            <v>Да</v>
          </cell>
          <cell r="CF26" t="str">
            <v>Да</v>
          </cell>
          <cell r="CM26" t="str">
            <v>Да</v>
          </cell>
          <cell r="CS26" t="str">
            <v>Да</v>
          </cell>
        </row>
        <row r="27">
          <cell r="J27" t="str">
            <v>Да</v>
          </cell>
          <cell r="S27" t="str">
            <v>Да</v>
          </cell>
          <cell r="AA27" t="str">
            <v>Да</v>
          </cell>
          <cell r="AI27" t="str">
            <v>Да</v>
          </cell>
          <cell r="AP27" t="str">
            <v>Да</v>
          </cell>
          <cell r="AX27" t="str">
            <v>Да</v>
          </cell>
          <cell r="BG27" t="str">
            <v>Нет</v>
          </cell>
          <cell r="BP27" t="str">
            <v>Да</v>
          </cell>
          <cell r="BX27" t="str">
            <v>Да</v>
          </cell>
          <cell r="CF27" t="str">
            <v>Да</v>
          </cell>
          <cell r="CM27" t="str">
            <v>Да</v>
          </cell>
          <cell r="CS27" t="str">
            <v>Да</v>
          </cell>
        </row>
        <row r="28">
          <cell r="J28" t="str">
            <v>Да</v>
          </cell>
          <cell r="S28" t="str">
            <v>Да</v>
          </cell>
          <cell r="AA28" t="str">
            <v>Да</v>
          </cell>
          <cell r="AI28" t="str">
            <v>Да</v>
          </cell>
          <cell r="AP28" t="str">
            <v>Да</v>
          </cell>
          <cell r="AX28" t="str">
            <v>Да</v>
          </cell>
          <cell r="BG28" t="str">
            <v>Да</v>
          </cell>
          <cell r="BP28" t="str">
            <v>Да</v>
          </cell>
          <cell r="BX28" t="str">
            <v>Да</v>
          </cell>
          <cell r="CF28" t="str">
            <v>Да</v>
          </cell>
          <cell r="CM28" t="str">
            <v>Да</v>
          </cell>
          <cell r="CS28" t="str">
            <v>Да</v>
          </cell>
        </row>
        <row r="29">
          <cell r="J29" t="str">
            <v>Да</v>
          </cell>
          <cell r="S29" t="str">
            <v>Да</v>
          </cell>
          <cell r="AA29" t="str">
            <v>Да</v>
          </cell>
          <cell r="AI29" t="str">
            <v>Нет</v>
          </cell>
          <cell r="AP29" t="str">
            <v>Да</v>
          </cell>
          <cell r="AX29" t="str">
            <v>Да</v>
          </cell>
          <cell r="BG29" t="str">
            <v>Да</v>
          </cell>
          <cell r="BP29" t="str">
            <v>Да</v>
          </cell>
          <cell r="BX29" t="str">
            <v>Да</v>
          </cell>
          <cell r="CF29" t="str">
            <v>Да</v>
          </cell>
          <cell r="CM29" t="str">
            <v>Да</v>
          </cell>
          <cell r="CS29" t="str">
            <v>Да</v>
          </cell>
        </row>
        <row r="30">
          <cell r="J30" t="str">
            <v>Да</v>
          </cell>
          <cell r="S30" t="str">
            <v>Да</v>
          </cell>
          <cell r="AA30" t="str">
            <v>Да</v>
          </cell>
          <cell r="AI30" t="str">
            <v>Да</v>
          </cell>
          <cell r="AP30" t="str">
            <v>Да</v>
          </cell>
          <cell r="AX30" t="str">
            <v>Да</v>
          </cell>
          <cell r="BG30" t="str">
            <v>Да</v>
          </cell>
          <cell r="BP30" t="str">
            <v>Да</v>
          </cell>
          <cell r="BX30" t="str">
            <v>Да</v>
          </cell>
          <cell r="CF30" t="str">
            <v>Да</v>
          </cell>
          <cell r="CM30" t="str">
            <v>Да</v>
          </cell>
          <cell r="CS30" t="str">
            <v>Да</v>
          </cell>
        </row>
        <row r="31">
          <cell r="J31" t="str">
            <v>Да</v>
          </cell>
          <cell r="S31" t="str">
            <v>Да</v>
          </cell>
          <cell r="AA31" t="str">
            <v>Да</v>
          </cell>
          <cell r="AI31" t="str">
            <v>Да</v>
          </cell>
          <cell r="AP31" t="str">
            <v>Да</v>
          </cell>
          <cell r="AX31" t="str">
            <v>Да</v>
          </cell>
          <cell r="BG31" t="str">
            <v>Да</v>
          </cell>
          <cell r="BP31" t="str">
            <v>Да</v>
          </cell>
          <cell r="BX31" t="str">
            <v>Да</v>
          </cell>
          <cell r="CF31" t="str">
            <v>Да</v>
          </cell>
          <cell r="CM31" t="str">
            <v>Да</v>
          </cell>
          <cell r="CS31" t="str">
            <v>Да</v>
          </cell>
        </row>
        <row r="32">
          <cell r="J32" t="str">
            <v>Да</v>
          </cell>
          <cell r="S32" t="str">
            <v>Да</v>
          </cell>
          <cell r="AA32" t="str">
            <v>Да</v>
          </cell>
          <cell r="AI32" t="str">
            <v>Да</v>
          </cell>
          <cell r="AP32" t="str">
            <v>Да</v>
          </cell>
          <cell r="AX32" t="str">
            <v>Да</v>
          </cell>
          <cell r="BG32" t="str">
            <v>Да</v>
          </cell>
          <cell r="BP32" t="str">
            <v>Да</v>
          </cell>
          <cell r="BX32" t="str">
            <v>Да</v>
          </cell>
          <cell r="CF32" t="str">
            <v>Да</v>
          </cell>
          <cell r="CM32" t="str">
            <v>Да</v>
          </cell>
          <cell r="CS32" t="str">
            <v>Да</v>
          </cell>
        </row>
        <row r="33">
          <cell r="J33" t="str">
            <v>Да</v>
          </cell>
          <cell r="S33" t="str">
            <v>Да</v>
          </cell>
          <cell r="AA33" t="str">
            <v>Да</v>
          </cell>
          <cell r="AI33" t="str">
            <v>Да</v>
          </cell>
          <cell r="AP33" t="str">
            <v>Да</v>
          </cell>
          <cell r="AX33" t="str">
            <v>Да</v>
          </cell>
          <cell r="BG33" t="str">
            <v>Да</v>
          </cell>
          <cell r="BP33" t="str">
            <v>Да</v>
          </cell>
          <cell r="BX33" t="str">
            <v>Да</v>
          </cell>
          <cell r="CF33" t="str">
            <v>Да</v>
          </cell>
          <cell r="CM33" t="str">
            <v>Да</v>
          </cell>
          <cell r="CS33" t="str">
            <v>Да</v>
          </cell>
        </row>
        <row r="34">
          <cell r="J34" t="str">
            <v>Да</v>
          </cell>
          <cell r="S34" t="str">
            <v>Да</v>
          </cell>
          <cell r="AA34" t="str">
            <v>Да</v>
          </cell>
          <cell r="AI34" t="str">
            <v>Да</v>
          </cell>
          <cell r="AP34" t="str">
            <v>Да</v>
          </cell>
          <cell r="AX34" t="str">
            <v>Да</v>
          </cell>
          <cell r="BG34" t="str">
            <v>Да</v>
          </cell>
          <cell r="BP34" t="str">
            <v>Да</v>
          </cell>
          <cell r="BX34" t="str">
            <v>Да</v>
          </cell>
          <cell r="CF34" t="str">
            <v>Да</v>
          </cell>
          <cell r="CM34" t="str">
            <v>Да</v>
          </cell>
          <cell r="CS34" t="str">
            <v>Да</v>
          </cell>
        </row>
      </sheetData>
      <sheetData sheetId="21">
        <row r="3">
          <cell r="K3" t="str">
            <v>Да</v>
          </cell>
          <cell r="U3" t="str">
            <v>Нет</v>
          </cell>
          <cell r="AE3" t="str">
            <v>Да</v>
          </cell>
          <cell r="AO3" t="str">
            <v>Да</v>
          </cell>
          <cell r="AY3" t="str">
            <v>Да</v>
          </cell>
          <cell r="BI3" t="str">
            <v>Да</v>
          </cell>
          <cell r="BR3" t="str">
            <v>Да</v>
          </cell>
          <cell r="CB3" t="str">
            <v>Да</v>
          </cell>
          <cell r="CM3" t="str">
            <v>Да</v>
          </cell>
          <cell r="CV3" t="str">
            <v>Да</v>
          </cell>
          <cell r="DF3" t="str">
            <v>Да</v>
          </cell>
          <cell r="DP3" t="str">
            <v>Да</v>
          </cell>
        </row>
        <row r="4">
          <cell r="K4" t="str">
            <v>Да</v>
          </cell>
          <cell r="U4" t="str">
            <v>Да</v>
          </cell>
          <cell r="AE4" t="str">
            <v>Да</v>
          </cell>
          <cell r="AO4" t="str">
            <v>Да</v>
          </cell>
          <cell r="AY4" t="str">
            <v>Да</v>
          </cell>
          <cell r="BI4" t="str">
            <v>Да</v>
          </cell>
          <cell r="BR4" t="str">
            <v>Да</v>
          </cell>
          <cell r="CB4" t="str">
            <v>Да</v>
          </cell>
          <cell r="CM4" t="str">
            <v>Да</v>
          </cell>
          <cell r="CV4" t="str">
            <v>Да</v>
          </cell>
          <cell r="DF4" t="str">
            <v>Да</v>
          </cell>
          <cell r="DP4" t="str">
            <v>Да</v>
          </cell>
        </row>
        <row r="5">
          <cell r="K5" t="str">
            <v>Да</v>
          </cell>
          <cell r="U5" t="str">
            <v>Нет</v>
          </cell>
          <cell r="AE5" t="str">
            <v>Да</v>
          </cell>
          <cell r="AO5" t="str">
            <v>Да</v>
          </cell>
          <cell r="AY5" t="str">
            <v>Да</v>
          </cell>
          <cell r="BI5" t="str">
            <v>Да</v>
          </cell>
          <cell r="BR5" t="str">
            <v>Да</v>
          </cell>
          <cell r="CB5" t="str">
            <v>Да</v>
          </cell>
          <cell r="CM5" t="str">
            <v>Да</v>
          </cell>
          <cell r="CV5" t="str">
            <v>Да</v>
          </cell>
          <cell r="DF5" t="str">
            <v>Да</v>
          </cell>
          <cell r="DP5" t="str">
            <v>Да</v>
          </cell>
        </row>
        <row r="6">
          <cell r="K6" t="str">
            <v>Да</v>
          </cell>
          <cell r="U6" t="str">
            <v>Да</v>
          </cell>
          <cell r="AE6" t="str">
            <v>Да</v>
          </cell>
          <cell r="AO6" t="str">
            <v>Да</v>
          </cell>
          <cell r="AY6" t="str">
            <v>Да</v>
          </cell>
          <cell r="BI6" t="str">
            <v>Да</v>
          </cell>
          <cell r="BR6" t="str">
            <v>Да</v>
          </cell>
          <cell r="CB6" t="str">
            <v>Да</v>
          </cell>
          <cell r="CM6" t="str">
            <v>Да</v>
          </cell>
          <cell r="CV6" t="str">
            <v>Да</v>
          </cell>
          <cell r="DF6" t="str">
            <v>Да</v>
          </cell>
          <cell r="DP6" t="str">
            <v>Да</v>
          </cell>
        </row>
        <row r="7">
          <cell r="K7" t="str">
            <v>Да</v>
          </cell>
          <cell r="U7" t="str">
            <v>Да</v>
          </cell>
          <cell r="AE7" t="str">
            <v>Да</v>
          </cell>
          <cell r="AO7" t="str">
            <v>Да</v>
          </cell>
          <cell r="AY7" t="str">
            <v>Да</v>
          </cell>
          <cell r="BI7" t="str">
            <v>Да</v>
          </cell>
          <cell r="BR7" t="str">
            <v>Да</v>
          </cell>
          <cell r="CB7" t="str">
            <v>Да</v>
          </cell>
          <cell r="CM7" t="str">
            <v>Да</v>
          </cell>
          <cell r="CV7" t="str">
            <v>Да</v>
          </cell>
          <cell r="DF7" t="str">
            <v>Да</v>
          </cell>
          <cell r="DP7" t="str">
            <v>Да</v>
          </cell>
        </row>
        <row r="8">
          <cell r="K8" t="str">
            <v>Да</v>
          </cell>
          <cell r="U8" t="str">
            <v>Да</v>
          </cell>
          <cell r="AE8" t="str">
            <v>Да</v>
          </cell>
          <cell r="AO8" t="str">
            <v>Да</v>
          </cell>
          <cell r="AY8" t="str">
            <v>Да</v>
          </cell>
          <cell r="BI8" t="str">
            <v>Да</v>
          </cell>
          <cell r="BR8" t="str">
            <v>Да</v>
          </cell>
          <cell r="CB8" t="str">
            <v>Да</v>
          </cell>
          <cell r="CM8" t="str">
            <v>Да</v>
          </cell>
          <cell r="CV8" t="str">
            <v>Да</v>
          </cell>
          <cell r="DF8" t="str">
            <v>Да</v>
          </cell>
          <cell r="DP8" t="str">
            <v>Да</v>
          </cell>
        </row>
        <row r="9">
          <cell r="K9" t="str">
            <v>Да</v>
          </cell>
          <cell r="U9" t="str">
            <v>Да</v>
          </cell>
          <cell r="AE9" t="str">
            <v>Да</v>
          </cell>
          <cell r="AO9" t="str">
            <v>Да</v>
          </cell>
          <cell r="AY9" t="str">
            <v>Да</v>
          </cell>
          <cell r="BI9" t="str">
            <v>Да</v>
          </cell>
          <cell r="BR9" t="str">
            <v>Да</v>
          </cell>
          <cell r="CB9" t="str">
            <v>Да</v>
          </cell>
          <cell r="CM9" t="str">
            <v>Да</v>
          </cell>
          <cell r="CV9" t="str">
            <v>Да</v>
          </cell>
          <cell r="DF9" t="str">
            <v>Да</v>
          </cell>
          <cell r="DP9" t="str">
            <v>Да</v>
          </cell>
        </row>
        <row r="10">
          <cell r="K10" t="str">
            <v>Да</v>
          </cell>
          <cell r="U10" t="str">
            <v>Да</v>
          </cell>
          <cell r="AE10" t="str">
            <v>Да</v>
          </cell>
          <cell r="AO10" t="str">
            <v>Да</v>
          </cell>
          <cell r="AY10" t="str">
            <v>Да</v>
          </cell>
          <cell r="BI10" t="str">
            <v>Да</v>
          </cell>
          <cell r="BR10" t="str">
            <v>Да</v>
          </cell>
          <cell r="CB10" t="str">
            <v>Да</v>
          </cell>
          <cell r="CM10" t="str">
            <v>Да</v>
          </cell>
          <cell r="CV10" t="str">
            <v>Да</v>
          </cell>
          <cell r="DF10" t="str">
            <v>Да</v>
          </cell>
          <cell r="DP10" t="str">
            <v>Да</v>
          </cell>
        </row>
        <row r="11">
          <cell r="K11" t="str">
            <v>Да</v>
          </cell>
          <cell r="U11" t="str">
            <v>Да</v>
          </cell>
          <cell r="AE11" t="str">
            <v>Да</v>
          </cell>
          <cell r="AO11" t="str">
            <v>Да</v>
          </cell>
          <cell r="AY11" t="str">
            <v>Да</v>
          </cell>
          <cell r="BI11" t="str">
            <v>Да</v>
          </cell>
          <cell r="BR11" t="str">
            <v>Да</v>
          </cell>
          <cell r="CB11" t="str">
            <v>Да</v>
          </cell>
          <cell r="CM11" t="str">
            <v>Да</v>
          </cell>
          <cell r="CV11" t="str">
            <v>Да</v>
          </cell>
          <cell r="DF11" t="str">
            <v>Да</v>
          </cell>
          <cell r="DP11" t="str">
            <v>Да</v>
          </cell>
        </row>
        <row r="12">
          <cell r="K12" t="str">
            <v>Да</v>
          </cell>
          <cell r="U12" t="str">
            <v>Да</v>
          </cell>
          <cell r="AE12" t="str">
            <v>Да</v>
          </cell>
          <cell r="AO12" t="str">
            <v>Да</v>
          </cell>
          <cell r="AY12" t="str">
            <v>Да</v>
          </cell>
          <cell r="BI12" t="str">
            <v>Да</v>
          </cell>
          <cell r="BR12" t="str">
            <v>Да</v>
          </cell>
          <cell r="CB12" t="str">
            <v>Да</v>
          </cell>
          <cell r="CM12" t="str">
            <v>Нет</v>
          </cell>
          <cell r="CV12" t="str">
            <v>Нет</v>
          </cell>
          <cell r="DF12" t="str">
            <v>Нет</v>
          </cell>
          <cell r="DP12" t="str">
            <v>Нет</v>
          </cell>
        </row>
        <row r="13">
          <cell r="K13" t="str">
            <v>Да</v>
          </cell>
          <cell r="U13" t="str">
            <v>Да</v>
          </cell>
          <cell r="AE13" t="str">
            <v>Нет</v>
          </cell>
          <cell r="AO13" t="str">
            <v>Да</v>
          </cell>
          <cell r="AY13" t="str">
            <v>Да</v>
          </cell>
          <cell r="BI13" t="str">
            <v>Да</v>
          </cell>
          <cell r="BR13" t="str">
            <v>Да</v>
          </cell>
          <cell r="CB13" t="str">
            <v>Да</v>
          </cell>
          <cell r="CM13" t="str">
            <v>Да</v>
          </cell>
          <cell r="CV13" t="str">
            <v>Да</v>
          </cell>
          <cell r="DF13" t="str">
            <v>Да</v>
          </cell>
          <cell r="DP13" t="str">
            <v>Да</v>
          </cell>
        </row>
        <row r="14">
          <cell r="K14" t="str">
            <v>Да</v>
          </cell>
          <cell r="U14" t="str">
            <v>Да</v>
          </cell>
          <cell r="AE14" t="str">
            <v>Да</v>
          </cell>
          <cell r="AO14" t="str">
            <v>Да</v>
          </cell>
          <cell r="AY14" t="str">
            <v>Да</v>
          </cell>
          <cell r="BI14" t="str">
            <v>Да</v>
          </cell>
          <cell r="BR14" t="str">
            <v>Да</v>
          </cell>
          <cell r="CB14" t="str">
            <v>Да</v>
          </cell>
          <cell r="CM14" t="str">
            <v>Да</v>
          </cell>
          <cell r="CV14" t="str">
            <v>Да</v>
          </cell>
          <cell r="DF14" t="str">
            <v>Да</v>
          </cell>
          <cell r="DP14" t="str">
            <v>Да</v>
          </cell>
        </row>
        <row r="15">
          <cell r="K15" t="str">
            <v>Да</v>
          </cell>
          <cell r="U15" t="str">
            <v>Да</v>
          </cell>
          <cell r="AE15" t="str">
            <v>Да</v>
          </cell>
          <cell r="AO15" t="str">
            <v>Да</v>
          </cell>
          <cell r="AY15" t="str">
            <v>Да</v>
          </cell>
          <cell r="BI15" t="str">
            <v>Да</v>
          </cell>
          <cell r="BR15" t="str">
            <v>Да</v>
          </cell>
          <cell r="CB15" t="str">
            <v>Да</v>
          </cell>
          <cell r="CM15" t="str">
            <v>Да</v>
          </cell>
          <cell r="CV15" t="str">
            <v>Да</v>
          </cell>
          <cell r="DF15" t="str">
            <v>Да</v>
          </cell>
          <cell r="DP15" t="str">
            <v>Да</v>
          </cell>
        </row>
        <row r="16">
          <cell r="K16" t="str">
            <v>Да</v>
          </cell>
          <cell r="U16" t="str">
            <v>Да</v>
          </cell>
          <cell r="AE16" t="str">
            <v>Да</v>
          </cell>
          <cell r="AO16" t="str">
            <v>Да</v>
          </cell>
          <cell r="AY16" t="str">
            <v>Да</v>
          </cell>
          <cell r="BI16" t="str">
            <v>Да</v>
          </cell>
          <cell r="BR16" t="str">
            <v>Да</v>
          </cell>
          <cell r="CB16" t="str">
            <v>Да</v>
          </cell>
          <cell r="CM16" t="str">
            <v>Да</v>
          </cell>
          <cell r="CV16" t="str">
            <v>Да</v>
          </cell>
          <cell r="DF16" t="str">
            <v>Да</v>
          </cell>
          <cell r="DP16" t="str">
            <v>Да</v>
          </cell>
        </row>
        <row r="17">
          <cell r="K17" t="str">
            <v>Да</v>
          </cell>
          <cell r="U17" t="str">
            <v>Да</v>
          </cell>
          <cell r="AE17" t="str">
            <v>Да</v>
          </cell>
          <cell r="AO17" t="str">
            <v>Да</v>
          </cell>
          <cell r="AY17" t="str">
            <v>Да</v>
          </cell>
          <cell r="BI17" t="str">
            <v>Да</v>
          </cell>
          <cell r="BR17" t="str">
            <v>Да</v>
          </cell>
          <cell r="CB17" t="str">
            <v>Да</v>
          </cell>
          <cell r="CM17" t="str">
            <v>Да</v>
          </cell>
          <cell r="CV17" t="str">
            <v>Да</v>
          </cell>
          <cell r="DF17" t="str">
            <v>Да</v>
          </cell>
          <cell r="DP17" t="str">
            <v>Да</v>
          </cell>
        </row>
        <row r="18">
          <cell r="K18" t="str">
            <v>Да</v>
          </cell>
          <cell r="U18" t="str">
            <v>Нет</v>
          </cell>
          <cell r="AE18" t="str">
            <v>Да</v>
          </cell>
          <cell r="AO18" t="str">
            <v>Да</v>
          </cell>
          <cell r="AY18" t="str">
            <v>Да</v>
          </cell>
          <cell r="BI18" t="str">
            <v>Да</v>
          </cell>
          <cell r="BR18" t="str">
            <v>Да</v>
          </cell>
          <cell r="CB18" t="str">
            <v>Да</v>
          </cell>
          <cell r="CM18" t="str">
            <v>Да</v>
          </cell>
          <cell r="CV18" t="str">
            <v>Да</v>
          </cell>
          <cell r="DF18" t="str">
            <v>Да</v>
          </cell>
          <cell r="DP18" t="str">
            <v>Да</v>
          </cell>
        </row>
        <row r="19">
          <cell r="K19" t="str">
            <v>Да</v>
          </cell>
          <cell r="U19" t="str">
            <v>Да</v>
          </cell>
          <cell r="AE19" t="str">
            <v>Да</v>
          </cell>
          <cell r="AO19" t="str">
            <v>Да</v>
          </cell>
          <cell r="AY19" t="str">
            <v>Да</v>
          </cell>
          <cell r="BI19" t="str">
            <v>Да</v>
          </cell>
          <cell r="BR19" t="str">
            <v>Да</v>
          </cell>
          <cell r="CB19" t="str">
            <v>Да</v>
          </cell>
          <cell r="CM19" t="str">
            <v>Да</v>
          </cell>
          <cell r="CV19" t="str">
            <v>Да</v>
          </cell>
          <cell r="DF19" t="str">
            <v>Да</v>
          </cell>
          <cell r="DP19" t="str">
            <v>Да</v>
          </cell>
        </row>
        <row r="20">
          <cell r="K20" t="str">
            <v>Да</v>
          </cell>
          <cell r="U20" t="str">
            <v>Да</v>
          </cell>
          <cell r="AE20" t="str">
            <v>Да</v>
          </cell>
          <cell r="AO20" t="str">
            <v>Да</v>
          </cell>
          <cell r="AY20" t="str">
            <v>Да</v>
          </cell>
          <cell r="BI20" t="str">
            <v>Да</v>
          </cell>
          <cell r="BR20" t="str">
            <v>Да</v>
          </cell>
          <cell r="CB20" t="str">
            <v>Да</v>
          </cell>
          <cell r="CM20" t="str">
            <v>Да</v>
          </cell>
          <cell r="CV20" t="str">
            <v>Да</v>
          </cell>
          <cell r="DF20" t="str">
            <v>Да</v>
          </cell>
          <cell r="DP20" t="str">
            <v>Да</v>
          </cell>
        </row>
        <row r="21">
          <cell r="K21" t="str">
            <v>Да</v>
          </cell>
          <cell r="U21" t="str">
            <v>Да</v>
          </cell>
          <cell r="AE21" t="str">
            <v>Да</v>
          </cell>
          <cell r="AO21" t="str">
            <v>Да</v>
          </cell>
          <cell r="AY21" t="str">
            <v>Да</v>
          </cell>
          <cell r="BI21" t="str">
            <v>Да</v>
          </cell>
          <cell r="BR21" t="str">
            <v>Да</v>
          </cell>
          <cell r="CB21" t="str">
            <v>Да</v>
          </cell>
          <cell r="CM21" t="str">
            <v>Да</v>
          </cell>
          <cell r="CV21" t="str">
            <v>Да</v>
          </cell>
          <cell r="DF21" t="str">
            <v>Да</v>
          </cell>
          <cell r="DP21" t="str">
            <v>Да</v>
          </cell>
        </row>
        <row r="22">
          <cell r="K22" t="str">
            <v>Да</v>
          </cell>
          <cell r="U22" t="str">
            <v>Да</v>
          </cell>
          <cell r="AE22" t="str">
            <v>Да</v>
          </cell>
          <cell r="AO22" t="str">
            <v>Да</v>
          </cell>
          <cell r="AY22" t="str">
            <v>Да</v>
          </cell>
          <cell r="BI22" t="str">
            <v>Да</v>
          </cell>
          <cell r="BR22" t="str">
            <v>Да</v>
          </cell>
          <cell r="CB22" t="str">
            <v>Да</v>
          </cell>
          <cell r="CM22" t="str">
            <v>Да</v>
          </cell>
          <cell r="CV22" t="str">
            <v>Да</v>
          </cell>
          <cell r="DF22" t="str">
            <v>Да</v>
          </cell>
          <cell r="DP22" t="str">
            <v>Да</v>
          </cell>
        </row>
        <row r="23">
          <cell r="K23" t="str">
            <v>Да</v>
          </cell>
          <cell r="U23" t="str">
            <v>Да</v>
          </cell>
          <cell r="AE23" t="str">
            <v>Да</v>
          </cell>
          <cell r="AO23" t="str">
            <v>Да</v>
          </cell>
          <cell r="AY23" t="str">
            <v>Да</v>
          </cell>
          <cell r="BI23" t="str">
            <v>Да</v>
          </cell>
          <cell r="BR23" t="str">
            <v>Да</v>
          </cell>
          <cell r="CB23" t="str">
            <v>Да</v>
          </cell>
          <cell r="CM23" t="str">
            <v>Да</v>
          </cell>
          <cell r="CV23" t="str">
            <v>Да</v>
          </cell>
          <cell r="DF23" t="str">
            <v>Да</v>
          </cell>
          <cell r="DP23" t="str">
            <v>Да</v>
          </cell>
        </row>
      </sheetData>
      <sheetData sheetId="22">
        <row r="3">
          <cell r="F3" t="str">
            <v>Да</v>
          </cell>
          <cell r="J3" t="str">
            <v>Да</v>
          </cell>
          <cell r="N3" t="str">
            <v>Да</v>
          </cell>
          <cell r="R3" t="str">
            <v>Да</v>
          </cell>
          <cell r="V3" t="str">
            <v>Нет</v>
          </cell>
          <cell r="Z3" t="str">
            <v>Нет</v>
          </cell>
          <cell r="AD3" t="str">
            <v>Нет</v>
          </cell>
          <cell r="AH3" t="str">
            <v>Нет</v>
          </cell>
          <cell r="AL3" t="str">
            <v>Нет</v>
          </cell>
          <cell r="AP3" t="str">
            <v>Нет</v>
          </cell>
          <cell r="AT3" t="str">
            <v>Нет</v>
          </cell>
          <cell r="AX3" t="str">
            <v>Нет</v>
          </cell>
        </row>
        <row r="4">
          <cell r="F4" t="str">
            <v>Да</v>
          </cell>
          <cell r="J4" t="str">
            <v>Да</v>
          </cell>
          <cell r="N4" t="str">
            <v>Да</v>
          </cell>
          <cell r="R4" t="str">
            <v>Да</v>
          </cell>
          <cell r="V4" t="str">
            <v>Да</v>
          </cell>
          <cell r="Z4" t="str">
            <v>Да</v>
          </cell>
          <cell r="AD4" t="str">
            <v>Да</v>
          </cell>
          <cell r="AH4" t="str">
            <v>Да</v>
          </cell>
          <cell r="AL4" t="str">
            <v>Да</v>
          </cell>
          <cell r="AP4" t="str">
            <v>Да</v>
          </cell>
          <cell r="AT4" t="str">
            <v>Да</v>
          </cell>
          <cell r="AX4" t="str">
            <v>Да</v>
          </cell>
        </row>
        <row r="5">
          <cell r="F5"/>
          <cell r="J5"/>
          <cell r="N5"/>
          <cell r="R5"/>
          <cell r="V5"/>
          <cell r="Z5" t="str">
            <v>Да</v>
          </cell>
          <cell r="AD5" t="str">
            <v>Да</v>
          </cell>
          <cell r="AH5" t="str">
            <v>Нет</v>
          </cell>
          <cell r="AL5" t="str">
            <v>Нет</v>
          </cell>
          <cell r="AP5" t="str">
            <v>Нет</v>
          </cell>
          <cell r="AT5" t="str">
            <v>Нет</v>
          </cell>
          <cell r="AX5" t="str">
            <v>Нет</v>
          </cell>
        </row>
        <row r="6">
          <cell r="F6" t="str">
            <v>Да</v>
          </cell>
          <cell r="J6" t="str">
            <v>Да</v>
          </cell>
          <cell r="N6" t="str">
            <v>Да</v>
          </cell>
          <cell r="R6" t="str">
            <v>Да</v>
          </cell>
          <cell r="V6" t="str">
            <v>Да</v>
          </cell>
          <cell r="Z6" t="str">
            <v>Нет</v>
          </cell>
          <cell r="AD6" t="str">
            <v>Нет</v>
          </cell>
          <cell r="AH6" t="str">
            <v>Нет</v>
          </cell>
          <cell r="AL6" t="str">
            <v>Нет</v>
          </cell>
          <cell r="AP6" t="str">
            <v>Нет</v>
          </cell>
          <cell r="AT6" t="str">
            <v>Нет</v>
          </cell>
          <cell r="AX6" t="str">
            <v>Нет</v>
          </cell>
        </row>
        <row r="7">
          <cell r="F7" t="str">
            <v>Да</v>
          </cell>
          <cell r="J7" t="str">
            <v>Да</v>
          </cell>
          <cell r="N7" t="str">
            <v>Да</v>
          </cell>
          <cell r="R7" t="str">
            <v>Да</v>
          </cell>
          <cell r="V7" t="str">
            <v>Да</v>
          </cell>
          <cell r="Z7" t="str">
            <v>Да</v>
          </cell>
          <cell r="AD7" t="str">
            <v>Да</v>
          </cell>
          <cell r="AH7" t="str">
            <v>Да</v>
          </cell>
          <cell r="AL7" t="str">
            <v>Да</v>
          </cell>
          <cell r="AP7" t="str">
            <v>Да</v>
          </cell>
          <cell r="AT7" t="str">
            <v>Да</v>
          </cell>
          <cell r="AX7" t="str">
            <v>Да</v>
          </cell>
        </row>
        <row r="8">
          <cell r="F8" t="str">
            <v>Да</v>
          </cell>
          <cell r="J8" t="str">
            <v>Да</v>
          </cell>
          <cell r="N8" t="str">
            <v>Да</v>
          </cell>
          <cell r="R8" t="str">
            <v>Да</v>
          </cell>
          <cell r="V8" t="str">
            <v>Да</v>
          </cell>
          <cell r="Z8" t="str">
            <v>Да</v>
          </cell>
          <cell r="AD8" t="str">
            <v>Да</v>
          </cell>
          <cell r="AH8" t="str">
            <v>Да</v>
          </cell>
          <cell r="AL8" t="str">
            <v>Да</v>
          </cell>
          <cell r="AP8" t="str">
            <v>Да</v>
          </cell>
          <cell r="AT8" t="str">
            <v>Да</v>
          </cell>
          <cell r="AX8" t="str">
            <v>Да</v>
          </cell>
        </row>
        <row r="9">
          <cell r="F9" t="str">
            <v>Да</v>
          </cell>
          <cell r="J9" t="str">
            <v>Да</v>
          </cell>
          <cell r="N9" t="str">
            <v>Да</v>
          </cell>
          <cell r="R9" t="str">
            <v>Да</v>
          </cell>
          <cell r="V9" t="str">
            <v>Да</v>
          </cell>
          <cell r="Z9" t="str">
            <v>Да</v>
          </cell>
          <cell r="AD9" t="str">
            <v>Да</v>
          </cell>
          <cell r="AH9" t="str">
            <v>Да</v>
          </cell>
          <cell r="AL9" t="str">
            <v>Да</v>
          </cell>
          <cell r="AP9" t="str">
            <v>Да</v>
          </cell>
          <cell r="AT9" t="str">
            <v>Да</v>
          </cell>
          <cell r="AX9" t="str">
            <v>Да</v>
          </cell>
        </row>
        <row r="10">
          <cell r="F10" t="str">
            <v>Да</v>
          </cell>
          <cell r="J10" t="str">
            <v>Да</v>
          </cell>
          <cell r="N10" t="str">
            <v>Да</v>
          </cell>
          <cell r="R10" t="str">
            <v>Нет</v>
          </cell>
          <cell r="V10" t="str">
            <v>Нет</v>
          </cell>
          <cell r="Z10" t="str">
            <v>Нет</v>
          </cell>
          <cell r="AD10" t="str">
            <v>Нет</v>
          </cell>
          <cell r="AH10" t="str">
            <v>Нет</v>
          </cell>
          <cell r="AL10" t="str">
            <v>Нет</v>
          </cell>
          <cell r="AP10" t="str">
            <v>Нет</v>
          </cell>
          <cell r="AT10" t="str">
            <v>Нет</v>
          </cell>
          <cell r="AX10" t="str">
            <v>Нет</v>
          </cell>
        </row>
        <row r="11">
          <cell r="F11" t="str">
            <v>Да</v>
          </cell>
          <cell r="J11" t="str">
            <v>Да</v>
          </cell>
          <cell r="N11" t="str">
            <v>Да</v>
          </cell>
          <cell r="R11" t="str">
            <v>Да</v>
          </cell>
          <cell r="V11" t="str">
            <v>Да</v>
          </cell>
          <cell r="Z11" t="str">
            <v>Да</v>
          </cell>
          <cell r="AD11" t="str">
            <v>Да</v>
          </cell>
          <cell r="AH11" t="str">
            <v>Да</v>
          </cell>
          <cell r="AL11" t="str">
            <v>Да</v>
          </cell>
          <cell r="AP11" t="str">
            <v>Да</v>
          </cell>
          <cell r="AT11" t="str">
            <v>Да</v>
          </cell>
          <cell r="AX11" t="str">
            <v>Да</v>
          </cell>
        </row>
        <row r="12">
          <cell r="F12" t="str">
            <v>Да</v>
          </cell>
          <cell r="J12" t="str">
            <v>Да</v>
          </cell>
          <cell r="N12" t="str">
            <v>Да</v>
          </cell>
          <cell r="R12" t="str">
            <v>Да</v>
          </cell>
          <cell r="V12" t="str">
            <v>Да</v>
          </cell>
          <cell r="Z12" t="str">
            <v>Да</v>
          </cell>
          <cell r="AD12" t="str">
            <v>Да</v>
          </cell>
          <cell r="AH12" t="str">
            <v>Да</v>
          </cell>
          <cell r="AL12" t="str">
            <v>Да</v>
          </cell>
          <cell r="AP12" t="str">
            <v>Да</v>
          </cell>
          <cell r="AT12" t="str">
            <v>Да</v>
          </cell>
          <cell r="AX12" t="str">
            <v>Да</v>
          </cell>
        </row>
        <row r="13">
          <cell r="F13" t="str">
            <v>Да</v>
          </cell>
          <cell r="J13" t="str">
            <v>Да</v>
          </cell>
          <cell r="N13" t="str">
            <v>Да</v>
          </cell>
          <cell r="R13" t="str">
            <v>Да</v>
          </cell>
          <cell r="V13" t="str">
            <v>Да</v>
          </cell>
          <cell r="Z13" t="str">
            <v>Да</v>
          </cell>
          <cell r="AD13" t="str">
            <v>Да</v>
          </cell>
          <cell r="AH13" t="str">
            <v>Нет</v>
          </cell>
          <cell r="AL13" t="str">
            <v>Да</v>
          </cell>
          <cell r="AP13" t="str">
            <v>Нет</v>
          </cell>
          <cell r="AT13" t="str">
            <v>Да</v>
          </cell>
          <cell r="AX13" t="str">
            <v>Да</v>
          </cell>
        </row>
        <row r="14">
          <cell r="F14" t="str">
            <v>Да</v>
          </cell>
          <cell r="J14" t="str">
            <v>Да</v>
          </cell>
          <cell r="N14" t="str">
            <v>Нет</v>
          </cell>
          <cell r="R14" t="str">
            <v>Нет</v>
          </cell>
          <cell r="V14" t="str">
            <v>Нет</v>
          </cell>
          <cell r="Z14" t="str">
            <v>Нет</v>
          </cell>
          <cell r="AD14" t="str">
            <v>Нет</v>
          </cell>
          <cell r="AH14" t="str">
            <v>Нет</v>
          </cell>
          <cell r="AL14" t="str">
            <v>Нет</v>
          </cell>
          <cell r="AP14" t="str">
            <v>Нет</v>
          </cell>
          <cell r="AT14" t="str">
            <v>Нет</v>
          </cell>
          <cell r="AX14" t="str">
            <v>Нет</v>
          </cell>
        </row>
        <row r="15">
          <cell r="F15" t="str">
            <v>Да</v>
          </cell>
          <cell r="J15" t="str">
            <v>Да</v>
          </cell>
          <cell r="N15" t="str">
            <v>Да</v>
          </cell>
          <cell r="R15" t="str">
            <v>Да</v>
          </cell>
          <cell r="V15" t="str">
            <v>Да</v>
          </cell>
          <cell r="Z15" t="str">
            <v>Да</v>
          </cell>
          <cell r="AD15" t="str">
            <v>Да</v>
          </cell>
          <cell r="AH15" t="str">
            <v>Да</v>
          </cell>
          <cell r="AL15" t="str">
            <v>Да</v>
          </cell>
          <cell r="AP15" t="str">
            <v>Да</v>
          </cell>
          <cell r="AT15" t="str">
            <v>Да</v>
          </cell>
          <cell r="AX15" t="str">
            <v>Да</v>
          </cell>
        </row>
        <row r="16">
          <cell r="F16"/>
          <cell r="J16"/>
          <cell r="N16"/>
          <cell r="R16"/>
          <cell r="V16"/>
          <cell r="Z16"/>
          <cell r="AD16"/>
          <cell r="AH16"/>
          <cell r="AL16" t="str">
            <v>Да</v>
          </cell>
          <cell r="AP16" t="str">
            <v>Да</v>
          </cell>
          <cell r="AT16" t="str">
            <v>Да</v>
          </cell>
          <cell r="AX16" t="str">
            <v>Да</v>
          </cell>
        </row>
        <row r="17">
          <cell r="F17" t="str">
            <v>Да</v>
          </cell>
          <cell r="J17" t="str">
            <v>Да</v>
          </cell>
          <cell r="N17" t="str">
            <v>Да</v>
          </cell>
          <cell r="R17" t="str">
            <v>Да</v>
          </cell>
          <cell r="V17" t="str">
            <v>Да</v>
          </cell>
          <cell r="Z17" t="str">
            <v>Да</v>
          </cell>
          <cell r="AD17" t="str">
            <v>Да</v>
          </cell>
          <cell r="AH17" t="str">
            <v>Да</v>
          </cell>
          <cell r="AL17" t="str">
            <v>Да</v>
          </cell>
          <cell r="AP17" t="str">
            <v>Да</v>
          </cell>
          <cell r="AT17" t="str">
            <v>Да</v>
          </cell>
          <cell r="AX17" t="str">
            <v>Да</v>
          </cell>
        </row>
        <row r="18">
          <cell r="F18" t="str">
            <v>Да</v>
          </cell>
          <cell r="J18" t="str">
            <v>Да</v>
          </cell>
          <cell r="N18" t="str">
            <v>Да</v>
          </cell>
          <cell r="R18" t="str">
            <v>Да</v>
          </cell>
          <cell r="V18" t="str">
            <v>Да</v>
          </cell>
          <cell r="Z18" t="str">
            <v>Да</v>
          </cell>
          <cell r="AD18" t="str">
            <v>Да</v>
          </cell>
          <cell r="AH18" t="str">
            <v>Да</v>
          </cell>
          <cell r="AL18" t="str">
            <v>Да</v>
          </cell>
          <cell r="AP18" t="str">
            <v>Да</v>
          </cell>
          <cell r="AT18" t="str">
            <v>Да</v>
          </cell>
          <cell r="AX18" t="str">
            <v>Да</v>
          </cell>
        </row>
        <row r="19">
          <cell r="F19"/>
          <cell r="J19"/>
          <cell r="N19"/>
          <cell r="R19"/>
          <cell r="V19"/>
          <cell r="Z19" t="str">
            <v>Да</v>
          </cell>
          <cell r="AD19" t="str">
            <v>Да</v>
          </cell>
          <cell r="AH19" t="str">
            <v>Нет</v>
          </cell>
          <cell r="AL19" t="str">
            <v>Да</v>
          </cell>
          <cell r="AP19" t="str">
            <v>Да</v>
          </cell>
          <cell r="AT19" t="str">
            <v>Да</v>
          </cell>
          <cell r="AX19" t="str">
            <v>Да</v>
          </cell>
        </row>
        <row r="20">
          <cell r="F20" t="str">
            <v>Да</v>
          </cell>
          <cell r="J20" t="str">
            <v>Да</v>
          </cell>
          <cell r="N20" t="str">
            <v>Да</v>
          </cell>
          <cell r="R20" t="str">
            <v>Да</v>
          </cell>
          <cell r="V20" t="str">
            <v>Да</v>
          </cell>
          <cell r="Z20" t="str">
            <v>Да</v>
          </cell>
          <cell r="AD20" t="str">
            <v>Да</v>
          </cell>
          <cell r="AH20" t="str">
            <v>Да</v>
          </cell>
          <cell r="AL20" t="str">
            <v>Да</v>
          </cell>
          <cell r="AP20" t="str">
            <v>Да</v>
          </cell>
          <cell r="AT20" t="str">
            <v>Да</v>
          </cell>
          <cell r="AX20" t="str">
            <v>Да</v>
          </cell>
        </row>
        <row r="21">
          <cell r="F21"/>
          <cell r="J21"/>
          <cell r="N21"/>
          <cell r="R21"/>
          <cell r="V21"/>
          <cell r="Z21"/>
          <cell r="AD21"/>
          <cell r="AH21"/>
          <cell r="AL21"/>
          <cell r="AP21" t="str">
            <v>Да</v>
          </cell>
          <cell r="AT21" t="str">
            <v>Да</v>
          </cell>
          <cell r="AX21" t="str">
            <v>Да</v>
          </cell>
        </row>
        <row r="22">
          <cell r="F22"/>
          <cell r="J22"/>
          <cell r="N22"/>
          <cell r="R22"/>
          <cell r="V22"/>
          <cell r="Z22" t="str">
            <v>Да</v>
          </cell>
          <cell r="AD22" t="str">
            <v>Да</v>
          </cell>
          <cell r="AH22" t="str">
            <v>Да</v>
          </cell>
          <cell r="AL22" t="str">
            <v>Да</v>
          </cell>
          <cell r="AP22" t="str">
            <v>Да</v>
          </cell>
          <cell r="AT22" t="str">
            <v>Да</v>
          </cell>
          <cell r="AX22" t="str">
            <v>Да</v>
          </cell>
        </row>
        <row r="23">
          <cell r="F23" t="str">
            <v>Да</v>
          </cell>
          <cell r="J23" t="str">
            <v>Да</v>
          </cell>
          <cell r="N23" t="str">
            <v>Да</v>
          </cell>
          <cell r="R23" t="str">
            <v>Да</v>
          </cell>
          <cell r="V23" t="str">
            <v>Да</v>
          </cell>
          <cell r="Z23" t="str">
            <v>Да</v>
          </cell>
          <cell r="AD23" t="str">
            <v>Да</v>
          </cell>
          <cell r="AH23" t="str">
            <v>Да</v>
          </cell>
          <cell r="AL23" t="str">
            <v>Да</v>
          </cell>
          <cell r="AP23" t="str">
            <v>Да</v>
          </cell>
          <cell r="AT23" t="str">
            <v>Да</v>
          </cell>
          <cell r="AX23" t="str">
            <v>Да</v>
          </cell>
        </row>
        <row r="24">
          <cell r="F24" t="str">
            <v>Да</v>
          </cell>
          <cell r="J24" t="str">
            <v>Да</v>
          </cell>
          <cell r="N24" t="str">
            <v>Нет</v>
          </cell>
          <cell r="R24" t="str">
            <v>Да</v>
          </cell>
          <cell r="V24" t="str">
            <v>Да</v>
          </cell>
          <cell r="Z24" t="str">
            <v>Да</v>
          </cell>
          <cell r="AD24" t="str">
            <v>Да</v>
          </cell>
          <cell r="AH24" t="str">
            <v>Да</v>
          </cell>
          <cell r="AL24" t="str">
            <v>Да</v>
          </cell>
          <cell r="AP24" t="str">
            <v>Да</v>
          </cell>
          <cell r="AT24" t="str">
            <v>Да</v>
          </cell>
          <cell r="AX24" t="str">
            <v>Да</v>
          </cell>
        </row>
        <row r="25">
          <cell r="F25" t="str">
            <v>Да</v>
          </cell>
          <cell r="J25" t="str">
            <v>Да</v>
          </cell>
          <cell r="N25" t="str">
            <v>Да</v>
          </cell>
          <cell r="R25" t="str">
            <v>Да</v>
          </cell>
          <cell r="V25" t="str">
            <v>Да</v>
          </cell>
          <cell r="Z25" t="str">
            <v>Да</v>
          </cell>
          <cell r="AD25" t="str">
            <v>Да</v>
          </cell>
          <cell r="AH25" t="str">
            <v>Да</v>
          </cell>
          <cell r="AL25" t="str">
            <v>Да</v>
          </cell>
          <cell r="AP25" t="str">
            <v>Да</v>
          </cell>
          <cell r="AT25" t="str">
            <v>Да</v>
          </cell>
          <cell r="AX25" t="str">
            <v>Да</v>
          </cell>
        </row>
        <row r="26">
          <cell r="F26" t="str">
            <v>Да</v>
          </cell>
          <cell r="J26" t="str">
            <v>Да</v>
          </cell>
          <cell r="N26" t="str">
            <v>Да</v>
          </cell>
          <cell r="R26" t="str">
            <v>Да</v>
          </cell>
          <cell r="V26" t="str">
            <v>Да</v>
          </cell>
          <cell r="Z26" t="str">
            <v>Да</v>
          </cell>
          <cell r="AD26" t="str">
            <v>Да</v>
          </cell>
          <cell r="AH26" t="str">
            <v>Да</v>
          </cell>
          <cell r="AL26" t="str">
            <v>Да</v>
          </cell>
          <cell r="AP26" t="str">
            <v>Да</v>
          </cell>
          <cell r="AT26" t="str">
            <v>Да</v>
          </cell>
          <cell r="AX26" t="str">
            <v>Да</v>
          </cell>
        </row>
        <row r="27">
          <cell r="F27" t="str">
            <v>Да</v>
          </cell>
          <cell r="J27" t="str">
            <v>Да</v>
          </cell>
          <cell r="N27" t="str">
            <v>Да</v>
          </cell>
          <cell r="R27" t="str">
            <v>Да</v>
          </cell>
          <cell r="V27" t="str">
            <v>Да</v>
          </cell>
          <cell r="Z27" t="str">
            <v>Да</v>
          </cell>
          <cell r="AD27" t="str">
            <v>Да</v>
          </cell>
          <cell r="AH27" t="str">
            <v>Да</v>
          </cell>
          <cell r="AL27" t="str">
            <v>Да</v>
          </cell>
          <cell r="AP27" t="str">
            <v>Да</v>
          </cell>
          <cell r="AT27" t="str">
            <v>Да</v>
          </cell>
          <cell r="AX27" t="str">
            <v>Да</v>
          </cell>
        </row>
      </sheetData>
      <sheetData sheetId="23">
        <row r="3">
          <cell r="F3" t="str">
            <v>Да</v>
          </cell>
          <cell r="J3" t="str">
            <v>Да</v>
          </cell>
          <cell r="O3" t="str">
            <v>Да</v>
          </cell>
          <cell r="S3" t="str">
            <v>Да</v>
          </cell>
          <cell r="X3" t="str">
            <v>Да</v>
          </cell>
          <cell r="AC3" t="str">
            <v>Да</v>
          </cell>
          <cell r="AH3" t="str">
            <v>Да</v>
          </cell>
          <cell r="AM3" t="str">
            <v>Да</v>
          </cell>
          <cell r="AR3" t="str">
            <v>Да</v>
          </cell>
          <cell r="AW3" t="str">
            <v>Да</v>
          </cell>
          <cell r="BB3" t="str">
            <v>Да</v>
          </cell>
          <cell r="BF3" t="str">
            <v>Да</v>
          </cell>
        </row>
        <row r="4">
          <cell r="F4" t="str">
            <v>Да</v>
          </cell>
          <cell r="J4" t="str">
            <v>Да</v>
          </cell>
          <cell r="O4" t="str">
            <v>Да</v>
          </cell>
          <cell r="S4" t="str">
            <v>Да</v>
          </cell>
          <cell r="X4" t="str">
            <v>Да</v>
          </cell>
          <cell r="AC4" t="str">
            <v>Да</v>
          </cell>
          <cell r="AH4" t="str">
            <v>Да</v>
          </cell>
          <cell r="AM4" t="str">
            <v>Да</v>
          </cell>
          <cell r="AR4" t="str">
            <v>Да</v>
          </cell>
          <cell r="AW4" t="str">
            <v>Да</v>
          </cell>
          <cell r="BB4" t="str">
            <v>Да</v>
          </cell>
          <cell r="BF4" t="str">
            <v>Да</v>
          </cell>
        </row>
        <row r="5">
          <cell r="F5" t="str">
            <v>Да</v>
          </cell>
          <cell r="J5" t="str">
            <v>Да</v>
          </cell>
          <cell r="O5" t="str">
            <v>Да</v>
          </cell>
          <cell r="S5" t="str">
            <v>Да</v>
          </cell>
          <cell r="X5" t="str">
            <v>Да</v>
          </cell>
          <cell r="AC5" t="str">
            <v>Да</v>
          </cell>
          <cell r="AH5" t="str">
            <v>Да</v>
          </cell>
          <cell r="AM5" t="str">
            <v>Да</v>
          </cell>
          <cell r="AR5" t="str">
            <v>Да</v>
          </cell>
          <cell r="AW5" t="str">
            <v>Да</v>
          </cell>
          <cell r="BB5" t="str">
            <v>Да</v>
          </cell>
          <cell r="BF5" t="str">
            <v>Да</v>
          </cell>
        </row>
        <row r="6">
          <cell r="F6"/>
          <cell r="J6"/>
          <cell r="O6"/>
          <cell r="S6"/>
          <cell r="X6"/>
          <cell r="AC6"/>
          <cell r="AH6"/>
          <cell r="AM6"/>
          <cell r="AR6"/>
          <cell r="AW6"/>
          <cell r="BB6" t="str">
            <v>Да</v>
          </cell>
          <cell r="BF6" t="str">
            <v>Да</v>
          </cell>
        </row>
        <row r="7">
          <cell r="F7" t="str">
            <v>Да</v>
          </cell>
          <cell r="J7" t="str">
            <v>Да</v>
          </cell>
          <cell r="O7" t="str">
            <v>Да</v>
          </cell>
          <cell r="S7" t="str">
            <v>Да</v>
          </cell>
          <cell r="X7" t="str">
            <v>Да</v>
          </cell>
          <cell r="AC7" t="str">
            <v>Да</v>
          </cell>
          <cell r="AH7" t="str">
            <v>Да</v>
          </cell>
          <cell r="AM7" t="str">
            <v>Да</v>
          </cell>
          <cell r="AR7" t="str">
            <v>Да</v>
          </cell>
          <cell r="AW7" t="str">
            <v>Да</v>
          </cell>
          <cell r="BB7" t="str">
            <v>Да</v>
          </cell>
          <cell r="BF7" t="str">
            <v>Да</v>
          </cell>
        </row>
        <row r="8">
          <cell r="F8" t="str">
            <v>Да</v>
          </cell>
          <cell r="J8" t="str">
            <v>Да</v>
          </cell>
          <cell r="O8" t="str">
            <v>Да</v>
          </cell>
          <cell r="S8" t="str">
            <v>Да</v>
          </cell>
          <cell r="X8" t="str">
            <v>Да</v>
          </cell>
          <cell r="AC8" t="str">
            <v>Да</v>
          </cell>
          <cell r="AH8" t="str">
            <v>Да</v>
          </cell>
          <cell r="AM8" t="str">
            <v>Да</v>
          </cell>
          <cell r="AR8" t="str">
            <v>Да</v>
          </cell>
          <cell r="AW8" t="str">
            <v>Да</v>
          </cell>
          <cell r="BB8" t="str">
            <v>Да</v>
          </cell>
          <cell r="BF8" t="str">
            <v>Да</v>
          </cell>
        </row>
        <row r="9">
          <cell r="F9" t="str">
            <v>Да</v>
          </cell>
          <cell r="J9" t="str">
            <v>Да</v>
          </cell>
          <cell r="O9" t="str">
            <v>Да</v>
          </cell>
          <cell r="S9" t="str">
            <v>Да</v>
          </cell>
          <cell r="X9" t="str">
            <v>Да</v>
          </cell>
          <cell r="AC9" t="str">
            <v>Да</v>
          </cell>
          <cell r="AH9" t="str">
            <v>Да</v>
          </cell>
          <cell r="AM9" t="str">
            <v>Да</v>
          </cell>
          <cell r="AR9" t="str">
            <v>Да</v>
          </cell>
          <cell r="AW9" t="str">
            <v>Да</v>
          </cell>
          <cell r="BB9" t="str">
            <v>Да</v>
          </cell>
          <cell r="BF9" t="str">
            <v>Да</v>
          </cell>
        </row>
        <row r="10">
          <cell r="F10" t="str">
            <v>Да</v>
          </cell>
          <cell r="J10" t="str">
            <v>Да</v>
          </cell>
          <cell r="O10" t="str">
            <v>Да</v>
          </cell>
          <cell r="S10" t="str">
            <v>Да</v>
          </cell>
          <cell r="X10" t="str">
            <v>Да</v>
          </cell>
          <cell r="AC10" t="str">
            <v>Да</v>
          </cell>
          <cell r="AH10" t="str">
            <v>Да</v>
          </cell>
          <cell r="AM10" t="str">
            <v>Да</v>
          </cell>
          <cell r="AR10" t="str">
            <v>Да</v>
          </cell>
          <cell r="AW10" t="str">
            <v>Да</v>
          </cell>
          <cell r="BB10" t="str">
            <v>Да</v>
          </cell>
          <cell r="BF10" t="str">
            <v>Да</v>
          </cell>
        </row>
        <row r="11">
          <cell r="F11" t="str">
            <v>Да</v>
          </cell>
          <cell r="J11" t="str">
            <v>Да</v>
          </cell>
          <cell r="O11" t="str">
            <v>Да</v>
          </cell>
          <cell r="S11" t="str">
            <v>Да</v>
          </cell>
          <cell r="X11" t="str">
            <v>Да</v>
          </cell>
          <cell r="AC11" t="str">
            <v>Да</v>
          </cell>
          <cell r="AH11" t="str">
            <v>Да</v>
          </cell>
          <cell r="AM11" t="str">
            <v>Да</v>
          </cell>
          <cell r="AR11" t="str">
            <v>Да</v>
          </cell>
          <cell r="AW11" t="str">
            <v>Да</v>
          </cell>
          <cell r="BB11" t="str">
            <v>Да</v>
          </cell>
          <cell r="BF11" t="str">
            <v>Да</v>
          </cell>
        </row>
        <row r="12">
          <cell r="F12" t="str">
            <v>Да</v>
          </cell>
          <cell r="J12" t="str">
            <v>Да</v>
          </cell>
          <cell r="O12" t="str">
            <v>Да</v>
          </cell>
          <cell r="S12" t="str">
            <v>Да</v>
          </cell>
          <cell r="X12" t="str">
            <v>Да</v>
          </cell>
          <cell r="AC12" t="str">
            <v>Да</v>
          </cell>
          <cell r="AH12" t="str">
            <v>Да</v>
          </cell>
          <cell r="AM12" t="str">
            <v>Да</v>
          </cell>
          <cell r="AR12" t="str">
            <v>Да</v>
          </cell>
          <cell r="AW12" t="str">
            <v>Да</v>
          </cell>
          <cell r="BB12" t="str">
            <v>Да</v>
          </cell>
          <cell r="BF12" t="str">
            <v>Да</v>
          </cell>
        </row>
        <row r="13">
          <cell r="F13" t="str">
            <v>Да</v>
          </cell>
          <cell r="J13" t="str">
            <v>Да</v>
          </cell>
          <cell r="O13" t="str">
            <v>Да</v>
          </cell>
          <cell r="S13" t="str">
            <v>Да</v>
          </cell>
          <cell r="X13" t="str">
            <v>Да</v>
          </cell>
          <cell r="AC13" t="str">
            <v>Да</v>
          </cell>
          <cell r="AH13" t="str">
            <v>Да</v>
          </cell>
          <cell r="AM13" t="str">
            <v>Да</v>
          </cell>
          <cell r="AR13" t="str">
            <v>Да</v>
          </cell>
          <cell r="AW13" t="str">
            <v>Да</v>
          </cell>
          <cell r="BB13" t="str">
            <v>Да</v>
          </cell>
          <cell r="BF13" t="str">
            <v>Да</v>
          </cell>
        </row>
        <row r="14">
          <cell r="F14" t="str">
            <v>Да</v>
          </cell>
          <cell r="J14" t="str">
            <v>Да</v>
          </cell>
          <cell r="O14" t="str">
            <v>Да</v>
          </cell>
          <cell r="S14" t="str">
            <v>Да</v>
          </cell>
          <cell r="X14" t="str">
            <v>Да</v>
          </cell>
          <cell r="AC14" t="str">
            <v>Да</v>
          </cell>
          <cell r="AH14" t="str">
            <v>Да</v>
          </cell>
          <cell r="AM14" t="str">
            <v>Да</v>
          </cell>
          <cell r="AR14" t="str">
            <v>Да</v>
          </cell>
          <cell r="AW14" t="str">
            <v>Да</v>
          </cell>
          <cell r="BB14" t="str">
            <v>Да</v>
          </cell>
          <cell r="BF14" t="str">
            <v>Да</v>
          </cell>
        </row>
        <row r="15">
          <cell r="F15" t="str">
            <v>Да</v>
          </cell>
          <cell r="J15" t="str">
            <v>Да</v>
          </cell>
          <cell r="O15" t="str">
            <v>Да</v>
          </cell>
          <cell r="S15" t="str">
            <v>Да</v>
          </cell>
          <cell r="X15" t="str">
            <v>Да</v>
          </cell>
          <cell r="AC15" t="str">
            <v>Да</v>
          </cell>
          <cell r="AH15" t="str">
            <v>Да</v>
          </cell>
          <cell r="AM15" t="str">
            <v>Да</v>
          </cell>
          <cell r="AR15" t="str">
            <v>Да</v>
          </cell>
          <cell r="AW15" t="str">
            <v>Да</v>
          </cell>
          <cell r="BB15" t="str">
            <v>Да</v>
          </cell>
          <cell r="BF15" t="str">
            <v>Да</v>
          </cell>
        </row>
        <row r="16">
          <cell r="F16" t="str">
            <v>Да</v>
          </cell>
          <cell r="J16" t="str">
            <v>Да</v>
          </cell>
          <cell r="O16" t="str">
            <v>Да</v>
          </cell>
          <cell r="S16" t="str">
            <v>Да</v>
          </cell>
          <cell r="X16" t="str">
            <v>Да</v>
          </cell>
          <cell r="AC16" t="str">
            <v>Да</v>
          </cell>
          <cell r="AH16" t="str">
            <v>Да</v>
          </cell>
          <cell r="AM16" t="str">
            <v>Да</v>
          </cell>
          <cell r="AR16" t="str">
            <v>Нет</v>
          </cell>
          <cell r="AW16" t="str">
            <v>Нет</v>
          </cell>
          <cell r="BB16" t="str">
            <v>Нет</v>
          </cell>
          <cell r="BF16" t="str">
            <v>Нет</v>
          </cell>
        </row>
        <row r="17">
          <cell r="F17"/>
          <cell r="J17"/>
          <cell r="O17" t="str">
            <v>Нет</v>
          </cell>
          <cell r="S17" t="str">
            <v>Да</v>
          </cell>
          <cell r="X17" t="str">
            <v>Да</v>
          </cell>
          <cell r="AC17" t="str">
            <v>Да</v>
          </cell>
          <cell r="AH17" t="str">
            <v>Да</v>
          </cell>
          <cell r="AM17" t="str">
            <v>Да</v>
          </cell>
          <cell r="AR17" t="str">
            <v>Да</v>
          </cell>
          <cell r="AW17" t="str">
            <v>Да</v>
          </cell>
          <cell r="BB17" t="str">
            <v>Да</v>
          </cell>
          <cell r="BF17" t="str">
            <v>Да</v>
          </cell>
        </row>
        <row r="18">
          <cell r="F18" t="str">
            <v>Да</v>
          </cell>
          <cell r="J18" t="str">
            <v>Да</v>
          </cell>
          <cell r="O18" t="str">
            <v>Да</v>
          </cell>
          <cell r="S18" t="str">
            <v>Да</v>
          </cell>
          <cell r="X18" t="str">
            <v>Да</v>
          </cell>
          <cell r="AC18" t="str">
            <v>Да</v>
          </cell>
          <cell r="AH18" t="str">
            <v>Да</v>
          </cell>
          <cell r="AM18" t="str">
            <v>Да</v>
          </cell>
          <cell r="AR18" t="str">
            <v>Да</v>
          </cell>
          <cell r="AW18" t="str">
            <v>Да</v>
          </cell>
          <cell r="BB18" t="str">
            <v>Да</v>
          </cell>
          <cell r="BF18" t="str">
            <v>Да</v>
          </cell>
        </row>
        <row r="19">
          <cell r="F19" t="str">
            <v>Да</v>
          </cell>
          <cell r="J19" t="str">
            <v>Да</v>
          </cell>
          <cell r="O19" t="str">
            <v>Да</v>
          </cell>
          <cell r="S19" t="str">
            <v>Да</v>
          </cell>
          <cell r="X19" t="str">
            <v>Да</v>
          </cell>
          <cell r="AC19" t="str">
            <v>Да</v>
          </cell>
          <cell r="AH19" t="str">
            <v>Нет</v>
          </cell>
          <cell r="AM19" t="str">
            <v>Нет</v>
          </cell>
          <cell r="AR19" t="str">
            <v>Нет</v>
          </cell>
          <cell r="AW19" t="str">
            <v>Нет</v>
          </cell>
          <cell r="BB19" t="str">
            <v>Нет</v>
          </cell>
          <cell r="BF19" t="str">
            <v>Нет</v>
          </cell>
        </row>
        <row r="20">
          <cell r="F20" t="str">
            <v>Да</v>
          </cell>
          <cell r="J20" t="str">
            <v>Да</v>
          </cell>
          <cell r="O20" t="str">
            <v>Да</v>
          </cell>
          <cell r="S20" t="str">
            <v>Да</v>
          </cell>
          <cell r="X20" t="str">
            <v>Да</v>
          </cell>
          <cell r="AC20" t="str">
            <v>Да</v>
          </cell>
          <cell r="AH20" t="str">
            <v>Да</v>
          </cell>
          <cell r="AM20" t="str">
            <v>Нет</v>
          </cell>
          <cell r="AR20" t="str">
            <v>Да</v>
          </cell>
          <cell r="AW20" t="str">
            <v>Да</v>
          </cell>
          <cell r="BB20" t="str">
            <v>Да</v>
          </cell>
          <cell r="BF20" t="str">
            <v>Да</v>
          </cell>
        </row>
        <row r="21">
          <cell r="F21"/>
          <cell r="J21"/>
          <cell r="O21"/>
          <cell r="S21"/>
          <cell r="X21"/>
          <cell r="AC21"/>
          <cell r="AH21"/>
          <cell r="AM21"/>
          <cell r="AR21"/>
          <cell r="AW21"/>
          <cell r="BB21" t="str">
            <v>Да</v>
          </cell>
          <cell r="BF21" t="str">
            <v>Да</v>
          </cell>
        </row>
        <row r="22">
          <cell r="F22"/>
          <cell r="J22"/>
          <cell r="O22"/>
          <cell r="S22"/>
          <cell r="X22"/>
          <cell r="AC22"/>
          <cell r="AH22"/>
          <cell r="AM22" t="str">
            <v>Да</v>
          </cell>
          <cell r="AR22" t="str">
            <v>Да</v>
          </cell>
          <cell r="AW22" t="str">
            <v>Да</v>
          </cell>
          <cell r="BB22" t="str">
            <v>Да</v>
          </cell>
          <cell r="BF22" t="str">
            <v>Да</v>
          </cell>
        </row>
        <row r="23">
          <cell r="F23" t="str">
            <v>Да</v>
          </cell>
          <cell r="J23" t="str">
            <v>Да</v>
          </cell>
          <cell r="O23" t="str">
            <v>Да</v>
          </cell>
          <cell r="S23" t="str">
            <v>Да</v>
          </cell>
          <cell r="X23" t="str">
            <v>Да</v>
          </cell>
          <cell r="AC23" t="str">
            <v>Да</v>
          </cell>
          <cell r="AH23" t="str">
            <v>Да</v>
          </cell>
          <cell r="AM23" t="str">
            <v>Да</v>
          </cell>
          <cell r="AR23" t="str">
            <v>Да</v>
          </cell>
          <cell r="AW23" t="str">
            <v>Да</v>
          </cell>
          <cell r="BB23" t="str">
            <v>Да</v>
          </cell>
          <cell r="BF23" t="str">
            <v>Да</v>
          </cell>
        </row>
        <row r="24">
          <cell r="F24" t="str">
            <v>Да</v>
          </cell>
          <cell r="J24" t="str">
            <v>Да</v>
          </cell>
          <cell r="O24" t="str">
            <v>Да</v>
          </cell>
          <cell r="S24" t="str">
            <v>Да</v>
          </cell>
          <cell r="X24" t="str">
            <v>Да</v>
          </cell>
          <cell r="AC24" t="str">
            <v>Да</v>
          </cell>
          <cell r="AH24" t="str">
            <v>Да</v>
          </cell>
          <cell r="AM24" t="str">
            <v>Да</v>
          </cell>
          <cell r="AR24" t="str">
            <v>Да</v>
          </cell>
          <cell r="AW24" t="str">
            <v>Да</v>
          </cell>
          <cell r="BB24" t="str">
            <v>Да</v>
          </cell>
          <cell r="BF24" t="str">
            <v>Да</v>
          </cell>
        </row>
        <row r="25">
          <cell r="F25" t="str">
            <v>Да</v>
          </cell>
          <cell r="J25" t="str">
            <v>Да</v>
          </cell>
          <cell r="O25" t="str">
            <v>Да</v>
          </cell>
          <cell r="S25" t="str">
            <v>Да</v>
          </cell>
          <cell r="X25" t="str">
            <v>Да</v>
          </cell>
          <cell r="AC25" t="str">
            <v>Да</v>
          </cell>
          <cell r="AH25" t="str">
            <v>Да</v>
          </cell>
          <cell r="AM25" t="str">
            <v>Да</v>
          </cell>
          <cell r="AR25" t="str">
            <v>Да</v>
          </cell>
          <cell r="AW25" t="str">
            <v>Да</v>
          </cell>
          <cell r="BB25" t="str">
            <v>Да</v>
          </cell>
          <cell r="BF25" t="str">
            <v>Да</v>
          </cell>
        </row>
      </sheetData>
      <sheetData sheetId="24">
        <row r="3">
          <cell r="F3" t="str">
            <v>Да</v>
          </cell>
          <cell r="J3" t="str">
            <v>Да</v>
          </cell>
          <cell r="N3" t="str">
            <v>Да</v>
          </cell>
          <cell r="R3" t="str">
            <v>Да</v>
          </cell>
          <cell r="V3" t="str">
            <v>Да</v>
          </cell>
          <cell r="Z3" t="str">
            <v>Да</v>
          </cell>
          <cell r="AD3" t="str">
            <v>Да</v>
          </cell>
          <cell r="AH3" t="str">
            <v>Да</v>
          </cell>
          <cell r="AL3" t="str">
            <v>Да</v>
          </cell>
          <cell r="AP3" t="str">
            <v>Да</v>
          </cell>
          <cell r="AT3" t="str">
            <v>Да</v>
          </cell>
          <cell r="AW3" t="str">
            <v>Да</v>
          </cell>
        </row>
        <row r="4">
          <cell r="F4" t="str">
            <v>Да</v>
          </cell>
          <cell r="J4" t="str">
            <v>Да</v>
          </cell>
          <cell r="N4" t="str">
            <v>Да</v>
          </cell>
          <cell r="R4" t="str">
            <v>Да</v>
          </cell>
          <cell r="V4" t="str">
            <v>Да</v>
          </cell>
          <cell r="Z4" t="str">
            <v>Да</v>
          </cell>
          <cell r="AD4" t="str">
            <v>Да</v>
          </cell>
          <cell r="AH4" t="str">
            <v>Да</v>
          </cell>
          <cell r="AL4" t="str">
            <v>Да</v>
          </cell>
          <cell r="AP4" t="str">
            <v>Да</v>
          </cell>
          <cell r="AT4" t="str">
            <v>Да</v>
          </cell>
          <cell r="AW4" t="str">
            <v>Да</v>
          </cell>
        </row>
        <row r="5">
          <cell r="F5" t="str">
            <v>Нет</v>
          </cell>
          <cell r="J5" t="str">
            <v>Да</v>
          </cell>
          <cell r="N5" t="str">
            <v>Да</v>
          </cell>
          <cell r="R5" t="str">
            <v>Да</v>
          </cell>
          <cell r="V5" t="str">
            <v>Да</v>
          </cell>
          <cell r="Z5" t="str">
            <v>Да</v>
          </cell>
          <cell r="AD5" t="str">
            <v>Нет</v>
          </cell>
          <cell r="AH5" t="str">
            <v>Да</v>
          </cell>
          <cell r="AL5" t="str">
            <v>Да</v>
          </cell>
          <cell r="AP5" t="str">
            <v>Да</v>
          </cell>
          <cell r="AT5" t="str">
            <v>Да</v>
          </cell>
          <cell r="AW5" t="str">
            <v>Да</v>
          </cell>
        </row>
        <row r="6">
          <cell r="F6"/>
          <cell r="J6"/>
          <cell r="N6"/>
          <cell r="R6"/>
          <cell r="V6"/>
          <cell r="Z6"/>
          <cell r="AD6"/>
          <cell r="AH6"/>
          <cell r="AL6"/>
          <cell r="AP6"/>
          <cell r="AT6"/>
          <cell r="AW6" t="str">
            <v>Да</v>
          </cell>
        </row>
        <row r="7">
          <cell r="F7" t="str">
            <v>Да</v>
          </cell>
          <cell r="J7" t="str">
            <v>Да</v>
          </cell>
          <cell r="N7" t="str">
            <v>Да</v>
          </cell>
          <cell r="R7" t="str">
            <v>Да</v>
          </cell>
          <cell r="V7" t="str">
            <v>Да</v>
          </cell>
          <cell r="Z7" t="str">
            <v>Да</v>
          </cell>
          <cell r="AD7" t="str">
            <v>Да</v>
          </cell>
          <cell r="AH7" t="str">
            <v>Да</v>
          </cell>
          <cell r="AL7" t="str">
            <v>Да</v>
          </cell>
          <cell r="AP7" t="str">
            <v>Да</v>
          </cell>
          <cell r="AT7" t="str">
            <v>Да</v>
          </cell>
          <cell r="AW7" t="str">
            <v>Да</v>
          </cell>
        </row>
        <row r="8">
          <cell r="F8" t="str">
            <v>Да</v>
          </cell>
          <cell r="J8" t="str">
            <v>Да</v>
          </cell>
          <cell r="N8" t="str">
            <v>Да</v>
          </cell>
          <cell r="R8" t="str">
            <v>Да</v>
          </cell>
          <cell r="V8" t="str">
            <v>Да</v>
          </cell>
          <cell r="Z8" t="str">
            <v>Да</v>
          </cell>
          <cell r="AD8" t="str">
            <v>Да</v>
          </cell>
          <cell r="AH8" t="str">
            <v>Да</v>
          </cell>
          <cell r="AL8" t="str">
            <v>Да</v>
          </cell>
          <cell r="AP8" t="str">
            <v>Да</v>
          </cell>
          <cell r="AT8" t="str">
            <v>Да</v>
          </cell>
          <cell r="AW8" t="str">
            <v>Да</v>
          </cell>
        </row>
        <row r="9">
          <cell r="F9" t="str">
            <v>Да</v>
          </cell>
          <cell r="J9" t="str">
            <v>Да</v>
          </cell>
          <cell r="N9" t="str">
            <v>Да</v>
          </cell>
          <cell r="R9" t="str">
            <v>Да</v>
          </cell>
          <cell r="V9" t="str">
            <v>Да</v>
          </cell>
          <cell r="Z9" t="str">
            <v>Да</v>
          </cell>
          <cell r="AD9" t="str">
            <v>Да</v>
          </cell>
          <cell r="AH9" t="str">
            <v>Да</v>
          </cell>
          <cell r="AL9" t="str">
            <v>Да</v>
          </cell>
          <cell r="AP9" t="str">
            <v>Да</v>
          </cell>
          <cell r="AT9" t="str">
            <v>Да</v>
          </cell>
          <cell r="AW9" t="str">
            <v>Да</v>
          </cell>
        </row>
        <row r="10">
          <cell r="F10" t="str">
            <v>Нет</v>
          </cell>
          <cell r="J10" t="str">
            <v>Нет</v>
          </cell>
          <cell r="N10" t="str">
            <v>Нет</v>
          </cell>
          <cell r="R10" t="str">
            <v>Нет</v>
          </cell>
          <cell r="V10" t="str">
            <v>Нет</v>
          </cell>
          <cell r="Z10" t="str">
            <v>Нет</v>
          </cell>
          <cell r="AD10" t="str">
            <v>Нет</v>
          </cell>
          <cell r="AH10" t="str">
            <v>Нет</v>
          </cell>
          <cell r="AL10" t="str">
            <v>Нет</v>
          </cell>
          <cell r="AP10" t="str">
            <v>Нет</v>
          </cell>
          <cell r="AT10" t="str">
            <v>Нет</v>
          </cell>
          <cell r="AW10" t="str">
            <v>Нет</v>
          </cell>
        </row>
        <row r="11">
          <cell r="F11" t="str">
            <v>Да</v>
          </cell>
          <cell r="J11" t="str">
            <v>Да</v>
          </cell>
          <cell r="N11" t="str">
            <v>Да</v>
          </cell>
          <cell r="R11" t="str">
            <v>Да</v>
          </cell>
          <cell r="V11" t="str">
            <v>Да</v>
          </cell>
          <cell r="Z11" t="str">
            <v>Да</v>
          </cell>
          <cell r="AD11" t="str">
            <v>Да</v>
          </cell>
          <cell r="AH11" t="str">
            <v>Да</v>
          </cell>
          <cell r="AL11" t="str">
            <v>Да</v>
          </cell>
          <cell r="AP11" t="str">
            <v>Да</v>
          </cell>
          <cell r="AT11" t="str">
            <v>Да</v>
          </cell>
          <cell r="AW11" t="str">
            <v>Да</v>
          </cell>
        </row>
        <row r="12">
          <cell r="F12" t="str">
            <v>Да</v>
          </cell>
          <cell r="J12" t="str">
            <v>Да</v>
          </cell>
          <cell r="N12" t="str">
            <v>Да</v>
          </cell>
          <cell r="R12" t="str">
            <v>Да</v>
          </cell>
          <cell r="V12" t="str">
            <v>Да</v>
          </cell>
          <cell r="Z12" t="str">
            <v>Да</v>
          </cell>
          <cell r="AD12" t="str">
            <v>Да</v>
          </cell>
          <cell r="AH12" t="str">
            <v>Да</v>
          </cell>
          <cell r="AL12" t="str">
            <v>Да</v>
          </cell>
          <cell r="AP12" t="str">
            <v>Да</v>
          </cell>
          <cell r="AT12" t="str">
            <v>Да</v>
          </cell>
          <cell r="AW12" t="str">
            <v>Да</v>
          </cell>
        </row>
        <row r="13">
          <cell r="F13" t="str">
            <v>Да</v>
          </cell>
          <cell r="J13" t="str">
            <v>Да</v>
          </cell>
          <cell r="N13" t="str">
            <v>Да</v>
          </cell>
          <cell r="R13" t="str">
            <v>Да</v>
          </cell>
          <cell r="V13" t="str">
            <v>Да</v>
          </cell>
          <cell r="Z13" t="str">
            <v>Да</v>
          </cell>
          <cell r="AD13" t="str">
            <v>Да</v>
          </cell>
          <cell r="AH13" t="str">
            <v>Да</v>
          </cell>
          <cell r="AL13" t="str">
            <v>Да</v>
          </cell>
          <cell r="AP13" t="str">
            <v>Да</v>
          </cell>
          <cell r="AT13" t="str">
            <v>Да</v>
          </cell>
          <cell r="AW13" t="str">
            <v>Да</v>
          </cell>
        </row>
        <row r="14">
          <cell r="F14"/>
          <cell r="J14"/>
          <cell r="N14"/>
          <cell r="R14"/>
          <cell r="V14"/>
          <cell r="Z14"/>
          <cell r="AD14"/>
          <cell r="AH14"/>
          <cell r="AL14"/>
          <cell r="AP14"/>
          <cell r="AT14"/>
          <cell r="AW14" t="str">
            <v>Да</v>
          </cell>
        </row>
        <row r="15">
          <cell r="F15" t="str">
            <v>Да</v>
          </cell>
          <cell r="J15" t="str">
            <v>Да</v>
          </cell>
          <cell r="N15" t="str">
            <v>Да</v>
          </cell>
          <cell r="R15" t="str">
            <v>Да</v>
          </cell>
          <cell r="V15" t="str">
            <v>Да</v>
          </cell>
          <cell r="Z15" t="str">
            <v>Да</v>
          </cell>
          <cell r="AD15" t="str">
            <v>Нет</v>
          </cell>
          <cell r="AH15" t="str">
            <v>Да</v>
          </cell>
          <cell r="AL15" t="str">
            <v>Да</v>
          </cell>
          <cell r="AP15" t="str">
            <v>Да</v>
          </cell>
          <cell r="AT15" t="str">
            <v>Да</v>
          </cell>
          <cell r="AW15" t="str">
            <v>Да</v>
          </cell>
        </row>
        <row r="16">
          <cell r="F16"/>
          <cell r="J16"/>
          <cell r="N16"/>
          <cell r="R16"/>
          <cell r="V16"/>
          <cell r="Z16" t="str">
            <v>Да</v>
          </cell>
          <cell r="AD16" t="str">
            <v>Да</v>
          </cell>
          <cell r="AH16" t="str">
            <v>Да</v>
          </cell>
          <cell r="AL16" t="str">
            <v>Да</v>
          </cell>
          <cell r="AP16" t="str">
            <v>Да</v>
          </cell>
          <cell r="AT16" t="str">
            <v>Да</v>
          </cell>
          <cell r="AW16" t="str">
            <v>Да</v>
          </cell>
        </row>
        <row r="17">
          <cell r="F17" t="str">
            <v>Да</v>
          </cell>
          <cell r="J17" t="str">
            <v>Да</v>
          </cell>
          <cell r="N17" t="str">
            <v>Да</v>
          </cell>
          <cell r="R17" t="str">
            <v>Да</v>
          </cell>
          <cell r="V17" t="str">
            <v>Да</v>
          </cell>
          <cell r="Z17" t="str">
            <v>Да</v>
          </cell>
          <cell r="AD17" t="str">
            <v>Да</v>
          </cell>
          <cell r="AH17" t="str">
            <v>Да</v>
          </cell>
          <cell r="AL17" t="str">
            <v>Да</v>
          </cell>
          <cell r="AP17" t="str">
            <v>Да</v>
          </cell>
          <cell r="AT17" t="str">
            <v>Да</v>
          </cell>
          <cell r="AW17" t="str">
            <v>Да</v>
          </cell>
        </row>
        <row r="18">
          <cell r="F18"/>
          <cell r="J18" t="str">
            <v>Да</v>
          </cell>
          <cell r="N18" t="str">
            <v>Да</v>
          </cell>
          <cell r="R18" t="str">
            <v>Да</v>
          </cell>
          <cell r="V18" t="str">
            <v>Да</v>
          </cell>
          <cell r="Z18" t="str">
            <v>Да</v>
          </cell>
          <cell r="AD18" t="str">
            <v>Нет</v>
          </cell>
          <cell r="AH18" t="str">
            <v>Нет</v>
          </cell>
          <cell r="AL18" t="str">
            <v>Нет</v>
          </cell>
          <cell r="AP18" t="str">
            <v>Нет</v>
          </cell>
          <cell r="AT18" t="str">
            <v>Нет</v>
          </cell>
          <cell r="AW18" t="str">
            <v>Нет</v>
          </cell>
        </row>
        <row r="19">
          <cell r="F19" t="str">
            <v>Да</v>
          </cell>
          <cell r="J19" t="str">
            <v>Да</v>
          </cell>
          <cell r="N19" t="str">
            <v>Да</v>
          </cell>
          <cell r="R19" t="str">
            <v>Да</v>
          </cell>
          <cell r="V19" t="str">
            <v>Да</v>
          </cell>
          <cell r="Z19" t="str">
            <v>Да</v>
          </cell>
          <cell r="AD19" t="str">
            <v>Да</v>
          </cell>
          <cell r="AH19" t="str">
            <v>Да</v>
          </cell>
          <cell r="AL19" t="str">
            <v>Да</v>
          </cell>
          <cell r="AP19" t="str">
            <v>Да</v>
          </cell>
          <cell r="AT19" t="str">
            <v>Да</v>
          </cell>
          <cell r="AW19" t="str">
            <v>Да</v>
          </cell>
        </row>
        <row r="20">
          <cell r="F20" t="str">
            <v>Да</v>
          </cell>
          <cell r="J20" t="str">
            <v>Да</v>
          </cell>
          <cell r="N20" t="str">
            <v>Да</v>
          </cell>
          <cell r="R20" t="str">
            <v>Да</v>
          </cell>
          <cell r="V20" t="str">
            <v>Да</v>
          </cell>
          <cell r="Z20" t="str">
            <v>Да</v>
          </cell>
          <cell r="AD20" t="str">
            <v>Да</v>
          </cell>
          <cell r="AH20" t="str">
            <v>Да</v>
          </cell>
          <cell r="AL20" t="str">
            <v>Да</v>
          </cell>
          <cell r="AP20" t="str">
            <v>Да</v>
          </cell>
          <cell r="AT20" t="str">
            <v>Да</v>
          </cell>
          <cell r="AW20" t="str">
            <v>Да</v>
          </cell>
        </row>
        <row r="21">
          <cell r="F21" t="str">
            <v>Да</v>
          </cell>
          <cell r="J21" t="str">
            <v>Да</v>
          </cell>
          <cell r="N21" t="str">
            <v>Да</v>
          </cell>
          <cell r="R21" t="str">
            <v>Да</v>
          </cell>
          <cell r="V21" t="str">
            <v>Да</v>
          </cell>
          <cell r="Z21" t="str">
            <v>Да</v>
          </cell>
          <cell r="AD21" t="str">
            <v>Нет</v>
          </cell>
          <cell r="AH21" t="str">
            <v>Да</v>
          </cell>
          <cell r="AL21" t="str">
            <v>Да</v>
          </cell>
          <cell r="AP21" t="str">
            <v>Да</v>
          </cell>
          <cell r="AT21" t="str">
            <v>Да</v>
          </cell>
          <cell r="AW21" t="str">
            <v>Да</v>
          </cell>
        </row>
        <row r="22">
          <cell r="F22" t="str">
            <v>Да</v>
          </cell>
          <cell r="J22" t="str">
            <v>Да</v>
          </cell>
          <cell r="N22" t="str">
            <v>Да</v>
          </cell>
          <cell r="R22" t="str">
            <v>Да</v>
          </cell>
          <cell r="V22" t="str">
            <v>Да</v>
          </cell>
          <cell r="Z22" t="str">
            <v>Да</v>
          </cell>
          <cell r="AD22" t="str">
            <v>Да</v>
          </cell>
          <cell r="AH22" t="str">
            <v>Да</v>
          </cell>
          <cell r="AL22" t="str">
            <v>Да</v>
          </cell>
          <cell r="AP22" t="str">
            <v>Да</v>
          </cell>
          <cell r="AT22" t="str">
            <v>Да</v>
          </cell>
          <cell r="AW22" t="str">
            <v>Да</v>
          </cell>
        </row>
        <row r="23">
          <cell r="F23" t="str">
            <v>Да</v>
          </cell>
          <cell r="J23" t="str">
            <v>Да</v>
          </cell>
          <cell r="N23" t="str">
            <v>Да</v>
          </cell>
          <cell r="R23" t="str">
            <v>Да</v>
          </cell>
          <cell r="V23" t="str">
            <v>Да</v>
          </cell>
          <cell r="Z23" t="str">
            <v>Да</v>
          </cell>
          <cell r="AD23" t="str">
            <v>Да</v>
          </cell>
          <cell r="AH23" t="str">
            <v>Да</v>
          </cell>
          <cell r="AL23" t="str">
            <v>Да</v>
          </cell>
          <cell r="AP23" t="str">
            <v>Да</v>
          </cell>
          <cell r="AT23" t="str">
            <v>Да</v>
          </cell>
          <cell r="AW23" t="str">
            <v>Да</v>
          </cell>
        </row>
        <row r="24">
          <cell r="F24" t="str">
            <v>Да</v>
          </cell>
          <cell r="J24" t="str">
            <v>Да</v>
          </cell>
          <cell r="N24" t="str">
            <v>Да</v>
          </cell>
          <cell r="R24" t="str">
            <v>Да</v>
          </cell>
          <cell r="V24" t="str">
            <v>Да</v>
          </cell>
          <cell r="Z24" t="str">
            <v>Да</v>
          </cell>
          <cell r="AD24" t="str">
            <v>Да</v>
          </cell>
          <cell r="AH24" t="str">
            <v>Да</v>
          </cell>
          <cell r="AL24" t="str">
            <v>Да</v>
          </cell>
          <cell r="AP24" t="str">
            <v>Да</v>
          </cell>
          <cell r="AT24" t="str">
            <v>Да</v>
          </cell>
          <cell r="AW24" t="str">
            <v>Да</v>
          </cell>
        </row>
        <row r="25">
          <cell r="F25" t="str">
            <v>Да</v>
          </cell>
          <cell r="J25" t="str">
            <v>Да</v>
          </cell>
          <cell r="N25" t="str">
            <v>Да</v>
          </cell>
          <cell r="R25" t="str">
            <v>Да</v>
          </cell>
          <cell r="V25" t="str">
            <v>Да</v>
          </cell>
          <cell r="Z25" t="str">
            <v>Да</v>
          </cell>
          <cell r="AD25" t="str">
            <v>Нет</v>
          </cell>
          <cell r="AH25" t="str">
            <v>Нет</v>
          </cell>
          <cell r="AL25" t="str">
            <v>Нет</v>
          </cell>
          <cell r="AP25" t="str">
            <v>Нет</v>
          </cell>
          <cell r="AT25" t="str">
            <v>Нет</v>
          </cell>
          <cell r="AW25" t="str">
            <v>Нет</v>
          </cell>
        </row>
        <row r="26">
          <cell r="F26" t="str">
            <v>Да</v>
          </cell>
          <cell r="J26" t="str">
            <v>Да</v>
          </cell>
          <cell r="N26" t="str">
            <v>Да</v>
          </cell>
          <cell r="R26" t="str">
            <v>Да</v>
          </cell>
          <cell r="V26" t="str">
            <v>Да</v>
          </cell>
          <cell r="Z26" t="str">
            <v>Да</v>
          </cell>
          <cell r="AD26" t="str">
            <v>Да</v>
          </cell>
          <cell r="AH26" t="str">
            <v>Да</v>
          </cell>
          <cell r="AL26" t="str">
            <v>Да</v>
          </cell>
          <cell r="AP26" t="str">
            <v>Да</v>
          </cell>
          <cell r="AT26" t="str">
            <v>Да</v>
          </cell>
          <cell r="AW26" t="str">
            <v>Да</v>
          </cell>
        </row>
        <row r="27">
          <cell r="F27" t="str">
            <v>Да</v>
          </cell>
          <cell r="J27" t="str">
            <v>Да</v>
          </cell>
          <cell r="N27" t="str">
            <v>Да</v>
          </cell>
          <cell r="R27" t="str">
            <v>Да</v>
          </cell>
          <cell r="V27" t="str">
            <v>Да</v>
          </cell>
          <cell r="Z27" t="str">
            <v>Да</v>
          </cell>
          <cell r="AD27" t="str">
            <v>Да</v>
          </cell>
          <cell r="AH27" t="str">
            <v>Да</v>
          </cell>
          <cell r="AL27" t="str">
            <v>Да</v>
          </cell>
          <cell r="AP27" t="str">
            <v>Да</v>
          </cell>
          <cell r="AT27" t="str">
            <v>Да</v>
          </cell>
          <cell r="AW27" t="str">
            <v>Да</v>
          </cell>
        </row>
        <row r="28">
          <cell r="F28"/>
          <cell r="J28"/>
          <cell r="N28"/>
          <cell r="R28"/>
          <cell r="V28"/>
          <cell r="Z28"/>
          <cell r="AD28"/>
          <cell r="AH28" t="str">
            <v>Да</v>
          </cell>
          <cell r="AL28" t="str">
            <v>Да</v>
          </cell>
          <cell r="AP28" t="str">
            <v>Да</v>
          </cell>
          <cell r="AT28" t="str">
            <v>Да</v>
          </cell>
          <cell r="AW28" t="str">
            <v>Да</v>
          </cell>
        </row>
        <row r="29">
          <cell r="F29"/>
          <cell r="J29"/>
          <cell r="N29"/>
          <cell r="R29"/>
          <cell r="V29"/>
          <cell r="Z29"/>
          <cell r="AD29"/>
          <cell r="AH29"/>
          <cell r="AL29" t="str">
            <v>Да</v>
          </cell>
          <cell r="AP29" t="str">
            <v>Да</v>
          </cell>
          <cell r="AT29" t="str">
            <v>Нет</v>
          </cell>
          <cell r="AW29" t="str">
            <v>Нет</v>
          </cell>
        </row>
        <row r="30">
          <cell r="F30" t="str">
            <v>Да</v>
          </cell>
          <cell r="J30" t="str">
            <v>Да</v>
          </cell>
          <cell r="N30" t="str">
            <v>Да</v>
          </cell>
          <cell r="R30" t="str">
            <v>Да</v>
          </cell>
          <cell r="V30" t="str">
            <v>Да</v>
          </cell>
          <cell r="Z30" t="str">
            <v>Да</v>
          </cell>
          <cell r="AD30" t="str">
            <v>Да</v>
          </cell>
          <cell r="AH30" t="str">
            <v>Да</v>
          </cell>
          <cell r="AL30" t="str">
            <v>Да</v>
          </cell>
          <cell r="AP30" t="str">
            <v>Да</v>
          </cell>
          <cell r="AT30" t="str">
            <v>Да</v>
          </cell>
          <cell r="AW30" t="str">
            <v>Да</v>
          </cell>
        </row>
        <row r="31">
          <cell r="F31" t="str">
            <v>Да</v>
          </cell>
          <cell r="J31" t="str">
            <v>Да</v>
          </cell>
          <cell r="N31" t="str">
            <v>Да</v>
          </cell>
          <cell r="R31" t="str">
            <v>Да</v>
          </cell>
          <cell r="V31" t="str">
            <v>Да</v>
          </cell>
          <cell r="Z31" t="str">
            <v>Да</v>
          </cell>
          <cell r="AD31" t="str">
            <v>Да</v>
          </cell>
          <cell r="AH31" t="str">
            <v>Да</v>
          </cell>
          <cell r="AL31" t="str">
            <v>Нет</v>
          </cell>
          <cell r="AP31" t="str">
            <v>Да</v>
          </cell>
          <cell r="AT31" t="str">
            <v>Да</v>
          </cell>
          <cell r="AW31" t="str">
            <v>Нет</v>
          </cell>
        </row>
        <row r="32">
          <cell r="F32" t="str">
            <v>Да</v>
          </cell>
          <cell r="J32" t="str">
            <v>Да</v>
          </cell>
          <cell r="N32" t="str">
            <v>Да</v>
          </cell>
          <cell r="R32" t="str">
            <v>Да</v>
          </cell>
          <cell r="V32" t="str">
            <v>Да</v>
          </cell>
          <cell r="Z32" t="str">
            <v>Да</v>
          </cell>
          <cell r="AD32" t="str">
            <v>Да</v>
          </cell>
          <cell r="AH32" t="str">
            <v>Да</v>
          </cell>
          <cell r="AL32" t="str">
            <v>Да</v>
          </cell>
          <cell r="AP32" t="str">
            <v>Да</v>
          </cell>
          <cell r="AT32" t="str">
            <v>Да</v>
          </cell>
          <cell r="AW32" t="str">
            <v>Да</v>
          </cell>
        </row>
        <row r="33">
          <cell r="F33" t="str">
            <v>Да</v>
          </cell>
          <cell r="J33" t="str">
            <v>Да</v>
          </cell>
          <cell r="N33" t="str">
            <v>Да</v>
          </cell>
          <cell r="R33" t="str">
            <v>Да</v>
          </cell>
          <cell r="V33" t="str">
            <v>Да</v>
          </cell>
          <cell r="Z33" t="str">
            <v>Да</v>
          </cell>
          <cell r="AD33" t="str">
            <v>Да</v>
          </cell>
          <cell r="AH33" t="str">
            <v>Да</v>
          </cell>
          <cell r="AL33" t="str">
            <v>Да</v>
          </cell>
          <cell r="AP33" t="str">
            <v>Да</v>
          </cell>
          <cell r="AT33" t="str">
            <v>Да</v>
          </cell>
          <cell r="AW33" t="str">
            <v>Да</v>
          </cell>
        </row>
        <row r="34">
          <cell r="F34" t="str">
            <v>Да</v>
          </cell>
          <cell r="J34" t="str">
            <v>Да</v>
          </cell>
          <cell r="N34" t="str">
            <v>Да</v>
          </cell>
          <cell r="R34" t="str">
            <v>Да</v>
          </cell>
          <cell r="V34" t="str">
            <v>Да</v>
          </cell>
          <cell r="Z34" t="str">
            <v>Да</v>
          </cell>
          <cell r="AD34" t="str">
            <v>Да</v>
          </cell>
          <cell r="AH34" t="str">
            <v>Да</v>
          </cell>
          <cell r="AL34" t="str">
            <v>Да</v>
          </cell>
          <cell r="AP34" t="str">
            <v>Да</v>
          </cell>
          <cell r="AT34" t="str">
            <v>Да</v>
          </cell>
          <cell r="AW34" t="str">
            <v>Да</v>
          </cell>
        </row>
        <row r="35">
          <cell r="F35" t="str">
            <v>Да</v>
          </cell>
          <cell r="J35" t="str">
            <v>Да</v>
          </cell>
          <cell r="N35" t="str">
            <v>Да</v>
          </cell>
          <cell r="R35" t="str">
            <v>Да</v>
          </cell>
          <cell r="V35" t="str">
            <v>Да</v>
          </cell>
          <cell r="Z35" t="str">
            <v>Да</v>
          </cell>
          <cell r="AD35" t="str">
            <v>Да</v>
          </cell>
          <cell r="AH35" t="str">
            <v>Да</v>
          </cell>
          <cell r="AL35" t="str">
            <v>Да</v>
          </cell>
          <cell r="AP35" t="str">
            <v>Да</v>
          </cell>
          <cell r="AT35" t="str">
            <v>Да</v>
          </cell>
          <cell r="AW35" t="str">
            <v>Да</v>
          </cell>
        </row>
        <row r="36">
          <cell r="F36" t="str">
            <v>Да</v>
          </cell>
          <cell r="J36" t="str">
            <v>Да</v>
          </cell>
          <cell r="N36" t="str">
            <v>Да</v>
          </cell>
          <cell r="R36" t="str">
            <v>Да</v>
          </cell>
          <cell r="V36" t="str">
            <v>Да</v>
          </cell>
          <cell r="Z36" t="str">
            <v>Да</v>
          </cell>
          <cell r="AD36" t="str">
            <v>Да</v>
          </cell>
          <cell r="AH36" t="str">
            <v>Да</v>
          </cell>
          <cell r="AL36" t="str">
            <v>Да</v>
          </cell>
          <cell r="AP36" t="str">
            <v>Да</v>
          </cell>
          <cell r="AT36" t="str">
            <v>Да</v>
          </cell>
          <cell r="AW36" t="str">
            <v>Да</v>
          </cell>
        </row>
        <row r="37">
          <cell r="F37" t="str">
            <v>Да</v>
          </cell>
          <cell r="J37" t="str">
            <v>Да</v>
          </cell>
          <cell r="N37" t="str">
            <v>Да</v>
          </cell>
          <cell r="R37" t="str">
            <v>Да</v>
          </cell>
          <cell r="V37" t="str">
            <v>Да</v>
          </cell>
          <cell r="Z37" t="str">
            <v>Да</v>
          </cell>
          <cell r="AD37" t="str">
            <v>Да</v>
          </cell>
          <cell r="AH37" t="str">
            <v>Да</v>
          </cell>
          <cell r="AL37" t="str">
            <v>Нет</v>
          </cell>
          <cell r="AP37" t="str">
            <v>Да</v>
          </cell>
          <cell r="AT37" t="str">
            <v>Да</v>
          </cell>
          <cell r="AW37" t="str">
            <v>Да</v>
          </cell>
        </row>
        <row r="39">
          <cell r="F39" t="str">
            <v>Да</v>
          </cell>
          <cell r="J39" t="str">
            <v>Да</v>
          </cell>
          <cell r="N39" t="str">
            <v>Да</v>
          </cell>
          <cell r="R39" t="str">
            <v>Да</v>
          </cell>
          <cell r="V39" t="str">
            <v>Да</v>
          </cell>
          <cell r="Z39" t="str">
            <v>Да</v>
          </cell>
          <cell r="AD39" t="str">
            <v>Да</v>
          </cell>
          <cell r="AH39" t="str">
            <v>Да</v>
          </cell>
          <cell r="AL39" t="str">
            <v>Да</v>
          </cell>
          <cell r="AP39" t="str">
            <v>Да</v>
          </cell>
          <cell r="AT39" t="str">
            <v>Да</v>
          </cell>
          <cell r="AW39" t="str">
            <v>Да</v>
          </cell>
        </row>
        <row r="40">
          <cell r="F40" t="str">
            <v>Да</v>
          </cell>
          <cell r="J40" t="str">
            <v>Да</v>
          </cell>
          <cell r="N40" t="str">
            <v>Да</v>
          </cell>
          <cell r="R40" t="str">
            <v>Да</v>
          </cell>
          <cell r="V40" t="str">
            <v>Да</v>
          </cell>
          <cell r="Z40" t="str">
            <v>Да</v>
          </cell>
          <cell r="AD40" t="str">
            <v>Да</v>
          </cell>
          <cell r="AH40" t="str">
            <v>Да</v>
          </cell>
          <cell r="AL40" t="str">
            <v>Да</v>
          </cell>
          <cell r="AP40" t="str">
            <v>Да</v>
          </cell>
          <cell r="AT40" t="str">
            <v>Да</v>
          </cell>
          <cell r="AW40" t="str">
            <v>Да</v>
          </cell>
        </row>
        <row r="41">
          <cell r="F41" t="str">
            <v>Да</v>
          </cell>
          <cell r="J41" t="str">
            <v>Да</v>
          </cell>
          <cell r="N41" t="str">
            <v>Да</v>
          </cell>
          <cell r="R41" t="str">
            <v>Да</v>
          </cell>
          <cell r="V41" t="str">
            <v>Да</v>
          </cell>
          <cell r="Z41" t="str">
            <v>Да</v>
          </cell>
          <cell r="AD41" t="str">
            <v>Да</v>
          </cell>
          <cell r="AH41" t="str">
            <v>Да</v>
          </cell>
          <cell r="AL41" t="str">
            <v>Да</v>
          </cell>
          <cell r="AP41" t="str">
            <v>Да</v>
          </cell>
          <cell r="AT41" t="str">
            <v>Нет</v>
          </cell>
          <cell r="AW41" t="str">
            <v>Нет</v>
          </cell>
        </row>
        <row r="42">
          <cell r="F42" t="str">
            <v>Да</v>
          </cell>
          <cell r="J42" t="str">
            <v>Да</v>
          </cell>
          <cell r="N42" t="str">
            <v>Да</v>
          </cell>
          <cell r="R42" t="str">
            <v>Да</v>
          </cell>
          <cell r="V42" t="str">
            <v>Да</v>
          </cell>
          <cell r="Z42" t="str">
            <v>Да</v>
          </cell>
          <cell r="AD42" t="str">
            <v>Да</v>
          </cell>
          <cell r="AH42" t="str">
            <v>Да</v>
          </cell>
          <cell r="AL42" t="str">
            <v>Да</v>
          </cell>
          <cell r="AP42" t="str">
            <v>Да</v>
          </cell>
          <cell r="AT42" t="str">
            <v>Да</v>
          </cell>
          <cell r="AW42" t="str">
            <v>Да</v>
          </cell>
        </row>
        <row r="43">
          <cell r="F43" t="str">
            <v>Да</v>
          </cell>
          <cell r="J43" t="str">
            <v>Да</v>
          </cell>
          <cell r="N43" t="str">
            <v>Да</v>
          </cell>
          <cell r="R43" t="str">
            <v>Да</v>
          </cell>
          <cell r="V43" t="str">
            <v>Да</v>
          </cell>
          <cell r="Z43" t="str">
            <v>Да</v>
          </cell>
          <cell r="AD43" t="str">
            <v>Да</v>
          </cell>
          <cell r="AH43" t="str">
            <v>Да</v>
          </cell>
          <cell r="AL43" t="str">
            <v>Да</v>
          </cell>
          <cell r="AP43" t="str">
            <v>Да</v>
          </cell>
          <cell r="AT43" t="str">
            <v>Да</v>
          </cell>
          <cell r="AW43" t="str">
            <v>Да</v>
          </cell>
        </row>
        <row r="44">
          <cell r="F44" t="str">
            <v>Да</v>
          </cell>
          <cell r="J44" t="str">
            <v>Да</v>
          </cell>
          <cell r="N44" t="str">
            <v>Да</v>
          </cell>
          <cell r="R44" t="str">
            <v>Да</v>
          </cell>
          <cell r="V44" t="str">
            <v>Да</v>
          </cell>
          <cell r="Z44" t="str">
            <v>Да</v>
          </cell>
          <cell r="AD44" t="str">
            <v>Да</v>
          </cell>
          <cell r="AH44" t="str">
            <v>Да</v>
          </cell>
          <cell r="AL44" t="str">
            <v>Да</v>
          </cell>
          <cell r="AP44" t="str">
            <v>Да</v>
          </cell>
          <cell r="AT44" t="str">
            <v>Да</v>
          </cell>
          <cell r="AW44" t="str">
            <v>Да</v>
          </cell>
        </row>
        <row r="45">
          <cell r="F45" t="str">
            <v>Да</v>
          </cell>
          <cell r="J45" t="str">
            <v>Да</v>
          </cell>
          <cell r="N45" t="str">
            <v>Да</v>
          </cell>
          <cell r="R45" t="str">
            <v>Да</v>
          </cell>
          <cell r="V45" t="str">
            <v>Да</v>
          </cell>
          <cell r="Z45" t="str">
            <v>Да</v>
          </cell>
          <cell r="AD45" t="str">
            <v>Да</v>
          </cell>
          <cell r="AH45" t="str">
            <v>Да</v>
          </cell>
          <cell r="AL45" t="str">
            <v>Да</v>
          </cell>
          <cell r="AP45" t="str">
            <v>Да</v>
          </cell>
          <cell r="AT45" t="str">
            <v>Да</v>
          </cell>
          <cell r="AW45" t="str">
            <v>Да</v>
          </cell>
        </row>
        <row r="46">
          <cell r="F46" t="str">
            <v>Да</v>
          </cell>
          <cell r="J46" t="str">
            <v>Да</v>
          </cell>
          <cell r="N46" t="str">
            <v>Да</v>
          </cell>
          <cell r="R46" t="str">
            <v>Да</v>
          </cell>
          <cell r="V46" t="str">
            <v>Да</v>
          </cell>
          <cell r="Z46" t="str">
            <v>Да</v>
          </cell>
          <cell r="AD46" t="str">
            <v>Да</v>
          </cell>
          <cell r="AH46" t="str">
            <v>Да</v>
          </cell>
          <cell r="AL46" t="str">
            <v>Да</v>
          </cell>
          <cell r="AP46" t="str">
            <v>Да</v>
          </cell>
          <cell r="AT46" t="str">
            <v>Да</v>
          </cell>
          <cell r="AW46" t="str">
            <v>Да</v>
          </cell>
        </row>
        <row r="47">
          <cell r="F47" t="str">
            <v>Да</v>
          </cell>
          <cell r="J47" t="str">
            <v>Да</v>
          </cell>
          <cell r="N47" t="str">
            <v>Да</v>
          </cell>
          <cell r="R47" t="str">
            <v>Да</v>
          </cell>
          <cell r="V47" t="str">
            <v>Да</v>
          </cell>
          <cell r="Z47" t="str">
            <v>Да</v>
          </cell>
          <cell r="AD47" t="str">
            <v>Да</v>
          </cell>
          <cell r="AH47" t="str">
            <v>Да</v>
          </cell>
          <cell r="AL47" t="str">
            <v>Да</v>
          </cell>
          <cell r="AP47" t="str">
            <v>Да</v>
          </cell>
          <cell r="AT47" t="str">
            <v>Да</v>
          </cell>
          <cell r="AW47" t="str">
            <v>Да</v>
          </cell>
        </row>
        <row r="48">
          <cell r="F48" t="str">
            <v>Да</v>
          </cell>
          <cell r="J48" t="str">
            <v>Да</v>
          </cell>
          <cell r="N48" t="str">
            <v>Да</v>
          </cell>
          <cell r="R48" t="str">
            <v>Да</v>
          </cell>
          <cell r="V48" t="str">
            <v>Да</v>
          </cell>
          <cell r="Z48" t="str">
            <v>Да</v>
          </cell>
          <cell r="AD48" t="str">
            <v>Да</v>
          </cell>
          <cell r="AH48" t="str">
            <v>Да</v>
          </cell>
          <cell r="AL48" t="str">
            <v>Да</v>
          </cell>
          <cell r="AP48" t="str">
            <v>Да</v>
          </cell>
          <cell r="AT48" t="str">
            <v>Да</v>
          </cell>
          <cell r="AW48" t="str">
            <v>Да</v>
          </cell>
        </row>
        <row r="49">
          <cell r="F49" t="str">
            <v>Да</v>
          </cell>
          <cell r="J49" t="str">
            <v>Да</v>
          </cell>
          <cell r="N49" t="str">
            <v>Да</v>
          </cell>
          <cell r="R49" t="str">
            <v>Да</v>
          </cell>
          <cell r="V49" t="str">
            <v>Да</v>
          </cell>
          <cell r="Z49" t="str">
            <v>Да</v>
          </cell>
          <cell r="AD49" t="str">
            <v>Да</v>
          </cell>
          <cell r="AH49" t="str">
            <v>Да</v>
          </cell>
          <cell r="AL49" t="str">
            <v>Да</v>
          </cell>
          <cell r="AP49" t="str">
            <v>Да</v>
          </cell>
          <cell r="AT49" t="str">
            <v>Да</v>
          </cell>
          <cell r="AW49" t="str">
            <v>Да</v>
          </cell>
        </row>
      </sheetData>
      <sheetData sheetId="25">
        <row r="3">
          <cell r="I3" t="str">
            <v>Да</v>
          </cell>
          <cell r="P3" t="str">
            <v>Да</v>
          </cell>
          <cell r="W3" t="str">
            <v>Да</v>
          </cell>
          <cell r="AC3" t="str">
            <v>Да</v>
          </cell>
          <cell r="AJ3" t="str">
            <v>Да</v>
          </cell>
          <cell r="AR3" t="str">
            <v>Да</v>
          </cell>
          <cell r="AY3" t="str">
            <v>Да</v>
          </cell>
          <cell r="BD3" t="str">
            <v>Да</v>
          </cell>
          <cell r="BK3" t="str">
            <v>Да</v>
          </cell>
          <cell r="BR3" t="str">
            <v>Да</v>
          </cell>
          <cell r="BX3" t="str">
            <v>Да</v>
          </cell>
          <cell r="CD3" t="str">
            <v>Да</v>
          </cell>
        </row>
        <row r="4">
          <cell r="I4" t="str">
            <v>Да</v>
          </cell>
          <cell r="P4" t="str">
            <v>Да</v>
          </cell>
          <cell r="W4" t="str">
            <v>Да</v>
          </cell>
          <cell r="AC4" t="str">
            <v>Да</v>
          </cell>
          <cell r="AJ4" t="str">
            <v>Да</v>
          </cell>
          <cell r="AR4" t="str">
            <v>Да</v>
          </cell>
          <cell r="AY4" t="str">
            <v>Да</v>
          </cell>
          <cell r="BD4" t="str">
            <v>Да</v>
          </cell>
          <cell r="BK4" t="str">
            <v>Да</v>
          </cell>
          <cell r="BR4" t="str">
            <v>Да</v>
          </cell>
          <cell r="BX4" t="str">
            <v>Да</v>
          </cell>
          <cell r="CD4" t="str">
            <v>Да</v>
          </cell>
        </row>
        <row r="5">
          <cell r="I5" t="str">
            <v>Да</v>
          </cell>
          <cell r="P5" t="str">
            <v>Да</v>
          </cell>
          <cell r="W5" t="str">
            <v>Да</v>
          </cell>
          <cell r="AC5" t="str">
            <v>Да</v>
          </cell>
          <cell r="AJ5" t="str">
            <v>Да</v>
          </cell>
          <cell r="AR5" t="str">
            <v>Да</v>
          </cell>
          <cell r="AY5" t="str">
            <v>Да</v>
          </cell>
          <cell r="BD5" t="str">
            <v>Да</v>
          </cell>
          <cell r="BK5" t="str">
            <v>Да</v>
          </cell>
          <cell r="BR5" t="str">
            <v>Да</v>
          </cell>
          <cell r="BX5" t="str">
            <v>Да</v>
          </cell>
          <cell r="CD5" t="str">
            <v>Да</v>
          </cell>
        </row>
        <row r="6">
          <cell r="I6" t="str">
            <v>Да</v>
          </cell>
          <cell r="P6" t="str">
            <v>Да</v>
          </cell>
          <cell r="W6" t="str">
            <v>Да</v>
          </cell>
          <cell r="AC6" t="str">
            <v>Да</v>
          </cell>
          <cell r="AJ6" t="str">
            <v>Да</v>
          </cell>
          <cell r="AR6" t="str">
            <v>Да</v>
          </cell>
          <cell r="AY6" t="str">
            <v>Да</v>
          </cell>
          <cell r="BD6" t="str">
            <v>Да</v>
          </cell>
          <cell r="BK6" t="str">
            <v>Да</v>
          </cell>
          <cell r="BR6" t="str">
            <v>Да</v>
          </cell>
          <cell r="BX6" t="str">
            <v>Да</v>
          </cell>
          <cell r="CD6" t="str">
            <v>Да</v>
          </cell>
        </row>
        <row r="7">
          <cell r="I7" t="str">
            <v>Да</v>
          </cell>
          <cell r="P7" t="str">
            <v>Да</v>
          </cell>
          <cell r="W7" t="str">
            <v>Да</v>
          </cell>
          <cell r="AC7" t="str">
            <v>Да</v>
          </cell>
          <cell r="AJ7" t="str">
            <v>Да</v>
          </cell>
          <cell r="AR7" t="str">
            <v>Да</v>
          </cell>
          <cell r="AY7" t="str">
            <v>Да</v>
          </cell>
          <cell r="BD7" t="str">
            <v>Да</v>
          </cell>
          <cell r="BK7" t="str">
            <v>Да</v>
          </cell>
          <cell r="BR7" t="str">
            <v>Да</v>
          </cell>
          <cell r="BX7" t="str">
            <v>Да</v>
          </cell>
          <cell r="CD7" t="str">
            <v>Да</v>
          </cell>
        </row>
        <row r="8">
          <cell r="I8" t="str">
            <v>Да</v>
          </cell>
          <cell r="P8" t="str">
            <v>Да</v>
          </cell>
          <cell r="W8" t="str">
            <v>Да</v>
          </cell>
          <cell r="AC8" t="str">
            <v>Да</v>
          </cell>
          <cell r="AJ8" t="str">
            <v>Да</v>
          </cell>
          <cell r="AR8" t="str">
            <v>Да</v>
          </cell>
          <cell r="AY8" t="str">
            <v>Да</v>
          </cell>
          <cell r="BD8" t="str">
            <v>Да</v>
          </cell>
          <cell r="BK8" t="str">
            <v>Да</v>
          </cell>
          <cell r="BR8" t="str">
            <v>Да</v>
          </cell>
          <cell r="BX8" t="str">
            <v>Да</v>
          </cell>
          <cell r="CD8" t="str">
            <v>Да</v>
          </cell>
        </row>
        <row r="9">
          <cell r="I9" t="str">
            <v>Да</v>
          </cell>
          <cell r="P9" t="str">
            <v>Да</v>
          </cell>
          <cell r="W9" t="str">
            <v>Да</v>
          </cell>
          <cell r="AC9" t="str">
            <v>Да</v>
          </cell>
          <cell r="AJ9" t="str">
            <v>Да</v>
          </cell>
          <cell r="AR9" t="str">
            <v>Да</v>
          </cell>
          <cell r="AY9" t="str">
            <v>Да</v>
          </cell>
          <cell r="BD9" t="str">
            <v>Да</v>
          </cell>
          <cell r="BK9" t="str">
            <v>Да</v>
          </cell>
          <cell r="BR9" t="str">
            <v>Да</v>
          </cell>
          <cell r="BX9" t="str">
            <v>Да</v>
          </cell>
          <cell r="CD9" t="str">
            <v>Да</v>
          </cell>
        </row>
        <row r="10">
          <cell r="I10" t="str">
            <v>Да</v>
          </cell>
          <cell r="P10" t="str">
            <v>Да</v>
          </cell>
          <cell r="W10" t="str">
            <v>Да</v>
          </cell>
          <cell r="AC10" t="str">
            <v>Да</v>
          </cell>
          <cell r="AJ10" t="str">
            <v>Да</v>
          </cell>
          <cell r="AR10" t="str">
            <v>Да</v>
          </cell>
          <cell r="AY10" t="str">
            <v>Да</v>
          </cell>
          <cell r="BD10" t="str">
            <v>Да</v>
          </cell>
          <cell r="BK10" t="str">
            <v>Да</v>
          </cell>
          <cell r="BR10" t="str">
            <v>Да</v>
          </cell>
          <cell r="BX10" t="str">
            <v>Да</v>
          </cell>
          <cell r="CD10" t="str">
            <v>Да</v>
          </cell>
        </row>
        <row r="11">
          <cell r="I11" t="str">
            <v>Да</v>
          </cell>
          <cell r="P11" t="str">
            <v>Да</v>
          </cell>
          <cell r="W11" t="str">
            <v>Да</v>
          </cell>
          <cell r="AC11" t="str">
            <v>Да</v>
          </cell>
          <cell r="AJ11" t="str">
            <v>Да</v>
          </cell>
          <cell r="AR11" t="str">
            <v>Да</v>
          </cell>
          <cell r="AY11" t="str">
            <v>Да</v>
          </cell>
          <cell r="BD11" t="str">
            <v>Да</v>
          </cell>
          <cell r="BK11" t="str">
            <v>Да</v>
          </cell>
          <cell r="BR11" t="str">
            <v>Да</v>
          </cell>
          <cell r="BX11" t="str">
            <v>Да</v>
          </cell>
          <cell r="CD11" t="str">
            <v>Да</v>
          </cell>
        </row>
        <row r="12">
          <cell r="I12" t="str">
            <v>Да</v>
          </cell>
          <cell r="P12" t="str">
            <v>Да</v>
          </cell>
          <cell r="W12" t="str">
            <v>Да</v>
          </cell>
          <cell r="AC12" t="str">
            <v>Да</v>
          </cell>
          <cell r="AJ12" t="str">
            <v>Да</v>
          </cell>
          <cell r="AR12" t="str">
            <v>Да</v>
          </cell>
          <cell r="AY12" t="str">
            <v>Да</v>
          </cell>
          <cell r="BD12" t="str">
            <v>Да</v>
          </cell>
          <cell r="BK12" t="str">
            <v>Да</v>
          </cell>
          <cell r="BR12" t="str">
            <v>Да</v>
          </cell>
          <cell r="BX12" t="str">
            <v>Да</v>
          </cell>
          <cell r="CD12" t="str">
            <v>Да</v>
          </cell>
        </row>
        <row r="13">
          <cell r="I13" t="str">
            <v>Да</v>
          </cell>
          <cell r="P13" t="str">
            <v>Да</v>
          </cell>
          <cell r="W13" t="str">
            <v>Да</v>
          </cell>
          <cell r="AC13" t="str">
            <v>Да</v>
          </cell>
          <cell r="AJ13" t="str">
            <v>Да</v>
          </cell>
          <cell r="AR13" t="str">
            <v>Да</v>
          </cell>
          <cell r="AY13" t="str">
            <v>Да</v>
          </cell>
          <cell r="BD13" t="str">
            <v>Да</v>
          </cell>
          <cell r="BK13" t="str">
            <v>Да</v>
          </cell>
          <cell r="BR13" t="str">
            <v>Да</v>
          </cell>
          <cell r="BX13" t="str">
            <v>Да</v>
          </cell>
          <cell r="CD13" t="str">
            <v>Да</v>
          </cell>
        </row>
        <row r="14">
          <cell r="I14" t="str">
            <v>Да</v>
          </cell>
          <cell r="P14" t="str">
            <v>Да</v>
          </cell>
          <cell r="W14" t="str">
            <v>Да</v>
          </cell>
          <cell r="AC14" t="str">
            <v>Да</v>
          </cell>
          <cell r="AJ14" t="str">
            <v>Да</v>
          </cell>
          <cell r="AR14" t="str">
            <v>Да</v>
          </cell>
          <cell r="AY14" t="str">
            <v>Да</v>
          </cell>
          <cell r="BD14" t="str">
            <v>Да</v>
          </cell>
          <cell r="BK14" t="str">
            <v>Да</v>
          </cell>
          <cell r="BR14" t="str">
            <v>Да</v>
          </cell>
          <cell r="BX14" t="str">
            <v>Да</v>
          </cell>
          <cell r="CD14" t="str">
            <v>Да</v>
          </cell>
        </row>
        <row r="15">
          <cell r="I15" t="str">
            <v>Да</v>
          </cell>
          <cell r="P15" t="str">
            <v>Да</v>
          </cell>
          <cell r="W15" t="str">
            <v>Да</v>
          </cell>
          <cell r="AC15" t="str">
            <v>Да</v>
          </cell>
          <cell r="AJ15" t="str">
            <v>Да</v>
          </cell>
          <cell r="AR15" t="str">
            <v>Да</v>
          </cell>
          <cell r="AY15" t="str">
            <v>Да</v>
          </cell>
          <cell r="BD15" t="str">
            <v>Да</v>
          </cell>
          <cell r="BK15" t="str">
            <v>Да</v>
          </cell>
          <cell r="BR15" t="str">
            <v>Да</v>
          </cell>
          <cell r="BX15" t="str">
            <v>Да</v>
          </cell>
          <cell r="CD15" t="str">
            <v>Да</v>
          </cell>
        </row>
        <row r="16">
          <cell r="I16" t="str">
            <v>Да</v>
          </cell>
          <cell r="P16" t="str">
            <v>Да</v>
          </cell>
          <cell r="W16" t="str">
            <v>Да</v>
          </cell>
          <cell r="AC16" t="str">
            <v>Да</v>
          </cell>
          <cell r="AJ16" t="str">
            <v>Да</v>
          </cell>
          <cell r="AR16" t="str">
            <v>Да</v>
          </cell>
          <cell r="AY16" t="str">
            <v>Да</v>
          </cell>
          <cell r="BD16" t="str">
            <v>Нет</v>
          </cell>
          <cell r="BK16" t="str">
            <v>Да</v>
          </cell>
          <cell r="BR16" t="str">
            <v>Да</v>
          </cell>
          <cell r="BX16" t="str">
            <v>Да</v>
          </cell>
          <cell r="CD16" t="str">
            <v>Да</v>
          </cell>
        </row>
        <row r="17">
          <cell r="I17" t="str">
            <v>Да</v>
          </cell>
          <cell r="P17" t="str">
            <v>Да</v>
          </cell>
          <cell r="W17" t="str">
            <v>Да</v>
          </cell>
          <cell r="AC17" t="str">
            <v>Да</v>
          </cell>
          <cell r="AJ17" t="str">
            <v>Да</v>
          </cell>
          <cell r="AR17" t="str">
            <v>Да</v>
          </cell>
          <cell r="AY17" t="str">
            <v>Да</v>
          </cell>
          <cell r="BD17" t="str">
            <v>Да</v>
          </cell>
          <cell r="BK17" t="str">
            <v>Да</v>
          </cell>
          <cell r="BR17" t="str">
            <v>Да</v>
          </cell>
          <cell r="BX17" t="str">
            <v>Да</v>
          </cell>
          <cell r="CD17" t="str">
            <v>Да</v>
          </cell>
        </row>
        <row r="18">
          <cell r="I18" t="str">
            <v>Да</v>
          </cell>
          <cell r="P18" t="str">
            <v>Да</v>
          </cell>
          <cell r="W18" t="str">
            <v>Да</v>
          </cell>
          <cell r="AC18" t="str">
            <v>Да</v>
          </cell>
          <cell r="AJ18" t="str">
            <v>Да</v>
          </cell>
          <cell r="AR18" t="str">
            <v>Да</v>
          </cell>
          <cell r="AY18" t="str">
            <v>Да</v>
          </cell>
          <cell r="BD18" t="str">
            <v>Да</v>
          </cell>
          <cell r="BK18" t="str">
            <v>Да</v>
          </cell>
          <cell r="BR18" t="str">
            <v>Да</v>
          </cell>
          <cell r="BX18" t="str">
            <v>Да</v>
          </cell>
          <cell r="CD18" t="str">
            <v>Да</v>
          </cell>
        </row>
        <row r="19">
          <cell r="I19" t="str">
            <v>Да</v>
          </cell>
          <cell r="P19" t="str">
            <v>Да</v>
          </cell>
          <cell r="W19" t="str">
            <v>Да</v>
          </cell>
          <cell r="AC19" t="str">
            <v>Да</v>
          </cell>
          <cell r="AJ19" t="str">
            <v>Да</v>
          </cell>
          <cell r="AR19" t="str">
            <v>Да</v>
          </cell>
          <cell r="AY19" t="str">
            <v>Да</v>
          </cell>
          <cell r="BD19" t="str">
            <v>Да</v>
          </cell>
          <cell r="BK19" t="str">
            <v>Да</v>
          </cell>
          <cell r="BR19" t="str">
            <v>Да</v>
          </cell>
          <cell r="BX19" t="str">
            <v>Да</v>
          </cell>
          <cell r="CD19" t="str">
            <v>Да</v>
          </cell>
        </row>
        <row r="20">
          <cell r="I20" t="str">
            <v>Да</v>
          </cell>
          <cell r="P20" t="str">
            <v>Да</v>
          </cell>
          <cell r="W20" t="str">
            <v>Да</v>
          </cell>
          <cell r="AC20" t="str">
            <v>Да</v>
          </cell>
          <cell r="AJ20" t="str">
            <v>Да</v>
          </cell>
          <cell r="AR20" t="str">
            <v>Да</v>
          </cell>
          <cell r="AY20" t="str">
            <v>Да</v>
          </cell>
          <cell r="BD20" t="str">
            <v>Да</v>
          </cell>
          <cell r="BK20" t="str">
            <v>Да</v>
          </cell>
          <cell r="BR20" t="str">
            <v>Да</v>
          </cell>
          <cell r="BX20" t="str">
            <v>Да</v>
          </cell>
          <cell r="CD20" t="str">
            <v>Да</v>
          </cell>
        </row>
        <row r="21">
          <cell r="I21" t="str">
            <v>Да</v>
          </cell>
          <cell r="P21" t="str">
            <v>Да</v>
          </cell>
          <cell r="W21" t="str">
            <v>Да</v>
          </cell>
          <cell r="AC21" t="str">
            <v>Да</v>
          </cell>
          <cell r="AJ21" t="str">
            <v>Да</v>
          </cell>
          <cell r="AR21" t="str">
            <v>Да</v>
          </cell>
          <cell r="AY21" t="str">
            <v>Да</v>
          </cell>
          <cell r="BD21" t="str">
            <v>Да</v>
          </cell>
          <cell r="BK21" t="str">
            <v>Да</v>
          </cell>
          <cell r="BR21" t="str">
            <v>Да</v>
          </cell>
          <cell r="BX21" t="str">
            <v>Да</v>
          </cell>
          <cell r="CD21" t="str">
            <v>Да</v>
          </cell>
        </row>
        <row r="22">
          <cell r="I22" t="str">
            <v>Да</v>
          </cell>
          <cell r="P22" t="str">
            <v>Да</v>
          </cell>
          <cell r="W22" t="str">
            <v>Да</v>
          </cell>
          <cell r="AC22" t="str">
            <v>Да</v>
          </cell>
          <cell r="AJ22" t="str">
            <v>Да</v>
          </cell>
          <cell r="AR22" t="str">
            <v>Да</v>
          </cell>
          <cell r="AY22" t="str">
            <v>Да</v>
          </cell>
          <cell r="BD22" t="str">
            <v>Да</v>
          </cell>
          <cell r="BK22" t="str">
            <v>Да</v>
          </cell>
          <cell r="BR22" t="str">
            <v>Да</v>
          </cell>
          <cell r="BX22" t="str">
            <v>Да</v>
          </cell>
          <cell r="CD22" t="str">
            <v>Да</v>
          </cell>
        </row>
        <row r="23">
          <cell r="I23" t="str">
            <v>Да</v>
          </cell>
          <cell r="P23" t="str">
            <v>Да</v>
          </cell>
          <cell r="W23" t="str">
            <v>Да</v>
          </cell>
          <cell r="AC23" t="str">
            <v>Да</v>
          </cell>
          <cell r="AJ23" t="str">
            <v>Нет</v>
          </cell>
          <cell r="AR23" t="str">
            <v>Да</v>
          </cell>
          <cell r="AY23" t="str">
            <v>Да</v>
          </cell>
          <cell r="BD23" t="str">
            <v>Да</v>
          </cell>
          <cell r="BK23" t="str">
            <v>Нет</v>
          </cell>
          <cell r="BR23" t="str">
            <v>Нет</v>
          </cell>
          <cell r="BX23" t="str">
            <v>Да</v>
          </cell>
          <cell r="CD23" t="str">
            <v>Да</v>
          </cell>
        </row>
      </sheetData>
      <sheetData sheetId="26">
        <row r="3">
          <cell r="F3" t="str">
            <v>Да</v>
          </cell>
          <cell r="J3" t="str">
            <v>Да</v>
          </cell>
          <cell r="N3" t="str">
            <v>Да</v>
          </cell>
          <cell r="R3" t="str">
            <v>Да</v>
          </cell>
          <cell r="V3" t="str">
            <v>Да</v>
          </cell>
          <cell r="Z3" t="str">
            <v>Да</v>
          </cell>
          <cell r="AD3" t="str">
            <v>Да</v>
          </cell>
          <cell r="AH3" t="str">
            <v>Да</v>
          </cell>
          <cell r="AL3" t="str">
            <v>Да</v>
          </cell>
          <cell r="AP3" t="str">
            <v>Да</v>
          </cell>
          <cell r="AT3" t="str">
            <v>Да</v>
          </cell>
          <cell r="AX3" t="str">
            <v>Да</v>
          </cell>
        </row>
        <row r="4">
          <cell r="F4" t="str">
            <v>Да</v>
          </cell>
          <cell r="J4" t="str">
            <v>Да</v>
          </cell>
          <cell r="N4" t="str">
            <v>Да</v>
          </cell>
          <cell r="R4" t="str">
            <v>Да</v>
          </cell>
          <cell r="V4" t="str">
            <v>Да</v>
          </cell>
          <cell r="Z4" t="str">
            <v>Да</v>
          </cell>
          <cell r="AD4" t="str">
            <v>Да</v>
          </cell>
          <cell r="AH4" t="str">
            <v>Да</v>
          </cell>
          <cell r="AL4" t="str">
            <v>Да</v>
          </cell>
          <cell r="AP4" t="str">
            <v>Да</v>
          </cell>
          <cell r="AT4" t="str">
            <v>Да</v>
          </cell>
          <cell r="AX4" t="str">
            <v>Да</v>
          </cell>
        </row>
        <row r="5">
          <cell r="F5" t="str">
            <v>Да</v>
          </cell>
          <cell r="J5" t="str">
            <v>Да</v>
          </cell>
          <cell r="N5" t="str">
            <v>Да</v>
          </cell>
          <cell r="R5" t="str">
            <v>Да</v>
          </cell>
          <cell r="V5" t="str">
            <v>Да</v>
          </cell>
          <cell r="Z5" t="str">
            <v>Да</v>
          </cell>
          <cell r="AD5" t="str">
            <v>Да</v>
          </cell>
          <cell r="AH5" t="str">
            <v>Да</v>
          </cell>
          <cell r="AL5" t="str">
            <v>Да</v>
          </cell>
          <cell r="AP5" t="str">
            <v>Да</v>
          </cell>
          <cell r="AT5" t="str">
            <v>Да</v>
          </cell>
          <cell r="AX5" t="str">
            <v>Да</v>
          </cell>
        </row>
        <row r="6">
          <cell r="F6"/>
          <cell r="J6"/>
          <cell r="N6"/>
          <cell r="R6" t="str">
            <v>Да</v>
          </cell>
          <cell r="V6" t="str">
            <v>Да</v>
          </cell>
          <cell r="Z6" t="str">
            <v>Да</v>
          </cell>
          <cell r="AD6" t="str">
            <v>Да</v>
          </cell>
          <cell r="AH6" t="str">
            <v>Да</v>
          </cell>
          <cell r="AL6" t="str">
            <v>Да</v>
          </cell>
          <cell r="AP6" t="str">
            <v>Да</v>
          </cell>
          <cell r="AT6" t="str">
            <v>Да</v>
          </cell>
          <cell r="AX6" t="str">
            <v>Да</v>
          </cell>
        </row>
        <row r="7">
          <cell r="F7"/>
          <cell r="J7" t="str">
            <v>Да</v>
          </cell>
          <cell r="N7" t="str">
            <v>Да</v>
          </cell>
          <cell r="R7" t="str">
            <v>Да</v>
          </cell>
          <cell r="V7" t="str">
            <v>Да</v>
          </cell>
          <cell r="Z7" t="str">
            <v>Да</v>
          </cell>
          <cell r="AD7" t="str">
            <v>Да</v>
          </cell>
          <cell r="AH7" t="str">
            <v>Да</v>
          </cell>
          <cell r="AL7" t="str">
            <v>Да</v>
          </cell>
          <cell r="AP7" t="str">
            <v>Да</v>
          </cell>
          <cell r="AT7" t="str">
            <v>Да</v>
          </cell>
          <cell r="AX7" t="str">
            <v>Да</v>
          </cell>
        </row>
        <row r="9">
          <cell r="F9" t="str">
            <v>Да</v>
          </cell>
          <cell r="J9" t="str">
            <v>Да</v>
          </cell>
          <cell r="N9" t="str">
            <v>Да</v>
          </cell>
          <cell r="R9" t="str">
            <v>Да</v>
          </cell>
          <cell r="V9" t="str">
            <v>Да</v>
          </cell>
          <cell r="Z9" t="str">
            <v>Да</v>
          </cell>
          <cell r="AD9" t="str">
            <v>Да</v>
          </cell>
          <cell r="AH9" t="str">
            <v>Да</v>
          </cell>
          <cell r="AL9" t="str">
            <v>Да</v>
          </cell>
          <cell r="AP9" t="str">
            <v>Да</v>
          </cell>
          <cell r="AT9" t="str">
            <v>Да</v>
          </cell>
          <cell r="AX9" t="str">
            <v>Да</v>
          </cell>
        </row>
        <row r="10">
          <cell r="F10" t="str">
            <v>Да</v>
          </cell>
          <cell r="J10" t="str">
            <v>Да</v>
          </cell>
          <cell r="N10" t="str">
            <v>Да</v>
          </cell>
          <cell r="R10" t="str">
            <v>Да</v>
          </cell>
          <cell r="V10" t="str">
            <v>Да</v>
          </cell>
          <cell r="Z10" t="str">
            <v>Да</v>
          </cell>
          <cell r="AD10" t="str">
            <v>Да</v>
          </cell>
          <cell r="AH10" t="str">
            <v>Да</v>
          </cell>
          <cell r="AL10" t="str">
            <v>Да</v>
          </cell>
          <cell r="AP10" t="str">
            <v>Да</v>
          </cell>
          <cell r="AT10" t="str">
            <v>Да</v>
          </cell>
          <cell r="AX10" t="str">
            <v>Да</v>
          </cell>
        </row>
        <row r="11">
          <cell r="F11" t="str">
            <v>Да</v>
          </cell>
          <cell r="J11" t="str">
            <v>Да</v>
          </cell>
          <cell r="N11" t="str">
            <v>Да</v>
          </cell>
          <cell r="R11" t="str">
            <v>Да</v>
          </cell>
          <cell r="V11" t="str">
            <v>Да</v>
          </cell>
          <cell r="Z11" t="str">
            <v>Да</v>
          </cell>
          <cell r="AD11" t="str">
            <v>Да</v>
          </cell>
          <cell r="AH11" t="str">
            <v>Да</v>
          </cell>
          <cell r="AL11" t="str">
            <v>Да</v>
          </cell>
          <cell r="AP11" t="str">
            <v>Да</v>
          </cell>
          <cell r="AT11" t="str">
            <v>Да</v>
          </cell>
          <cell r="AX11" t="str">
            <v>Да</v>
          </cell>
        </row>
        <row r="12">
          <cell r="F12" t="str">
            <v>Да</v>
          </cell>
          <cell r="J12" t="str">
            <v>Нет</v>
          </cell>
          <cell r="N12" t="str">
            <v>Нет</v>
          </cell>
          <cell r="R12" t="str">
            <v>Нет</v>
          </cell>
          <cell r="V12" t="str">
            <v>Нет</v>
          </cell>
          <cell r="Z12" t="str">
            <v>Нет</v>
          </cell>
          <cell r="AD12" t="str">
            <v>Нет</v>
          </cell>
          <cell r="AH12" t="str">
            <v>Нет</v>
          </cell>
          <cell r="AL12" t="str">
            <v>Нет</v>
          </cell>
          <cell r="AP12" t="str">
            <v>Нет</v>
          </cell>
          <cell r="AT12" t="str">
            <v>Нет</v>
          </cell>
          <cell r="AX12" t="str">
            <v>Нет</v>
          </cell>
        </row>
        <row r="13">
          <cell r="F13" t="str">
            <v>Да</v>
          </cell>
          <cell r="J13" t="str">
            <v>Да</v>
          </cell>
          <cell r="N13" t="str">
            <v>Да</v>
          </cell>
          <cell r="R13" t="str">
            <v>Да</v>
          </cell>
          <cell r="V13" t="str">
            <v>Да</v>
          </cell>
          <cell r="Z13" t="str">
            <v>Да</v>
          </cell>
          <cell r="AD13" t="str">
            <v>Да</v>
          </cell>
          <cell r="AH13" t="str">
            <v>Да</v>
          </cell>
          <cell r="AL13" t="str">
            <v>Да</v>
          </cell>
          <cell r="AP13" t="str">
            <v>Да</v>
          </cell>
          <cell r="AT13" t="str">
            <v>Да</v>
          </cell>
          <cell r="AX13" t="str">
            <v>Да</v>
          </cell>
        </row>
        <row r="14">
          <cell r="F14" t="str">
            <v>Да</v>
          </cell>
          <cell r="J14" t="str">
            <v>Да</v>
          </cell>
          <cell r="N14" t="str">
            <v>Да</v>
          </cell>
          <cell r="R14" t="str">
            <v>Да</v>
          </cell>
          <cell r="V14" t="str">
            <v>Да</v>
          </cell>
          <cell r="Z14" t="str">
            <v>Да</v>
          </cell>
          <cell r="AD14" t="str">
            <v>Да</v>
          </cell>
          <cell r="AH14" t="str">
            <v>Да</v>
          </cell>
          <cell r="AL14" t="str">
            <v>Да</v>
          </cell>
          <cell r="AP14" t="str">
            <v>Да</v>
          </cell>
          <cell r="AT14" t="str">
            <v>Да</v>
          </cell>
          <cell r="AX14" t="str">
            <v>Да</v>
          </cell>
        </row>
        <row r="15">
          <cell r="F15" t="str">
            <v>Да</v>
          </cell>
          <cell r="J15" t="str">
            <v>Нет</v>
          </cell>
          <cell r="N15" t="str">
            <v>Нет</v>
          </cell>
          <cell r="R15" t="str">
            <v>Нет</v>
          </cell>
          <cell r="V15" t="str">
            <v>Нет</v>
          </cell>
          <cell r="Z15" t="str">
            <v>Нет</v>
          </cell>
          <cell r="AD15" t="str">
            <v>Нет</v>
          </cell>
          <cell r="AH15" t="str">
            <v>Нет</v>
          </cell>
          <cell r="AL15" t="str">
            <v>Нет</v>
          </cell>
          <cell r="AP15" t="str">
            <v>Нет</v>
          </cell>
          <cell r="AT15" t="str">
            <v>Нет</v>
          </cell>
          <cell r="AX15" t="str">
            <v>Нет</v>
          </cell>
        </row>
      </sheetData>
      <sheetData sheetId="27">
        <row r="3">
          <cell r="G3" t="str">
            <v>Да</v>
          </cell>
          <cell r="N3" t="str">
            <v>Да</v>
          </cell>
          <cell r="S3" t="str">
            <v>Да</v>
          </cell>
          <cell r="AE3" t="str">
            <v>Да</v>
          </cell>
          <cell r="AK3" t="str">
            <v>Да</v>
          </cell>
          <cell r="AQ3" t="str">
            <v>Да</v>
          </cell>
          <cell r="AX3" t="str">
            <v>Да</v>
          </cell>
          <cell r="BD3" t="str">
            <v>Да</v>
          </cell>
          <cell r="BJ3" t="str">
            <v>Да</v>
          </cell>
          <cell r="BR3" t="str">
            <v>Да</v>
          </cell>
          <cell r="BW3" t="str">
            <v>Да</v>
          </cell>
        </row>
        <row r="4">
          <cell r="G4" t="str">
            <v>Да</v>
          </cell>
          <cell r="N4" t="str">
            <v>Да</v>
          </cell>
          <cell r="S4" t="str">
            <v>Да</v>
          </cell>
          <cell r="AE4" t="str">
            <v>Да</v>
          </cell>
          <cell r="AK4" t="str">
            <v>Да</v>
          </cell>
          <cell r="AQ4" t="str">
            <v>Да</v>
          </cell>
          <cell r="AX4" t="str">
            <v>Да</v>
          </cell>
          <cell r="BD4" t="str">
            <v>Да</v>
          </cell>
          <cell r="BJ4" t="str">
            <v>Да</v>
          </cell>
          <cell r="BR4" t="str">
            <v>Да</v>
          </cell>
          <cell r="BW4" t="str">
            <v>Да</v>
          </cell>
        </row>
        <row r="5">
          <cell r="G5" t="str">
            <v>Да</v>
          </cell>
          <cell r="N5" t="str">
            <v>Да</v>
          </cell>
          <cell r="S5" t="str">
            <v>Да</v>
          </cell>
          <cell r="AE5" t="str">
            <v>Да</v>
          </cell>
          <cell r="AK5" t="str">
            <v>Да</v>
          </cell>
          <cell r="AQ5" t="str">
            <v>Да</v>
          </cell>
          <cell r="AX5" t="str">
            <v>Да</v>
          </cell>
          <cell r="BD5" t="str">
            <v>Да</v>
          </cell>
          <cell r="BJ5" t="str">
            <v>Да</v>
          </cell>
          <cell r="BR5" t="str">
            <v>Да</v>
          </cell>
          <cell r="BW5" t="str">
            <v>Да</v>
          </cell>
        </row>
        <row r="6">
          <cell r="G6" t="str">
            <v>Нет</v>
          </cell>
          <cell r="N6" t="str">
            <v>Да</v>
          </cell>
          <cell r="S6" t="str">
            <v>Да</v>
          </cell>
          <cell r="AE6" t="str">
            <v>Да</v>
          </cell>
          <cell r="AK6" t="str">
            <v>Да</v>
          </cell>
          <cell r="AQ6" t="str">
            <v>Нет</v>
          </cell>
          <cell r="AX6" t="str">
            <v>Да</v>
          </cell>
          <cell r="BD6" t="str">
            <v>Да</v>
          </cell>
          <cell r="BJ6" t="str">
            <v>Да</v>
          </cell>
          <cell r="BR6" t="str">
            <v>Да</v>
          </cell>
          <cell r="BW6" t="str">
            <v>Нет</v>
          </cell>
        </row>
        <row r="7">
          <cell r="G7" t="str">
            <v>Да</v>
          </cell>
          <cell r="N7" t="str">
            <v>Да</v>
          </cell>
          <cell r="S7" t="str">
            <v>Да</v>
          </cell>
          <cell r="AE7" t="str">
            <v>Да</v>
          </cell>
          <cell r="AK7" t="str">
            <v>Да</v>
          </cell>
          <cell r="AQ7" t="str">
            <v>Да</v>
          </cell>
          <cell r="AX7" t="str">
            <v>Да</v>
          </cell>
          <cell r="BD7" t="str">
            <v>Да</v>
          </cell>
          <cell r="BJ7" t="str">
            <v>Да</v>
          </cell>
          <cell r="BR7" t="str">
            <v>Да</v>
          </cell>
          <cell r="BW7" t="str">
            <v>Да</v>
          </cell>
        </row>
        <row r="8">
          <cell r="G8" t="str">
            <v>Да</v>
          </cell>
          <cell r="N8" t="str">
            <v>Да</v>
          </cell>
          <cell r="S8" t="str">
            <v>Да</v>
          </cell>
          <cell r="AE8" t="str">
            <v>Да</v>
          </cell>
          <cell r="AK8" t="str">
            <v>Нет</v>
          </cell>
          <cell r="AQ8" t="str">
            <v>Да</v>
          </cell>
          <cell r="AX8" t="str">
            <v>Да</v>
          </cell>
          <cell r="BD8" t="str">
            <v>Да</v>
          </cell>
          <cell r="BJ8" t="str">
            <v>Да</v>
          </cell>
          <cell r="BR8" t="str">
            <v>Да</v>
          </cell>
          <cell r="BW8" t="str">
            <v>Да</v>
          </cell>
        </row>
        <row r="9">
          <cell r="G9" t="str">
            <v>Да</v>
          </cell>
          <cell r="N9" t="str">
            <v>Да</v>
          </cell>
          <cell r="S9" t="str">
            <v>Да</v>
          </cell>
          <cell r="AE9" t="str">
            <v>Да</v>
          </cell>
          <cell r="AK9" t="str">
            <v>Да</v>
          </cell>
          <cell r="AQ9" t="str">
            <v>Да</v>
          </cell>
          <cell r="AX9" t="str">
            <v>Да</v>
          </cell>
          <cell r="BD9" t="str">
            <v>Да</v>
          </cell>
          <cell r="BJ9" t="str">
            <v>Да</v>
          </cell>
          <cell r="BR9" t="str">
            <v>Да</v>
          </cell>
          <cell r="BW9" t="str">
            <v>Да</v>
          </cell>
        </row>
        <row r="10">
          <cell r="G10" t="str">
            <v>Да</v>
          </cell>
          <cell r="N10" t="str">
            <v>Да</v>
          </cell>
          <cell r="S10" t="str">
            <v>Да</v>
          </cell>
          <cell r="AE10" t="str">
            <v>Да</v>
          </cell>
          <cell r="AK10" t="str">
            <v>Да</v>
          </cell>
          <cell r="AQ10" t="str">
            <v>Да</v>
          </cell>
          <cell r="AX10" t="str">
            <v>Да</v>
          </cell>
          <cell r="BD10" t="str">
            <v>Да</v>
          </cell>
          <cell r="BJ10" t="str">
            <v>Да</v>
          </cell>
          <cell r="BR10" t="str">
            <v>Да</v>
          </cell>
          <cell r="BW10" t="str">
            <v>Да</v>
          </cell>
        </row>
        <row r="11">
          <cell r="G11" t="str">
            <v>Да</v>
          </cell>
          <cell r="N11" t="str">
            <v>Да</v>
          </cell>
          <cell r="S11" t="str">
            <v>Да</v>
          </cell>
          <cell r="AE11" t="str">
            <v>Да</v>
          </cell>
          <cell r="AK11" t="str">
            <v>Да</v>
          </cell>
          <cell r="AQ11" t="str">
            <v>Да</v>
          </cell>
          <cell r="AX11" t="str">
            <v>Да</v>
          </cell>
          <cell r="BD11" t="str">
            <v>Да</v>
          </cell>
          <cell r="BJ11" t="str">
            <v>Да</v>
          </cell>
          <cell r="BR11" t="str">
            <v>Да</v>
          </cell>
          <cell r="BW11" t="str">
            <v>Да</v>
          </cell>
        </row>
        <row r="12">
          <cell r="G12" t="str">
            <v>Да</v>
          </cell>
          <cell r="N12" t="str">
            <v>Да</v>
          </cell>
          <cell r="S12" t="str">
            <v>Да</v>
          </cell>
          <cell r="AE12" t="str">
            <v>Да</v>
          </cell>
          <cell r="AK12" t="str">
            <v>Да</v>
          </cell>
          <cell r="AQ12" t="str">
            <v>Да</v>
          </cell>
          <cell r="AX12" t="str">
            <v>Нет</v>
          </cell>
          <cell r="BD12" t="str">
            <v>Да</v>
          </cell>
          <cell r="BJ12" t="str">
            <v>Да</v>
          </cell>
          <cell r="BR12" t="str">
            <v>Да</v>
          </cell>
          <cell r="BW12" t="str">
            <v>Да</v>
          </cell>
        </row>
        <row r="13">
          <cell r="G13" t="str">
            <v>Да</v>
          </cell>
          <cell r="N13" t="str">
            <v>Да</v>
          </cell>
          <cell r="S13" t="str">
            <v>Да</v>
          </cell>
          <cell r="AE13" t="str">
            <v>Да</v>
          </cell>
          <cell r="AK13" t="str">
            <v>Да</v>
          </cell>
          <cell r="AQ13" t="str">
            <v>Да</v>
          </cell>
          <cell r="AX13" t="str">
            <v>Да</v>
          </cell>
          <cell r="BD13" t="str">
            <v>Да</v>
          </cell>
          <cell r="BJ13" t="str">
            <v>Да</v>
          </cell>
          <cell r="BR13" t="str">
            <v>Да</v>
          </cell>
          <cell r="BW13" t="str">
            <v>Да</v>
          </cell>
        </row>
        <row r="14">
          <cell r="G14" t="str">
            <v>Да</v>
          </cell>
          <cell r="N14" t="str">
            <v>Да</v>
          </cell>
          <cell r="S14" t="str">
            <v>Да</v>
          </cell>
          <cell r="AE14" t="str">
            <v>Да</v>
          </cell>
          <cell r="AK14" t="str">
            <v>Да</v>
          </cell>
          <cell r="AQ14" t="str">
            <v>Да</v>
          </cell>
          <cell r="AX14" t="str">
            <v>Да</v>
          </cell>
          <cell r="BD14" t="str">
            <v>Да</v>
          </cell>
          <cell r="BJ14" t="str">
            <v>Да</v>
          </cell>
          <cell r="BR14" t="str">
            <v>Да</v>
          </cell>
          <cell r="BW14" t="str">
            <v>Да</v>
          </cell>
        </row>
        <row r="15">
          <cell r="G15" t="str">
            <v>Да</v>
          </cell>
          <cell r="N15" t="str">
            <v>Да</v>
          </cell>
          <cell r="S15" t="str">
            <v>Да</v>
          </cell>
          <cell r="AE15" t="str">
            <v>Да</v>
          </cell>
          <cell r="AK15" t="str">
            <v>Да</v>
          </cell>
          <cell r="AQ15" t="str">
            <v>Да</v>
          </cell>
          <cell r="AX15" t="str">
            <v>Да</v>
          </cell>
          <cell r="BD15" t="str">
            <v>Да</v>
          </cell>
          <cell r="BJ15" t="str">
            <v>Да</v>
          </cell>
          <cell r="BR15" t="str">
            <v>Да</v>
          </cell>
          <cell r="BW15" t="str">
            <v>Да</v>
          </cell>
        </row>
        <row r="16">
          <cell r="G16" t="str">
            <v>Да</v>
          </cell>
          <cell r="N16" t="str">
            <v>Да</v>
          </cell>
          <cell r="S16" t="str">
            <v>Да</v>
          </cell>
          <cell r="AE16" t="str">
            <v>Да</v>
          </cell>
          <cell r="AK16" t="str">
            <v>Да</v>
          </cell>
          <cell r="AQ16" t="str">
            <v>Да</v>
          </cell>
          <cell r="AX16" t="str">
            <v>Да</v>
          </cell>
          <cell r="BD16" t="str">
            <v>Да</v>
          </cell>
          <cell r="BJ16" t="str">
            <v>Да</v>
          </cell>
          <cell r="BR16" t="str">
            <v>Да</v>
          </cell>
          <cell r="BW16" t="str">
            <v>Да</v>
          </cell>
        </row>
        <row r="17">
          <cell r="G17" t="str">
            <v>Да</v>
          </cell>
          <cell r="N17" t="str">
            <v>Да</v>
          </cell>
          <cell r="S17" t="str">
            <v>Да</v>
          </cell>
          <cell r="AE17" t="str">
            <v>Да</v>
          </cell>
          <cell r="AK17" t="str">
            <v>Да</v>
          </cell>
          <cell r="AQ17" t="str">
            <v>Да</v>
          </cell>
          <cell r="AX17" t="str">
            <v>Да</v>
          </cell>
          <cell r="BD17" t="str">
            <v>Да</v>
          </cell>
          <cell r="BJ17" t="str">
            <v>Да</v>
          </cell>
          <cell r="BR17" t="str">
            <v>Да</v>
          </cell>
          <cell r="BW17" t="str">
            <v>Да</v>
          </cell>
        </row>
        <row r="18">
          <cell r="G18" t="str">
            <v>Да</v>
          </cell>
          <cell r="N18" t="str">
            <v>Да</v>
          </cell>
          <cell r="S18" t="str">
            <v>Да</v>
          </cell>
          <cell r="AE18" t="str">
            <v>Да</v>
          </cell>
          <cell r="AK18" t="str">
            <v>Да</v>
          </cell>
          <cell r="AQ18" t="str">
            <v>Да</v>
          </cell>
          <cell r="AX18" t="str">
            <v>Да</v>
          </cell>
          <cell r="BD18" t="str">
            <v>Да</v>
          </cell>
          <cell r="BJ18" t="str">
            <v>Да</v>
          </cell>
          <cell r="BR18" t="str">
            <v>Да</v>
          </cell>
          <cell r="BW18" t="str">
            <v>Да</v>
          </cell>
        </row>
        <row r="19">
          <cell r="G19" t="str">
            <v>Нет</v>
          </cell>
          <cell r="N19" t="str">
            <v>Да</v>
          </cell>
          <cell r="S19" t="str">
            <v>Да</v>
          </cell>
          <cell r="AE19" t="str">
            <v>Да</v>
          </cell>
          <cell r="AK19" t="str">
            <v>Да</v>
          </cell>
          <cell r="AQ19" t="str">
            <v>Да</v>
          </cell>
          <cell r="AX19" t="str">
            <v>Да</v>
          </cell>
          <cell r="BD19" t="str">
            <v>Да</v>
          </cell>
          <cell r="BJ19" t="str">
            <v>Да</v>
          </cell>
          <cell r="BR19" t="str">
            <v>Да</v>
          </cell>
          <cell r="BW19" t="str">
            <v>Да</v>
          </cell>
        </row>
        <row r="20">
          <cell r="G20" t="str">
            <v>Да</v>
          </cell>
          <cell r="N20" t="str">
            <v>Да</v>
          </cell>
          <cell r="S20" t="str">
            <v>Да</v>
          </cell>
          <cell r="AE20" t="str">
            <v>Да</v>
          </cell>
          <cell r="AK20" t="str">
            <v>Да</v>
          </cell>
          <cell r="AQ20" t="str">
            <v>Да</v>
          </cell>
          <cell r="AX20" t="str">
            <v>Да</v>
          </cell>
          <cell r="BD20" t="str">
            <v>Да</v>
          </cell>
          <cell r="BJ20" t="str">
            <v>Да</v>
          </cell>
          <cell r="BR20" t="str">
            <v>Да</v>
          </cell>
          <cell r="BW20" t="str">
            <v>Да</v>
          </cell>
        </row>
        <row r="21">
          <cell r="G21" t="str">
            <v>Да</v>
          </cell>
          <cell r="N21" t="str">
            <v>Да</v>
          </cell>
          <cell r="S21" t="str">
            <v>Да</v>
          </cell>
          <cell r="AE21" t="str">
            <v>Да</v>
          </cell>
          <cell r="AK21" t="str">
            <v>Да</v>
          </cell>
          <cell r="AQ21" t="str">
            <v>Да</v>
          </cell>
          <cell r="AX21" t="str">
            <v>Да</v>
          </cell>
          <cell r="BD21" t="str">
            <v>Нет</v>
          </cell>
          <cell r="BJ21" t="str">
            <v>Да</v>
          </cell>
          <cell r="BR21" t="str">
            <v>Да</v>
          </cell>
          <cell r="BW21" t="str">
            <v>Да</v>
          </cell>
        </row>
        <row r="22">
          <cell r="G22" t="str">
            <v>Да</v>
          </cell>
          <cell r="N22" t="str">
            <v>Да</v>
          </cell>
          <cell r="S22" t="str">
            <v>Да</v>
          </cell>
          <cell r="AE22" t="str">
            <v>Да</v>
          </cell>
          <cell r="AK22" t="str">
            <v>Да</v>
          </cell>
          <cell r="AQ22" t="str">
            <v>Да</v>
          </cell>
          <cell r="AX22" t="str">
            <v>Да</v>
          </cell>
          <cell r="BD22" t="str">
            <v>Да</v>
          </cell>
          <cell r="BJ22" t="str">
            <v>Да</v>
          </cell>
          <cell r="BR22" t="str">
            <v>Да</v>
          </cell>
          <cell r="BW22" t="str">
            <v>Да</v>
          </cell>
        </row>
        <row r="23">
          <cell r="G23"/>
          <cell r="N23"/>
          <cell r="S23"/>
          <cell r="AE23" t="str">
            <v>Да</v>
          </cell>
          <cell r="AK23" t="str">
            <v>Да</v>
          </cell>
          <cell r="AQ23" t="str">
            <v>Да</v>
          </cell>
          <cell r="AX23" t="str">
            <v>Да</v>
          </cell>
          <cell r="BD23" t="str">
            <v>Да</v>
          </cell>
          <cell r="BJ23" t="str">
            <v>Да</v>
          </cell>
          <cell r="BR23" t="str">
            <v>Да</v>
          </cell>
          <cell r="BW23" t="str">
            <v>Да</v>
          </cell>
        </row>
        <row r="24">
          <cell r="G24" t="str">
            <v>Да</v>
          </cell>
          <cell r="N24" t="str">
            <v>Да</v>
          </cell>
          <cell r="S24" t="str">
            <v>Да</v>
          </cell>
          <cell r="AE24" t="str">
            <v>Да</v>
          </cell>
          <cell r="AK24" t="str">
            <v>Да</v>
          </cell>
          <cell r="AQ24" t="str">
            <v>Да</v>
          </cell>
          <cell r="AX24" t="str">
            <v>Да</v>
          </cell>
          <cell r="BD24" t="str">
            <v>Да</v>
          </cell>
          <cell r="BJ24" t="str">
            <v>Да</v>
          </cell>
          <cell r="BR24" t="str">
            <v>Да</v>
          </cell>
          <cell r="BW24" t="str">
            <v>Да</v>
          </cell>
        </row>
        <row r="25">
          <cell r="G25" t="str">
            <v>Да</v>
          </cell>
          <cell r="N25" t="str">
            <v>Да</v>
          </cell>
          <cell r="S25" t="str">
            <v>Да</v>
          </cell>
          <cell r="AE25" t="str">
            <v>Да</v>
          </cell>
          <cell r="AK25" t="str">
            <v>Да</v>
          </cell>
          <cell r="AQ25" t="str">
            <v>Да</v>
          </cell>
          <cell r="AX25" t="str">
            <v>Нет</v>
          </cell>
          <cell r="BD25" t="str">
            <v>Да</v>
          </cell>
          <cell r="BJ25" t="str">
            <v>Да</v>
          </cell>
          <cell r="BR25" t="str">
            <v>Да</v>
          </cell>
          <cell r="BW25" t="str">
            <v>Да</v>
          </cell>
        </row>
        <row r="26">
          <cell r="G26"/>
          <cell r="N26"/>
          <cell r="S26" t="str">
            <v>Да</v>
          </cell>
          <cell r="AE26" t="str">
            <v>Да</v>
          </cell>
          <cell r="AK26" t="str">
            <v>Да</v>
          </cell>
          <cell r="AQ26" t="str">
            <v>Да</v>
          </cell>
          <cell r="AX26" t="str">
            <v>Да</v>
          </cell>
          <cell r="BD26" t="str">
            <v>Да</v>
          </cell>
          <cell r="BJ26" t="str">
            <v>Да</v>
          </cell>
          <cell r="BR26" t="str">
            <v>Да</v>
          </cell>
          <cell r="BW26" t="str">
            <v>Да</v>
          </cell>
        </row>
        <row r="27">
          <cell r="G27" t="str">
            <v>Да</v>
          </cell>
          <cell r="N27" t="str">
            <v>Да</v>
          </cell>
          <cell r="S27" t="str">
            <v>Да</v>
          </cell>
          <cell r="AE27" t="str">
            <v>Да</v>
          </cell>
          <cell r="AK27" t="str">
            <v>Да</v>
          </cell>
          <cell r="AQ27" t="str">
            <v>Да</v>
          </cell>
          <cell r="AX27" t="str">
            <v>Да</v>
          </cell>
          <cell r="BD27" t="str">
            <v>Да</v>
          </cell>
          <cell r="BJ27" t="str">
            <v>Да</v>
          </cell>
          <cell r="BR27" t="str">
            <v>Да</v>
          </cell>
          <cell r="BW27" t="str">
            <v>Да</v>
          </cell>
        </row>
        <row r="28">
          <cell r="G28" t="str">
            <v>Да</v>
          </cell>
          <cell r="N28" t="str">
            <v>Да</v>
          </cell>
          <cell r="S28" t="str">
            <v>Да</v>
          </cell>
          <cell r="AE28" t="str">
            <v>Да</v>
          </cell>
          <cell r="AK28" t="str">
            <v>Да</v>
          </cell>
          <cell r="AQ28" t="str">
            <v>Да</v>
          </cell>
          <cell r="AX28" t="str">
            <v>Да</v>
          </cell>
          <cell r="BD28" t="str">
            <v>Да</v>
          </cell>
          <cell r="BJ28" t="str">
            <v>Да</v>
          </cell>
          <cell r="BR28" t="str">
            <v>Да</v>
          </cell>
          <cell r="BW28" t="str">
            <v>Да</v>
          </cell>
        </row>
        <row r="29">
          <cell r="G29" t="str">
            <v>Да</v>
          </cell>
          <cell r="N29" t="str">
            <v>Да</v>
          </cell>
          <cell r="S29" t="str">
            <v>Да</v>
          </cell>
          <cell r="AE29" t="str">
            <v>Да</v>
          </cell>
          <cell r="AK29" t="str">
            <v>Да</v>
          </cell>
          <cell r="AQ29" t="str">
            <v>Да</v>
          </cell>
          <cell r="AX29" t="str">
            <v>Да</v>
          </cell>
          <cell r="BD29" t="str">
            <v>Да</v>
          </cell>
          <cell r="BJ29" t="str">
            <v>Да</v>
          </cell>
          <cell r="BR29" t="str">
            <v>Да</v>
          </cell>
          <cell r="BW29" t="str">
            <v>Да</v>
          </cell>
        </row>
        <row r="30">
          <cell r="G30"/>
          <cell r="N30"/>
          <cell r="S30"/>
          <cell r="AE30" t="str">
            <v>Да</v>
          </cell>
          <cell r="AK30" t="str">
            <v>Да</v>
          </cell>
          <cell r="AQ30" t="str">
            <v>Да</v>
          </cell>
          <cell r="AX30" t="str">
            <v>Да</v>
          </cell>
          <cell r="BD30" t="str">
            <v>Да</v>
          </cell>
          <cell r="BJ30" t="str">
            <v>Да</v>
          </cell>
          <cell r="BR30" t="str">
            <v>Да</v>
          </cell>
          <cell r="BW30" t="str">
            <v>Да</v>
          </cell>
        </row>
        <row r="31">
          <cell r="G31" t="str">
            <v>Нет</v>
          </cell>
          <cell r="N31" t="str">
            <v>Да</v>
          </cell>
          <cell r="S31" t="str">
            <v>Да</v>
          </cell>
          <cell r="AE31" t="str">
            <v>Да</v>
          </cell>
          <cell r="AK31" t="str">
            <v>Да</v>
          </cell>
          <cell r="AQ31" t="str">
            <v>Да</v>
          </cell>
          <cell r="AX31" t="str">
            <v>Да</v>
          </cell>
          <cell r="BD31" t="str">
            <v>Да</v>
          </cell>
          <cell r="BJ31" t="str">
            <v>Да</v>
          </cell>
          <cell r="BR31" t="str">
            <v>Да</v>
          </cell>
          <cell r="BW31" t="str">
            <v>Да</v>
          </cell>
        </row>
        <row r="32">
          <cell r="G32" t="str">
            <v>Да</v>
          </cell>
          <cell r="N32" t="str">
            <v>Да</v>
          </cell>
          <cell r="S32" t="str">
            <v>Да</v>
          </cell>
          <cell r="AE32" t="str">
            <v>Да</v>
          </cell>
          <cell r="AK32" t="str">
            <v>Да</v>
          </cell>
          <cell r="AQ32" t="str">
            <v>Да</v>
          </cell>
          <cell r="AX32" t="str">
            <v>Да</v>
          </cell>
          <cell r="BD32" t="str">
            <v>Да</v>
          </cell>
          <cell r="BJ32" t="str">
            <v>Да</v>
          </cell>
          <cell r="BR32" t="str">
            <v>Да</v>
          </cell>
          <cell r="BW32" t="str">
            <v>Да</v>
          </cell>
        </row>
        <row r="33">
          <cell r="G33" t="str">
            <v>Да</v>
          </cell>
          <cell r="N33" t="str">
            <v>Да</v>
          </cell>
          <cell r="S33" t="str">
            <v>Да</v>
          </cell>
          <cell r="AE33" t="str">
            <v>Да</v>
          </cell>
          <cell r="AK33" t="str">
            <v>Да</v>
          </cell>
          <cell r="AQ33" t="str">
            <v>Да</v>
          </cell>
          <cell r="AX33" t="str">
            <v>Да</v>
          </cell>
          <cell r="BD33" t="str">
            <v>Да</v>
          </cell>
          <cell r="BJ33" t="str">
            <v>Да</v>
          </cell>
          <cell r="BR33" t="str">
            <v>Да</v>
          </cell>
          <cell r="BW33" t="str">
            <v>Да</v>
          </cell>
        </row>
        <row r="34">
          <cell r="G34" t="str">
            <v>Нет</v>
          </cell>
          <cell r="N34" t="str">
            <v>Да</v>
          </cell>
          <cell r="S34" t="str">
            <v>Да</v>
          </cell>
          <cell r="AE34" t="str">
            <v>Да</v>
          </cell>
          <cell r="AK34" t="str">
            <v>Да</v>
          </cell>
          <cell r="AQ34" t="str">
            <v>Да</v>
          </cell>
          <cell r="AX34" t="str">
            <v>Да</v>
          </cell>
          <cell r="BD34" t="str">
            <v>Да</v>
          </cell>
          <cell r="BJ34" t="str">
            <v>Да</v>
          </cell>
          <cell r="BR34" t="str">
            <v>Да</v>
          </cell>
          <cell r="BW34" t="str">
            <v>Да</v>
          </cell>
        </row>
        <row r="35">
          <cell r="G35" t="str">
            <v>Да</v>
          </cell>
          <cell r="N35" t="str">
            <v>Да</v>
          </cell>
          <cell r="S35" t="str">
            <v>Да</v>
          </cell>
          <cell r="AE35" t="str">
            <v>Нет</v>
          </cell>
          <cell r="AK35" t="str">
            <v>Нет</v>
          </cell>
          <cell r="AQ35" t="str">
            <v>Нет</v>
          </cell>
          <cell r="AX35" t="str">
            <v>Да</v>
          </cell>
          <cell r="BD35" t="str">
            <v>Да</v>
          </cell>
          <cell r="BJ35" t="str">
            <v>Нет</v>
          </cell>
          <cell r="BR35" t="str">
            <v>Да</v>
          </cell>
          <cell r="BW35" t="str">
            <v>Да</v>
          </cell>
        </row>
        <row r="36">
          <cell r="G36"/>
          <cell r="N36"/>
          <cell r="S36" t="str">
            <v>Да</v>
          </cell>
          <cell r="AE36" t="str">
            <v>Да</v>
          </cell>
          <cell r="AK36" t="str">
            <v>Да</v>
          </cell>
          <cell r="AQ36" t="str">
            <v>Да</v>
          </cell>
          <cell r="AX36" t="str">
            <v>Да</v>
          </cell>
          <cell r="BD36" t="str">
            <v>Да</v>
          </cell>
          <cell r="BJ36" t="str">
            <v>Да</v>
          </cell>
          <cell r="BR36" t="str">
            <v>Да</v>
          </cell>
          <cell r="BW36" t="str">
            <v>Да</v>
          </cell>
        </row>
        <row r="37">
          <cell r="G37" t="str">
            <v>Да</v>
          </cell>
          <cell r="N37" t="str">
            <v>Да</v>
          </cell>
          <cell r="S37" t="str">
            <v>Да</v>
          </cell>
          <cell r="AE37" t="str">
            <v>Да</v>
          </cell>
          <cell r="AK37" t="str">
            <v>Да</v>
          </cell>
          <cell r="AQ37" t="str">
            <v>Да</v>
          </cell>
          <cell r="AX37" t="str">
            <v>Да</v>
          </cell>
          <cell r="BD37" t="str">
            <v>Да</v>
          </cell>
          <cell r="BJ37" t="str">
            <v>Да</v>
          </cell>
          <cell r="BR37" t="str">
            <v>Да</v>
          </cell>
          <cell r="BW37" t="str">
            <v>Да</v>
          </cell>
        </row>
        <row r="38">
          <cell r="G38" t="str">
            <v>Да</v>
          </cell>
          <cell r="N38" t="str">
            <v>Да</v>
          </cell>
          <cell r="S38" t="str">
            <v>Да</v>
          </cell>
          <cell r="AE38" t="str">
            <v>Да</v>
          </cell>
          <cell r="AK38" t="str">
            <v>Да</v>
          </cell>
          <cell r="AQ38" t="str">
            <v>Да</v>
          </cell>
          <cell r="AX38" t="str">
            <v>Нет</v>
          </cell>
          <cell r="BD38" t="str">
            <v>Да</v>
          </cell>
          <cell r="BJ38" t="str">
            <v>Да</v>
          </cell>
          <cell r="BR38" t="str">
            <v>Нет</v>
          </cell>
          <cell r="BW38" t="str">
            <v>Нет</v>
          </cell>
        </row>
        <row r="39">
          <cell r="G39" t="str">
            <v>Да</v>
          </cell>
          <cell r="N39" t="str">
            <v>Да</v>
          </cell>
          <cell r="S39" t="str">
            <v>Да</v>
          </cell>
          <cell r="AE39" t="str">
            <v>Да</v>
          </cell>
          <cell r="AK39" t="str">
            <v>Да</v>
          </cell>
          <cell r="AQ39" t="str">
            <v>Да</v>
          </cell>
          <cell r="AX39" t="str">
            <v>Да</v>
          </cell>
          <cell r="BD39" t="str">
            <v>Да</v>
          </cell>
          <cell r="BJ39" t="str">
            <v>Да</v>
          </cell>
          <cell r="BR39" t="str">
            <v>Да</v>
          </cell>
          <cell r="BW39" t="str">
            <v>Да</v>
          </cell>
        </row>
        <row r="40">
          <cell r="G40"/>
          <cell r="N40"/>
          <cell r="S40"/>
          <cell r="AE40" t="str">
            <v>Да</v>
          </cell>
          <cell r="AK40" t="str">
            <v>Да</v>
          </cell>
          <cell r="AQ40" t="str">
            <v>Да</v>
          </cell>
          <cell r="AX40" t="str">
            <v>Да</v>
          </cell>
          <cell r="BD40" t="str">
            <v>Да</v>
          </cell>
          <cell r="BJ40" t="str">
            <v>Да</v>
          </cell>
          <cell r="BR40" t="str">
            <v>Да</v>
          </cell>
          <cell r="BW40" t="str">
            <v>Да</v>
          </cell>
        </row>
        <row r="41">
          <cell r="G41" t="str">
            <v>Да</v>
          </cell>
          <cell r="N41" t="str">
            <v>Да</v>
          </cell>
          <cell r="S41" t="str">
            <v>Да</v>
          </cell>
          <cell r="AE41" t="str">
            <v>Да</v>
          </cell>
          <cell r="AK41" t="str">
            <v>Да</v>
          </cell>
          <cell r="AQ41" t="str">
            <v>Да</v>
          </cell>
          <cell r="AX41" t="str">
            <v>Да</v>
          </cell>
          <cell r="BD41" t="str">
            <v>Да</v>
          </cell>
          <cell r="BJ41" t="str">
            <v>Да</v>
          </cell>
          <cell r="BR41" t="str">
            <v>Да</v>
          </cell>
          <cell r="BW41" t="str">
            <v>Да</v>
          </cell>
        </row>
        <row r="42">
          <cell r="G42" t="str">
            <v>Да</v>
          </cell>
          <cell r="N42" t="str">
            <v>Да</v>
          </cell>
          <cell r="S42" t="str">
            <v>Да</v>
          </cell>
          <cell r="AE42" t="str">
            <v>Да</v>
          </cell>
          <cell r="AK42" t="str">
            <v>Да</v>
          </cell>
          <cell r="AQ42" t="str">
            <v>Да</v>
          </cell>
          <cell r="AX42" t="str">
            <v>Да</v>
          </cell>
          <cell r="BD42" t="str">
            <v>Да</v>
          </cell>
          <cell r="BJ42" t="str">
            <v>Да</v>
          </cell>
          <cell r="BR42" t="str">
            <v>Да</v>
          </cell>
          <cell r="BW42" t="str">
            <v>Да</v>
          </cell>
        </row>
        <row r="43">
          <cell r="G43" t="str">
            <v>Да</v>
          </cell>
          <cell r="N43" t="str">
            <v>Да</v>
          </cell>
          <cell r="S43" t="str">
            <v>Да</v>
          </cell>
          <cell r="AE43" t="str">
            <v>Нет</v>
          </cell>
          <cell r="AK43" t="str">
            <v>Да</v>
          </cell>
          <cell r="AQ43" t="str">
            <v>Да</v>
          </cell>
          <cell r="AX43" t="str">
            <v>Нет</v>
          </cell>
          <cell r="BD43" t="str">
            <v>Да</v>
          </cell>
          <cell r="BJ43" t="str">
            <v>Да</v>
          </cell>
          <cell r="BR43" t="str">
            <v>Нет</v>
          </cell>
          <cell r="BW43" t="str">
            <v>Да</v>
          </cell>
        </row>
        <row r="44">
          <cell r="G44" t="str">
            <v>Да</v>
          </cell>
          <cell r="N44" t="str">
            <v>Да</v>
          </cell>
          <cell r="S44" t="str">
            <v>Да</v>
          </cell>
          <cell r="AE44" t="str">
            <v>Да</v>
          </cell>
          <cell r="AK44" t="str">
            <v>Да</v>
          </cell>
          <cell r="AQ44" t="str">
            <v>Да</v>
          </cell>
          <cell r="AX44" t="str">
            <v>Да</v>
          </cell>
          <cell r="BD44" t="str">
            <v>Да</v>
          </cell>
          <cell r="BJ44" t="str">
            <v>Да</v>
          </cell>
          <cell r="BR44" t="str">
            <v>Да</v>
          </cell>
          <cell r="BW44" t="str">
            <v>Да</v>
          </cell>
        </row>
        <row r="45">
          <cell r="G45" t="str">
            <v>Да</v>
          </cell>
          <cell r="N45" t="str">
            <v>Да</v>
          </cell>
          <cell r="S45" t="str">
            <v>Нет</v>
          </cell>
          <cell r="AE45" t="str">
            <v>Да</v>
          </cell>
          <cell r="AK45" t="str">
            <v>Да</v>
          </cell>
          <cell r="AQ45" t="str">
            <v>Да</v>
          </cell>
          <cell r="AX45" t="str">
            <v>Да</v>
          </cell>
          <cell r="BD45" t="str">
            <v>Да</v>
          </cell>
          <cell r="BJ45" t="str">
            <v>Да</v>
          </cell>
          <cell r="BR45" t="str">
            <v>Нет</v>
          </cell>
          <cell r="BW45" t="str">
            <v>Нет</v>
          </cell>
        </row>
        <row r="46">
          <cell r="G46" t="str">
            <v>Да</v>
          </cell>
          <cell r="N46" t="str">
            <v>Да</v>
          </cell>
          <cell r="S46" t="str">
            <v>Да</v>
          </cell>
          <cell r="AE46" t="str">
            <v>Да</v>
          </cell>
          <cell r="AK46" t="str">
            <v>Да</v>
          </cell>
          <cell r="AQ46" t="str">
            <v>Да</v>
          </cell>
          <cell r="AX46" t="str">
            <v>Да</v>
          </cell>
          <cell r="BD46" t="str">
            <v>Да</v>
          </cell>
          <cell r="BJ46" t="str">
            <v>Да</v>
          </cell>
          <cell r="BR46" t="str">
            <v>Нет</v>
          </cell>
          <cell r="BW46" t="str">
            <v>Да</v>
          </cell>
        </row>
        <row r="47">
          <cell r="G47"/>
          <cell r="N47"/>
          <cell r="S47"/>
          <cell r="AE47" t="str">
            <v>Да</v>
          </cell>
          <cell r="AK47" t="str">
            <v>Да</v>
          </cell>
          <cell r="AQ47" t="str">
            <v>Да</v>
          </cell>
          <cell r="AX47" t="str">
            <v>Да</v>
          </cell>
          <cell r="BD47" t="str">
            <v>Да</v>
          </cell>
          <cell r="BJ47" t="str">
            <v>Да</v>
          </cell>
          <cell r="BR47" t="str">
            <v>Да</v>
          </cell>
          <cell r="BW47" t="str">
            <v>Да</v>
          </cell>
        </row>
        <row r="48">
          <cell r="G48" t="str">
            <v>Нет</v>
          </cell>
          <cell r="N48" t="str">
            <v>Нет</v>
          </cell>
          <cell r="S48" t="str">
            <v>Нет</v>
          </cell>
          <cell r="AE48" t="str">
            <v>Нет</v>
          </cell>
          <cell r="AK48" t="str">
            <v>Нет</v>
          </cell>
          <cell r="AQ48" t="str">
            <v>Нет</v>
          </cell>
          <cell r="AX48" t="str">
            <v>Нет</v>
          </cell>
          <cell r="BD48" t="str">
            <v>Нет</v>
          </cell>
          <cell r="BJ48" t="str">
            <v>Нет</v>
          </cell>
          <cell r="BR48" t="str">
            <v>Нет</v>
          </cell>
          <cell r="BW48" t="str">
            <v>Нет</v>
          </cell>
        </row>
        <row r="49">
          <cell r="G49" t="str">
            <v>Да</v>
          </cell>
          <cell r="N49" t="str">
            <v>Да</v>
          </cell>
          <cell r="S49" t="str">
            <v>Да</v>
          </cell>
          <cell r="AE49" t="str">
            <v>Да</v>
          </cell>
          <cell r="AK49" t="str">
            <v>Да</v>
          </cell>
          <cell r="AQ49" t="str">
            <v>Да</v>
          </cell>
          <cell r="AX49" t="str">
            <v>Да</v>
          </cell>
          <cell r="BD49" t="str">
            <v>Да</v>
          </cell>
          <cell r="BJ49" t="str">
            <v>Да</v>
          </cell>
          <cell r="BR49" t="str">
            <v>Да</v>
          </cell>
          <cell r="BW49" t="str">
            <v>Да</v>
          </cell>
        </row>
        <row r="50">
          <cell r="G50" t="str">
            <v>Да</v>
          </cell>
          <cell r="N50" t="str">
            <v>Да</v>
          </cell>
          <cell r="S50" t="str">
            <v>Да</v>
          </cell>
          <cell r="AE50" t="str">
            <v>Да</v>
          </cell>
          <cell r="AK50" t="str">
            <v>Да</v>
          </cell>
          <cell r="AQ50" t="str">
            <v>Да</v>
          </cell>
          <cell r="AX50" t="str">
            <v>Да</v>
          </cell>
          <cell r="BD50" t="str">
            <v>Да</v>
          </cell>
          <cell r="BJ50" t="str">
            <v>Да</v>
          </cell>
          <cell r="BR50" t="str">
            <v>Да</v>
          </cell>
          <cell r="BW50" t="str">
            <v>Да</v>
          </cell>
        </row>
        <row r="51">
          <cell r="G51" t="str">
            <v>Да</v>
          </cell>
          <cell r="N51" t="str">
            <v>Да</v>
          </cell>
          <cell r="S51" t="str">
            <v>Да</v>
          </cell>
          <cell r="AE51" t="str">
            <v>Нет</v>
          </cell>
          <cell r="AK51" t="str">
            <v>Да</v>
          </cell>
          <cell r="AQ51" t="str">
            <v>Да</v>
          </cell>
          <cell r="AX51" t="str">
            <v>Да</v>
          </cell>
          <cell r="BD51" t="str">
            <v>Да</v>
          </cell>
          <cell r="BJ51" t="str">
            <v>Да</v>
          </cell>
          <cell r="BR51" t="str">
            <v>Да</v>
          </cell>
          <cell r="BW51" t="str">
            <v>Да</v>
          </cell>
        </row>
        <row r="52">
          <cell r="G52" t="str">
            <v>Да</v>
          </cell>
          <cell r="N52" t="str">
            <v>Да</v>
          </cell>
          <cell r="S52" t="str">
            <v>Да</v>
          </cell>
          <cell r="AE52" t="str">
            <v>Да</v>
          </cell>
          <cell r="AK52" t="str">
            <v>Да</v>
          </cell>
          <cell r="AQ52" t="str">
            <v>Да</v>
          </cell>
          <cell r="AX52" t="str">
            <v>Да</v>
          </cell>
          <cell r="BD52" t="str">
            <v>Нет</v>
          </cell>
          <cell r="BJ52" t="str">
            <v>Да</v>
          </cell>
          <cell r="BR52" t="str">
            <v>Да</v>
          </cell>
          <cell r="BW52" t="str">
            <v>Да</v>
          </cell>
        </row>
        <row r="53">
          <cell r="G53" t="str">
            <v>Да</v>
          </cell>
          <cell r="N53" t="str">
            <v>Да</v>
          </cell>
          <cell r="S53" t="str">
            <v>Да</v>
          </cell>
          <cell r="AE53" t="str">
            <v>Да</v>
          </cell>
          <cell r="AK53" t="str">
            <v>Да</v>
          </cell>
          <cell r="AQ53" t="str">
            <v>Да</v>
          </cell>
          <cell r="AX53" t="str">
            <v>Да</v>
          </cell>
          <cell r="BD53" t="str">
            <v>Да</v>
          </cell>
          <cell r="BJ53" t="str">
            <v>Да</v>
          </cell>
          <cell r="BR53" t="str">
            <v>Да</v>
          </cell>
          <cell r="BW53" t="str">
            <v>Да</v>
          </cell>
        </row>
        <row r="54">
          <cell r="G54" t="str">
            <v>Да</v>
          </cell>
          <cell r="N54" t="str">
            <v>Да</v>
          </cell>
          <cell r="S54" t="str">
            <v>Нет</v>
          </cell>
          <cell r="AE54" t="str">
            <v>Да</v>
          </cell>
          <cell r="AK54" t="str">
            <v>Да</v>
          </cell>
          <cell r="AQ54" t="str">
            <v>Да</v>
          </cell>
          <cell r="AX54" t="str">
            <v>Да</v>
          </cell>
          <cell r="BD54" t="str">
            <v>Да</v>
          </cell>
          <cell r="BJ54" t="str">
            <v>Да</v>
          </cell>
          <cell r="BR54" t="str">
            <v>Да</v>
          </cell>
          <cell r="BW54" t="str">
            <v>Да</v>
          </cell>
        </row>
        <row r="55">
          <cell r="G55" t="str">
            <v>Да</v>
          </cell>
          <cell r="N55" t="str">
            <v>Да</v>
          </cell>
          <cell r="S55" t="str">
            <v>Да</v>
          </cell>
          <cell r="AE55" t="str">
            <v>Да</v>
          </cell>
          <cell r="AK55" t="str">
            <v>Да</v>
          </cell>
          <cell r="AQ55" t="str">
            <v>Да</v>
          </cell>
          <cell r="AX55" t="str">
            <v>Да</v>
          </cell>
          <cell r="BD55" t="str">
            <v>Да</v>
          </cell>
          <cell r="BJ55" t="str">
            <v>Да</v>
          </cell>
          <cell r="BR55" t="str">
            <v>Да</v>
          </cell>
          <cell r="BW55" t="str">
            <v>Да</v>
          </cell>
        </row>
        <row r="56">
          <cell r="G56"/>
          <cell r="N56"/>
          <cell r="S56"/>
          <cell r="AE56"/>
          <cell r="AK56"/>
          <cell r="AQ56"/>
          <cell r="AX56"/>
          <cell r="BD56"/>
          <cell r="BJ56"/>
          <cell r="BR56"/>
          <cell r="BW56" t="str">
            <v>Да</v>
          </cell>
        </row>
        <row r="57">
          <cell r="G57" t="str">
            <v>Да</v>
          </cell>
          <cell r="N57" t="str">
            <v>Да</v>
          </cell>
          <cell r="S57" t="str">
            <v>Да</v>
          </cell>
          <cell r="AE57" t="str">
            <v>Да</v>
          </cell>
          <cell r="AK57" t="str">
            <v>Да</v>
          </cell>
          <cell r="AQ57" t="str">
            <v>Да</v>
          </cell>
          <cell r="AX57" t="str">
            <v>Да</v>
          </cell>
          <cell r="BD57" t="str">
            <v>Да</v>
          </cell>
          <cell r="BJ57" t="str">
            <v>Да</v>
          </cell>
          <cell r="BR57" t="str">
            <v>Да</v>
          </cell>
          <cell r="BW57" t="str">
            <v>Да</v>
          </cell>
        </row>
        <row r="58">
          <cell r="G58" t="str">
            <v>Да</v>
          </cell>
          <cell r="N58" t="str">
            <v>Да</v>
          </cell>
          <cell r="S58" t="str">
            <v>Нет</v>
          </cell>
          <cell r="AE58" t="str">
            <v>Да</v>
          </cell>
          <cell r="AK58" t="str">
            <v>Да</v>
          </cell>
          <cell r="AQ58" t="str">
            <v>Да</v>
          </cell>
          <cell r="AX58" t="str">
            <v>Нет</v>
          </cell>
          <cell r="BD58" t="str">
            <v>Нет</v>
          </cell>
          <cell r="BJ58" t="str">
            <v>Да</v>
          </cell>
          <cell r="BR58" t="str">
            <v>Да</v>
          </cell>
          <cell r="BW58" t="str">
            <v>Да</v>
          </cell>
        </row>
        <row r="59">
          <cell r="G59" t="str">
            <v>Да</v>
          </cell>
          <cell r="N59" t="str">
            <v>Да</v>
          </cell>
          <cell r="S59" t="str">
            <v>Нет</v>
          </cell>
          <cell r="AE59" t="str">
            <v>Да</v>
          </cell>
          <cell r="AK59" t="str">
            <v>Да</v>
          </cell>
          <cell r="AQ59" t="str">
            <v>Да</v>
          </cell>
          <cell r="AX59" t="str">
            <v>Да</v>
          </cell>
          <cell r="BD59" t="str">
            <v>Да</v>
          </cell>
          <cell r="BJ59" t="str">
            <v>Да</v>
          </cell>
          <cell r="BR59" t="str">
            <v>Да</v>
          </cell>
          <cell r="BW59" t="str">
            <v>Да</v>
          </cell>
        </row>
        <row r="60">
          <cell r="G60" t="str">
            <v>Да</v>
          </cell>
          <cell r="N60" t="str">
            <v>Да</v>
          </cell>
          <cell r="S60" t="str">
            <v>Да</v>
          </cell>
          <cell r="AE60" t="str">
            <v>Да</v>
          </cell>
          <cell r="AK60" t="str">
            <v>Да</v>
          </cell>
          <cell r="AQ60" t="str">
            <v>Нет</v>
          </cell>
          <cell r="AX60" t="str">
            <v>Нет</v>
          </cell>
          <cell r="BD60" t="str">
            <v>Нет</v>
          </cell>
          <cell r="BJ60" t="str">
            <v>Нет</v>
          </cell>
          <cell r="BR60" t="str">
            <v>Нет</v>
          </cell>
          <cell r="BW60" t="str">
            <v>Нет</v>
          </cell>
        </row>
        <row r="61">
          <cell r="G61" t="str">
            <v>Да</v>
          </cell>
          <cell r="N61" t="str">
            <v>Да</v>
          </cell>
          <cell r="S61" t="str">
            <v>Да</v>
          </cell>
          <cell r="AE61" t="str">
            <v>Да</v>
          </cell>
          <cell r="AK61" t="str">
            <v>Да</v>
          </cell>
          <cell r="AQ61" t="str">
            <v>Да</v>
          </cell>
          <cell r="AX61" t="str">
            <v>Да</v>
          </cell>
          <cell r="BD61" t="str">
            <v>Да</v>
          </cell>
          <cell r="BJ61" t="str">
            <v>Да</v>
          </cell>
          <cell r="BR61" t="str">
            <v>Да</v>
          </cell>
          <cell r="BW61" t="str">
            <v>Да</v>
          </cell>
        </row>
        <row r="62">
          <cell r="G62" t="str">
            <v>Да</v>
          </cell>
          <cell r="N62" t="str">
            <v>Да</v>
          </cell>
          <cell r="S62" t="str">
            <v>Да</v>
          </cell>
          <cell r="AE62" t="str">
            <v>Да</v>
          </cell>
          <cell r="AK62" t="str">
            <v>Да</v>
          </cell>
          <cell r="AQ62" t="str">
            <v>Да</v>
          </cell>
          <cell r="AX62" t="str">
            <v>Да</v>
          </cell>
          <cell r="BD62" t="str">
            <v>Да</v>
          </cell>
          <cell r="BJ62" t="str">
            <v>Да</v>
          </cell>
          <cell r="BR62" t="str">
            <v>Да</v>
          </cell>
          <cell r="BW62" t="str">
            <v>Да</v>
          </cell>
        </row>
        <row r="63">
          <cell r="G63"/>
          <cell r="N63"/>
          <cell r="S63"/>
          <cell r="AE63"/>
          <cell r="AK63"/>
          <cell r="AQ63"/>
          <cell r="AX63"/>
          <cell r="BD63"/>
          <cell r="BJ63"/>
          <cell r="BR63"/>
          <cell r="BW63" t="str">
            <v>Да</v>
          </cell>
        </row>
        <row r="64">
          <cell r="G64" t="str">
            <v>Да</v>
          </cell>
          <cell r="N64" t="str">
            <v>Да</v>
          </cell>
          <cell r="S64" t="str">
            <v>Нет</v>
          </cell>
          <cell r="AE64" t="str">
            <v>Да</v>
          </cell>
          <cell r="AK64" t="str">
            <v>Да</v>
          </cell>
          <cell r="AQ64" t="str">
            <v>Да</v>
          </cell>
          <cell r="AX64" t="str">
            <v>Да</v>
          </cell>
          <cell r="BD64" t="str">
            <v>Да</v>
          </cell>
          <cell r="BJ64" t="str">
            <v>Да</v>
          </cell>
          <cell r="BR64" t="str">
            <v>Да</v>
          </cell>
          <cell r="BW64" t="str">
            <v>Да</v>
          </cell>
        </row>
        <row r="65">
          <cell r="G65"/>
          <cell r="N65"/>
          <cell r="S65"/>
          <cell r="AE65" t="str">
            <v>Да</v>
          </cell>
          <cell r="AK65" t="str">
            <v>Да</v>
          </cell>
          <cell r="AQ65" t="str">
            <v>Да</v>
          </cell>
          <cell r="AX65" t="str">
            <v>Да</v>
          </cell>
          <cell r="BD65" t="str">
            <v>Да</v>
          </cell>
          <cell r="BJ65" t="str">
            <v>Да</v>
          </cell>
          <cell r="BR65" t="str">
            <v>Да</v>
          </cell>
          <cell r="BW65" t="str">
            <v>Да</v>
          </cell>
        </row>
        <row r="66">
          <cell r="G66" t="str">
            <v>Да</v>
          </cell>
          <cell r="N66" t="str">
            <v>Да</v>
          </cell>
          <cell r="S66" t="str">
            <v>Да</v>
          </cell>
          <cell r="AE66" t="str">
            <v>Да</v>
          </cell>
          <cell r="AK66" t="str">
            <v>Да</v>
          </cell>
          <cell r="AQ66" t="str">
            <v>Нет</v>
          </cell>
          <cell r="AX66" t="str">
            <v>Нет</v>
          </cell>
          <cell r="BD66" t="str">
            <v>Нет</v>
          </cell>
          <cell r="BJ66" t="str">
            <v>Нет</v>
          </cell>
          <cell r="BR66" t="str">
            <v>Нет</v>
          </cell>
          <cell r="BW66" t="str">
            <v>Нет</v>
          </cell>
        </row>
        <row r="67">
          <cell r="G67"/>
          <cell r="N67"/>
          <cell r="S67"/>
          <cell r="AE67"/>
          <cell r="AK67"/>
          <cell r="AQ67"/>
          <cell r="AX67"/>
          <cell r="BD67"/>
          <cell r="BJ67" t="str">
            <v>Да</v>
          </cell>
          <cell r="BR67" t="str">
            <v>Да</v>
          </cell>
          <cell r="BW67" t="str">
            <v>Да</v>
          </cell>
        </row>
        <row r="68">
          <cell r="G68" t="str">
            <v>Да</v>
          </cell>
          <cell r="N68" t="str">
            <v>Да</v>
          </cell>
          <cell r="S68" t="str">
            <v>Да</v>
          </cell>
          <cell r="AE68" t="str">
            <v>Да</v>
          </cell>
          <cell r="AK68" t="str">
            <v>Да</v>
          </cell>
          <cell r="AQ68" t="str">
            <v>Да</v>
          </cell>
          <cell r="AX68" t="str">
            <v>Нет</v>
          </cell>
          <cell r="BD68" t="str">
            <v>Да</v>
          </cell>
          <cell r="BJ68" t="str">
            <v>Да</v>
          </cell>
          <cell r="BR68" t="str">
            <v>Да</v>
          </cell>
          <cell r="BW68" t="str">
            <v>Да</v>
          </cell>
        </row>
        <row r="69">
          <cell r="G69" t="str">
            <v>Да</v>
          </cell>
          <cell r="N69" t="str">
            <v>Да</v>
          </cell>
          <cell r="S69" t="str">
            <v>Да</v>
          </cell>
          <cell r="AE69" t="str">
            <v>Да</v>
          </cell>
          <cell r="AK69" t="str">
            <v>Да</v>
          </cell>
          <cell r="AQ69" t="str">
            <v>Да</v>
          </cell>
          <cell r="AX69" t="str">
            <v>Да</v>
          </cell>
          <cell r="BD69" t="str">
            <v>Да</v>
          </cell>
          <cell r="BJ69" t="str">
            <v>Да</v>
          </cell>
          <cell r="BR69" t="str">
            <v>Да</v>
          </cell>
          <cell r="BW69" t="str">
            <v>Да</v>
          </cell>
        </row>
        <row r="70">
          <cell r="G70"/>
          <cell r="N70"/>
          <cell r="S70"/>
          <cell r="AE70"/>
          <cell r="AK70"/>
          <cell r="AQ70" t="str">
            <v>Да</v>
          </cell>
          <cell r="AX70" t="str">
            <v>Да</v>
          </cell>
          <cell r="BD70" t="str">
            <v>Да</v>
          </cell>
          <cell r="BJ70" t="str">
            <v>Да</v>
          </cell>
          <cell r="BR70" t="str">
            <v>Да</v>
          </cell>
          <cell r="BW70" t="str">
            <v>Да</v>
          </cell>
        </row>
        <row r="71">
          <cell r="G71" t="str">
            <v>Да</v>
          </cell>
          <cell r="N71" t="str">
            <v>Да</v>
          </cell>
          <cell r="S71" t="str">
            <v>Да</v>
          </cell>
          <cell r="AE71" t="str">
            <v>Да</v>
          </cell>
          <cell r="AK71" t="str">
            <v>Да</v>
          </cell>
          <cell r="AQ71" t="str">
            <v>Да</v>
          </cell>
          <cell r="AX71" t="str">
            <v>Да</v>
          </cell>
          <cell r="BD71" t="str">
            <v>Да</v>
          </cell>
          <cell r="BJ71" t="str">
            <v>Да</v>
          </cell>
          <cell r="BR71" t="str">
            <v>Да</v>
          </cell>
          <cell r="BW71" t="str">
            <v>Да</v>
          </cell>
        </row>
        <row r="72">
          <cell r="G72" t="str">
            <v>Да</v>
          </cell>
          <cell r="N72" t="str">
            <v>Да</v>
          </cell>
          <cell r="S72" t="str">
            <v>Да</v>
          </cell>
          <cell r="AE72" t="str">
            <v>Да</v>
          </cell>
          <cell r="AK72" t="str">
            <v>Да</v>
          </cell>
          <cell r="AQ72" t="str">
            <v>Нет</v>
          </cell>
          <cell r="AX72" t="str">
            <v>Да</v>
          </cell>
          <cell r="BD72" t="str">
            <v>Да</v>
          </cell>
          <cell r="BJ72" t="str">
            <v>Да</v>
          </cell>
          <cell r="BR72" t="str">
            <v>Да</v>
          </cell>
          <cell r="BW72" t="str">
            <v>Да</v>
          </cell>
        </row>
        <row r="73">
          <cell r="G73" t="str">
            <v>Да</v>
          </cell>
          <cell r="N73" t="str">
            <v>Да</v>
          </cell>
          <cell r="S73" t="str">
            <v>Да</v>
          </cell>
          <cell r="AE73" t="str">
            <v>Да</v>
          </cell>
          <cell r="AK73" t="str">
            <v>Да</v>
          </cell>
          <cell r="AQ73" t="str">
            <v>Да</v>
          </cell>
          <cell r="AX73" t="str">
            <v>Да</v>
          </cell>
          <cell r="BD73" t="str">
            <v>Да</v>
          </cell>
          <cell r="BJ73" t="str">
            <v>Да</v>
          </cell>
          <cell r="BR73" t="str">
            <v>Да</v>
          </cell>
          <cell r="BW73" t="str">
            <v>Да</v>
          </cell>
        </row>
        <row r="74">
          <cell r="G74" t="str">
            <v>Нет</v>
          </cell>
          <cell r="N74" t="str">
            <v>Нет</v>
          </cell>
          <cell r="S74" t="str">
            <v>Нет</v>
          </cell>
          <cell r="AE74" t="str">
            <v>Нет</v>
          </cell>
          <cell r="AK74" t="str">
            <v>Нет</v>
          </cell>
          <cell r="AQ74" t="str">
            <v>Нет</v>
          </cell>
          <cell r="AX74" t="str">
            <v>Нет</v>
          </cell>
          <cell r="BD74" t="str">
            <v>Нет</v>
          </cell>
          <cell r="BJ74" t="str">
            <v>Нет</v>
          </cell>
          <cell r="BR74" t="str">
            <v>Нет</v>
          </cell>
          <cell r="BW74" t="str">
            <v>Нет</v>
          </cell>
        </row>
        <row r="75">
          <cell r="G75" t="str">
            <v>Нет</v>
          </cell>
          <cell r="N75" t="str">
            <v>Нет</v>
          </cell>
          <cell r="S75" t="str">
            <v>Нет</v>
          </cell>
          <cell r="AE75" t="str">
            <v>Нет</v>
          </cell>
          <cell r="AK75" t="str">
            <v>Нет</v>
          </cell>
          <cell r="AQ75" t="str">
            <v>Нет</v>
          </cell>
          <cell r="AX75" t="str">
            <v>Нет</v>
          </cell>
          <cell r="BD75" t="str">
            <v>Нет</v>
          </cell>
          <cell r="BJ75" t="str">
            <v>Нет</v>
          </cell>
          <cell r="BR75" t="str">
            <v>Нет</v>
          </cell>
          <cell r="BW75" t="str">
            <v>Нет</v>
          </cell>
        </row>
        <row r="76">
          <cell r="G76" t="str">
            <v>Да</v>
          </cell>
          <cell r="N76" t="str">
            <v>Нет</v>
          </cell>
          <cell r="S76" t="str">
            <v>Нет</v>
          </cell>
          <cell r="AE76" t="str">
            <v>Нет</v>
          </cell>
          <cell r="AK76" t="str">
            <v>Нет</v>
          </cell>
          <cell r="AQ76" t="str">
            <v>Нет</v>
          </cell>
          <cell r="AX76" t="str">
            <v>Нет</v>
          </cell>
          <cell r="BD76" t="str">
            <v>Нет</v>
          </cell>
          <cell r="BJ76" t="str">
            <v>Нет</v>
          </cell>
          <cell r="BR76" t="str">
            <v>Нет</v>
          </cell>
          <cell r="BW76" t="str">
            <v>Нет</v>
          </cell>
        </row>
        <row r="77">
          <cell r="G77" t="str">
            <v>Да</v>
          </cell>
          <cell r="N77" t="str">
            <v>Да</v>
          </cell>
          <cell r="S77" t="str">
            <v>Да</v>
          </cell>
          <cell r="AE77" t="str">
            <v>Да</v>
          </cell>
          <cell r="AK77" t="str">
            <v>Да</v>
          </cell>
          <cell r="AQ77" t="str">
            <v>Да</v>
          </cell>
          <cell r="AX77" t="str">
            <v>Да</v>
          </cell>
          <cell r="BD77" t="str">
            <v>Да</v>
          </cell>
          <cell r="BJ77" t="str">
            <v>Да</v>
          </cell>
          <cell r="BR77" t="str">
            <v>Да</v>
          </cell>
          <cell r="BW77" t="str">
            <v>Да</v>
          </cell>
        </row>
        <row r="79">
          <cell r="G79" t="str">
            <v>Да</v>
          </cell>
          <cell r="N79" t="str">
            <v>Да</v>
          </cell>
          <cell r="S79" t="str">
            <v>Да</v>
          </cell>
          <cell r="AE79" t="str">
            <v>Да</v>
          </cell>
          <cell r="AK79" t="str">
            <v>Да</v>
          </cell>
          <cell r="AQ79" t="str">
            <v>Да</v>
          </cell>
          <cell r="AX79" t="str">
            <v>Да</v>
          </cell>
          <cell r="BD79" t="str">
            <v>Да</v>
          </cell>
          <cell r="BJ79" t="str">
            <v>Да</v>
          </cell>
          <cell r="BR79" t="str">
            <v>Да</v>
          </cell>
          <cell r="BW79" t="str">
            <v>Да</v>
          </cell>
        </row>
        <row r="80">
          <cell r="G80" t="str">
            <v>Да</v>
          </cell>
          <cell r="N80" t="str">
            <v>Да</v>
          </cell>
          <cell r="S80" t="str">
            <v>Да</v>
          </cell>
          <cell r="AE80" t="str">
            <v>Да</v>
          </cell>
          <cell r="AK80" t="str">
            <v>Да</v>
          </cell>
          <cell r="AQ80" t="str">
            <v>Да</v>
          </cell>
          <cell r="AX80" t="str">
            <v>Да</v>
          </cell>
          <cell r="BD80" t="str">
            <v>Да</v>
          </cell>
          <cell r="BJ80" t="str">
            <v>Нет</v>
          </cell>
          <cell r="BR80" t="str">
            <v>Нет</v>
          </cell>
          <cell r="BW80" t="str">
            <v>Нет</v>
          </cell>
        </row>
        <row r="81">
          <cell r="G81" t="str">
            <v>Да</v>
          </cell>
          <cell r="N81" t="str">
            <v>Да</v>
          </cell>
          <cell r="S81" t="str">
            <v>Да</v>
          </cell>
          <cell r="AE81" t="str">
            <v>Да</v>
          </cell>
          <cell r="AK81" t="str">
            <v>Да</v>
          </cell>
          <cell r="AQ81" t="str">
            <v>Да</v>
          </cell>
          <cell r="AX81" t="str">
            <v>Да</v>
          </cell>
          <cell r="BD81" t="str">
            <v>Да</v>
          </cell>
          <cell r="BJ81" t="str">
            <v>Да</v>
          </cell>
          <cell r="BR81" t="str">
            <v>Да</v>
          </cell>
          <cell r="BW81" t="str">
            <v>Да</v>
          </cell>
        </row>
        <row r="82">
          <cell r="G82" t="str">
            <v>Да</v>
          </cell>
          <cell r="N82" t="str">
            <v>Да</v>
          </cell>
          <cell r="S82" t="str">
            <v>Да</v>
          </cell>
          <cell r="AE82" t="str">
            <v>Да</v>
          </cell>
          <cell r="AK82" t="str">
            <v>Да</v>
          </cell>
          <cell r="AQ82" t="str">
            <v>Да</v>
          </cell>
          <cell r="AX82" t="str">
            <v>Да</v>
          </cell>
          <cell r="BD82" t="str">
            <v>Да</v>
          </cell>
          <cell r="BJ82" t="str">
            <v>Да</v>
          </cell>
          <cell r="BR82" t="str">
            <v>Да</v>
          </cell>
          <cell r="BW82" t="str">
            <v>Да</v>
          </cell>
        </row>
        <row r="83">
          <cell r="G83" t="str">
            <v>Да</v>
          </cell>
          <cell r="N83" t="str">
            <v>Да</v>
          </cell>
          <cell r="S83" t="str">
            <v>Да</v>
          </cell>
          <cell r="AE83" t="str">
            <v>Нет</v>
          </cell>
          <cell r="AK83" t="str">
            <v>Нет</v>
          </cell>
          <cell r="AQ83" t="str">
            <v>Нет</v>
          </cell>
          <cell r="AX83" t="str">
            <v>Нет</v>
          </cell>
          <cell r="BD83" t="str">
            <v>Нет</v>
          </cell>
          <cell r="BJ83" t="str">
            <v>Нет</v>
          </cell>
          <cell r="BR83" t="str">
            <v>Нет</v>
          </cell>
          <cell r="BW83" t="str">
            <v>Нет</v>
          </cell>
        </row>
      </sheetData>
      <sheetData sheetId="28">
        <row r="3">
          <cell r="F3" t="str">
            <v>Да</v>
          </cell>
          <cell r="J3" t="str">
            <v>Да</v>
          </cell>
          <cell r="N3" t="str">
            <v>Нет</v>
          </cell>
          <cell r="R3" t="str">
            <v>Да</v>
          </cell>
          <cell r="V3" t="str">
            <v>Да</v>
          </cell>
          <cell r="Z3" t="str">
            <v>Да</v>
          </cell>
          <cell r="AD3" t="str">
            <v>Да</v>
          </cell>
          <cell r="AH3" t="str">
            <v>Да</v>
          </cell>
          <cell r="AL3" t="str">
            <v>Да</v>
          </cell>
          <cell r="AP3" t="str">
            <v>Да</v>
          </cell>
          <cell r="AT3" t="str">
            <v>Да</v>
          </cell>
          <cell r="AX3" t="str">
            <v>Да</v>
          </cell>
        </row>
        <row r="4">
          <cell r="F4" t="str">
            <v>Да</v>
          </cell>
          <cell r="J4" t="str">
            <v>Да</v>
          </cell>
          <cell r="N4" t="str">
            <v>Да</v>
          </cell>
          <cell r="R4" t="str">
            <v>Да</v>
          </cell>
          <cell r="V4" t="str">
            <v>Да</v>
          </cell>
          <cell r="Z4" t="str">
            <v>Да</v>
          </cell>
          <cell r="AD4" t="str">
            <v>Да</v>
          </cell>
          <cell r="AH4" t="str">
            <v>Да</v>
          </cell>
          <cell r="AL4" t="str">
            <v>Да</v>
          </cell>
          <cell r="AP4" t="str">
            <v>Да</v>
          </cell>
          <cell r="AT4" t="str">
            <v>Да</v>
          </cell>
          <cell r="AX4" t="str">
            <v>Да</v>
          </cell>
        </row>
        <row r="5">
          <cell r="F5" t="str">
            <v>Да</v>
          </cell>
          <cell r="J5" t="str">
            <v>Да</v>
          </cell>
          <cell r="N5" t="str">
            <v>Да</v>
          </cell>
          <cell r="R5" t="str">
            <v>Да</v>
          </cell>
          <cell r="V5" t="str">
            <v>Да</v>
          </cell>
          <cell r="Z5" t="str">
            <v>Да</v>
          </cell>
          <cell r="AD5" t="str">
            <v>Да</v>
          </cell>
          <cell r="AH5" t="str">
            <v>Да</v>
          </cell>
          <cell r="AL5" t="str">
            <v>Да</v>
          </cell>
          <cell r="AP5" t="str">
            <v>Да</v>
          </cell>
          <cell r="AT5" t="str">
            <v>Да</v>
          </cell>
          <cell r="AX5" t="str">
            <v>Да</v>
          </cell>
        </row>
        <row r="6">
          <cell r="F6"/>
          <cell r="J6"/>
          <cell r="N6"/>
          <cell r="R6"/>
          <cell r="V6"/>
          <cell r="Z6" t="str">
            <v>Да</v>
          </cell>
          <cell r="AD6" t="str">
            <v>Да</v>
          </cell>
          <cell r="AH6" t="str">
            <v>Да</v>
          </cell>
          <cell r="AL6" t="str">
            <v>Нет</v>
          </cell>
          <cell r="AP6" t="str">
            <v>Нет</v>
          </cell>
          <cell r="AT6" t="str">
            <v>Нет</v>
          </cell>
          <cell r="AX6" t="str">
            <v>Нет</v>
          </cell>
        </row>
        <row r="7">
          <cell r="F7" t="str">
            <v>Да</v>
          </cell>
          <cell r="J7" t="str">
            <v>Да</v>
          </cell>
          <cell r="N7" t="str">
            <v>Да</v>
          </cell>
          <cell r="R7" t="str">
            <v>Да</v>
          </cell>
          <cell r="V7" t="str">
            <v>Да</v>
          </cell>
          <cell r="Z7" t="str">
            <v>Да</v>
          </cell>
          <cell r="AD7" t="str">
            <v>Да</v>
          </cell>
          <cell r="AH7" t="str">
            <v>Да</v>
          </cell>
          <cell r="AL7" t="str">
            <v>Да</v>
          </cell>
          <cell r="AP7" t="str">
            <v>Да</v>
          </cell>
          <cell r="AT7" t="str">
            <v>Да</v>
          </cell>
          <cell r="AX7" t="str">
            <v>Да</v>
          </cell>
        </row>
        <row r="8">
          <cell r="F8" t="str">
            <v>Да</v>
          </cell>
          <cell r="J8" t="str">
            <v>Да</v>
          </cell>
          <cell r="N8" t="str">
            <v>Да</v>
          </cell>
          <cell r="R8" t="str">
            <v>Да</v>
          </cell>
          <cell r="V8" t="str">
            <v>Да</v>
          </cell>
          <cell r="Z8" t="str">
            <v>Да</v>
          </cell>
          <cell r="AD8" t="str">
            <v>Да</v>
          </cell>
          <cell r="AH8" t="str">
            <v>Да</v>
          </cell>
          <cell r="AL8" t="str">
            <v>Да</v>
          </cell>
          <cell r="AP8" t="str">
            <v>Да</v>
          </cell>
          <cell r="AT8" t="str">
            <v>Да</v>
          </cell>
          <cell r="AX8" t="str">
            <v>Да</v>
          </cell>
        </row>
        <row r="9">
          <cell r="F9"/>
          <cell r="J9"/>
          <cell r="N9"/>
          <cell r="R9"/>
          <cell r="V9" t="str">
            <v>Да</v>
          </cell>
          <cell r="Z9" t="str">
            <v>Нет</v>
          </cell>
          <cell r="AD9" t="str">
            <v>Нет</v>
          </cell>
          <cell r="AH9" t="str">
            <v>Нет</v>
          </cell>
          <cell r="AL9" t="str">
            <v>Нет</v>
          </cell>
          <cell r="AP9" t="str">
            <v>Нет</v>
          </cell>
          <cell r="AT9" t="str">
            <v>Нет</v>
          </cell>
          <cell r="AX9" t="str">
            <v>Нет</v>
          </cell>
        </row>
        <row r="10">
          <cell r="F10" t="str">
            <v>Да</v>
          </cell>
          <cell r="J10" t="str">
            <v>Да</v>
          </cell>
          <cell r="N10" t="str">
            <v>Да</v>
          </cell>
          <cell r="R10" t="str">
            <v>Да</v>
          </cell>
          <cell r="V10" t="str">
            <v>Да</v>
          </cell>
          <cell r="Z10" t="str">
            <v>Да</v>
          </cell>
          <cell r="AD10" t="str">
            <v>Да</v>
          </cell>
          <cell r="AH10" t="str">
            <v>Да</v>
          </cell>
          <cell r="AL10" t="str">
            <v>Да</v>
          </cell>
          <cell r="AP10" t="str">
            <v>Да</v>
          </cell>
          <cell r="AT10" t="str">
            <v>Да</v>
          </cell>
          <cell r="AX10" t="str">
            <v>Да</v>
          </cell>
        </row>
        <row r="11">
          <cell r="F11" t="str">
            <v>Да</v>
          </cell>
          <cell r="J11" t="str">
            <v>Да</v>
          </cell>
          <cell r="N11" t="str">
            <v>Да</v>
          </cell>
          <cell r="R11" t="str">
            <v>Да</v>
          </cell>
          <cell r="V11" t="str">
            <v>Да</v>
          </cell>
          <cell r="Z11" t="str">
            <v>Да</v>
          </cell>
          <cell r="AD11" t="str">
            <v>Да</v>
          </cell>
          <cell r="AH11" t="str">
            <v>Да</v>
          </cell>
          <cell r="AL11" t="str">
            <v>Да</v>
          </cell>
          <cell r="AP11" t="str">
            <v>Да</v>
          </cell>
          <cell r="AT11" t="str">
            <v>Да</v>
          </cell>
          <cell r="AX11" t="str">
            <v>Да</v>
          </cell>
        </row>
        <row r="12">
          <cell r="F12" t="str">
            <v>Да</v>
          </cell>
          <cell r="J12" t="str">
            <v>Нет</v>
          </cell>
          <cell r="N12" t="str">
            <v>Нет</v>
          </cell>
          <cell r="R12" t="str">
            <v>Нет</v>
          </cell>
          <cell r="V12" t="str">
            <v>Нет</v>
          </cell>
          <cell r="Z12" t="str">
            <v>Нет</v>
          </cell>
          <cell r="AD12" t="str">
            <v>Нет</v>
          </cell>
          <cell r="AH12" t="str">
            <v>Нет</v>
          </cell>
          <cell r="AL12" t="str">
            <v>Нет</v>
          </cell>
          <cell r="AP12" t="str">
            <v>Нет</v>
          </cell>
          <cell r="AT12" t="str">
            <v>Нет</v>
          </cell>
          <cell r="AX12" t="str">
            <v>Нет</v>
          </cell>
        </row>
        <row r="13">
          <cell r="F13" t="str">
            <v>Да</v>
          </cell>
          <cell r="J13" t="str">
            <v>Да</v>
          </cell>
          <cell r="N13" t="str">
            <v>Да</v>
          </cell>
          <cell r="R13" t="str">
            <v>Да</v>
          </cell>
          <cell r="V13" t="str">
            <v>Да</v>
          </cell>
          <cell r="Z13" t="str">
            <v>Да</v>
          </cell>
          <cell r="AD13" t="str">
            <v>Да</v>
          </cell>
          <cell r="AH13" t="str">
            <v>Да</v>
          </cell>
          <cell r="AL13" t="str">
            <v>Да</v>
          </cell>
          <cell r="AP13" t="str">
            <v>Да</v>
          </cell>
          <cell r="AT13" t="str">
            <v>Да</v>
          </cell>
          <cell r="AX13" t="str">
            <v>Да</v>
          </cell>
        </row>
        <row r="14">
          <cell r="F14" t="str">
            <v>Да</v>
          </cell>
          <cell r="J14" t="str">
            <v>Да</v>
          </cell>
          <cell r="N14" t="str">
            <v>Да</v>
          </cell>
          <cell r="R14" t="str">
            <v>Нет</v>
          </cell>
          <cell r="V14" t="str">
            <v>Нет</v>
          </cell>
          <cell r="Z14" t="str">
            <v>Нет</v>
          </cell>
          <cell r="AD14" t="str">
            <v>Нет</v>
          </cell>
          <cell r="AH14" t="str">
            <v>Нет</v>
          </cell>
          <cell r="AL14" t="str">
            <v>Нет</v>
          </cell>
          <cell r="AP14" t="str">
            <v>Нет</v>
          </cell>
          <cell r="AT14" t="str">
            <v>Нет</v>
          </cell>
          <cell r="AX14" t="str">
            <v>Нет</v>
          </cell>
        </row>
        <row r="15">
          <cell r="F15"/>
          <cell r="J15"/>
          <cell r="N15"/>
          <cell r="R15"/>
          <cell r="V15"/>
          <cell r="Z15"/>
          <cell r="AD15" t="str">
            <v>Да</v>
          </cell>
          <cell r="AH15" t="str">
            <v>Да</v>
          </cell>
          <cell r="AL15" t="str">
            <v>Да</v>
          </cell>
          <cell r="AP15" t="str">
            <v>Да</v>
          </cell>
          <cell r="AT15" t="str">
            <v>Да</v>
          </cell>
          <cell r="AX15" t="str">
            <v>Да</v>
          </cell>
        </row>
        <row r="16">
          <cell r="F16" t="str">
            <v>Да</v>
          </cell>
          <cell r="J16" t="str">
            <v>Да</v>
          </cell>
          <cell r="N16" t="str">
            <v>Да</v>
          </cell>
          <cell r="R16" t="str">
            <v>Да</v>
          </cell>
          <cell r="V16" t="str">
            <v>Да</v>
          </cell>
          <cell r="Z16" t="str">
            <v>Да</v>
          </cell>
          <cell r="AD16" t="str">
            <v>Да</v>
          </cell>
          <cell r="AH16" t="str">
            <v>Да</v>
          </cell>
          <cell r="AL16" t="str">
            <v>Да</v>
          </cell>
          <cell r="AP16" t="str">
            <v>Да</v>
          </cell>
          <cell r="AT16" t="str">
            <v>Да</v>
          </cell>
          <cell r="AX16" t="str">
            <v>Да</v>
          </cell>
        </row>
        <row r="17">
          <cell r="F17" t="str">
            <v>Да</v>
          </cell>
          <cell r="J17" t="str">
            <v>Да</v>
          </cell>
          <cell r="N17" t="str">
            <v>Да</v>
          </cell>
          <cell r="R17" t="str">
            <v>Да</v>
          </cell>
          <cell r="V17" t="str">
            <v>Да</v>
          </cell>
          <cell r="Z17" t="str">
            <v>Да</v>
          </cell>
          <cell r="AD17" t="str">
            <v>Да</v>
          </cell>
          <cell r="AH17" t="str">
            <v>Да</v>
          </cell>
          <cell r="AL17" t="str">
            <v>Да</v>
          </cell>
          <cell r="AP17" t="str">
            <v>Да</v>
          </cell>
          <cell r="AT17" t="str">
            <v>Да</v>
          </cell>
          <cell r="AX17" t="str">
            <v>Да</v>
          </cell>
        </row>
        <row r="18">
          <cell r="F18" t="str">
            <v>Да</v>
          </cell>
          <cell r="J18" t="str">
            <v>Да</v>
          </cell>
          <cell r="N18" t="str">
            <v>Да</v>
          </cell>
          <cell r="R18" t="str">
            <v>Да</v>
          </cell>
          <cell r="V18" t="str">
            <v>Да</v>
          </cell>
          <cell r="Z18" t="str">
            <v>Да</v>
          </cell>
          <cell r="AD18" t="str">
            <v>Да</v>
          </cell>
          <cell r="AH18" t="str">
            <v>Да</v>
          </cell>
          <cell r="AL18" t="str">
            <v>Да</v>
          </cell>
          <cell r="AP18" t="str">
            <v>Да</v>
          </cell>
          <cell r="AT18" t="str">
            <v>Да</v>
          </cell>
          <cell r="AX18" t="str">
            <v>Да</v>
          </cell>
        </row>
        <row r="19">
          <cell r="F19" t="str">
            <v>Да</v>
          </cell>
          <cell r="J19" t="str">
            <v>Да</v>
          </cell>
          <cell r="N19" t="str">
            <v>Да</v>
          </cell>
          <cell r="R19" t="str">
            <v>Да</v>
          </cell>
          <cell r="V19" t="str">
            <v>Да</v>
          </cell>
          <cell r="Z19" t="str">
            <v>Да</v>
          </cell>
          <cell r="AD19" t="str">
            <v>Да</v>
          </cell>
          <cell r="AH19" t="str">
            <v>Да</v>
          </cell>
          <cell r="AL19" t="str">
            <v>Да</v>
          </cell>
          <cell r="AP19" t="str">
            <v>Да</v>
          </cell>
          <cell r="AT19" t="str">
            <v>Да</v>
          </cell>
          <cell r="AX19" t="str">
            <v>Да</v>
          </cell>
        </row>
        <row r="20">
          <cell r="F20" t="str">
            <v>Да</v>
          </cell>
          <cell r="J20" t="str">
            <v>Да</v>
          </cell>
          <cell r="N20" t="str">
            <v>Да</v>
          </cell>
          <cell r="R20" t="str">
            <v>Да</v>
          </cell>
          <cell r="V20" t="str">
            <v>Да</v>
          </cell>
          <cell r="Z20" t="str">
            <v>Да</v>
          </cell>
          <cell r="AD20" t="str">
            <v>Да</v>
          </cell>
          <cell r="AH20" t="str">
            <v>Да</v>
          </cell>
          <cell r="AL20" t="str">
            <v>Да</v>
          </cell>
          <cell r="AP20" t="str">
            <v>Да</v>
          </cell>
          <cell r="AT20" t="str">
            <v>Да</v>
          </cell>
          <cell r="AX20" t="str">
            <v>Да</v>
          </cell>
        </row>
        <row r="21">
          <cell r="F21" t="str">
            <v>Да</v>
          </cell>
          <cell r="J21" t="str">
            <v>Да</v>
          </cell>
          <cell r="N21" t="str">
            <v>Да</v>
          </cell>
          <cell r="R21" t="str">
            <v>Да</v>
          </cell>
          <cell r="V21" t="str">
            <v>Да</v>
          </cell>
          <cell r="Z21" t="str">
            <v>Да</v>
          </cell>
          <cell r="AD21" t="str">
            <v>Да</v>
          </cell>
          <cell r="AH21" t="str">
            <v>Да</v>
          </cell>
          <cell r="AL21" t="str">
            <v>Да</v>
          </cell>
          <cell r="AP21" t="str">
            <v>Да</v>
          </cell>
          <cell r="AT21" t="str">
            <v>Да</v>
          </cell>
          <cell r="AX21" t="str">
            <v>Да</v>
          </cell>
        </row>
      </sheetData>
      <sheetData sheetId="29">
        <row r="3">
          <cell r="J3" t="str">
            <v>Нет</v>
          </cell>
          <cell r="Q3" t="str">
            <v>Нет</v>
          </cell>
          <cell r="X3" t="str">
            <v>Да</v>
          </cell>
          <cell r="AE3" t="str">
            <v>Нет</v>
          </cell>
          <cell r="AL3" t="str">
            <v>Да</v>
          </cell>
          <cell r="AS3" t="str">
            <v>Да</v>
          </cell>
          <cell r="AZ3" t="str">
            <v>Да</v>
          </cell>
          <cell r="BG3" t="str">
            <v>Да</v>
          </cell>
          <cell r="BN3" t="str">
            <v>Нет</v>
          </cell>
          <cell r="BU3" t="str">
            <v>Да</v>
          </cell>
          <cell r="CB3" t="str">
            <v>Да</v>
          </cell>
          <cell r="CI3" t="str">
            <v>Да</v>
          </cell>
        </row>
        <row r="4">
          <cell r="J4" t="str">
            <v>Да</v>
          </cell>
          <cell r="Q4" t="str">
            <v>Нет</v>
          </cell>
          <cell r="X4" t="str">
            <v>Да</v>
          </cell>
          <cell r="AE4" t="str">
            <v>Да</v>
          </cell>
          <cell r="AL4" t="str">
            <v>Нет</v>
          </cell>
          <cell r="AS4" t="str">
            <v>Нет</v>
          </cell>
          <cell r="AZ4" t="str">
            <v>Да</v>
          </cell>
          <cell r="BG4" t="str">
            <v>Нет</v>
          </cell>
          <cell r="BN4" t="str">
            <v>Да</v>
          </cell>
          <cell r="BU4" t="str">
            <v>Да</v>
          </cell>
          <cell r="CB4" t="str">
            <v>Нет</v>
          </cell>
          <cell r="CI4" t="str">
            <v>Да</v>
          </cell>
        </row>
        <row r="5">
          <cell r="J5" t="str">
            <v>Да</v>
          </cell>
          <cell r="Q5" t="str">
            <v>Да</v>
          </cell>
          <cell r="X5" t="str">
            <v>Да</v>
          </cell>
          <cell r="AE5" t="str">
            <v>Да</v>
          </cell>
          <cell r="AL5" t="str">
            <v>Да</v>
          </cell>
          <cell r="AS5" t="str">
            <v>Да</v>
          </cell>
          <cell r="AZ5" t="str">
            <v>Да</v>
          </cell>
          <cell r="BG5" t="str">
            <v>Да</v>
          </cell>
          <cell r="BN5" t="str">
            <v>Да</v>
          </cell>
          <cell r="BU5" t="str">
            <v>Да</v>
          </cell>
          <cell r="CB5" t="str">
            <v>Да</v>
          </cell>
          <cell r="CI5" t="str">
            <v>Да</v>
          </cell>
        </row>
        <row r="6">
          <cell r="J6" t="str">
            <v>Да</v>
          </cell>
          <cell r="Q6" t="str">
            <v>Да</v>
          </cell>
          <cell r="X6" t="str">
            <v>Да</v>
          </cell>
          <cell r="AE6" t="str">
            <v>Нет</v>
          </cell>
          <cell r="AL6" t="str">
            <v>Да</v>
          </cell>
          <cell r="AS6" t="str">
            <v>Да</v>
          </cell>
          <cell r="AZ6" t="str">
            <v>Да</v>
          </cell>
          <cell r="BG6" t="str">
            <v>Да</v>
          </cell>
          <cell r="BN6" t="str">
            <v>Да</v>
          </cell>
          <cell r="BU6" t="str">
            <v>Да</v>
          </cell>
          <cell r="CB6" t="str">
            <v>Да</v>
          </cell>
          <cell r="CI6" t="str">
            <v>Да</v>
          </cell>
        </row>
        <row r="7">
          <cell r="J7" t="str">
            <v>Да</v>
          </cell>
          <cell r="Q7" t="str">
            <v>Нет</v>
          </cell>
          <cell r="X7" t="str">
            <v>Нет</v>
          </cell>
          <cell r="AE7" t="str">
            <v>Нет</v>
          </cell>
          <cell r="AL7" t="str">
            <v>Нет</v>
          </cell>
          <cell r="AS7" t="str">
            <v>Нет</v>
          </cell>
          <cell r="AZ7" t="str">
            <v>Да</v>
          </cell>
          <cell r="BG7" t="str">
            <v>Да</v>
          </cell>
          <cell r="BN7" t="str">
            <v>Да</v>
          </cell>
          <cell r="BU7" t="str">
            <v>Да</v>
          </cell>
          <cell r="CB7" t="str">
            <v>Да</v>
          </cell>
          <cell r="CI7" t="str">
            <v>Да</v>
          </cell>
        </row>
        <row r="8">
          <cell r="J8" t="str">
            <v>Нет</v>
          </cell>
          <cell r="Q8" t="str">
            <v>Да</v>
          </cell>
          <cell r="X8" t="str">
            <v>Да</v>
          </cell>
          <cell r="AE8" t="str">
            <v>Да</v>
          </cell>
          <cell r="AL8" t="str">
            <v>Да</v>
          </cell>
          <cell r="AS8" t="str">
            <v>Да</v>
          </cell>
          <cell r="AZ8" t="str">
            <v>Да</v>
          </cell>
          <cell r="BG8" t="str">
            <v>Да</v>
          </cell>
          <cell r="BN8" t="str">
            <v>Да</v>
          </cell>
          <cell r="BU8" t="str">
            <v>Да</v>
          </cell>
          <cell r="CB8" t="str">
            <v>Да</v>
          </cell>
          <cell r="CI8" t="str">
            <v>Да</v>
          </cell>
        </row>
        <row r="9">
          <cell r="J9" t="str">
            <v>Да</v>
          </cell>
          <cell r="Q9" t="str">
            <v>Да</v>
          </cell>
          <cell r="X9" t="str">
            <v>Да</v>
          </cell>
          <cell r="AE9" t="str">
            <v>Да</v>
          </cell>
          <cell r="AL9" t="str">
            <v>Да</v>
          </cell>
          <cell r="AS9" t="str">
            <v>Да</v>
          </cell>
          <cell r="AZ9" t="str">
            <v>Да</v>
          </cell>
          <cell r="BG9" t="str">
            <v>Да</v>
          </cell>
          <cell r="BN9" t="str">
            <v>Да</v>
          </cell>
          <cell r="BU9" t="str">
            <v>Да</v>
          </cell>
          <cell r="CB9" t="str">
            <v>Да</v>
          </cell>
          <cell r="CI9" t="str">
            <v>Да</v>
          </cell>
        </row>
        <row r="10">
          <cell r="J10" t="str">
            <v>Нет</v>
          </cell>
          <cell r="Q10" t="str">
            <v>Да</v>
          </cell>
          <cell r="X10" t="str">
            <v>Да</v>
          </cell>
          <cell r="AE10" t="str">
            <v>Да</v>
          </cell>
          <cell r="AL10" t="str">
            <v>Да</v>
          </cell>
          <cell r="AS10" t="str">
            <v>Да</v>
          </cell>
          <cell r="AZ10" t="str">
            <v>Да</v>
          </cell>
          <cell r="BG10" t="str">
            <v>Да</v>
          </cell>
          <cell r="BN10" t="str">
            <v>Да</v>
          </cell>
          <cell r="BU10" t="str">
            <v>Да</v>
          </cell>
          <cell r="CB10" t="str">
            <v>Да</v>
          </cell>
          <cell r="CI10" t="str">
            <v>Да</v>
          </cell>
        </row>
        <row r="11">
          <cell r="J11" t="str">
            <v>Да</v>
          </cell>
          <cell r="Q11" t="str">
            <v>Да</v>
          </cell>
          <cell r="X11" t="str">
            <v>Да</v>
          </cell>
          <cell r="AE11" t="str">
            <v>Да</v>
          </cell>
          <cell r="AL11" t="str">
            <v>Да</v>
          </cell>
          <cell r="AS11" t="str">
            <v>Да</v>
          </cell>
          <cell r="AZ11" t="str">
            <v>Да</v>
          </cell>
          <cell r="BG11" t="str">
            <v>Да</v>
          </cell>
          <cell r="BN11" t="str">
            <v>Да</v>
          </cell>
          <cell r="BU11" t="str">
            <v>Да</v>
          </cell>
          <cell r="CB11" t="str">
            <v>Да</v>
          </cell>
          <cell r="CI11" t="str">
            <v>Да</v>
          </cell>
        </row>
        <row r="12">
          <cell r="J12" t="str">
            <v>Нет</v>
          </cell>
          <cell r="Q12" t="str">
            <v>Да</v>
          </cell>
          <cell r="X12" t="str">
            <v>Да</v>
          </cell>
          <cell r="AE12" t="str">
            <v>Да</v>
          </cell>
          <cell r="AL12" t="str">
            <v>Да</v>
          </cell>
          <cell r="AS12" t="str">
            <v>Да</v>
          </cell>
          <cell r="AZ12" t="str">
            <v>Да</v>
          </cell>
          <cell r="BG12" t="str">
            <v>Да</v>
          </cell>
          <cell r="BN12" t="str">
            <v>Да</v>
          </cell>
          <cell r="BU12" t="str">
            <v>Да</v>
          </cell>
          <cell r="CB12" t="str">
            <v>Да</v>
          </cell>
          <cell r="CI12" t="str">
            <v>Да</v>
          </cell>
        </row>
        <row r="13">
          <cell r="J13" t="str">
            <v>Да</v>
          </cell>
          <cell r="Q13" t="str">
            <v>Да</v>
          </cell>
          <cell r="X13" t="str">
            <v>Да</v>
          </cell>
          <cell r="AE13" t="str">
            <v>Да</v>
          </cell>
          <cell r="AL13" t="str">
            <v>Да</v>
          </cell>
          <cell r="AS13" t="str">
            <v>Да</v>
          </cell>
          <cell r="AZ13" t="str">
            <v>Да</v>
          </cell>
          <cell r="BG13" t="str">
            <v>Да</v>
          </cell>
          <cell r="BN13" t="str">
            <v>Да</v>
          </cell>
          <cell r="BU13" t="str">
            <v>Да</v>
          </cell>
          <cell r="CB13" t="str">
            <v>Да</v>
          </cell>
          <cell r="CI13" t="str">
            <v>Да</v>
          </cell>
        </row>
        <row r="14">
          <cell r="J14" t="str">
            <v>Да</v>
          </cell>
          <cell r="Q14" t="str">
            <v>Да</v>
          </cell>
          <cell r="X14" t="str">
            <v>Да</v>
          </cell>
          <cell r="AE14" t="str">
            <v>Нет</v>
          </cell>
          <cell r="AL14" t="str">
            <v>Да</v>
          </cell>
          <cell r="AS14" t="str">
            <v>Да</v>
          </cell>
          <cell r="AZ14" t="str">
            <v>Да</v>
          </cell>
          <cell r="BG14" t="str">
            <v>Да</v>
          </cell>
          <cell r="BN14" t="str">
            <v>Да</v>
          </cell>
          <cell r="BU14" t="str">
            <v>Да</v>
          </cell>
          <cell r="CB14" t="str">
            <v>Да</v>
          </cell>
          <cell r="CI14" t="str">
            <v>Да</v>
          </cell>
        </row>
        <row r="15">
          <cell r="J15" t="str">
            <v>Да</v>
          </cell>
          <cell r="Q15" t="str">
            <v>Да</v>
          </cell>
          <cell r="X15" t="str">
            <v>Нет</v>
          </cell>
          <cell r="AE15" t="str">
            <v>Нет</v>
          </cell>
          <cell r="AL15" t="str">
            <v>Да</v>
          </cell>
          <cell r="AS15" t="str">
            <v>Нет</v>
          </cell>
          <cell r="AZ15" t="str">
            <v>Да</v>
          </cell>
          <cell r="BG15" t="str">
            <v>Да</v>
          </cell>
          <cell r="BN15" t="str">
            <v>Да</v>
          </cell>
          <cell r="BU15" t="str">
            <v>Да</v>
          </cell>
          <cell r="CB15" t="str">
            <v>Да</v>
          </cell>
          <cell r="CI15" t="str">
            <v>Да</v>
          </cell>
        </row>
        <row r="16">
          <cell r="J16"/>
          <cell r="Q16"/>
          <cell r="X16" t="str">
            <v>Да</v>
          </cell>
          <cell r="AE16" t="str">
            <v>Да</v>
          </cell>
          <cell r="AL16" t="str">
            <v>Да</v>
          </cell>
          <cell r="AS16" t="str">
            <v>Да</v>
          </cell>
          <cell r="AZ16" t="str">
            <v>Да</v>
          </cell>
          <cell r="BG16" t="str">
            <v>Да</v>
          </cell>
          <cell r="BN16" t="str">
            <v>Да</v>
          </cell>
          <cell r="BU16" t="str">
            <v>Да</v>
          </cell>
          <cell r="CB16" t="str">
            <v>Да</v>
          </cell>
          <cell r="CI16" t="str">
            <v>Да</v>
          </cell>
        </row>
        <row r="17">
          <cell r="J17" t="str">
            <v>Да</v>
          </cell>
          <cell r="Q17" t="str">
            <v>Да</v>
          </cell>
          <cell r="X17" t="str">
            <v>Да</v>
          </cell>
          <cell r="AE17" t="str">
            <v>Да</v>
          </cell>
          <cell r="AL17" t="str">
            <v>Да</v>
          </cell>
          <cell r="AS17" t="str">
            <v>Да</v>
          </cell>
          <cell r="AZ17" t="str">
            <v>Да</v>
          </cell>
          <cell r="BG17" t="str">
            <v>Да</v>
          </cell>
          <cell r="BN17" t="str">
            <v>Да</v>
          </cell>
          <cell r="BU17" t="str">
            <v>Да</v>
          </cell>
          <cell r="CB17" t="str">
            <v>Да</v>
          </cell>
          <cell r="CI17" t="str">
            <v>Да</v>
          </cell>
        </row>
        <row r="18">
          <cell r="J18" t="str">
            <v>Да</v>
          </cell>
          <cell r="Q18" t="str">
            <v>Да</v>
          </cell>
          <cell r="X18" t="str">
            <v>Да</v>
          </cell>
          <cell r="AE18" t="str">
            <v>Да</v>
          </cell>
          <cell r="AL18" t="str">
            <v>Нет</v>
          </cell>
          <cell r="AS18" t="str">
            <v>Да</v>
          </cell>
          <cell r="AZ18" t="str">
            <v>Да</v>
          </cell>
          <cell r="BG18" t="str">
            <v>Нет</v>
          </cell>
          <cell r="BN18" t="str">
            <v>Да</v>
          </cell>
          <cell r="BU18" t="str">
            <v>Да</v>
          </cell>
          <cell r="CB18" t="str">
            <v>Да</v>
          </cell>
          <cell r="CI18" t="str">
            <v>Да</v>
          </cell>
        </row>
        <row r="19">
          <cell r="J19"/>
          <cell r="Q19"/>
          <cell r="X19"/>
          <cell r="AE19"/>
          <cell r="AL19"/>
          <cell r="AS19"/>
          <cell r="AZ19"/>
          <cell r="BG19" t="str">
            <v>Да</v>
          </cell>
          <cell r="BN19" t="str">
            <v>Нет</v>
          </cell>
          <cell r="BU19" t="str">
            <v>Да</v>
          </cell>
          <cell r="CB19" t="str">
            <v>Нет</v>
          </cell>
          <cell r="CI19" t="str">
            <v>Нет</v>
          </cell>
        </row>
        <row r="20">
          <cell r="J20" t="str">
            <v>Да</v>
          </cell>
          <cell r="Q20" t="str">
            <v>Да</v>
          </cell>
          <cell r="X20" t="str">
            <v>Да</v>
          </cell>
          <cell r="AE20" t="str">
            <v>Да</v>
          </cell>
          <cell r="AL20" t="str">
            <v>Да</v>
          </cell>
          <cell r="AS20" t="str">
            <v>Да</v>
          </cell>
          <cell r="AZ20" t="str">
            <v>Да</v>
          </cell>
          <cell r="BG20" t="str">
            <v>Да</v>
          </cell>
          <cell r="BN20" t="str">
            <v>Да</v>
          </cell>
          <cell r="BU20" t="str">
            <v>Да</v>
          </cell>
          <cell r="CB20" t="str">
            <v>Да</v>
          </cell>
          <cell r="CI20" t="str">
            <v>Да</v>
          </cell>
        </row>
        <row r="21">
          <cell r="J21" t="str">
            <v>Да</v>
          </cell>
          <cell r="Q21" t="str">
            <v>Да</v>
          </cell>
          <cell r="X21" t="str">
            <v>Нет</v>
          </cell>
          <cell r="AE21" t="str">
            <v>Да</v>
          </cell>
          <cell r="AL21" t="str">
            <v>Да</v>
          </cell>
          <cell r="AS21" t="str">
            <v>Нет</v>
          </cell>
          <cell r="AZ21" t="str">
            <v>Да</v>
          </cell>
          <cell r="BG21" t="str">
            <v>Да</v>
          </cell>
          <cell r="BN21" t="str">
            <v>Да</v>
          </cell>
          <cell r="BU21" t="str">
            <v>Да</v>
          </cell>
          <cell r="CB21" t="str">
            <v>Да</v>
          </cell>
          <cell r="CI21" t="str">
            <v>Да</v>
          </cell>
        </row>
        <row r="22">
          <cell r="J22" t="str">
            <v>Да</v>
          </cell>
          <cell r="Q22" t="str">
            <v>Да</v>
          </cell>
          <cell r="X22" t="str">
            <v>Нет</v>
          </cell>
          <cell r="AE22" t="str">
            <v>Да</v>
          </cell>
          <cell r="AL22" t="str">
            <v>Да</v>
          </cell>
          <cell r="AS22" t="str">
            <v>Да</v>
          </cell>
          <cell r="AZ22" t="str">
            <v>Да</v>
          </cell>
          <cell r="BG22" t="str">
            <v>Да</v>
          </cell>
          <cell r="BN22" t="str">
            <v>Да</v>
          </cell>
          <cell r="BU22" t="str">
            <v>Да</v>
          </cell>
          <cell r="CB22" t="str">
            <v>Да</v>
          </cell>
          <cell r="CI22" t="str">
            <v>Да</v>
          </cell>
        </row>
        <row r="23">
          <cell r="J23"/>
          <cell r="Q23" t="str">
            <v>Да</v>
          </cell>
          <cell r="X23" t="str">
            <v>Да</v>
          </cell>
          <cell r="AE23" t="str">
            <v>Да</v>
          </cell>
          <cell r="AL23" t="str">
            <v>Да</v>
          </cell>
          <cell r="AS23" t="str">
            <v>Да</v>
          </cell>
          <cell r="AZ23" t="str">
            <v>Нет</v>
          </cell>
          <cell r="BG23" t="str">
            <v>Да</v>
          </cell>
          <cell r="BN23" t="str">
            <v>Да</v>
          </cell>
          <cell r="BU23" t="str">
            <v>Да</v>
          </cell>
          <cell r="CB23" t="str">
            <v>Да</v>
          </cell>
          <cell r="CI23" t="str">
            <v>Нет</v>
          </cell>
        </row>
        <row r="24">
          <cell r="J24" t="str">
            <v>Нет</v>
          </cell>
          <cell r="Q24" t="str">
            <v>Да</v>
          </cell>
          <cell r="X24" t="str">
            <v>Да</v>
          </cell>
          <cell r="AE24" t="str">
            <v>Да</v>
          </cell>
          <cell r="AL24" t="str">
            <v>Нет</v>
          </cell>
          <cell r="AS24" t="str">
            <v>Да</v>
          </cell>
          <cell r="AZ24" t="str">
            <v>Да</v>
          </cell>
          <cell r="BG24" t="str">
            <v>Да</v>
          </cell>
          <cell r="BN24" t="str">
            <v>Да</v>
          </cell>
          <cell r="BU24" t="str">
            <v>Да</v>
          </cell>
          <cell r="CB24" t="str">
            <v>Да</v>
          </cell>
          <cell r="CI24" t="str">
            <v>Да</v>
          </cell>
        </row>
        <row r="25">
          <cell r="J25" t="str">
            <v>Да</v>
          </cell>
          <cell r="Q25" t="str">
            <v>Да</v>
          </cell>
          <cell r="X25" t="str">
            <v>Да</v>
          </cell>
          <cell r="AE25" t="str">
            <v>Да</v>
          </cell>
          <cell r="AL25" t="str">
            <v>Да</v>
          </cell>
          <cell r="AS25" t="str">
            <v>Да</v>
          </cell>
          <cell r="AZ25" t="str">
            <v>Да</v>
          </cell>
          <cell r="BG25" t="str">
            <v>Да</v>
          </cell>
          <cell r="BN25" t="str">
            <v>Да</v>
          </cell>
          <cell r="BU25" t="str">
            <v>Да</v>
          </cell>
          <cell r="CB25" t="str">
            <v>Да</v>
          </cell>
          <cell r="CI25" t="str">
            <v>Да</v>
          </cell>
        </row>
        <row r="26">
          <cell r="J26" t="str">
            <v>Да</v>
          </cell>
          <cell r="Q26" t="str">
            <v>Да</v>
          </cell>
          <cell r="X26" t="str">
            <v>Да</v>
          </cell>
          <cell r="AE26" t="str">
            <v>Да</v>
          </cell>
          <cell r="AL26" t="str">
            <v>Да</v>
          </cell>
          <cell r="AS26" t="str">
            <v>Да</v>
          </cell>
          <cell r="AZ26" t="str">
            <v>Да</v>
          </cell>
          <cell r="BG26" t="str">
            <v>Да</v>
          </cell>
          <cell r="BN26" t="str">
            <v>Да</v>
          </cell>
          <cell r="BU26" t="str">
            <v>Да</v>
          </cell>
          <cell r="CB26" t="str">
            <v>Да</v>
          </cell>
          <cell r="CI26" t="str">
            <v>Нет</v>
          </cell>
        </row>
        <row r="27">
          <cell r="J27" t="str">
            <v>Да</v>
          </cell>
          <cell r="Q27" t="str">
            <v>Да</v>
          </cell>
          <cell r="X27" t="str">
            <v>Да</v>
          </cell>
          <cell r="AE27" t="str">
            <v>Да</v>
          </cell>
          <cell r="AL27" t="str">
            <v>Нет</v>
          </cell>
          <cell r="AS27" t="str">
            <v>Да</v>
          </cell>
          <cell r="AZ27" t="str">
            <v>Да</v>
          </cell>
          <cell r="BG27" t="str">
            <v>Да</v>
          </cell>
          <cell r="BN27" t="str">
            <v>Да</v>
          </cell>
          <cell r="BU27" t="str">
            <v>Да</v>
          </cell>
          <cell r="CB27" t="str">
            <v>Да</v>
          </cell>
          <cell r="CI27" t="str">
            <v>Да</v>
          </cell>
        </row>
        <row r="28">
          <cell r="J28" t="str">
            <v>Да</v>
          </cell>
          <cell r="Q28" t="str">
            <v>Да</v>
          </cell>
          <cell r="X28" t="str">
            <v>Да</v>
          </cell>
          <cell r="AE28" t="str">
            <v>Да</v>
          </cell>
          <cell r="AL28" t="str">
            <v>Да</v>
          </cell>
          <cell r="AS28" t="str">
            <v>Да</v>
          </cell>
          <cell r="AZ28" t="str">
            <v>Да</v>
          </cell>
          <cell r="BG28" t="str">
            <v>Да</v>
          </cell>
          <cell r="BN28" t="str">
            <v>Да</v>
          </cell>
          <cell r="BU28" t="str">
            <v>Да</v>
          </cell>
          <cell r="CB28" t="str">
            <v>Да</v>
          </cell>
          <cell r="CI28" t="str">
            <v>Да</v>
          </cell>
        </row>
        <row r="29">
          <cell r="J29" t="str">
            <v>Да</v>
          </cell>
          <cell r="Q29" t="str">
            <v>Да</v>
          </cell>
          <cell r="X29" t="str">
            <v>Да</v>
          </cell>
          <cell r="AE29" t="str">
            <v>Нет</v>
          </cell>
          <cell r="AL29" t="str">
            <v>Да</v>
          </cell>
          <cell r="AS29" t="str">
            <v>Да</v>
          </cell>
          <cell r="AZ29" t="str">
            <v>Да</v>
          </cell>
          <cell r="BG29" t="str">
            <v>Да</v>
          </cell>
          <cell r="BN29" t="str">
            <v>Да</v>
          </cell>
          <cell r="BU29" t="str">
            <v>Да</v>
          </cell>
          <cell r="CB29" t="str">
            <v>Да</v>
          </cell>
          <cell r="CI29" t="str">
            <v>Да</v>
          </cell>
        </row>
        <row r="30">
          <cell r="J30" t="str">
            <v>Да</v>
          </cell>
          <cell r="Q30" t="str">
            <v>Да</v>
          </cell>
          <cell r="X30" t="str">
            <v>Нет</v>
          </cell>
          <cell r="AE30" t="str">
            <v>Да</v>
          </cell>
          <cell r="AL30" t="str">
            <v>Да</v>
          </cell>
          <cell r="AS30" t="str">
            <v>Да</v>
          </cell>
          <cell r="AZ30" t="str">
            <v>Да</v>
          </cell>
          <cell r="BG30" t="str">
            <v>Да</v>
          </cell>
          <cell r="BN30" t="str">
            <v>Да</v>
          </cell>
          <cell r="BU30" t="str">
            <v>Да</v>
          </cell>
          <cell r="CB30" t="str">
            <v>Да</v>
          </cell>
          <cell r="CI30" t="str">
            <v>Да</v>
          </cell>
        </row>
        <row r="31">
          <cell r="J31" t="str">
            <v>Да</v>
          </cell>
          <cell r="Q31" t="str">
            <v>Да</v>
          </cell>
          <cell r="X31" t="str">
            <v>Да</v>
          </cell>
          <cell r="AE31" t="str">
            <v>Нет</v>
          </cell>
          <cell r="AL31" t="str">
            <v>Да</v>
          </cell>
          <cell r="AS31" t="str">
            <v>Да</v>
          </cell>
          <cell r="AZ31" t="str">
            <v>Да</v>
          </cell>
          <cell r="BG31" t="str">
            <v>Да</v>
          </cell>
          <cell r="BN31" t="str">
            <v>Да</v>
          </cell>
          <cell r="BU31" t="str">
            <v>Да</v>
          </cell>
          <cell r="CB31" t="str">
            <v>Да</v>
          </cell>
          <cell r="CI31" t="str">
            <v>Да</v>
          </cell>
        </row>
        <row r="32">
          <cell r="J32" t="str">
            <v>Да</v>
          </cell>
          <cell r="Q32" t="str">
            <v>Да</v>
          </cell>
          <cell r="X32" t="str">
            <v>Да</v>
          </cell>
          <cell r="AE32" t="str">
            <v>Да</v>
          </cell>
          <cell r="AL32" t="str">
            <v>Да</v>
          </cell>
          <cell r="AS32" t="str">
            <v>Нет</v>
          </cell>
          <cell r="AZ32" t="str">
            <v>Да</v>
          </cell>
          <cell r="BG32" t="str">
            <v>Нет</v>
          </cell>
          <cell r="BN32" t="str">
            <v>Да</v>
          </cell>
          <cell r="BU32" t="str">
            <v>Да</v>
          </cell>
          <cell r="CB32" t="str">
            <v>Да</v>
          </cell>
          <cell r="CI32" t="str">
            <v>Да</v>
          </cell>
        </row>
        <row r="33">
          <cell r="J33" t="str">
            <v>Да</v>
          </cell>
          <cell r="Q33" t="str">
            <v>Да</v>
          </cell>
          <cell r="X33" t="str">
            <v>Да</v>
          </cell>
          <cell r="AE33" t="str">
            <v>Да</v>
          </cell>
          <cell r="AL33" t="str">
            <v>Да</v>
          </cell>
          <cell r="AS33" t="str">
            <v>Да</v>
          </cell>
          <cell r="AZ33" t="str">
            <v>Да</v>
          </cell>
          <cell r="BG33" t="str">
            <v>Да</v>
          </cell>
          <cell r="BN33" t="str">
            <v>Да</v>
          </cell>
          <cell r="BU33" t="str">
            <v>Да</v>
          </cell>
          <cell r="CB33" t="str">
            <v>Да</v>
          </cell>
          <cell r="CI33" t="str">
            <v>Да</v>
          </cell>
        </row>
        <row r="34">
          <cell r="J34" t="str">
            <v>Да</v>
          </cell>
          <cell r="Q34" t="str">
            <v>Да</v>
          </cell>
          <cell r="X34" t="str">
            <v>Да</v>
          </cell>
          <cell r="AE34" t="str">
            <v>Да</v>
          </cell>
          <cell r="AL34" t="str">
            <v>Нет</v>
          </cell>
          <cell r="AS34" t="str">
            <v>Да</v>
          </cell>
          <cell r="AZ34" t="str">
            <v>Да</v>
          </cell>
          <cell r="BG34" t="str">
            <v>Да</v>
          </cell>
          <cell r="BN34" t="str">
            <v>Да</v>
          </cell>
          <cell r="BU34" t="str">
            <v>Нет</v>
          </cell>
          <cell r="CB34" t="str">
            <v>Нет</v>
          </cell>
          <cell r="CI34" t="str">
            <v>Нет</v>
          </cell>
        </row>
        <row r="35">
          <cell r="J35" t="str">
            <v>Да</v>
          </cell>
          <cell r="Q35" t="str">
            <v>Да</v>
          </cell>
          <cell r="X35" t="str">
            <v>Да</v>
          </cell>
          <cell r="AE35" t="str">
            <v>Да</v>
          </cell>
          <cell r="AL35" t="str">
            <v>Да</v>
          </cell>
          <cell r="AS35" t="str">
            <v>Да</v>
          </cell>
          <cell r="AZ35" t="str">
            <v>Да</v>
          </cell>
          <cell r="BG35" t="str">
            <v>Нет</v>
          </cell>
          <cell r="BN35" t="str">
            <v>Да</v>
          </cell>
          <cell r="BU35" t="str">
            <v>Да</v>
          </cell>
          <cell r="CB35" t="str">
            <v>Да</v>
          </cell>
          <cell r="CI35" t="str">
            <v>Да</v>
          </cell>
        </row>
        <row r="36">
          <cell r="J36" t="str">
            <v>Да</v>
          </cell>
          <cell r="Q36" t="str">
            <v>Да</v>
          </cell>
          <cell r="X36" t="str">
            <v>Да</v>
          </cell>
          <cell r="AE36" t="str">
            <v>Да</v>
          </cell>
          <cell r="AL36" t="str">
            <v>Да</v>
          </cell>
          <cell r="AS36" t="str">
            <v>Да</v>
          </cell>
          <cell r="AZ36" t="str">
            <v>Да</v>
          </cell>
          <cell r="BG36" t="str">
            <v>Да</v>
          </cell>
          <cell r="BN36" t="str">
            <v>Да</v>
          </cell>
          <cell r="BU36" t="str">
            <v>Да</v>
          </cell>
          <cell r="CB36" t="str">
            <v>Да</v>
          </cell>
          <cell r="CI36" t="str">
            <v>Да</v>
          </cell>
        </row>
        <row r="37">
          <cell r="J37" t="str">
            <v>Да</v>
          </cell>
          <cell r="Q37" t="str">
            <v>Да</v>
          </cell>
          <cell r="X37" t="str">
            <v>Да</v>
          </cell>
          <cell r="AE37" t="str">
            <v>Да</v>
          </cell>
          <cell r="AL37" t="str">
            <v>Да</v>
          </cell>
          <cell r="AS37" t="str">
            <v>Да</v>
          </cell>
          <cell r="AZ37" t="str">
            <v>Да</v>
          </cell>
          <cell r="BG37" t="str">
            <v>Да</v>
          </cell>
          <cell r="BN37" t="str">
            <v>Да</v>
          </cell>
          <cell r="BU37" t="str">
            <v>Да</v>
          </cell>
          <cell r="CB37" t="str">
            <v>Да</v>
          </cell>
          <cell r="CI37" t="str">
            <v>Да</v>
          </cell>
        </row>
        <row r="38">
          <cell r="J38" t="str">
            <v>Нет</v>
          </cell>
          <cell r="Q38" t="str">
            <v>Да</v>
          </cell>
          <cell r="X38" t="str">
            <v>Да</v>
          </cell>
          <cell r="AE38" t="str">
            <v>Да</v>
          </cell>
          <cell r="AL38" t="str">
            <v>Да</v>
          </cell>
          <cell r="AS38" t="str">
            <v>Да</v>
          </cell>
          <cell r="AZ38" t="str">
            <v>Да</v>
          </cell>
          <cell r="BG38" t="str">
            <v>Да</v>
          </cell>
          <cell r="BN38" t="str">
            <v>Нет</v>
          </cell>
          <cell r="BU38" t="str">
            <v>Да</v>
          </cell>
          <cell r="CB38" t="str">
            <v>Да</v>
          </cell>
          <cell r="CI38" t="str">
            <v>Да</v>
          </cell>
        </row>
        <row r="39">
          <cell r="J39" t="str">
            <v>Да</v>
          </cell>
          <cell r="Q39" t="str">
            <v>Да</v>
          </cell>
          <cell r="X39" t="str">
            <v>Да</v>
          </cell>
          <cell r="AE39" t="str">
            <v>Да</v>
          </cell>
          <cell r="AL39" t="str">
            <v>Да</v>
          </cell>
          <cell r="AS39" t="str">
            <v>Да</v>
          </cell>
          <cell r="AZ39" t="str">
            <v>Да</v>
          </cell>
          <cell r="BG39" t="str">
            <v>Да</v>
          </cell>
          <cell r="BN39" t="str">
            <v>Да</v>
          </cell>
          <cell r="BU39" t="str">
            <v>Да</v>
          </cell>
          <cell r="CB39" t="str">
            <v>Да</v>
          </cell>
          <cell r="CI39" t="str">
            <v>Да</v>
          </cell>
        </row>
        <row r="40">
          <cell r="J40" t="str">
            <v>Да</v>
          </cell>
          <cell r="Q40" t="str">
            <v>Да</v>
          </cell>
          <cell r="X40" t="str">
            <v>Да</v>
          </cell>
          <cell r="AE40" t="str">
            <v>Да</v>
          </cell>
          <cell r="AL40" t="str">
            <v>Да</v>
          </cell>
          <cell r="AS40" t="str">
            <v>Да</v>
          </cell>
          <cell r="AZ40" t="str">
            <v>Да</v>
          </cell>
          <cell r="BG40" t="str">
            <v>Да</v>
          </cell>
          <cell r="BN40" t="str">
            <v>Да</v>
          </cell>
          <cell r="BU40" t="str">
            <v>Да</v>
          </cell>
          <cell r="CB40" t="str">
            <v>Да</v>
          </cell>
          <cell r="CI40" t="str">
            <v>Да</v>
          </cell>
        </row>
        <row r="41">
          <cell r="J41" t="str">
            <v>Нет</v>
          </cell>
          <cell r="Q41" t="str">
            <v>Нет</v>
          </cell>
          <cell r="X41" t="str">
            <v>Нет</v>
          </cell>
          <cell r="AE41" t="str">
            <v>Да</v>
          </cell>
          <cell r="AL41" t="str">
            <v>Да</v>
          </cell>
          <cell r="AS41" t="str">
            <v>Да</v>
          </cell>
          <cell r="AZ41" t="str">
            <v>Да</v>
          </cell>
          <cell r="BG41" t="str">
            <v>Нет</v>
          </cell>
          <cell r="BN41" t="str">
            <v>Да</v>
          </cell>
          <cell r="BU41" t="str">
            <v>Да</v>
          </cell>
          <cell r="CB41" t="str">
            <v>Да</v>
          </cell>
          <cell r="CI41" t="str">
            <v>Да</v>
          </cell>
        </row>
        <row r="42">
          <cell r="J42" t="str">
            <v>Да</v>
          </cell>
          <cell r="Q42" t="str">
            <v>Да</v>
          </cell>
          <cell r="X42" t="str">
            <v>Нет</v>
          </cell>
          <cell r="AE42" t="str">
            <v>Да</v>
          </cell>
          <cell r="AL42" t="str">
            <v>Да</v>
          </cell>
          <cell r="AS42" t="str">
            <v>Да</v>
          </cell>
          <cell r="AZ42" t="str">
            <v>Да</v>
          </cell>
          <cell r="BG42" t="str">
            <v>Да</v>
          </cell>
          <cell r="BN42" t="str">
            <v>Да</v>
          </cell>
          <cell r="BU42" t="str">
            <v>Да</v>
          </cell>
          <cell r="CB42" t="str">
            <v>Да</v>
          </cell>
          <cell r="CI42" t="str">
            <v>Да</v>
          </cell>
        </row>
        <row r="43">
          <cell r="J43" t="str">
            <v>Да</v>
          </cell>
          <cell r="Q43" t="str">
            <v>Да</v>
          </cell>
          <cell r="X43" t="str">
            <v>Да</v>
          </cell>
          <cell r="AE43" t="str">
            <v>Да</v>
          </cell>
          <cell r="AL43" t="str">
            <v>Да</v>
          </cell>
          <cell r="AS43" t="str">
            <v>Да</v>
          </cell>
          <cell r="AZ43" t="str">
            <v>Да</v>
          </cell>
          <cell r="BG43" t="str">
            <v>Да</v>
          </cell>
          <cell r="BN43" t="str">
            <v>Да</v>
          </cell>
          <cell r="BU43" t="str">
            <v>Да</v>
          </cell>
          <cell r="CB43" t="str">
            <v>Да</v>
          </cell>
          <cell r="CI43" t="str">
            <v>Да</v>
          </cell>
        </row>
        <row r="44">
          <cell r="J44" t="str">
            <v>Да</v>
          </cell>
          <cell r="Q44" t="str">
            <v>Да</v>
          </cell>
          <cell r="X44" t="str">
            <v>Да</v>
          </cell>
          <cell r="AE44" t="str">
            <v>Да</v>
          </cell>
          <cell r="AL44" t="str">
            <v>Да</v>
          </cell>
          <cell r="AS44" t="str">
            <v>Да</v>
          </cell>
          <cell r="AZ44" t="str">
            <v>Да</v>
          </cell>
          <cell r="BG44" t="str">
            <v>Да</v>
          </cell>
          <cell r="BN44" t="str">
            <v>Да</v>
          </cell>
          <cell r="BU44" t="str">
            <v>Да</v>
          </cell>
          <cell r="CB44" t="str">
            <v>Да</v>
          </cell>
          <cell r="CI44" t="str">
            <v>Да</v>
          </cell>
        </row>
        <row r="45">
          <cell r="J45" t="str">
            <v>Нет</v>
          </cell>
          <cell r="Q45" t="str">
            <v>Нет</v>
          </cell>
          <cell r="X45" t="str">
            <v>Нет</v>
          </cell>
          <cell r="AE45" t="str">
            <v>Нет</v>
          </cell>
          <cell r="AL45" t="str">
            <v>Да</v>
          </cell>
          <cell r="AS45" t="str">
            <v>Да</v>
          </cell>
          <cell r="AZ45" t="str">
            <v>Да</v>
          </cell>
          <cell r="BG45" t="str">
            <v>Да</v>
          </cell>
          <cell r="BN45" t="str">
            <v>Да</v>
          </cell>
          <cell r="BU45" t="str">
            <v>Да</v>
          </cell>
          <cell r="CB45" t="str">
            <v>Нет</v>
          </cell>
          <cell r="CI45" t="str">
            <v>Да</v>
          </cell>
        </row>
        <row r="46">
          <cell r="J46" t="str">
            <v>Да</v>
          </cell>
          <cell r="Q46" t="str">
            <v>Да</v>
          </cell>
          <cell r="X46" t="str">
            <v>Да</v>
          </cell>
          <cell r="AE46" t="str">
            <v>Да</v>
          </cell>
          <cell r="AL46" t="str">
            <v>Да</v>
          </cell>
          <cell r="AS46" t="str">
            <v>Да</v>
          </cell>
          <cell r="AZ46" t="str">
            <v>Да</v>
          </cell>
          <cell r="BG46" t="str">
            <v>Да</v>
          </cell>
          <cell r="BN46" t="str">
            <v>Да</v>
          </cell>
          <cell r="BU46" t="str">
            <v>Да</v>
          </cell>
          <cell r="CB46" t="str">
            <v>Да</v>
          </cell>
          <cell r="CI46" t="str">
            <v>Да</v>
          </cell>
        </row>
        <row r="47">
          <cell r="J47" t="str">
            <v>Нет</v>
          </cell>
          <cell r="Q47" t="str">
            <v>Да</v>
          </cell>
          <cell r="X47" t="str">
            <v>Да</v>
          </cell>
          <cell r="AE47" t="str">
            <v>Да</v>
          </cell>
          <cell r="AL47" t="str">
            <v>Да</v>
          </cell>
          <cell r="AS47" t="str">
            <v>Да</v>
          </cell>
          <cell r="AZ47" t="str">
            <v>Нет</v>
          </cell>
          <cell r="BG47" t="str">
            <v>Да</v>
          </cell>
          <cell r="BN47" t="str">
            <v>Да</v>
          </cell>
          <cell r="BU47" t="str">
            <v>Да</v>
          </cell>
          <cell r="CB47" t="str">
            <v>Да</v>
          </cell>
          <cell r="CI47" t="str">
            <v>Да</v>
          </cell>
        </row>
        <row r="48">
          <cell r="J48" t="str">
            <v>Да</v>
          </cell>
          <cell r="Q48" t="str">
            <v>Да</v>
          </cell>
          <cell r="X48" t="str">
            <v>Да</v>
          </cell>
          <cell r="AE48" t="str">
            <v>Да</v>
          </cell>
          <cell r="AL48" t="str">
            <v>Да</v>
          </cell>
          <cell r="AS48" t="str">
            <v>Да</v>
          </cell>
          <cell r="AZ48" t="str">
            <v>Да</v>
          </cell>
          <cell r="BG48" t="str">
            <v>Да</v>
          </cell>
          <cell r="BN48" t="str">
            <v>Да</v>
          </cell>
          <cell r="BU48" t="str">
            <v>Да</v>
          </cell>
          <cell r="CB48" t="str">
            <v>Да</v>
          </cell>
          <cell r="CI48" t="str">
            <v>Да</v>
          </cell>
        </row>
        <row r="49">
          <cell r="J49" t="str">
            <v>Да</v>
          </cell>
          <cell r="Q49" t="str">
            <v>Да</v>
          </cell>
          <cell r="X49" t="str">
            <v>Да</v>
          </cell>
          <cell r="AE49" t="str">
            <v>Да</v>
          </cell>
          <cell r="AL49" t="str">
            <v>Нет</v>
          </cell>
          <cell r="AS49" t="str">
            <v>Да</v>
          </cell>
          <cell r="AZ49" t="str">
            <v>Да</v>
          </cell>
          <cell r="BG49" t="str">
            <v>Да</v>
          </cell>
          <cell r="BN49" t="str">
            <v>Да</v>
          </cell>
          <cell r="BU49" t="str">
            <v>Нет</v>
          </cell>
          <cell r="CB49" t="str">
            <v>Да</v>
          </cell>
          <cell r="CI49" t="str">
            <v>Да</v>
          </cell>
        </row>
        <row r="50">
          <cell r="J50" t="str">
            <v>Да</v>
          </cell>
          <cell r="Q50" t="str">
            <v>Да</v>
          </cell>
          <cell r="X50" t="str">
            <v>Нет</v>
          </cell>
          <cell r="AE50" t="str">
            <v>Нет</v>
          </cell>
          <cell r="AL50" t="str">
            <v>Да</v>
          </cell>
          <cell r="AS50" t="str">
            <v>Да</v>
          </cell>
          <cell r="AZ50" t="str">
            <v>Да</v>
          </cell>
          <cell r="BG50" t="str">
            <v>Да</v>
          </cell>
          <cell r="BN50" t="str">
            <v>Да</v>
          </cell>
          <cell r="BU50" t="str">
            <v>Да</v>
          </cell>
          <cell r="CB50" t="str">
            <v>Да</v>
          </cell>
          <cell r="CI50" t="str">
            <v>Да</v>
          </cell>
        </row>
        <row r="51">
          <cell r="J51" t="str">
            <v>Да</v>
          </cell>
          <cell r="Q51" t="str">
            <v>Да</v>
          </cell>
          <cell r="X51" t="str">
            <v>Да</v>
          </cell>
          <cell r="AE51" t="str">
            <v>Да</v>
          </cell>
          <cell r="AL51" t="str">
            <v>Да</v>
          </cell>
          <cell r="AS51" t="str">
            <v>Да</v>
          </cell>
          <cell r="AZ51" t="str">
            <v>Да</v>
          </cell>
          <cell r="BG51" t="str">
            <v>Да</v>
          </cell>
          <cell r="BN51" t="str">
            <v>Да</v>
          </cell>
          <cell r="BU51" t="str">
            <v>Да</v>
          </cell>
          <cell r="CB51" t="str">
            <v>Да</v>
          </cell>
          <cell r="CI51" t="str">
            <v>Да</v>
          </cell>
        </row>
        <row r="52">
          <cell r="J52" t="str">
            <v>Да</v>
          </cell>
          <cell r="Q52" t="str">
            <v>Да</v>
          </cell>
          <cell r="X52" t="str">
            <v>Да</v>
          </cell>
          <cell r="AE52" t="str">
            <v>Нет</v>
          </cell>
          <cell r="AL52" t="str">
            <v>Да</v>
          </cell>
          <cell r="AS52" t="str">
            <v>Нет</v>
          </cell>
          <cell r="AZ52" t="str">
            <v>Да</v>
          </cell>
          <cell r="BG52" t="str">
            <v>Да</v>
          </cell>
          <cell r="BN52" t="str">
            <v>Да</v>
          </cell>
          <cell r="BU52" t="str">
            <v>Да</v>
          </cell>
          <cell r="CB52" t="str">
            <v>Да</v>
          </cell>
          <cell r="CI52" t="str">
            <v>Да</v>
          </cell>
        </row>
        <row r="53">
          <cell r="J53" t="str">
            <v>Да</v>
          </cell>
          <cell r="Q53" t="str">
            <v>Да</v>
          </cell>
          <cell r="X53" t="str">
            <v>Да</v>
          </cell>
          <cell r="AE53" t="str">
            <v>Да</v>
          </cell>
          <cell r="AL53" t="str">
            <v>Да</v>
          </cell>
          <cell r="AS53" t="str">
            <v>Да</v>
          </cell>
          <cell r="AZ53" t="str">
            <v>Да</v>
          </cell>
          <cell r="BG53" t="str">
            <v>Да</v>
          </cell>
          <cell r="BN53" t="str">
            <v>Да</v>
          </cell>
          <cell r="BU53" t="str">
            <v>Да</v>
          </cell>
          <cell r="CB53" t="str">
            <v>Да</v>
          </cell>
          <cell r="CI53" t="str">
            <v>Да</v>
          </cell>
        </row>
        <row r="54">
          <cell r="J54" t="str">
            <v>Нет</v>
          </cell>
          <cell r="Q54" t="str">
            <v>Да</v>
          </cell>
          <cell r="X54" t="str">
            <v>Да</v>
          </cell>
          <cell r="AE54" t="str">
            <v>Да</v>
          </cell>
          <cell r="AL54" t="str">
            <v>Да</v>
          </cell>
          <cell r="AS54" t="str">
            <v>Нет</v>
          </cell>
          <cell r="AZ54" t="str">
            <v>Да</v>
          </cell>
          <cell r="BG54" t="str">
            <v>Да</v>
          </cell>
          <cell r="BN54" t="str">
            <v>Да</v>
          </cell>
          <cell r="BU54" t="str">
            <v>Да</v>
          </cell>
          <cell r="CB54" t="str">
            <v>Да</v>
          </cell>
          <cell r="CI54" t="str">
            <v>Да</v>
          </cell>
        </row>
        <row r="55">
          <cell r="J55" t="str">
            <v>Да</v>
          </cell>
          <cell r="Q55" t="str">
            <v>Да</v>
          </cell>
          <cell r="X55" t="str">
            <v>Да</v>
          </cell>
          <cell r="AE55" t="str">
            <v>Да</v>
          </cell>
          <cell r="AL55" t="str">
            <v>Да</v>
          </cell>
          <cell r="AS55" t="str">
            <v>Да</v>
          </cell>
          <cell r="AZ55" t="str">
            <v>Да</v>
          </cell>
          <cell r="BG55" t="str">
            <v>Нет</v>
          </cell>
          <cell r="BN55" t="str">
            <v>Да</v>
          </cell>
          <cell r="BU55" t="str">
            <v>Да</v>
          </cell>
          <cell r="CB55" t="str">
            <v>Да</v>
          </cell>
          <cell r="CI55" t="str">
            <v>Да</v>
          </cell>
        </row>
        <row r="56">
          <cell r="J56" t="str">
            <v>Да</v>
          </cell>
          <cell r="Q56" t="str">
            <v>Да</v>
          </cell>
          <cell r="X56" t="str">
            <v>Да</v>
          </cell>
          <cell r="AE56" t="str">
            <v>Да</v>
          </cell>
          <cell r="AL56" t="str">
            <v>Да</v>
          </cell>
          <cell r="AS56" t="str">
            <v>Да</v>
          </cell>
          <cell r="AZ56" t="str">
            <v>Да</v>
          </cell>
          <cell r="BG56" t="str">
            <v>Да</v>
          </cell>
          <cell r="BN56" t="str">
            <v>Да</v>
          </cell>
          <cell r="BU56" t="str">
            <v>Да</v>
          </cell>
          <cell r="CB56" t="str">
            <v>Да</v>
          </cell>
          <cell r="CI56" t="str">
            <v>Да</v>
          </cell>
        </row>
        <row r="57">
          <cell r="J57" t="str">
            <v>Нет</v>
          </cell>
          <cell r="Q57" t="str">
            <v>Да</v>
          </cell>
          <cell r="X57" t="str">
            <v>Да</v>
          </cell>
          <cell r="AE57" t="str">
            <v>Да</v>
          </cell>
          <cell r="AL57" t="str">
            <v>Да</v>
          </cell>
          <cell r="AS57" t="str">
            <v>Да</v>
          </cell>
          <cell r="AZ57" t="str">
            <v>Да</v>
          </cell>
          <cell r="BG57" t="str">
            <v>Да</v>
          </cell>
          <cell r="BN57" t="str">
            <v>Да</v>
          </cell>
          <cell r="BU57" t="str">
            <v>Да</v>
          </cell>
          <cell r="CB57" t="str">
            <v>Да</v>
          </cell>
          <cell r="CI57" t="str">
            <v>Да</v>
          </cell>
        </row>
        <row r="58">
          <cell r="J58" t="str">
            <v>Нет</v>
          </cell>
          <cell r="Q58" t="str">
            <v>Да</v>
          </cell>
          <cell r="X58" t="str">
            <v>Да</v>
          </cell>
          <cell r="AE58" t="str">
            <v>Да</v>
          </cell>
          <cell r="AL58" t="str">
            <v>Да</v>
          </cell>
          <cell r="AS58" t="str">
            <v>Да</v>
          </cell>
          <cell r="AZ58" t="str">
            <v>Да</v>
          </cell>
          <cell r="BG58" t="str">
            <v>Да</v>
          </cell>
          <cell r="BN58" t="str">
            <v>Да</v>
          </cell>
          <cell r="BU58" t="str">
            <v>Да</v>
          </cell>
          <cell r="CB58" t="str">
            <v>Да</v>
          </cell>
          <cell r="CI58" t="str">
            <v>Да</v>
          </cell>
        </row>
        <row r="59">
          <cell r="J59"/>
          <cell r="Q59"/>
          <cell r="X59"/>
          <cell r="AE59"/>
          <cell r="AL59"/>
          <cell r="AS59"/>
          <cell r="AZ59"/>
          <cell r="BG59"/>
          <cell r="BN59"/>
          <cell r="BU59"/>
          <cell r="CB59" t="str">
            <v>Да</v>
          </cell>
          <cell r="CI59" t="str">
            <v>Да</v>
          </cell>
        </row>
        <row r="60">
          <cell r="J60" t="str">
            <v>Нет</v>
          </cell>
          <cell r="Q60" t="str">
            <v>Да</v>
          </cell>
          <cell r="X60" t="str">
            <v>Нет</v>
          </cell>
          <cell r="AE60" t="str">
            <v>Нет</v>
          </cell>
          <cell r="AL60" t="str">
            <v>Нет</v>
          </cell>
          <cell r="AS60" t="str">
            <v>Нет</v>
          </cell>
          <cell r="AZ60" t="str">
            <v>Да</v>
          </cell>
          <cell r="BG60" t="str">
            <v>Да</v>
          </cell>
          <cell r="BN60" t="str">
            <v>Да</v>
          </cell>
          <cell r="BU60" t="str">
            <v>Да</v>
          </cell>
          <cell r="CB60" t="str">
            <v>Да</v>
          </cell>
          <cell r="CI60" t="str">
            <v>Да</v>
          </cell>
        </row>
        <row r="61">
          <cell r="J61" t="str">
            <v>Да</v>
          </cell>
          <cell r="Q61" t="str">
            <v>Да</v>
          </cell>
          <cell r="X61" t="str">
            <v>Нет</v>
          </cell>
          <cell r="AE61" t="str">
            <v>Нет</v>
          </cell>
          <cell r="AL61" t="str">
            <v>Да</v>
          </cell>
          <cell r="AS61" t="str">
            <v>Да</v>
          </cell>
          <cell r="AZ61" t="str">
            <v>Да</v>
          </cell>
          <cell r="BG61" t="str">
            <v>Да</v>
          </cell>
          <cell r="BN61" t="str">
            <v>Да</v>
          </cell>
          <cell r="BU61" t="str">
            <v>Да</v>
          </cell>
          <cell r="CB61" t="str">
            <v>Да</v>
          </cell>
          <cell r="CI61" t="str">
            <v>Да</v>
          </cell>
        </row>
        <row r="62">
          <cell r="J62" t="str">
            <v>Нет</v>
          </cell>
          <cell r="Q62" t="str">
            <v>Да</v>
          </cell>
          <cell r="X62" t="str">
            <v>Нет</v>
          </cell>
          <cell r="AE62" t="str">
            <v>Да</v>
          </cell>
          <cell r="AL62" t="str">
            <v>Да</v>
          </cell>
          <cell r="AS62" t="str">
            <v>Нет</v>
          </cell>
          <cell r="AZ62" t="str">
            <v>Да</v>
          </cell>
          <cell r="BG62" t="str">
            <v>Да</v>
          </cell>
          <cell r="BN62" t="str">
            <v>Да</v>
          </cell>
          <cell r="BU62" t="str">
            <v>Да</v>
          </cell>
          <cell r="CB62" t="str">
            <v>Да</v>
          </cell>
          <cell r="CI62" t="str">
            <v>Да</v>
          </cell>
        </row>
        <row r="63">
          <cell r="J63" t="str">
            <v>Да</v>
          </cell>
          <cell r="Q63" t="str">
            <v>Да</v>
          </cell>
          <cell r="X63" t="str">
            <v>Да</v>
          </cell>
          <cell r="AE63" t="str">
            <v>Да</v>
          </cell>
          <cell r="AL63" t="str">
            <v>Да</v>
          </cell>
          <cell r="AS63" t="str">
            <v>Да</v>
          </cell>
          <cell r="AZ63" t="str">
            <v>Да</v>
          </cell>
          <cell r="BG63" t="str">
            <v>Да</v>
          </cell>
          <cell r="BN63" t="str">
            <v>Да</v>
          </cell>
          <cell r="BU63" t="str">
            <v>Да</v>
          </cell>
          <cell r="CB63" t="str">
            <v>Да</v>
          </cell>
          <cell r="CI63" t="str">
            <v>Да</v>
          </cell>
        </row>
        <row r="64">
          <cell r="J64" t="str">
            <v>Да</v>
          </cell>
          <cell r="Q64" t="str">
            <v>Да</v>
          </cell>
          <cell r="X64" t="str">
            <v>Нет</v>
          </cell>
          <cell r="AE64" t="str">
            <v>Да</v>
          </cell>
          <cell r="AL64" t="str">
            <v>Да</v>
          </cell>
          <cell r="AS64" t="str">
            <v>Да</v>
          </cell>
          <cell r="AZ64" t="str">
            <v>Да</v>
          </cell>
          <cell r="BG64" t="str">
            <v>Да</v>
          </cell>
          <cell r="BN64" t="str">
            <v>Да</v>
          </cell>
          <cell r="BU64" t="str">
            <v>Да</v>
          </cell>
          <cell r="CB64" t="str">
            <v>Нет</v>
          </cell>
          <cell r="CI64" t="str">
            <v>Да</v>
          </cell>
        </row>
        <row r="65">
          <cell r="J65"/>
          <cell r="Q65"/>
          <cell r="X65"/>
          <cell r="AE65" t="str">
            <v>Нет</v>
          </cell>
          <cell r="AL65" t="str">
            <v>Нет</v>
          </cell>
          <cell r="AS65" t="str">
            <v>Нет</v>
          </cell>
          <cell r="AZ65" t="str">
            <v>Нет</v>
          </cell>
          <cell r="BG65" t="str">
            <v>Нет</v>
          </cell>
          <cell r="BN65" t="str">
            <v>Нет</v>
          </cell>
          <cell r="BU65" t="str">
            <v>Да</v>
          </cell>
          <cell r="CB65" t="str">
            <v>Нет</v>
          </cell>
          <cell r="CI65" t="str">
            <v>Нет</v>
          </cell>
        </row>
        <row r="66">
          <cell r="J66"/>
          <cell r="Q66"/>
          <cell r="X66" t="str">
            <v>Да</v>
          </cell>
          <cell r="AE66" t="str">
            <v>Нет</v>
          </cell>
          <cell r="AL66" t="str">
            <v>Нет</v>
          </cell>
          <cell r="AS66" t="str">
            <v>Нет</v>
          </cell>
          <cell r="AZ66" t="str">
            <v>Нет</v>
          </cell>
          <cell r="BG66" t="str">
            <v>Нет</v>
          </cell>
          <cell r="BN66" t="str">
            <v>Нет</v>
          </cell>
          <cell r="BU66" t="str">
            <v>Да</v>
          </cell>
          <cell r="CB66" t="str">
            <v>Нет</v>
          </cell>
          <cell r="CI66" t="str">
            <v>Нет</v>
          </cell>
        </row>
        <row r="67">
          <cell r="J67" t="str">
            <v>Нет</v>
          </cell>
          <cell r="Q67" t="str">
            <v>Нет</v>
          </cell>
          <cell r="X67" t="str">
            <v>Да</v>
          </cell>
          <cell r="AE67" t="str">
            <v>Да</v>
          </cell>
          <cell r="AL67" t="str">
            <v>Да</v>
          </cell>
          <cell r="AS67" t="str">
            <v>Да</v>
          </cell>
          <cell r="AZ67" t="str">
            <v>Да</v>
          </cell>
          <cell r="BG67" t="str">
            <v>Да</v>
          </cell>
          <cell r="BN67" t="str">
            <v>Да</v>
          </cell>
          <cell r="BU67" t="str">
            <v>Да</v>
          </cell>
          <cell r="CB67" t="str">
            <v>Да</v>
          </cell>
          <cell r="CI67" t="str">
            <v>Да</v>
          </cell>
        </row>
        <row r="68">
          <cell r="J68" t="str">
            <v>Да</v>
          </cell>
          <cell r="Q68" t="str">
            <v>Да</v>
          </cell>
          <cell r="X68" t="str">
            <v>Да</v>
          </cell>
          <cell r="AE68" t="str">
            <v>Да</v>
          </cell>
          <cell r="AL68" t="str">
            <v>Да</v>
          </cell>
          <cell r="AS68" t="str">
            <v>Нет</v>
          </cell>
          <cell r="AZ68" t="str">
            <v>Да</v>
          </cell>
          <cell r="BG68" t="str">
            <v>Да</v>
          </cell>
          <cell r="BN68" t="str">
            <v>Да</v>
          </cell>
          <cell r="BU68" t="str">
            <v>Да</v>
          </cell>
          <cell r="CB68" t="str">
            <v>Нет</v>
          </cell>
          <cell r="CI68" t="str">
            <v>Да</v>
          </cell>
        </row>
        <row r="69">
          <cell r="J69" t="str">
            <v>Да</v>
          </cell>
          <cell r="Q69" t="str">
            <v>Нет</v>
          </cell>
          <cell r="X69" t="str">
            <v>Да</v>
          </cell>
          <cell r="AE69" t="str">
            <v>Да</v>
          </cell>
          <cell r="AL69" t="str">
            <v>Да</v>
          </cell>
          <cell r="AS69" t="str">
            <v>Да</v>
          </cell>
          <cell r="AZ69" t="str">
            <v>Да</v>
          </cell>
          <cell r="BG69" t="str">
            <v>Да</v>
          </cell>
          <cell r="BN69" t="str">
            <v>Да</v>
          </cell>
          <cell r="BU69" t="str">
            <v>Да</v>
          </cell>
          <cell r="CB69" t="str">
            <v>Да</v>
          </cell>
          <cell r="CI69" t="str">
            <v>Да</v>
          </cell>
        </row>
        <row r="70">
          <cell r="J70" t="str">
            <v>Да</v>
          </cell>
          <cell r="Q70" t="str">
            <v>Нет</v>
          </cell>
          <cell r="X70" t="str">
            <v>Да</v>
          </cell>
          <cell r="AE70" t="str">
            <v>Да</v>
          </cell>
          <cell r="AL70" t="str">
            <v>Да</v>
          </cell>
          <cell r="AS70" t="str">
            <v>Нет</v>
          </cell>
          <cell r="AZ70" t="str">
            <v>Да</v>
          </cell>
          <cell r="BG70" t="str">
            <v>Да</v>
          </cell>
          <cell r="BN70" t="str">
            <v>Да</v>
          </cell>
          <cell r="BU70" t="str">
            <v>Да</v>
          </cell>
          <cell r="CB70" t="str">
            <v>Да</v>
          </cell>
          <cell r="CI70" t="str">
            <v>Да</v>
          </cell>
        </row>
        <row r="71">
          <cell r="J71" t="str">
            <v>Да</v>
          </cell>
          <cell r="Q71" t="str">
            <v>Да</v>
          </cell>
          <cell r="X71" t="str">
            <v>Да</v>
          </cell>
          <cell r="AE71" t="str">
            <v>Да</v>
          </cell>
          <cell r="AL71" t="str">
            <v>Да</v>
          </cell>
          <cell r="AS71" t="str">
            <v>Нет</v>
          </cell>
          <cell r="AZ71" t="str">
            <v>Да</v>
          </cell>
          <cell r="BG71" t="str">
            <v>Да</v>
          </cell>
          <cell r="BN71" t="str">
            <v>Да</v>
          </cell>
          <cell r="BU71" t="str">
            <v>Нет</v>
          </cell>
          <cell r="CB71" t="str">
            <v>Да</v>
          </cell>
          <cell r="CI71" t="str">
            <v>Да</v>
          </cell>
        </row>
        <row r="72">
          <cell r="J72" t="str">
            <v>Да</v>
          </cell>
          <cell r="Q72" t="str">
            <v>Нет</v>
          </cell>
          <cell r="X72" t="str">
            <v>Да</v>
          </cell>
          <cell r="AE72" t="str">
            <v>Нет</v>
          </cell>
          <cell r="AL72" t="str">
            <v>Да</v>
          </cell>
          <cell r="AS72" t="str">
            <v>Да</v>
          </cell>
          <cell r="AZ72" t="str">
            <v>Да</v>
          </cell>
          <cell r="BG72" t="str">
            <v>Да</v>
          </cell>
          <cell r="BN72" t="str">
            <v>Да</v>
          </cell>
          <cell r="BU72" t="str">
            <v>Да</v>
          </cell>
          <cell r="CB72" t="str">
            <v>Да</v>
          </cell>
          <cell r="CI72" t="str">
            <v>Да</v>
          </cell>
        </row>
        <row r="73">
          <cell r="J73" t="str">
            <v>Нет</v>
          </cell>
          <cell r="Q73" t="str">
            <v>Да</v>
          </cell>
          <cell r="X73" t="str">
            <v>Нет</v>
          </cell>
          <cell r="AE73" t="str">
            <v>Да</v>
          </cell>
          <cell r="AL73" t="str">
            <v>Да</v>
          </cell>
          <cell r="AS73" t="str">
            <v>Да</v>
          </cell>
          <cell r="AZ73" t="str">
            <v>Да</v>
          </cell>
          <cell r="BG73" t="str">
            <v>Да</v>
          </cell>
          <cell r="BN73" t="str">
            <v>Нет</v>
          </cell>
          <cell r="BU73" t="str">
            <v>Нет</v>
          </cell>
          <cell r="CB73" t="str">
            <v>Да</v>
          </cell>
          <cell r="CI73" t="str">
            <v>Да</v>
          </cell>
        </row>
        <row r="74">
          <cell r="J74" t="str">
            <v>Да</v>
          </cell>
          <cell r="Q74" t="str">
            <v>Да</v>
          </cell>
          <cell r="X74" t="str">
            <v>Нет</v>
          </cell>
          <cell r="AE74" t="str">
            <v>Да</v>
          </cell>
          <cell r="AL74" t="str">
            <v>Да</v>
          </cell>
          <cell r="AS74" t="str">
            <v>Нет</v>
          </cell>
          <cell r="AZ74" t="str">
            <v>Да</v>
          </cell>
          <cell r="BG74" t="str">
            <v>Да</v>
          </cell>
          <cell r="BN74" t="str">
            <v>Да</v>
          </cell>
          <cell r="BU74" t="str">
            <v>Да</v>
          </cell>
          <cell r="CB74" t="str">
            <v>Да</v>
          </cell>
          <cell r="CI74" t="str">
            <v>Да</v>
          </cell>
        </row>
        <row r="75">
          <cell r="J75" t="str">
            <v>Нет</v>
          </cell>
          <cell r="Q75" t="str">
            <v>Нет</v>
          </cell>
          <cell r="X75" t="str">
            <v>Да</v>
          </cell>
          <cell r="AE75" t="str">
            <v>Да</v>
          </cell>
          <cell r="AL75" t="str">
            <v>Да</v>
          </cell>
          <cell r="AS75" t="str">
            <v>Да</v>
          </cell>
          <cell r="AZ75" t="str">
            <v>Да</v>
          </cell>
          <cell r="BG75" t="str">
            <v>Да</v>
          </cell>
          <cell r="BN75" t="str">
            <v>Да</v>
          </cell>
          <cell r="BU75" t="str">
            <v>Да</v>
          </cell>
          <cell r="CB75" t="str">
            <v>Нет</v>
          </cell>
          <cell r="CI75" t="str">
            <v>Да</v>
          </cell>
        </row>
        <row r="76">
          <cell r="J76" t="str">
            <v>Да</v>
          </cell>
          <cell r="Q76" t="str">
            <v>Да</v>
          </cell>
          <cell r="X76" t="str">
            <v>Да</v>
          </cell>
          <cell r="AE76" t="str">
            <v>Нет</v>
          </cell>
          <cell r="AL76" t="str">
            <v>Нет</v>
          </cell>
          <cell r="AS76" t="str">
            <v>Да</v>
          </cell>
          <cell r="AZ76" t="str">
            <v>Нет</v>
          </cell>
          <cell r="BG76" t="str">
            <v>Да</v>
          </cell>
          <cell r="BN76" t="str">
            <v>Да</v>
          </cell>
          <cell r="BU76" t="str">
            <v>Да</v>
          </cell>
          <cell r="CB76" t="str">
            <v>Да</v>
          </cell>
          <cell r="CI76" t="str">
            <v>Да</v>
          </cell>
        </row>
        <row r="77">
          <cell r="J77" t="str">
            <v>Нет</v>
          </cell>
          <cell r="Q77" t="str">
            <v>Нет</v>
          </cell>
          <cell r="X77" t="str">
            <v>Нет</v>
          </cell>
          <cell r="AE77" t="str">
            <v>Да</v>
          </cell>
          <cell r="AL77" t="str">
            <v>Да</v>
          </cell>
          <cell r="AS77" t="str">
            <v>Да</v>
          </cell>
          <cell r="AZ77" t="str">
            <v>Да</v>
          </cell>
          <cell r="BG77" t="str">
            <v>Нет</v>
          </cell>
          <cell r="BN77" t="str">
            <v>Да</v>
          </cell>
          <cell r="BU77" t="str">
            <v>Да</v>
          </cell>
          <cell r="CB77" t="str">
            <v>Да</v>
          </cell>
          <cell r="CI77" t="str">
            <v>Да</v>
          </cell>
        </row>
        <row r="78">
          <cell r="J78" t="str">
            <v>Да</v>
          </cell>
          <cell r="Q78" t="str">
            <v>Да</v>
          </cell>
          <cell r="X78" t="str">
            <v>Да</v>
          </cell>
          <cell r="AE78" t="str">
            <v>Да</v>
          </cell>
          <cell r="AL78" t="str">
            <v>Да</v>
          </cell>
          <cell r="AS78" t="str">
            <v>Да</v>
          </cell>
          <cell r="AZ78" t="str">
            <v>Да</v>
          </cell>
          <cell r="BG78" t="str">
            <v>Да</v>
          </cell>
          <cell r="BN78" t="str">
            <v>Да</v>
          </cell>
          <cell r="BU78" t="str">
            <v>Да</v>
          </cell>
          <cell r="CB78" t="str">
            <v>Да</v>
          </cell>
          <cell r="CI78" t="str">
            <v>Да</v>
          </cell>
        </row>
        <row r="79">
          <cell r="J79" t="str">
            <v>Да</v>
          </cell>
          <cell r="Q79" t="str">
            <v>Да</v>
          </cell>
          <cell r="X79" t="str">
            <v>Да</v>
          </cell>
          <cell r="AE79" t="str">
            <v>Да</v>
          </cell>
          <cell r="AL79" t="str">
            <v>Нет</v>
          </cell>
          <cell r="AS79" t="str">
            <v>Да</v>
          </cell>
          <cell r="AZ79" t="str">
            <v>Да</v>
          </cell>
          <cell r="BG79" t="str">
            <v>Да</v>
          </cell>
          <cell r="BN79" t="str">
            <v>Да</v>
          </cell>
          <cell r="BU79" t="str">
            <v>Да</v>
          </cell>
          <cell r="CB79" t="str">
            <v>Да</v>
          </cell>
          <cell r="CI79" t="str">
            <v>Да</v>
          </cell>
        </row>
        <row r="80">
          <cell r="J80" t="str">
            <v>Да</v>
          </cell>
          <cell r="Q80" t="str">
            <v>Да</v>
          </cell>
          <cell r="X80" t="str">
            <v>Да</v>
          </cell>
          <cell r="AE80" t="str">
            <v>Да</v>
          </cell>
          <cell r="AL80" t="str">
            <v>Да</v>
          </cell>
          <cell r="AS80" t="str">
            <v>Да</v>
          </cell>
          <cell r="AZ80" t="str">
            <v>Да</v>
          </cell>
          <cell r="BG80" t="str">
            <v>Да</v>
          </cell>
          <cell r="BN80" t="str">
            <v>Да</v>
          </cell>
          <cell r="BU80" t="str">
            <v>Да</v>
          </cell>
          <cell r="CB80" t="str">
            <v>Да</v>
          </cell>
          <cell r="CI80" t="str">
            <v>Да</v>
          </cell>
        </row>
        <row r="81">
          <cell r="J81" t="str">
            <v>Нет</v>
          </cell>
          <cell r="Q81" t="str">
            <v>Нет</v>
          </cell>
          <cell r="X81" t="str">
            <v>Да</v>
          </cell>
          <cell r="AE81" t="str">
            <v>Да</v>
          </cell>
          <cell r="AL81" t="str">
            <v>Да</v>
          </cell>
          <cell r="AS81" t="str">
            <v>Да</v>
          </cell>
          <cell r="AZ81" t="str">
            <v>Да</v>
          </cell>
          <cell r="BG81" t="str">
            <v>Да</v>
          </cell>
          <cell r="BN81" t="str">
            <v>Да</v>
          </cell>
          <cell r="BU81" t="str">
            <v>Да</v>
          </cell>
          <cell r="CB81" t="str">
            <v>Да</v>
          </cell>
          <cell r="CI81" t="str">
            <v>Да</v>
          </cell>
        </row>
        <row r="82">
          <cell r="J82" t="str">
            <v>Да</v>
          </cell>
          <cell r="Q82" t="str">
            <v>Да</v>
          </cell>
          <cell r="X82" t="str">
            <v>Нет</v>
          </cell>
          <cell r="AE82" t="str">
            <v>Да</v>
          </cell>
          <cell r="AL82" t="str">
            <v>Да</v>
          </cell>
          <cell r="AS82" t="str">
            <v>Да</v>
          </cell>
          <cell r="AZ82" t="str">
            <v>Нет</v>
          </cell>
          <cell r="BG82" t="str">
            <v>Да</v>
          </cell>
          <cell r="BN82" t="str">
            <v>Да</v>
          </cell>
          <cell r="BU82" t="str">
            <v>Да</v>
          </cell>
          <cell r="CB82" t="str">
            <v>Да</v>
          </cell>
          <cell r="CI82" t="str">
            <v>Да</v>
          </cell>
        </row>
        <row r="83">
          <cell r="J83" t="str">
            <v>Да</v>
          </cell>
          <cell r="Q83" t="str">
            <v>Да</v>
          </cell>
          <cell r="X83" t="str">
            <v>Нет</v>
          </cell>
          <cell r="AE83" t="str">
            <v>Да</v>
          </cell>
          <cell r="AL83" t="str">
            <v>Да</v>
          </cell>
          <cell r="AS83" t="str">
            <v>Да</v>
          </cell>
          <cell r="AZ83" t="str">
            <v>Да</v>
          </cell>
          <cell r="BG83" t="str">
            <v>Да</v>
          </cell>
          <cell r="BN83" t="str">
            <v>Да</v>
          </cell>
          <cell r="BU83" t="str">
            <v>Да</v>
          </cell>
          <cell r="CB83" t="str">
            <v>Да</v>
          </cell>
          <cell r="CI83" t="str">
            <v>Да</v>
          </cell>
        </row>
        <row r="84">
          <cell r="J84" t="str">
            <v>Да</v>
          </cell>
          <cell r="Q84" t="str">
            <v>Да</v>
          </cell>
          <cell r="X84" t="str">
            <v>Да</v>
          </cell>
          <cell r="AE84" t="str">
            <v>Да</v>
          </cell>
          <cell r="AL84" t="str">
            <v>Да</v>
          </cell>
          <cell r="AS84" t="str">
            <v>Да</v>
          </cell>
          <cell r="AZ84" t="str">
            <v>Да</v>
          </cell>
          <cell r="BG84" t="str">
            <v>Да</v>
          </cell>
          <cell r="BN84" t="str">
            <v>Да</v>
          </cell>
          <cell r="BU84" t="str">
            <v>Да</v>
          </cell>
          <cell r="CB84" t="str">
            <v>Да</v>
          </cell>
          <cell r="CI84" t="str">
            <v>Да</v>
          </cell>
        </row>
        <row r="85">
          <cell r="J85" t="str">
            <v>Да</v>
          </cell>
          <cell r="Q85" t="str">
            <v>Да</v>
          </cell>
          <cell r="X85" t="str">
            <v>Да</v>
          </cell>
          <cell r="AE85" t="str">
            <v>Да</v>
          </cell>
          <cell r="AL85" t="str">
            <v>Нет</v>
          </cell>
          <cell r="AS85" t="str">
            <v>Да</v>
          </cell>
          <cell r="AZ85" t="str">
            <v>Нет</v>
          </cell>
          <cell r="BG85" t="str">
            <v>Да</v>
          </cell>
          <cell r="BN85" t="str">
            <v>Да</v>
          </cell>
          <cell r="BU85" t="str">
            <v>Да</v>
          </cell>
          <cell r="CB85" t="str">
            <v>Да</v>
          </cell>
          <cell r="CI85" t="str">
            <v>Да</v>
          </cell>
        </row>
        <row r="86">
          <cell r="J86" t="str">
            <v>Да</v>
          </cell>
          <cell r="Q86" t="str">
            <v>Да</v>
          </cell>
          <cell r="X86" t="str">
            <v>Да</v>
          </cell>
          <cell r="AE86" t="str">
            <v>Нет</v>
          </cell>
          <cell r="AL86" t="str">
            <v>Да</v>
          </cell>
          <cell r="AS86" t="str">
            <v>Да</v>
          </cell>
          <cell r="AZ86" t="str">
            <v>Да</v>
          </cell>
          <cell r="BG86" t="str">
            <v>Да</v>
          </cell>
          <cell r="BN86" t="str">
            <v>Нет</v>
          </cell>
          <cell r="BU86" t="str">
            <v>Да</v>
          </cell>
          <cell r="CB86" t="str">
            <v>Да</v>
          </cell>
          <cell r="CI86" t="str">
            <v>Да</v>
          </cell>
        </row>
        <row r="87">
          <cell r="J87" t="str">
            <v>Да</v>
          </cell>
          <cell r="Q87" t="str">
            <v>Да</v>
          </cell>
          <cell r="X87" t="str">
            <v>Да</v>
          </cell>
          <cell r="AE87" t="str">
            <v>Нет</v>
          </cell>
          <cell r="AL87" t="str">
            <v>Да</v>
          </cell>
          <cell r="AS87" t="str">
            <v>Да</v>
          </cell>
          <cell r="AZ87" t="str">
            <v>Да</v>
          </cell>
          <cell r="BG87" t="str">
            <v>Да</v>
          </cell>
          <cell r="BN87" t="str">
            <v>Да</v>
          </cell>
          <cell r="BU87" t="str">
            <v>Да</v>
          </cell>
          <cell r="CB87" t="str">
            <v>Да</v>
          </cell>
          <cell r="CI87" t="str">
            <v>Да</v>
          </cell>
        </row>
        <row r="88">
          <cell r="J88" t="str">
            <v>Нет</v>
          </cell>
          <cell r="Q88" t="str">
            <v>Да</v>
          </cell>
          <cell r="X88" t="str">
            <v>Да</v>
          </cell>
          <cell r="AE88" t="str">
            <v>Да</v>
          </cell>
          <cell r="AL88" t="str">
            <v>Да</v>
          </cell>
          <cell r="AS88" t="str">
            <v>Да</v>
          </cell>
          <cell r="AZ88" t="str">
            <v>Да</v>
          </cell>
          <cell r="BG88" t="str">
            <v>Да</v>
          </cell>
          <cell r="BN88" t="str">
            <v>Да</v>
          </cell>
          <cell r="BU88" t="str">
            <v>Да</v>
          </cell>
          <cell r="CB88" t="str">
            <v>Да</v>
          </cell>
          <cell r="CI88" t="str">
            <v>Нет</v>
          </cell>
        </row>
        <row r="89">
          <cell r="J89" t="str">
            <v>Да</v>
          </cell>
          <cell r="Q89" t="str">
            <v>Да</v>
          </cell>
          <cell r="X89" t="str">
            <v>Да</v>
          </cell>
          <cell r="AE89" t="str">
            <v>Да</v>
          </cell>
          <cell r="AL89" t="str">
            <v>Да</v>
          </cell>
          <cell r="AS89" t="str">
            <v>Да</v>
          </cell>
          <cell r="AZ89" t="str">
            <v>Да</v>
          </cell>
          <cell r="BG89" t="str">
            <v>Да</v>
          </cell>
          <cell r="BN89" t="str">
            <v>Да</v>
          </cell>
          <cell r="BU89" t="str">
            <v>Да</v>
          </cell>
          <cell r="CB89" t="str">
            <v>Да</v>
          </cell>
          <cell r="CI89" t="str">
            <v>Да</v>
          </cell>
        </row>
        <row r="90">
          <cell r="J90" t="str">
            <v>Да</v>
          </cell>
          <cell r="Q90" t="str">
            <v>Да</v>
          </cell>
          <cell r="X90" t="str">
            <v>Да</v>
          </cell>
          <cell r="AE90" t="str">
            <v>Да</v>
          </cell>
          <cell r="AL90" t="str">
            <v>Да</v>
          </cell>
          <cell r="AS90" t="str">
            <v>Да</v>
          </cell>
          <cell r="AZ90" t="str">
            <v>Да</v>
          </cell>
          <cell r="BG90" t="str">
            <v>Да</v>
          </cell>
          <cell r="BN90" t="str">
            <v>Да</v>
          </cell>
          <cell r="BU90" t="str">
            <v>Да</v>
          </cell>
          <cell r="CB90" t="str">
            <v>Да</v>
          </cell>
          <cell r="CI90" t="str">
            <v>Да</v>
          </cell>
        </row>
        <row r="91">
          <cell r="J91" t="str">
            <v>Да</v>
          </cell>
          <cell r="Q91" t="str">
            <v>Да</v>
          </cell>
          <cell r="X91" t="str">
            <v>Да</v>
          </cell>
          <cell r="AE91" t="str">
            <v>Да</v>
          </cell>
          <cell r="AL91" t="str">
            <v>Да</v>
          </cell>
          <cell r="AS91" t="str">
            <v>Нет</v>
          </cell>
          <cell r="AZ91" t="str">
            <v>Да</v>
          </cell>
          <cell r="BG91" t="str">
            <v>Да</v>
          </cell>
          <cell r="BN91" t="str">
            <v>Да</v>
          </cell>
          <cell r="BU91" t="str">
            <v>Да</v>
          </cell>
          <cell r="CB91" t="str">
            <v>Да</v>
          </cell>
          <cell r="CI91" t="str">
            <v>Да</v>
          </cell>
        </row>
        <row r="92">
          <cell r="J92" t="str">
            <v>Да</v>
          </cell>
          <cell r="Q92" t="str">
            <v>Да</v>
          </cell>
          <cell r="X92" t="str">
            <v>Да</v>
          </cell>
          <cell r="AE92" t="str">
            <v>Да</v>
          </cell>
          <cell r="AL92" t="str">
            <v>Да</v>
          </cell>
          <cell r="AS92" t="str">
            <v>Да</v>
          </cell>
          <cell r="AZ92" t="str">
            <v>Да</v>
          </cell>
          <cell r="BG92" t="str">
            <v>Да</v>
          </cell>
          <cell r="BN92" t="str">
            <v>Да</v>
          </cell>
          <cell r="BU92" t="str">
            <v>Да</v>
          </cell>
          <cell r="CB92" t="str">
            <v>Да</v>
          </cell>
          <cell r="CI92" t="str">
            <v>Да</v>
          </cell>
        </row>
        <row r="93">
          <cell r="J93" t="str">
            <v>Да</v>
          </cell>
          <cell r="Q93" t="str">
            <v>Да</v>
          </cell>
          <cell r="X93" t="str">
            <v>Да</v>
          </cell>
          <cell r="AE93" t="str">
            <v>Да</v>
          </cell>
          <cell r="AL93" t="str">
            <v>Да</v>
          </cell>
          <cell r="AS93" t="str">
            <v>Да</v>
          </cell>
          <cell r="AZ93" t="str">
            <v>Да</v>
          </cell>
          <cell r="BG93" t="str">
            <v>Да</v>
          </cell>
          <cell r="BN93" t="str">
            <v>Да</v>
          </cell>
          <cell r="BU93" t="str">
            <v>Да</v>
          </cell>
          <cell r="CB93" t="str">
            <v>Да</v>
          </cell>
          <cell r="CI93" t="str">
            <v>Да</v>
          </cell>
        </row>
        <row r="94">
          <cell r="J94" t="str">
            <v>Да</v>
          </cell>
          <cell r="Q94" t="str">
            <v>Да</v>
          </cell>
          <cell r="X94" t="str">
            <v>Да</v>
          </cell>
          <cell r="AE94" t="str">
            <v>Нет</v>
          </cell>
          <cell r="AL94" t="str">
            <v>Да</v>
          </cell>
          <cell r="AS94" t="str">
            <v>Нет</v>
          </cell>
          <cell r="AZ94" t="str">
            <v>Да</v>
          </cell>
          <cell r="BG94" t="str">
            <v>Да</v>
          </cell>
          <cell r="BN94" t="str">
            <v>Да</v>
          </cell>
          <cell r="BU94" t="str">
            <v>Да</v>
          </cell>
          <cell r="CB94" t="str">
            <v>Да</v>
          </cell>
          <cell r="CI94" t="str">
            <v>Да</v>
          </cell>
        </row>
        <row r="95">
          <cell r="J95" t="str">
            <v>Да</v>
          </cell>
          <cell r="Q95" t="str">
            <v>Да</v>
          </cell>
          <cell r="X95" t="str">
            <v>Да</v>
          </cell>
          <cell r="AE95" t="str">
            <v>Да</v>
          </cell>
          <cell r="AL95" t="str">
            <v>Да</v>
          </cell>
          <cell r="AS95" t="str">
            <v>Да</v>
          </cell>
          <cell r="AZ95" t="str">
            <v>Да</v>
          </cell>
          <cell r="BG95" t="str">
            <v>Да</v>
          </cell>
          <cell r="BN95" t="str">
            <v>Да</v>
          </cell>
          <cell r="BU95" t="str">
            <v>Да</v>
          </cell>
          <cell r="CB95" t="str">
            <v>Да</v>
          </cell>
          <cell r="CI95" t="str">
            <v>Да</v>
          </cell>
        </row>
        <row r="96">
          <cell r="J96" t="str">
            <v>Да</v>
          </cell>
          <cell r="Q96" t="str">
            <v>Да</v>
          </cell>
          <cell r="X96" t="str">
            <v>Нет</v>
          </cell>
          <cell r="AE96" t="str">
            <v>Да</v>
          </cell>
          <cell r="AL96" t="str">
            <v>Да</v>
          </cell>
          <cell r="AS96" t="str">
            <v>Да</v>
          </cell>
          <cell r="AZ96" t="str">
            <v>Нет</v>
          </cell>
          <cell r="BG96" t="str">
            <v>Да</v>
          </cell>
          <cell r="BN96" t="str">
            <v>Да</v>
          </cell>
          <cell r="BU96" t="str">
            <v>Да</v>
          </cell>
          <cell r="CB96" t="str">
            <v>Да</v>
          </cell>
          <cell r="CI96" t="str">
            <v>Да</v>
          </cell>
        </row>
        <row r="97">
          <cell r="J97" t="str">
            <v>Да</v>
          </cell>
          <cell r="Q97" t="str">
            <v>Да</v>
          </cell>
          <cell r="X97" t="str">
            <v>Да</v>
          </cell>
          <cell r="AE97" t="str">
            <v>Да</v>
          </cell>
          <cell r="AL97" t="str">
            <v>Да</v>
          </cell>
          <cell r="AS97" t="str">
            <v>Нет</v>
          </cell>
          <cell r="AZ97" t="str">
            <v>Да</v>
          </cell>
          <cell r="BG97" t="str">
            <v>Да</v>
          </cell>
          <cell r="BN97" t="str">
            <v>Да</v>
          </cell>
          <cell r="BU97" t="str">
            <v>Да</v>
          </cell>
          <cell r="CB97" t="str">
            <v>Да</v>
          </cell>
          <cell r="CI97" t="str">
            <v>Да</v>
          </cell>
        </row>
        <row r="98">
          <cell r="J98" t="str">
            <v>Да</v>
          </cell>
          <cell r="Q98" t="str">
            <v>Нет</v>
          </cell>
          <cell r="X98" t="str">
            <v>Нет</v>
          </cell>
          <cell r="AE98" t="str">
            <v>Нет</v>
          </cell>
          <cell r="AL98" t="str">
            <v>Да</v>
          </cell>
          <cell r="AS98" t="str">
            <v>Нет</v>
          </cell>
          <cell r="AZ98" t="str">
            <v>Да</v>
          </cell>
          <cell r="BG98" t="str">
            <v>Да</v>
          </cell>
          <cell r="BN98" t="str">
            <v>Нет</v>
          </cell>
          <cell r="BU98" t="str">
            <v>Да</v>
          </cell>
          <cell r="CB98" t="str">
            <v>Да</v>
          </cell>
          <cell r="CI98" t="str">
            <v>Да</v>
          </cell>
        </row>
        <row r="99">
          <cell r="J99" t="str">
            <v>Да</v>
          </cell>
          <cell r="Q99" t="str">
            <v>Да</v>
          </cell>
          <cell r="X99" t="str">
            <v>Да</v>
          </cell>
          <cell r="AE99" t="str">
            <v>Нет</v>
          </cell>
          <cell r="AL99" t="str">
            <v>Да</v>
          </cell>
          <cell r="AS99" t="str">
            <v>Да</v>
          </cell>
          <cell r="AZ99" t="str">
            <v>Да</v>
          </cell>
          <cell r="BG99" t="str">
            <v>Да</v>
          </cell>
          <cell r="BN99" t="str">
            <v>Да</v>
          </cell>
          <cell r="BU99" t="str">
            <v>Да</v>
          </cell>
          <cell r="CB99" t="str">
            <v>Да</v>
          </cell>
          <cell r="CI99" t="str">
            <v>Да</v>
          </cell>
        </row>
        <row r="100">
          <cell r="J100"/>
          <cell r="Q100"/>
          <cell r="X100"/>
          <cell r="AE100"/>
          <cell r="AL100"/>
          <cell r="AS100"/>
          <cell r="AZ100"/>
          <cell r="BG100" t="str">
            <v>Да</v>
          </cell>
          <cell r="BN100" t="str">
            <v>Нет</v>
          </cell>
          <cell r="BU100" t="str">
            <v>Да</v>
          </cell>
          <cell r="CB100" t="str">
            <v>Нет</v>
          </cell>
          <cell r="CI100" t="str">
            <v>Нет</v>
          </cell>
        </row>
        <row r="101">
          <cell r="J101" t="str">
            <v>Да</v>
          </cell>
          <cell r="Q101" t="str">
            <v>Да</v>
          </cell>
          <cell r="X101" t="str">
            <v>Да</v>
          </cell>
          <cell r="AE101" t="str">
            <v>Да</v>
          </cell>
          <cell r="AL101" t="str">
            <v>Да</v>
          </cell>
          <cell r="AS101" t="str">
            <v>Да</v>
          </cell>
          <cell r="AZ101" t="str">
            <v>Да</v>
          </cell>
          <cell r="BG101" t="str">
            <v>Да</v>
          </cell>
          <cell r="BN101" t="str">
            <v>Да</v>
          </cell>
          <cell r="BU101" t="str">
            <v>Да</v>
          </cell>
          <cell r="CB101" t="str">
            <v>Да</v>
          </cell>
          <cell r="CI101" t="str">
            <v>Да</v>
          </cell>
        </row>
        <row r="102">
          <cell r="J102"/>
          <cell r="Q102"/>
          <cell r="X102" t="str">
            <v>Да</v>
          </cell>
          <cell r="AE102" t="str">
            <v>Да</v>
          </cell>
          <cell r="AL102" t="str">
            <v>Да</v>
          </cell>
          <cell r="AS102" t="str">
            <v>Да</v>
          </cell>
          <cell r="AZ102" t="str">
            <v>Да</v>
          </cell>
          <cell r="BG102" t="str">
            <v>Да</v>
          </cell>
          <cell r="BN102" t="str">
            <v>Да</v>
          </cell>
          <cell r="BU102" t="str">
            <v>Да</v>
          </cell>
          <cell r="CB102" t="str">
            <v>Да</v>
          </cell>
          <cell r="CI102" t="str">
            <v>Да</v>
          </cell>
        </row>
        <row r="103">
          <cell r="J103" t="str">
            <v>Да</v>
          </cell>
          <cell r="Q103" t="str">
            <v>Да</v>
          </cell>
          <cell r="X103" t="str">
            <v>Да</v>
          </cell>
          <cell r="AE103" t="str">
            <v>Да</v>
          </cell>
          <cell r="AL103" t="str">
            <v>Да</v>
          </cell>
          <cell r="AS103" t="str">
            <v>Да</v>
          </cell>
          <cell r="AZ103" t="str">
            <v>Да</v>
          </cell>
          <cell r="BG103" t="str">
            <v>Да</v>
          </cell>
          <cell r="BN103" t="str">
            <v>Да</v>
          </cell>
          <cell r="BU103" t="str">
            <v>Да</v>
          </cell>
          <cell r="CB103" t="str">
            <v>Да</v>
          </cell>
          <cell r="CI103" t="str">
            <v>Да</v>
          </cell>
        </row>
        <row r="104">
          <cell r="J104" t="str">
            <v>Да</v>
          </cell>
          <cell r="Q104" t="str">
            <v>Да</v>
          </cell>
          <cell r="X104" t="str">
            <v>Нет</v>
          </cell>
          <cell r="AE104" t="str">
            <v>Да</v>
          </cell>
          <cell r="AL104" t="str">
            <v>Да</v>
          </cell>
          <cell r="AS104" t="str">
            <v>Да</v>
          </cell>
          <cell r="AZ104" t="str">
            <v>Да</v>
          </cell>
          <cell r="BG104" t="str">
            <v>Нет</v>
          </cell>
          <cell r="BN104" t="str">
            <v>Да</v>
          </cell>
          <cell r="BU104" t="str">
            <v>Да</v>
          </cell>
          <cell r="CB104" t="str">
            <v>Да</v>
          </cell>
          <cell r="CI104" t="str">
            <v>Да</v>
          </cell>
        </row>
        <row r="105">
          <cell r="J105" t="str">
            <v>Да</v>
          </cell>
          <cell r="Q105" t="str">
            <v>Да</v>
          </cell>
          <cell r="X105" t="str">
            <v>Нет</v>
          </cell>
          <cell r="AE105" t="str">
            <v>Да</v>
          </cell>
          <cell r="AL105" t="str">
            <v>Да</v>
          </cell>
          <cell r="AS105" t="str">
            <v>Нет</v>
          </cell>
          <cell r="AZ105" t="str">
            <v>Да</v>
          </cell>
          <cell r="BG105" t="str">
            <v>Да</v>
          </cell>
          <cell r="BN105" t="str">
            <v>Да</v>
          </cell>
          <cell r="BU105" t="str">
            <v>Да</v>
          </cell>
          <cell r="CB105" t="str">
            <v>Да</v>
          </cell>
          <cell r="CI105" t="str">
            <v>Да</v>
          </cell>
        </row>
        <row r="106">
          <cell r="J106" t="str">
            <v>Да</v>
          </cell>
          <cell r="Q106" t="str">
            <v>Нет</v>
          </cell>
          <cell r="X106" t="str">
            <v>Да</v>
          </cell>
          <cell r="AE106" t="str">
            <v>Да</v>
          </cell>
          <cell r="AL106" t="str">
            <v>Да</v>
          </cell>
          <cell r="AS106" t="str">
            <v>Да</v>
          </cell>
          <cell r="AZ106" t="str">
            <v>Да</v>
          </cell>
          <cell r="BG106" t="str">
            <v>Да</v>
          </cell>
          <cell r="BN106" t="str">
            <v>Да</v>
          </cell>
          <cell r="BU106" t="str">
            <v>Да</v>
          </cell>
          <cell r="CB106" t="str">
            <v>Да</v>
          </cell>
          <cell r="CI106" t="str">
            <v>Да</v>
          </cell>
        </row>
        <row r="107">
          <cell r="J107" t="str">
            <v>Нет</v>
          </cell>
          <cell r="Q107" t="str">
            <v>Да</v>
          </cell>
          <cell r="X107" t="str">
            <v>Нет</v>
          </cell>
          <cell r="AE107" t="str">
            <v>Да</v>
          </cell>
          <cell r="AL107" t="str">
            <v>Нет</v>
          </cell>
          <cell r="AS107" t="str">
            <v>Нет</v>
          </cell>
          <cell r="AZ107" t="str">
            <v>Да</v>
          </cell>
          <cell r="BG107" t="str">
            <v>Нет</v>
          </cell>
          <cell r="BN107" t="str">
            <v>Да</v>
          </cell>
          <cell r="BU107" t="str">
            <v>Да</v>
          </cell>
          <cell r="CB107" t="str">
            <v>Нет</v>
          </cell>
          <cell r="CI107" t="str">
            <v>Да</v>
          </cell>
        </row>
        <row r="108">
          <cell r="J108" t="str">
            <v>Да</v>
          </cell>
          <cell r="Q108" t="str">
            <v>Да</v>
          </cell>
          <cell r="X108" t="str">
            <v>Да</v>
          </cell>
          <cell r="AE108" t="str">
            <v>Нет</v>
          </cell>
          <cell r="AL108" t="str">
            <v>Нет</v>
          </cell>
          <cell r="AS108" t="str">
            <v>Да</v>
          </cell>
          <cell r="AZ108" t="str">
            <v>Да</v>
          </cell>
          <cell r="BG108" t="str">
            <v>Да</v>
          </cell>
          <cell r="BN108" t="str">
            <v>Да</v>
          </cell>
          <cell r="BU108" t="str">
            <v>Да</v>
          </cell>
          <cell r="CB108" t="str">
            <v>Да</v>
          </cell>
          <cell r="CI108" t="str">
            <v>Да</v>
          </cell>
        </row>
        <row r="109">
          <cell r="J109" t="str">
            <v>Да</v>
          </cell>
          <cell r="Q109" t="str">
            <v>Да</v>
          </cell>
          <cell r="X109" t="str">
            <v>Да</v>
          </cell>
          <cell r="AE109" t="str">
            <v>Да</v>
          </cell>
          <cell r="AL109" t="str">
            <v>Да</v>
          </cell>
          <cell r="AS109" t="str">
            <v>Да</v>
          </cell>
          <cell r="AZ109" t="str">
            <v>Да</v>
          </cell>
          <cell r="BG109" t="str">
            <v>Да</v>
          </cell>
          <cell r="BN109" t="str">
            <v>Да</v>
          </cell>
          <cell r="BU109" t="str">
            <v>Да</v>
          </cell>
          <cell r="CB109" t="str">
            <v>Да</v>
          </cell>
          <cell r="CI109" t="str">
            <v>Да</v>
          </cell>
        </row>
        <row r="110">
          <cell r="J110" t="str">
            <v>Да</v>
          </cell>
          <cell r="Q110" t="str">
            <v>Да</v>
          </cell>
          <cell r="X110" t="str">
            <v>Да</v>
          </cell>
          <cell r="AE110" t="str">
            <v>Да</v>
          </cell>
          <cell r="AL110" t="str">
            <v>Нет</v>
          </cell>
          <cell r="AS110" t="str">
            <v>Да</v>
          </cell>
          <cell r="AZ110" t="str">
            <v>Да</v>
          </cell>
          <cell r="BG110" t="str">
            <v>Да</v>
          </cell>
          <cell r="BN110" t="str">
            <v>Да</v>
          </cell>
          <cell r="BU110" t="str">
            <v>Да</v>
          </cell>
          <cell r="CB110" t="str">
            <v>Да</v>
          </cell>
          <cell r="CI110" t="str">
            <v>Да</v>
          </cell>
        </row>
      </sheetData>
      <sheetData sheetId="30">
        <row r="3">
          <cell r="D3" t="str">
            <v>Да</v>
          </cell>
          <cell r="H3" t="str">
            <v>Да</v>
          </cell>
          <cell r="K3" t="str">
            <v>Да</v>
          </cell>
          <cell r="N3" t="str">
            <v>Да</v>
          </cell>
          <cell r="S3" t="str">
            <v>Да</v>
          </cell>
          <cell r="X3" t="str">
            <v>Да</v>
          </cell>
          <cell r="AC3" t="str">
            <v>Да</v>
          </cell>
          <cell r="AH3" t="str">
            <v>Да</v>
          </cell>
          <cell r="AM3" t="str">
            <v>Да</v>
          </cell>
          <cell r="AQ3" t="str">
            <v>Да</v>
          </cell>
          <cell r="AU3" t="str">
            <v>Да</v>
          </cell>
          <cell r="AY3" t="str">
            <v>Да</v>
          </cell>
        </row>
        <row r="4">
          <cell r="D4" t="str">
            <v>Да</v>
          </cell>
          <cell r="H4" t="str">
            <v>Да</v>
          </cell>
          <cell r="K4" t="str">
            <v>Нет</v>
          </cell>
          <cell r="N4" t="str">
            <v>Да</v>
          </cell>
          <cell r="S4" t="str">
            <v>Да</v>
          </cell>
          <cell r="X4" t="str">
            <v>Да</v>
          </cell>
          <cell r="AC4" t="str">
            <v>Да</v>
          </cell>
          <cell r="AH4" t="str">
            <v>Да</v>
          </cell>
          <cell r="AM4" t="str">
            <v>Да</v>
          </cell>
          <cell r="AQ4" t="str">
            <v>Да</v>
          </cell>
          <cell r="AU4" t="str">
            <v>Да</v>
          </cell>
          <cell r="AY4" t="str">
            <v>Да</v>
          </cell>
        </row>
        <row r="5">
          <cell r="D5" t="str">
            <v>Да</v>
          </cell>
          <cell r="H5" t="str">
            <v>Да</v>
          </cell>
          <cell r="K5" t="str">
            <v>Да</v>
          </cell>
          <cell r="N5" t="str">
            <v>Да</v>
          </cell>
          <cell r="S5" t="str">
            <v>Да</v>
          </cell>
          <cell r="X5" t="str">
            <v>Да</v>
          </cell>
          <cell r="AC5" t="str">
            <v>Да</v>
          </cell>
          <cell r="AH5" t="str">
            <v>Да</v>
          </cell>
          <cell r="AM5" t="str">
            <v>Да</v>
          </cell>
          <cell r="AQ5" t="str">
            <v>Да</v>
          </cell>
          <cell r="AU5" t="str">
            <v>Да</v>
          </cell>
          <cell r="AY5" t="str">
            <v>Да</v>
          </cell>
        </row>
        <row r="6">
          <cell r="D6" t="str">
            <v>Да</v>
          </cell>
          <cell r="H6" t="str">
            <v>Да</v>
          </cell>
          <cell r="K6" t="str">
            <v>Нет</v>
          </cell>
          <cell r="N6" t="str">
            <v>Да</v>
          </cell>
          <cell r="S6" t="str">
            <v>Да</v>
          </cell>
          <cell r="X6" t="str">
            <v>Да</v>
          </cell>
          <cell r="AC6" t="str">
            <v>Да</v>
          </cell>
          <cell r="AH6" t="str">
            <v>Да</v>
          </cell>
          <cell r="AM6" t="str">
            <v>Да</v>
          </cell>
          <cell r="AQ6" t="str">
            <v>Да</v>
          </cell>
          <cell r="AU6" t="str">
            <v>Да</v>
          </cell>
          <cell r="AY6" t="str">
            <v>Да</v>
          </cell>
        </row>
        <row r="7">
          <cell r="D7" t="str">
            <v>Да</v>
          </cell>
          <cell r="H7" t="str">
            <v>Да</v>
          </cell>
          <cell r="K7" t="str">
            <v>Нет</v>
          </cell>
          <cell r="N7" t="str">
            <v>Да</v>
          </cell>
          <cell r="S7" t="str">
            <v>Да</v>
          </cell>
          <cell r="X7" t="str">
            <v>Нет</v>
          </cell>
          <cell r="AC7" t="str">
            <v>Да</v>
          </cell>
          <cell r="AH7" t="str">
            <v>Да</v>
          </cell>
          <cell r="AM7" t="str">
            <v>Нет</v>
          </cell>
          <cell r="AQ7" t="str">
            <v>Нет</v>
          </cell>
          <cell r="AU7" t="str">
            <v>Нет</v>
          </cell>
          <cell r="AY7" t="str">
            <v>Нет</v>
          </cell>
        </row>
        <row r="8">
          <cell r="D8" t="str">
            <v>Да</v>
          </cell>
          <cell r="H8" t="str">
            <v>Да</v>
          </cell>
          <cell r="K8" t="str">
            <v>Да</v>
          </cell>
          <cell r="N8" t="str">
            <v>Да</v>
          </cell>
          <cell r="S8" t="str">
            <v>Да</v>
          </cell>
          <cell r="X8" t="str">
            <v>Да</v>
          </cell>
          <cell r="AC8" t="str">
            <v>Да</v>
          </cell>
          <cell r="AH8" t="str">
            <v>Да</v>
          </cell>
          <cell r="AM8" t="str">
            <v>Да</v>
          </cell>
          <cell r="AQ8" t="str">
            <v>Да</v>
          </cell>
          <cell r="AU8" t="str">
            <v>Да</v>
          </cell>
          <cell r="AY8" t="str">
            <v>Да</v>
          </cell>
        </row>
        <row r="9">
          <cell r="D9" t="str">
            <v>Да</v>
          </cell>
          <cell r="H9" t="str">
            <v>Да</v>
          </cell>
          <cell r="K9" t="str">
            <v>Да</v>
          </cell>
          <cell r="N9" t="str">
            <v>Да</v>
          </cell>
          <cell r="S9" t="str">
            <v>Да</v>
          </cell>
          <cell r="X9" t="str">
            <v>Да</v>
          </cell>
          <cell r="AC9" t="str">
            <v>Да</v>
          </cell>
          <cell r="AH9" t="str">
            <v>Да</v>
          </cell>
          <cell r="AM9" t="str">
            <v>Да</v>
          </cell>
          <cell r="AQ9" t="str">
            <v>Да</v>
          </cell>
          <cell r="AU9" t="str">
            <v>Да</v>
          </cell>
          <cell r="AY9" t="str">
            <v>Да</v>
          </cell>
        </row>
        <row r="10">
          <cell r="D10" t="str">
            <v>Да</v>
          </cell>
          <cell r="H10" t="str">
            <v>Да</v>
          </cell>
          <cell r="K10" t="str">
            <v>Нет</v>
          </cell>
          <cell r="N10" t="str">
            <v>Да</v>
          </cell>
          <cell r="S10" t="str">
            <v>Да</v>
          </cell>
          <cell r="X10" t="str">
            <v>Да</v>
          </cell>
          <cell r="AC10" t="str">
            <v>Да</v>
          </cell>
          <cell r="AH10" t="str">
            <v>Да</v>
          </cell>
          <cell r="AM10" t="str">
            <v>Да</v>
          </cell>
          <cell r="AQ10" t="str">
            <v>Да</v>
          </cell>
          <cell r="AU10" t="str">
            <v>Да</v>
          </cell>
          <cell r="AY10" t="str">
            <v>Да</v>
          </cell>
        </row>
        <row r="11">
          <cell r="D11" t="str">
            <v>Да</v>
          </cell>
          <cell r="H11" t="str">
            <v>Да</v>
          </cell>
          <cell r="K11" t="str">
            <v>Да</v>
          </cell>
          <cell r="N11" t="str">
            <v>Да</v>
          </cell>
          <cell r="S11" t="str">
            <v>Да</v>
          </cell>
          <cell r="X11" t="str">
            <v>Да</v>
          </cell>
          <cell r="AC11" t="str">
            <v>Да</v>
          </cell>
          <cell r="AH11" t="str">
            <v>Да</v>
          </cell>
          <cell r="AM11" t="str">
            <v>Да</v>
          </cell>
          <cell r="AQ11" t="str">
            <v>Да</v>
          </cell>
          <cell r="AU11" t="str">
            <v>Да</v>
          </cell>
          <cell r="AY11" t="str">
            <v>Да</v>
          </cell>
        </row>
        <row r="12">
          <cell r="D12"/>
          <cell r="H12"/>
          <cell r="K12"/>
          <cell r="N12"/>
          <cell r="S12"/>
          <cell r="X12"/>
          <cell r="AC12"/>
          <cell r="AH12"/>
          <cell r="AM12"/>
          <cell r="AQ12"/>
          <cell r="AU12" t="str">
            <v>Да</v>
          </cell>
          <cell r="AY12" t="str">
            <v>Да</v>
          </cell>
        </row>
        <row r="13">
          <cell r="D13" t="str">
            <v>Да</v>
          </cell>
          <cell r="H13" t="str">
            <v>Нет</v>
          </cell>
          <cell r="K13" t="str">
            <v>Да</v>
          </cell>
          <cell r="N13" t="str">
            <v>Да</v>
          </cell>
          <cell r="S13" t="str">
            <v>Да</v>
          </cell>
          <cell r="X13" t="str">
            <v>Да</v>
          </cell>
          <cell r="AC13" t="str">
            <v>Да</v>
          </cell>
          <cell r="AH13" t="str">
            <v>Нет</v>
          </cell>
          <cell r="AM13" t="str">
            <v>Да</v>
          </cell>
          <cell r="AQ13" t="str">
            <v>Да</v>
          </cell>
          <cell r="AU13" t="str">
            <v>Да</v>
          </cell>
          <cell r="AY13" t="str">
            <v>Да</v>
          </cell>
        </row>
      </sheetData>
      <sheetData sheetId="31">
        <row r="3">
          <cell r="G3" t="str">
            <v>Нет</v>
          </cell>
          <cell r="L3" t="str">
            <v>Да</v>
          </cell>
          <cell r="R3" t="str">
            <v>Да</v>
          </cell>
          <cell r="X3" t="str">
            <v>Да</v>
          </cell>
          <cell r="AD3" t="str">
            <v>Да</v>
          </cell>
          <cell r="AJ3" t="str">
            <v>Да</v>
          </cell>
          <cell r="AP3" t="str">
            <v>Да</v>
          </cell>
          <cell r="AV3" t="str">
            <v>Да</v>
          </cell>
          <cell r="BB3" t="str">
            <v>Нет</v>
          </cell>
          <cell r="BH3" t="str">
            <v>Нет</v>
          </cell>
          <cell r="BN3" t="str">
            <v>Нет</v>
          </cell>
          <cell r="BT3" t="str">
            <v>Нет</v>
          </cell>
        </row>
        <row r="4">
          <cell r="G4" t="str">
            <v>Да</v>
          </cell>
          <cell r="L4" t="str">
            <v>Да</v>
          </cell>
          <cell r="R4" t="str">
            <v>Да</v>
          </cell>
          <cell r="X4" t="str">
            <v>Да</v>
          </cell>
          <cell r="AD4" t="str">
            <v>Да</v>
          </cell>
          <cell r="AJ4" t="str">
            <v>Да</v>
          </cell>
          <cell r="AP4" t="str">
            <v>Да</v>
          </cell>
          <cell r="AV4" t="str">
            <v>Да</v>
          </cell>
          <cell r="BB4" t="str">
            <v>Да</v>
          </cell>
          <cell r="BH4" t="str">
            <v>Да</v>
          </cell>
          <cell r="BN4" t="str">
            <v>Да</v>
          </cell>
          <cell r="BT4" t="str">
            <v>Да</v>
          </cell>
        </row>
        <row r="5">
          <cell r="G5" t="str">
            <v>Нет</v>
          </cell>
          <cell r="L5" t="str">
            <v>Да</v>
          </cell>
          <cell r="R5" t="str">
            <v>Да</v>
          </cell>
          <cell r="X5" t="str">
            <v>Да</v>
          </cell>
          <cell r="AD5" t="str">
            <v>Да</v>
          </cell>
          <cell r="AJ5" t="str">
            <v>Да</v>
          </cell>
          <cell r="AP5" t="str">
            <v>Да</v>
          </cell>
          <cell r="AV5" t="str">
            <v>Да</v>
          </cell>
          <cell r="BB5" t="str">
            <v>Да</v>
          </cell>
          <cell r="BH5" t="str">
            <v>Да</v>
          </cell>
          <cell r="BN5" t="str">
            <v>Да</v>
          </cell>
          <cell r="BT5" t="str">
            <v>Да</v>
          </cell>
        </row>
        <row r="6">
          <cell r="G6"/>
          <cell r="L6"/>
          <cell r="R6"/>
          <cell r="X6"/>
          <cell r="AD6"/>
          <cell r="AJ6"/>
          <cell r="AP6"/>
          <cell r="AV6"/>
          <cell r="BB6"/>
          <cell r="BH6"/>
          <cell r="BN6"/>
          <cell r="BT6" t="str">
            <v>Да</v>
          </cell>
        </row>
        <row r="7">
          <cell r="G7" t="str">
            <v>Нет</v>
          </cell>
          <cell r="L7" t="str">
            <v>Да</v>
          </cell>
          <cell r="R7" t="str">
            <v>Да</v>
          </cell>
          <cell r="X7" t="str">
            <v>Да</v>
          </cell>
          <cell r="AD7" t="str">
            <v>Да</v>
          </cell>
          <cell r="AJ7" t="str">
            <v>Да</v>
          </cell>
          <cell r="AP7" t="str">
            <v>Да</v>
          </cell>
          <cell r="AV7" t="str">
            <v>Да</v>
          </cell>
          <cell r="BB7" t="str">
            <v>Да</v>
          </cell>
          <cell r="BH7" t="str">
            <v>Да</v>
          </cell>
          <cell r="BN7" t="str">
            <v>Да</v>
          </cell>
          <cell r="BT7" t="str">
            <v>Да</v>
          </cell>
        </row>
        <row r="8">
          <cell r="G8" t="str">
            <v>Нет</v>
          </cell>
          <cell r="L8" t="str">
            <v>Да</v>
          </cell>
          <cell r="R8" t="str">
            <v>Да</v>
          </cell>
          <cell r="X8" t="str">
            <v>Да</v>
          </cell>
          <cell r="AD8" t="str">
            <v>Да</v>
          </cell>
          <cell r="AJ8" t="str">
            <v>Нет</v>
          </cell>
          <cell r="AP8" t="str">
            <v>Да</v>
          </cell>
          <cell r="AV8" t="str">
            <v>Да</v>
          </cell>
          <cell r="BB8" t="str">
            <v>Да</v>
          </cell>
          <cell r="BH8" t="str">
            <v>Да</v>
          </cell>
          <cell r="BN8" t="str">
            <v>Да</v>
          </cell>
          <cell r="BT8" t="str">
            <v>Да</v>
          </cell>
        </row>
        <row r="9">
          <cell r="G9" t="str">
            <v>Нет</v>
          </cell>
          <cell r="L9" t="str">
            <v>Да</v>
          </cell>
          <cell r="R9" t="str">
            <v>Да</v>
          </cell>
          <cell r="X9" t="str">
            <v>Да</v>
          </cell>
          <cell r="AD9" t="str">
            <v>Да</v>
          </cell>
          <cell r="AJ9" t="str">
            <v>Нет</v>
          </cell>
          <cell r="AP9" t="str">
            <v>Да</v>
          </cell>
          <cell r="AV9" t="str">
            <v>Да</v>
          </cell>
          <cell r="BB9" t="str">
            <v>Нет</v>
          </cell>
          <cell r="BH9" t="str">
            <v>Нет</v>
          </cell>
          <cell r="BN9" t="str">
            <v>Нет</v>
          </cell>
          <cell r="BT9" t="str">
            <v>Нет</v>
          </cell>
        </row>
        <row r="10">
          <cell r="G10" t="str">
            <v>Нет</v>
          </cell>
          <cell r="L10" t="str">
            <v>Да</v>
          </cell>
          <cell r="R10" t="str">
            <v>Да</v>
          </cell>
          <cell r="X10" t="str">
            <v>Да</v>
          </cell>
          <cell r="AD10" t="str">
            <v>Да</v>
          </cell>
          <cell r="AJ10" t="str">
            <v>Да</v>
          </cell>
          <cell r="AP10" t="str">
            <v>Да</v>
          </cell>
          <cell r="AV10" t="str">
            <v>Да</v>
          </cell>
          <cell r="BB10" t="str">
            <v>Нет</v>
          </cell>
          <cell r="BH10" t="str">
            <v>Да</v>
          </cell>
          <cell r="BN10" t="str">
            <v>Да</v>
          </cell>
          <cell r="BT10" t="str">
            <v>Да</v>
          </cell>
        </row>
        <row r="11">
          <cell r="G11" t="str">
            <v>Да</v>
          </cell>
          <cell r="L11" t="str">
            <v>Да</v>
          </cell>
          <cell r="R11" t="str">
            <v>Да</v>
          </cell>
          <cell r="X11" t="str">
            <v>Да</v>
          </cell>
          <cell r="AD11" t="str">
            <v>Да</v>
          </cell>
          <cell r="AJ11" t="str">
            <v>Да</v>
          </cell>
          <cell r="AP11" t="str">
            <v>Да</v>
          </cell>
          <cell r="AV11" t="str">
            <v>Да</v>
          </cell>
          <cell r="BB11" t="str">
            <v>Да</v>
          </cell>
          <cell r="BH11" t="str">
            <v>Да</v>
          </cell>
          <cell r="BN11" t="str">
            <v>Да</v>
          </cell>
          <cell r="BT11" t="str">
            <v>Да</v>
          </cell>
        </row>
        <row r="12">
          <cell r="G12" t="str">
            <v>Да</v>
          </cell>
          <cell r="L12" t="str">
            <v>Да</v>
          </cell>
          <cell r="R12" t="str">
            <v>Да</v>
          </cell>
          <cell r="X12" t="str">
            <v>Да</v>
          </cell>
          <cell r="AD12" t="str">
            <v>Да</v>
          </cell>
          <cell r="AJ12" t="str">
            <v>Да</v>
          </cell>
          <cell r="AP12" t="str">
            <v>Да</v>
          </cell>
          <cell r="AV12" t="str">
            <v>Да</v>
          </cell>
          <cell r="BB12" t="str">
            <v>Да</v>
          </cell>
          <cell r="BH12" t="str">
            <v>Да</v>
          </cell>
          <cell r="BN12" t="str">
            <v>Да</v>
          </cell>
          <cell r="BT12" t="str">
            <v>Да</v>
          </cell>
        </row>
        <row r="13">
          <cell r="G13" t="str">
            <v>Да</v>
          </cell>
          <cell r="L13" t="str">
            <v>Да</v>
          </cell>
          <cell r="R13" t="str">
            <v>Да</v>
          </cell>
          <cell r="X13" t="str">
            <v>Да</v>
          </cell>
          <cell r="AD13" t="str">
            <v>Да</v>
          </cell>
          <cell r="AJ13" t="str">
            <v>Да</v>
          </cell>
          <cell r="AP13" t="str">
            <v>Да</v>
          </cell>
          <cell r="AV13" t="str">
            <v>Да</v>
          </cell>
          <cell r="BB13" t="str">
            <v>Да</v>
          </cell>
          <cell r="BH13" t="str">
            <v>Да</v>
          </cell>
          <cell r="BN13" t="str">
            <v>Да</v>
          </cell>
          <cell r="BT13" t="str">
            <v>Да</v>
          </cell>
        </row>
        <row r="14">
          <cell r="G14" t="str">
            <v>Да</v>
          </cell>
          <cell r="L14" t="str">
            <v>Да</v>
          </cell>
          <cell r="R14" t="str">
            <v>Да</v>
          </cell>
          <cell r="X14" t="str">
            <v>Да</v>
          </cell>
          <cell r="AD14" t="str">
            <v>Да</v>
          </cell>
          <cell r="AJ14" t="str">
            <v>Да</v>
          </cell>
          <cell r="AP14" t="str">
            <v>Да</v>
          </cell>
          <cell r="AV14" t="str">
            <v>Да</v>
          </cell>
          <cell r="BB14" t="str">
            <v>Да</v>
          </cell>
          <cell r="BH14" t="str">
            <v>Да</v>
          </cell>
          <cell r="BN14" t="str">
            <v>Да</v>
          </cell>
          <cell r="BT14" t="str">
            <v>Да</v>
          </cell>
        </row>
        <row r="15">
          <cell r="G15"/>
          <cell r="L15"/>
          <cell r="R15"/>
          <cell r="X15"/>
          <cell r="AD15"/>
          <cell r="AJ15"/>
          <cell r="AP15"/>
          <cell r="AV15"/>
          <cell r="BB15"/>
          <cell r="BH15"/>
          <cell r="BN15"/>
          <cell r="BT15" t="str">
            <v>Да</v>
          </cell>
        </row>
        <row r="16">
          <cell r="G16" t="str">
            <v>Да</v>
          </cell>
          <cell r="L16" t="str">
            <v>Да</v>
          </cell>
          <cell r="R16" t="str">
            <v>Да</v>
          </cell>
          <cell r="X16" t="str">
            <v>Да</v>
          </cell>
          <cell r="AD16" t="str">
            <v>Да</v>
          </cell>
          <cell r="AJ16" t="str">
            <v>Да</v>
          </cell>
          <cell r="AP16" t="str">
            <v>Да</v>
          </cell>
          <cell r="AV16" t="str">
            <v>Да</v>
          </cell>
          <cell r="BB16" t="str">
            <v>Да</v>
          </cell>
          <cell r="BH16" t="str">
            <v>Да</v>
          </cell>
          <cell r="BN16" t="str">
            <v>Да</v>
          </cell>
          <cell r="BT16" t="str">
            <v>Да</v>
          </cell>
        </row>
        <row r="17">
          <cell r="G17" t="str">
            <v>Да</v>
          </cell>
          <cell r="L17" t="str">
            <v>Да</v>
          </cell>
          <cell r="R17" t="str">
            <v>Да</v>
          </cell>
          <cell r="X17" t="str">
            <v>Да</v>
          </cell>
          <cell r="AD17" t="str">
            <v>Да</v>
          </cell>
          <cell r="AJ17" t="str">
            <v>Да</v>
          </cell>
          <cell r="AP17" t="str">
            <v>Да</v>
          </cell>
          <cell r="AV17" t="str">
            <v>Да</v>
          </cell>
          <cell r="BB17" t="str">
            <v>Да</v>
          </cell>
          <cell r="BH17" t="str">
            <v>Да</v>
          </cell>
          <cell r="BN17" t="str">
            <v>Да</v>
          </cell>
          <cell r="BT17" t="str">
            <v>Да</v>
          </cell>
        </row>
        <row r="18">
          <cell r="G18" t="str">
            <v>Нет</v>
          </cell>
          <cell r="L18" t="str">
            <v>Да</v>
          </cell>
          <cell r="R18" t="str">
            <v>Да</v>
          </cell>
          <cell r="X18" t="str">
            <v>Да</v>
          </cell>
          <cell r="AD18" t="str">
            <v>Да</v>
          </cell>
          <cell r="AJ18" t="str">
            <v>Нет</v>
          </cell>
          <cell r="AP18" t="str">
            <v>Да</v>
          </cell>
          <cell r="AV18" t="str">
            <v>Да</v>
          </cell>
          <cell r="BB18" t="str">
            <v>Да</v>
          </cell>
          <cell r="BH18" t="str">
            <v>Да</v>
          </cell>
          <cell r="BN18" t="str">
            <v>Да</v>
          </cell>
          <cell r="BT18" t="str">
            <v>Да</v>
          </cell>
        </row>
        <row r="19">
          <cell r="G19" t="str">
            <v>Нет</v>
          </cell>
          <cell r="L19" t="str">
            <v>Да</v>
          </cell>
          <cell r="R19" t="str">
            <v>Да</v>
          </cell>
          <cell r="X19" t="str">
            <v>Да</v>
          </cell>
          <cell r="AD19" t="str">
            <v>Да</v>
          </cell>
          <cell r="AJ19" t="str">
            <v>Да</v>
          </cell>
          <cell r="AP19" t="str">
            <v>Да</v>
          </cell>
          <cell r="AV19" t="str">
            <v>Да</v>
          </cell>
          <cell r="BB19" t="str">
            <v>Да</v>
          </cell>
          <cell r="BH19" t="str">
            <v>Да</v>
          </cell>
          <cell r="BN19" t="str">
            <v>Да</v>
          </cell>
          <cell r="BT19" t="str">
            <v>Да</v>
          </cell>
        </row>
        <row r="20">
          <cell r="G20" t="str">
            <v>Нет</v>
          </cell>
          <cell r="L20" t="str">
            <v>Да</v>
          </cell>
          <cell r="R20" t="str">
            <v>Да</v>
          </cell>
          <cell r="X20" t="str">
            <v>Да</v>
          </cell>
          <cell r="AD20" t="str">
            <v>Да</v>
          </cell>
          <cell r="AJ20" t="str">
            <v>Да</v>
          </cell>
          <cell r="AP20" t="str">
            <v>Да</v>
          </cell>
          <cell r="AV20" t="str">
            <v>Да</v>
          </cell>
          <cell r="BB20" t="str">
            <v>Да</v>
          </cell>
          <cell r="BH20" t="str">
            <v>Да</v>
          </cell>
          <cell r="BN20" t="str">
            <v>Да</v>
          </cell>
          <cell r="BT20" t="str">
            <v>Да</v>
          </cell>
        </row>
        <row r="21">
          <cell r="G21" t="str">
            <v>Нет</v>
          </cell>
          <cell r="L21" t="str">
            <v>Нет</v>
          </cell>
          <cell r="R21" t="str">
            <v>Да</v>
          </cell>
          <cell r="X21" t="str">
            <v>Да</v>
          </cell>
          <cell r="AD21" t="str">
            <v>Да</v>
          </cell>
          <cell r="AJ21" t="str">
            <v>Да</v>
          </cell>
          <cell r="AP21" t="str">
            <v>Да</v>
          </cell>
          <cell r="AV21" t="str">
            <v>Да</v>
          </cell>
          <cell r="BB21" t="str">
            <v>Да</v>
          </cell>
          <cell r="BH21" t="str">
            <v>Да</v>
          </cell>
          <cell r="BN21" t="str">
            <v>Нет</v>
          </cell>
          <cell r="BT21" t="str">
            <v>Нет</v>
          </cell>
        </row>
        <row r="22">
          <cell r="G22" t="str">
            <v>Нет</v>
          </cell>
          <cell r="L22" t="str">
            <v>Нет</v>
          </cell>
          <cell r="R22" t="str">
            <v>Да</v>
          </cell>
          <cell r="X22" t="str">
            <v>Да</v>
          </cell>
          <cell r="AD22" t="str">
            <v>Да</v>
          </cell>
          <cell r="AJ22" t="str">
            <v>Да</v>
          </cell>
          <cell r="AP22" t="str">
            <v>Да</v>
          </cell>
          <cell r="AV22" t="str">
            <v>Нет</v>
          </cell>
          <cell r="BB22" t="str">
            <v>Нет</v>
          </cell>
          <cell r="BH22" t="str">
            <v>Нет</v>
          </cell>
          <cell r="BN22" t="str">
            <v>Нет</v>
          </cell>
          <cell r="BT22" t="str">
            <v>Нет</v>
          </cell>
        </row>
        <row r="23">
          <cell r="G23" t="str">
            <v>Нет</v>
          </cell>
          <cell r="L23" t="str">
            <v>Да</v>
          </cell>
          <cell r="R23" t="str">
            <v>Да</v>
          </cell>
          <cell r="X23" t="str">
            <v>Да</v>
          </cell>
          <cell r="AD23" t="str">
            <v>Да</v>
          </cell>
          <cell r="AJ23" t="str">
            <v>Да</v>
          </cell>
          <cell r="AP23" t="str">
            <v>Да</v>
          </cell>
          <cell r="AV23" t="str">
            <v>Да</v>
          </cell>
          <cell r="BB23" t="str">
            <v>Да</v>
          </cell>
          <cell r="BH23" t="str">
            <v>Да</v>
          </cell>
          <cell r="BN23" t="str">
            <v>Да</v>
          </cell>
          <cell r="BT23" t="str">
            <v>Да</v>
          </cell>
        </row>
        <row r="24">
          <cell r="G24" t="str">
            <v>Нет</v>
          </cell>
          <cell r="L24" t="str">
            <v>Да</v>
          </cell>
          <cell r="R24" t="str">
            <v>Да</v>
          </cell>
          <cell r="X24" t="str">
            <v>Да</v>
          </cell>
          <cell r="AD24" t="str">
            <v>Да</v>
          </cell>
          <cell r="AJ24" t="str">
            <v>Да</v>
          </cell>
          <cell r="AP24" t="str">
            <v>Да</v>
          </cell>
          <cell r="AV24" t="str">
            <v>Да</v>
          </cell>
          <cell r="BB24" t="str">
            <v>Да</v>
          </cell>
          <cell r="BH24" t="str">
            <v>Да</v>
          </cell>
          <cell r="BN24" t="str">
            <v>Да</v>
          </cell>
          <cell r="BT24" t="str">
            <v>Да</v>
          </cell>
        </row>
        <row r="25">
          <cell r="G25" t="str">
            <v>Нет</v>
          </cell>
          <cell r="L25" t="str">
            <v>Да</v>
          </cell>
          <cell r="R25" t="str">
            <v>Да</v>
          </cell>
          <cell r="X25" t="str">
            <v>Да</v>
          </cell>
          <cell r="AD25" t="str">
            <v>Да</v>
          </cell>
          <cell r="AJ25" t="str">
            <v>Да</v>
          </cell>
          <cell r="AP25" t="str">
            <v>Да</v>
          </cell>
          <cell r="AV25" t="str">
            <v>Да</v>
          </cell>
          <cell r="BB25" t="str">
            <v>Да</v>
          </cell>
          <cell r="BH25" t="str">
            <v>Да</v>
          </cell>
          <cell r="BN25" t="str">
            <v>Да</v>
          </cell>
          <cell r="BT25" t="str">
            <v>Да</v>
          </cell>
        </row>
        <row r="26">
          <cell r="G26"/>
          <cell r="L26"/>
          <cell r="R26"/>
          <cell r="X26"/>
          <cell r="AD26" t="str">
            <v>Да</v>
          </cell>
          <cell r="AJ26" t="str">
            <v>Да</v>
          </cell>
          <cell r="AP26" t="str">
            <v>Да</v>
          </cell>
          <cell r="AV26" t="str">
            <v>Да</v>
          </cell>
          <cell r="BB26" t="str">
            <v>Да</v>
          </cell>
          <cell r="BH26" t="str">
            <v>Да</v>
          </cell>
          <cell r="BN26" t="str">
            <v>Да</v>
          </cell>
          <cell r="BT26" t="str">
            <v>Да</v>
          </cell>
        </row>
        <row r="27">
          <cell r="G27" t="str">
            <v>Нет</v>
          </cell>
          <cell r="L27" t="str">
            <v>Нет</v>
          </cell>
          <cell r="R27" t="str">
            <v>Нет</v>
          </cell>
          <cell r="X27" t="str">
            <v>Нет</v>
          </cell>
          <cell r="AD27" t="str">
            <v>Нет</v>
          </cell>
          <cell r="AJ27" t="str">
            <v>Нет</v>
          </cell>
          <cell r="AP27" t="str">
            <v>Нет</v>
          </cell>
          <cell r="AV27" t="str">
            <v>Нет</v>
          </cell>
          <cell r="BB27" t="str">
            <v>Нет</v>
          </cell>
          <cell r="BH27" t="str">
            <v>Нет</v>
          </cell>
          <cell r="BN27" t="str">
            <v>Нет</v>
          </cell>
          <cell r="BT27" t="str">
            <v>Нет</v>
          </cell>
        </row>
        <row r="28">
          <cell r="G28" t="str">
            <v>Нет</v>
          </cell>
          <cell r="L28" t="str">
            <v>Да</v>
          </cell>
          <cell r="R28" t="str">
            <v>Да</v>
          </cell>
          <cell r="X28" t="str">
            <v>Да</v>
          </cell>
          <cell r="AD28" t="str">
            <v>Да</v>
          </cell>
          <cell r="AJ28" t="str">
            <v>Да</v>
          </cell>
          <cell r="AP28" t="str">
            <v>Да</v>
          </cell>
          <cell r="AV28" t="str">
            <v>Да</v>
          </cell>
          <cell r="BB28" t="str">
            <v>Да</v>
          </cell>
          <cell r="BH28" t="str">
            <v>Да</v>
          </cell>
          <cell r="BN28" t="str">
            <v>Да</v>
          </cell>
          <cell r="BT28" t="str">
            <v>Да</v>
          </cell>
        </row>
        <row r="29">
          <cell r="G29" t="str">
            <v>Нет</v>
          </cell>
          <cell r="L29" t="str">
            <v>Да</v>
          </cell>
          <cell r="R29" t="str">
            <v>Да</v>
          </cell>
          <cell r="X29" t="str">
            <v>Да</v>
          </cell>
          <cell r="AD29" t="str">
            <v>Да</v>
          </cell>
          <cell r="AJ29" t="str">
            <v>Да</v>
          </cell>
          <cell r="AP29" t="str">
            <v>Да</v>
          </cell>
          <cell r="AV29" t="str">
            <v>Да</v>
          </cell>
          <cell r="BB29" t="str">
            <v>Да</v>
          </cell>
          <cell r="BH29" t="str">
            <v>Да</v>
          </cell>
          <cell r="BN29" t="str">
            <v>Да</v>
          </cell>
          <cell r="BT29" t="str">
            <v>Да</v>
          </cell>
        </row>
        <row r="30">
          <cell r="G30" t="str">
            <v>Нет</v>
          </cell>
          <cell r="L30" t="str">
            <v>Нет</v>
          </cell>
          <cell r="R30" t="str">
            <v>Нет</v>
          </cell>
          <cell r="X30" t="str">
            <v>Нет</v>
          </cell>
          <cell r="AD30" t="str">
            <v>Да</v>
          </cell>
          <cell r="AJ30" t="str">
            <v>Нет</v>
          </cell>
          <cell r="AP30" t="str">
            <v>Да</v>
          </cell>
          <cell r="AV30" t="str">
            <v>Да</v>
          </cell>
          <cell r="BB30" t="str">
            <v>Да</v>
          </cell>
          <cell r="BH30" t="str">
            <v>Да</v>
          </cell>
          <cell r="BN30" t="str">
            <v>Да</v>
          </cell>
          <cell r="BT30" t="str">
            <v>Нет</v>
          </cell>
        </row>
        <row r="31">
          <cell r="G31" t="str">
            <v>Да</v>
          </cell>
          <cell r="L31" t="str">
            <v>Да</v>
          </cell>
          <cell r="R31" t="str">
            <v>Да</v>
          </cell>
          <cell r="X31" t="str">
            <v>Да</v>
          </cell>
          <cell r="AD31" t="str">
            <v>Да</v>
          </cell>
          <cell r="AJ31" t="str">
            <v>Да</v>
          </cell>
          <cell r="AP31" t="str">
            <v>Да</v>
          </cell>
          <cell r="AV31" t="str">
            <v>Да</v>
          </cell>
          <cell r="BB31" t="str">
            <v>Да</v>
          </cell>
          <cell r="BH31" t="str">
            <v>Да</v>
          </cell>
          <cell r="BN31" t="str">
            <v>Да</v>
          </cell>
          <cell r="BT31" t="str">
            <v>Да</v>
          </cell>
        </row>
      </sheetData>
      <sheetData sheetId="32"/>
      <sheetData sheetId="33">
        <row r="3">
          <cell r="D3" t="str">
            <v>Да</v>
          </cell>
          <cell r="F3" t="str">
            <v>Да</v>
          </cell>
          <cell r="H3" t="str">
            <v>Нет</v>
          </cell>
          <cell r="J3" t="str">
            <v>Да</v>
          </cell>
          <cell r="L3" t="str">
            <v>Да</v>
          </cell>
          <cell r="O3" t="str">
            <v>Да</v>
          </cell>
          <cell r="R3" t="str">
            <v>Нет</v>
          </cell>
          <cell r="T3" t="str">
            <v>Да</v>
          </cell>
          <cell r="V3" t="str">
            <v>Нет</v>
          </cell>
          <cell r="X3" t="str">
            <v>Да</v>
          </cell>
          <cell r="Z3" t="str">
            <v>Да</v>
          </cell>
          <cell r="AB3" t="str">
            <v>Да</v>
          </cell>
        </row>
        <row r="4">
          <cell r="D4" t="str">
            <v>Да</v>
          </cell>
          <cell r="F4" t="str">
            <v>Да</v>
          </cell>
          <cell r="H4" t="str">
            <v>Да</v>
          </cell>
          <cell r="J4" t="str">
            <v>Нет</v>
          </cell>
          <cell r="L4" t="str">
            <v>Нет</v>
          </cell>
          <cell r="O4" t="str">
            <v>Да</v>
          </cell>
          <cell r="R4" t="str">
            <v>Нет</v>
          </cell>
          <cell r="T4" t="str">
            <v>Нет</v>
          </cell>
          <cell r="V4" t="str">
            <v>Нет</v>
          </cell>
          <cell r="X4" t="str">
            <v>Да</v>
          </cell>
          <cell r="Z4" t="str">
            <v>Да</v>
          </cell>
          <cell r="AB4" t="str">
            <v>Нет</v>
          </cell>
        </row>
        <row r="5">
          <cell r="D5"/>
          <cell r="F5"/>
          <cell r="H5"/>
          <cell r="J5"/>
          <cell r="L5"/>
          <cell r="O5"/>
          <cell r="R5" t="str">
            <v>Да</v>
          </cell>
          <cell r="T5" t="str">
            <v>Да</v>
          </cell>
          <cell r="V5" t="str">
            <v>Да</v>
          </cell>
          <cell r="X5" t="str">
            <v>Нет</v>
          </cell>
          <cell r="Z5" t="str">
            <v>Нет</v>
          </cell>
          <cell r="AB5" t="str">
            <v>Нет</v>
          </cell>
        </row>
        <row r="6">
          <cell r="D6" t="str">
            <v>Да</v>
          </cell>
          <cell r="F6" t="str">
            <v>Нет</v>
          </cell>
          <cell r="H6" t="str">
            <v>Да</v>
          </cell>
          <cell r="J6" t="str">
            <v>Да</v>
          </cell>
          <cell r="L6" t="str">
            <v>Да</v>
          </cell>
          <cell r="O6" t="str">
            <v>Да</v>
          </cell>
          <cell r="R6" t="str">
            <v>Да</v>
          </cell>
          <cell r="T6" t="str">
            <v>Да</v>
          </cell>
          <cell r="V6" t="str">
            <v>Да</v>
          </cell>
          <cell r="X6" t="str">
            <v>Да</v>
          </cell>
          <cell r="Z6" t="str">
            <v>Да</v>
          </cell>
          <cell r="AB6" t="str">
            <v>Да</v>
          </cell>
        </row>
        <row r="7">
          <cell r="D7" t="str">
            <v>Да</v>
          </cell>
          <cell r="F7" t="str">
            <v>Да</v>
          </cell>
          <cell r="H7" t="str">
            <v>Да</v>
          </cell>
          <cell r="J7" t="str">
            <v>Да</v>
          </cell>
          <cell r="L7" t="str">
            <v>Да</v>
          </cell>
          <cell r="O7" t="str">
            <v>Да</v>
          </cell>
          <cell r="R7" t="str">
            <v>Да</v>
          </cell>
          <cell r="T7" t="str">
            <v>Да</v>
          </cell>
          <cell r="V7" t="str">
            <v>Да</v>
          </cell>
          <cell r="X7" t="str">
            <v>Да</v>
          </cell>
          <cell r="Z7" t="str">
            <v>Да</v>
          </cell>
          <cell r="AB7" t="str">
            <v>Да</v>
          </cell>
        </row>
        <row r="8">
          <cell r="D8" t="str">
            <v>Да</v>
          </cell>
          <cell r="F8" t="str">
            <v>Нет</v>
          </cell>
          <cell r="H8" t="str">
            <v>Нет</v>
          </cell>
          <cell r="J8" t="str">
            <v>Нет</v>
          </cell>
          <cell r="L8" t="str">
            <v>Нет</v>
          </cell>
          <cell r="O8" t="str">
            <v>Нет</v>
          </cell>
          <cell r="R8" t="str">
            <v>Нет</v>
          </cell>
          <cell r="T8" t="str">
            <v>Нет</v>
          </cell>
          <cell r="V8" t="str">
            <v>Нет</v>
          </cell>
          <cell r="X8" t="str">
            <v>Да</v>
          </cell>
          <cell r="Z8" t="str">
            <v>Нет</v>
          </cell>
          <cell r="AB8" t="str">
            <v>Нет</v>
          </cell>
        </row>
        <row r="9">
          <cell r="D9"/>
          <cell r="F9"/>
          <cell r="H9"/>
          <cell r="J9" t="str">
            <v>Да</v>
          </cell>
          <cell r="L9" t="str">
            <v>Да</v>
          </cell>
          <cell r="O9" t="str">
            <v>Да</v>
          </cell>
          <cell r="R9" t="str">
            <v>Да</v>
          </cell>
          <cell r="T9" t="str">
            <v>Да</v>
          </cell>
          <cell r="V9" t="str">
            <v>Да</v>
          </cell>
          <cell r="X9" t="str">
            <v>Да</v>
          </cell>
          <cell r="Z9" t="str">
            <v>Да</v>
          </cell>
          <cell r="AB9" t="str">
            <v>Да</v>
          </cell>
        </row>
        <row r="10">
          <cell r="D10"/>
          <cell r="F10"/>
          <cell r="H10"/>
          <cell r="J10"/>
          <cell r="L10"/>
          <cell r="O10"/>
          <cell r="R10"/>
          <cell r="T10"/>
          <cell r="V10" t="str">
            <v>Да</v>
          </cell>
          <cell r="X10" t="str">
            <v>Да</v>
          </cell>
          <cell r="Z10" t="str">
            <v>Да</v>
          </cell>
          <cell r="AB10" t="str">
            <v>Да</v>
          </cell>
        </row>
        <row r="11">
          <cell r="D11" t="str">
            <v>Нет</v>
          </cell>
          <cell r="F11" t="str">
            <v>Нет</v>
          </cell>
          <cell r="H11" t="str">
            <v>Нет</v>
          </cell>
          <cell r="J11" t="str">
            <v>Нет</v>
          </cell>
          <cell r="L11" t="str">
            <v>Нет</v>
          </cell>
          <cell r="O11" t="str">
            <v>Нет</v>
          </cell>
          <cell r="R11" t="str">
            <v>Нет</v>
          </cell>
          <cell r="T11" t="str">
            <v>Нет</v>
          </cell>
          <cell r="V11" t="str">
            <v>Нет</v>
          </cell>
          <cell r="X11" t="str">
            <v>Нет</v>
          </cell>
          <cell r="Z11" t="str">
            <v>Нет</v>
          </cell>
          <cell r="AB11" t="str">
            <v>Нет</v>
          </cell>
        </row>
        <row r="12">
          <cell r="D12" t="str">
            <v>Да</v>
          </cell>
          <cell r="F12" t="str">
            <v>Да</v>
          </cell>
          <cell r="H12" t="str">
            <v>Да</v>
          </cell>
          <cell r="J12" t="str">
            <v>Да</v>
          </cell>
          <cell r="L12" t="str">
            <v>Да</v>
          </cell>
          <cell r="O12" t="str">
            <v>Да</v>
          </cell>
          <cell r="R12" t="str">
            <v>Да</v>
          </cell>
          <cell r="T12" t="str">
            <v>Да</v>
          </cell>
          <cell r="V12" t="str">
            <v>Да</v>
          </cell>
          <cell r="X12" t="str">
            <v>Да</v>
          </cell>
          <cell r="Z12" t="str">
            <v>Да</v>
          </cell>
          <cell r="AB12" t="str">
            <v>Да</v>
          </cell>
        </row>
        <row r="13">
          <cell r="D13" t="str">
            <v>Да</v>
          </cell>
          <cell r="F13" t="str">
            <v>Да</v>
          </cell>
          <cell r="H13" t="str">
            <v>Да</v>
          </cell>
          <cell r="J13" t="str">
            <v>Да</v>
          </cell>
          <cell r="L13" t="str">
            <v>Да</v>
          </cell>
          <cell r="O13" t="str">
            <v>Нет</v>
          </cell>
          <cell r="R13" t="str">
            <v>Нет</v>
          </cell>
          <cell r="T13" t="str">
            <v>Нет</v>
          </cell>
          <cell r="V13" t="str">
            <v>Нет</v>
          </cell>
          <cell r="X13" t="str">
            <v>Нет</v>
          </cell>
          <cell r="Z13" t="str">
            <v>Нет</v>
          </cell>
          <cell r="AB13" t="str">
            <v>Нет</v>
          </cell>
        </row>
        <row r="14">
          <cell r="D14" t="str">
            <v>Да</v>
          </cell>
          <cell r="F14" t="str">
            <v>Да</v>
          </cell>
          <cell r="H14" t="str">
            <v>Да</v>
          </cell>
          <cell r="J14" t="str">
            <v>Да</v>
          </cell>
          <cell r="L14" t="str">
            <v>Да</v>
          </cell>
          <cell r="O14" t="str">
            <v>Да</v>
          </cell>
          <cell r="R14" t="str">
            <v>Да</v>
          </cell>
          <cell r="T14" t="str">
            <v>Да</v>
          </cell>
          <cell r="V14" t="str">
            <v>Да</v>
          </cell>
          <cell r="X14" t="str">
            <v>Да</v>
          </cell>
          <cell r="Z14" t="str">
            <v>Да</v>
          </cell>
          <cell r="AB14" t="str">
            <v>Да</v>
          </cell>
        </row>
      </sheetData>
      <sheetData sheetId="34"/>
      <sheetData sheetId="35">
        <row r="3">
          <cell r="E3" t="str">
            <v>Да</v>
          </cell>
          <cell r="H3" t="str">
            <v>Да</v>
          </cell>
          <cell r="L3" t="str">
            <v>Да</v>
          </cell>
          <cell r="O3" t="str">
            <v>Да</v>
          </cell>
          <cell r="R3" t="str">
            <v>Да</v>
          </cell>
          <cell r="U3" t="str">
            <v>Да</v>
          </cell>
          <cell r="X3" t="str">
            <v>Да</v>
          </cell>
          <cell r="AA3" t="str">
            <v>Да</v>
          </cell>
          <cell r="AD3" t="str">
            <v>Да</v>
          </cell>
          <cell r="AG3" t="str">
            <v>Да</v>
          </cell>
          <cell r="AJ3" t="str">
            <v>Да</v>
          </cell>
          <cell r="AM3" t="str">
            <v>Да</v>
          </cell>
        </row>
        <row r="4">
          <cell r="E4" t="str">
            <v>Да</v>
          </cell>
          <cell r="H4" t="str">
            <v>Да</v>
          </cell>
          <cell r="L4" t="str">
            <v>Да</v>
          </cell>
          <cell r="O4" t="str">
            <v>Да</v>
          </cell>
          <cell r="R4" t="str">
            <v>Да</v>
          </cell>
          <cell r="U4" t="str">
            <v>Да</v>
          </cell>
          <cell r="X4" t="str">
            <v>Да</v>
          </cell>
          <cell r="AA4" t="str">
            <v>Да</v>
          </cell>
          <cell r="AD4" t="str">
            <v>Да</v>
          </cell>
          <cell r="AG4" t="str">
            <v>Да</v>
          </cell>
          <cell r="AJ4" t="str">
            <v>Да</v>
          </cell>
          <cell r="AM4" t="str">
            <v>Да</v>
          </cell>
        </row>
        <row r="5">
          <cell r="E5" t="str">
            <v>Нет</v>
          </cell>
          <cell r="H5" t="str">
            <v>Да</v>
          </cell>
          <cell r="L5" t="str">
            <v>Да</v>
          </cell>
          <cell r="O5" t="str">
            <v>Да</v>
          </cell>
          <cell r="R5" t="str">
            <v>Да</v>
          </cell>
          <cell r="U5" t="str">
            <v>Да</v>
          </cell>
          <cell r="X5" t="str">
            <v>Да</v>
          </cell>
          <cell r="AA5" t="str">
            <v>Да</v>
          </cell>
          <cell r="AD5" t="str">
            <v>Да</v>
          </cell>
          <cell r="AG5" t="str">
            <v>Да</v>
          </cell>
          <cell r="AJ5" t="str">
            <v>Да</v>
          </cell>
          <cell r="AM5" t="str">
            <v>Да</v>
          </cell>
        </row>
        <row r="6">
          <cell r="E6" t="str">
            <v>Да</v>
          </cell>
          <cell r="H6" t="str">
            <v>Да</v>
          </cell>
          <cell r="L6" t="str">
            <v>Да</v>
          </cell>
          <cell r="O6" t="str">
            <v>Да</v>
          </cell>
          <cell r="R6" t="str">
            <v>Да</v>
          </cell>
          <cell r="U6" t="str">
            <v>Да</v>
          </cell>
          <cell r="X6" t="str">
            <v>Да</v>
          </cell>
          <cell r="AA6" t="str">
            <v>Да</v>
          </cell>
          <cell r="AD6" t="str">
            <v>Нет</v>
          </cell>
          <cell r="AG6" t="str">
            <v>Нет</v>
          </cell>
          <cell r="AJ6" t="str">
            <v>Нет</v>
          </cell>
          <cell r="AM6" t="str">
            <v>Нет</v>
          </cell>
        </row>
        <row r="7">
          <cell r="E7" t="str">
            <v>Да</v>
          </cell>
          <cell r="H7" t="str">
            <v>Да</v>
          </cell>
          <cell r="L7" t="str">
            <v>Да</v>
          </cell>
          <cell r="O7" t="str">
            <v>Да</v>
          </cell>
          <cell r="R7" t="str">
            <v>Да</v>
          </cell>
          <cell r="U7" t="str">
            <v>Да</v>
          </cell>
          <cell r="X7" t="str">
            <v>Да</v>
          </cell>
          <cell r="AA7" t="str">
            <v>Да</v>
          </cell>
          <cell r="AD7" t="str">
            <v>Да</v>
          </cell>
          <cell r="AG7" t="str">
            <v>Да</v>
          </cell>
          <cell r="AJ7" t="str">
            <v>Да</v>
          </cell>
          <cell r="AM7" t="str">
            <v>Да</v>
          </cell>
        </row>
        <row r="8">
          <cell r="E8" t="str">
            <v>Да</v>
          </cell>
          <cell r="H8" t="str">
            <v>Да</v>
          </cell>
          <cell r="L8" t="str">
            <v>Да</v>
          </cell>
          <cell r="O8" t="str">
            <v>Да</v>
          </cell>
          <cell r="R8" t="str">
            <v>Да</v>
          </cell>
          <cell r="U8" t="str">
            <v>Да</v>
          </cell>
          <cell r="X8" t="str">
            <v>Да</v>
          </cell>
          <cell r="AA8" t="str">
            <v>Да</v>
          </cell>
          <cell r="AD8" t="str">
            <v>Да</v>
          </cell>
          <cell r="AG8" t="str">
            <v>Да</v>
          </cell>
          <cell r="AJ8" t="str">
            <v>Да</v>
          </cell>
          <cell r="AM8" t="str">
            <v>Да</v>
          </cell>
        </row>
        <row r="9">
          <cell r="E9" t="str">
            <v>Да</v>
          </cell>
          <cell r="H9" t="str">
            <v>Да</v>
          </cell>
          <cell r="L9" t="str">
            <v>Да</v>
          </cell>
          <cell r="O9" t="str">
            <v>Да</v>
          </cell>
          <cell r="R9" t="str">
            <v>Да</v>
          </cell>
          <cell r="U9" t="str">
            <v>Да</v>
          </cell>
          <cell r="X9" t="str">
            <v>Да</v>
          </cell>
          <cell r="AA9" t="str">
            <v>Да</v>
          </cell>
          <cell r="AD9" t="str">
            <v>Да</v>
          </cell>
          <cell r="AG9" t="str">
            <v>Да</v>
          </cell>
          <cell r="AJ9" t="str">
            <v>Да</v>
          </cell>
          <cell r="AM9" t="str">
            <v>Да</v>
          </cell>
        </row>
        <row r="10">
          <cell r="E10" t="str">
            <v>Да</v>
          </cell>
          <cell r="H10" t="str">
            <v>Да</v>
          </cell>
          <cell r="L10" t="str">
            <v>Да</v>
          </cell>
          <cell r="O10" t="str">
            <v>Да</v>
          </cell>
          <cell r="R10" t="str">
            <v>Да</v>
          </cell>
          <cell r="U10" t="str">
            <v>Да</v>
          </cell>
          <cell r="X10" t="str">
            <v>Да</v>
          </cell>
          <cell r="AA10" t="str">
            <v>Да</v>
          </cell>
          <cell r="AD10" t="str">
            <v>Да</v>
          </cell>
          <cell r="AG10" t="str">
            <v>Да</v>
          </cell>
          <cell r="AJ10" t="str">
            <v>Да</v>
          </cell>
          <cell r="AM10" t="str">
            <v>Да</v>
          </cell>
        </row>
        <row r="11">
          <cell r="E11" t="str">
            <v>Да</v>
          </cell>
          <cell r="H11" t="str">
            <v>Да</v>
          </cell>
          <cell r="L11" t="str">
            <v>Да</v>
          </cell>
          <cell r="O11" t="str">
            <v>Да</v>
          </cell>
          <cell r="R11" t="str">
            <v>Нет</v>
          </cell>
          <cell r="U11" t="str">
            <v>Нет</v>
          </cell>
          <cell r="X11" t="str">
            <v>Нет</v>
          </cell>
          <cell r="AA11" t="str">
            <v>Нет</v>
          </cell>
          <cell r="AD11" t="str">
            <v>Нет</v>
          </cell>
          <cell r="AG11" t="str">
            <v>Нет</v>
          </cell>
          <cell r="AJ11" t="str">
            <v>Нет</v>
          </cell>
          <cell r="AM11" t="str">
            <v>Нет</v>
          </cell>
        </row>
        <row r="12">
          <cell r="E12" t="str">
            <v>Да</v>
          </cell>
          <cell r="H12" t="str">
            <v>Да</v>
          </cell>
          <cell r="L12" t="str">
            <v>Да</v>
          </cell>
          <cell r="O12" t="str">
            <v>Да</v>
          </cell>
          <cell r="R12" t="str">
            <v>Да</v>
          </cell>
          <cell r="U12" t="str">
            <v>Да</v>
          </cell>
          <cell r="X12" t="str">
            <v>Да</v>
          </cell>
          <cell r="AA12" t="str">
            <v>Да</v>
          </cell>
          <cell r="AD12" t="str">
            <v>Да</v>
          </cell>
          <cell r="AG12" t="str">
            <v>Да</v>
          </cell>
          <cell r="AJ12" t="str">
            <v>Да</v>
          </cell>
          <cell r="AM12" t="str">
            <v>Да</v>
          </cell>
        </row>
        <row r="13">
          <cell r="E13" t="str">
            <v>Да</v>
          </cell>
          <cell r="H13" t="str">
            <v>Да</v>
          </cell>
          <cell r="L13" t="str">
            <v>Да</v>
          </cell>
          <cell r="O13" t="str">
            <v>Да</v>
          </cell>
          <cell r="R13" t="str">
            <v>Да</v>
          </cell>
          <cell r="U13" t="str">
            <v>Да</v>
          </cell>
          <cell r="X13" t="str">
            <v>Да</v>
          </cell>
          <cell r="AA13" t="str">
            <v>Да</v>
          </cell>
          <cell r="AD13" t="str">
            <v>Да</v>
          </cell>
          <cell r="AG13" t="str">
            <v>Да</v>
          </cell>
          <cell r="AJ13" t="str">
            <v>Да</v>
          </cell>
          <cell r="AM13" t="str">
            <v>Да</v>
          </cell>
        </row>
        <row r="14">
          <cell r="E14" t="str">
            <v>Да</v>
          </cell>
          <cell r="H14" t="str">
            <v>Да</v>
          </cell>
          <cell r="L14" t="str">
            <v>Да</v>
          </cell>
          <cell r="O14" t="str">
            <v>Да</v>
          </cell>
          <cell r="R14" t="str">
            <v>Да</v>
          </cell>
          <cell r="U14" t="str">
            <v>Да</v>
          </cell>
          <cell r="X14" t="str">
            <v>Да</v>
          </cell>
          <cell r="AA14" t="str">
            <v>Да</v>
          </cell>
          <cell r="AD14" t="str">
            <v>Да</v>
          </cell>
          <cell r="AG14" t="str">
            <v>Да</v>
          </cell>
          <cell r="AJ14" t="str">
            <v>Да</v>
          </cell>
          <cell r="AM14" t="str">
            <v>Да</v>
          </cell>
        </row>
        <row r="15">
          <cell r="E15" t="str">
            <v>Да</v>
          </cell>
          <cell r="H15" t="str">
            <v>Да</v>
          </cell>
          <cell r="L15" t="str">
            <v>Да</v>
          </cell>
          <cell r="O15" t="str">
            <v>Да</v>
          </cell>
          <cell r="R15" t="str">
            <v>Да</v>
          </cell>
          <cell r="U15" t="str">
            <v>Да</v>
          </cell>
          <cell r="X15" t="str">
            <v>Да</v>
          </cell>
          <cell r="AA15" t="str">
            <v>Нет</v>
          </cell>
          <cell r="AD15" t="str">
            <v>Нет</v>
          </cell>
          <cell r="AG15" t="str">
            <v>Нет</v>
          </cell>
          <cell r="AJ15" t="str">
            <v>Нет</v>
          </cell>
          <cell r="AM15" t="str">
            <v>Нет</v>
          </cell>
        </row>
        <row r="16">
          <cell r="E16" t="str">
            <v>Да</v>
          </cell>
          <cell r="H16" t="str">
            <v>Да</v>
          </cell>
          <cell r="L16" t="str">
            <v>Да</v>
          </cell>
          <cell r="O16" t="str">
            <v>Да</v>
          </cell>
          <cell r="R16" t="str">
            <v>Да</v>
          </cell>
          <cell r="U16" t="str">
            <v>Да</v>
          </cell>
          <cell r="X16" t="str">
            <v>Да</v>
          </cell>
          <cell r="AA16" t="str">
            <v>Да</v>
          </cell>
          <cell r="AD16" t="str">
            <v>Да</v>
          </cell>
          <cell r="AG16" t="str">
            <v>Нет</v>
          </cell>
          <cell r="AJ16" t="str">
            <v>Да</v>
          </cell>
          <cell r="AM16" t="str">
            <v>Да</v>
          </cell>
        </row>
        <row r="17">
          <cell r="E17"/>
          <cell r="H17"/>
          <cell r="L17"/>
          <cell r="O17"/>
          <cell r="R17"/>
          <cell r="U17"/>
          <cell r="X17"/>
          <cell r="AA17"/>
          <cell r="AD17"/>
          <cell r="AG17" t="str">
            <v>Да</v>
          </cell>
          <cell r="AJ17" t="str">
            <v>Нет</v>
          </cell>
          <cell r="AM17" t="str">
            <v>Да</v>
          </cell>
        </row>
        <row r="18">
          <cell r="E18" t="str">
            <v>Да</v>
          </cell>
          <cell r="H18" t="str">
            <v>Да</v>
          </cell>
          <cell r="L18" t="str">
            <v>Да</v>
          </cell>
          <cell r="O18" t="str">
            <v>Да</v>
          </cell>
          <cell r="R18" t="str">
            <v>Да</v>
          </cell>
          <cell r="U18" t="str">
            <v>Да</v>
          </cell>
          <cell r="X18" t="str">
            <v>Да</v>
          </cell>
          <cell r="AA18" t="str">
            <v>Да</v>
          </cell>
          <cell r="AD18" t="str">
            <v>Да</v>
          </cell>
          <cell r="AG18" t="str">
            <v>Да</v>
          </cell>
          <cell r="AJ18" t="str">
            <v>Да</v>
          </cell>
          <cell r="AM18" t="str">
            <v>Да</v>
          </cell>
        </row>
        <row r="19">
          <cell r="E19" t="str">
            <v>Да</v>
          </cell>
          <cell r="H19" t="str">
            <v>Да</v>
          </cell>
          <cell r="L19" t="str">
            <v>Да</v>
          </cell>
          <cell r="O19" t="str">
            <v>Да</v>
          </cell>
          <cell r="R19" t="str">
            <v>Да</v>
          </cell>
          <cell r="U19" t="str">
            <v>Да</v>
          </cell>
          <cell r="X19" t="str">
            <v>Да</v>
          </cell>
          <cell r="AA19" t="str">
            <v>Да</v>
          </cell>
          <cell r="AD19" t="str">
            <v>Да</v>
          </cell>
          <cell r="AG19" t="str">
            <v>Да</v>
          </cell>
          <cell r="AJ19" t="str">
            <v>Да</v>
          </cell>
          <cell r="AM19" t="str">
            <v>Да</v>
          </cell>
        </row>
        <row r="20">
          <cell r="E20" t="str">
            <v>Да</v>
          </cell>
          <cell r="H20" t="str">
            <v>Да</v>
          </cell>
          <cell r="L20" t="str">
            <v>Да</v>
          </cell>
          <cell r="O20" t="str">
            <v>Да</v>
          </cell>
          <cell r="R20" t="str">
            <v>Да</v>
          </cell>
          <cell r="U20" t="str">
            <v>Да</v>
          </cell>
          <cell r="X20" t="str">
            <v>Да</v>
          </cell>
          <cell r="AA20" t="str">
            <v>Нет</v>
          </cell>
          <cell r="AD20" t="str">
            <v>Да</v>
          </cell>
          <cell r="AG20" t="str">
            <v>Да</v>
          </cell>
          <cell r="AJ20" t="str">
            <v>Да</v>
          </cell>
          <cell r="AM20" t="str">
            <v>Да</v>
          </cell>
        </row>
        <row r="21">
          <cell r="E21" t="str">
            <v>Да</v>
          </cell>
          <cell r="H21" t="str">
            <v>Да</v>
          </cell>
          <cell r="L21" t="str">
            <v>Да</v>
          </cell>
          <cell r="O21" t="str">
            <v>Да</v>
          </cell>
          <cell r="R21" t="str">
            <v>Да</v>
          </cell>
          <cell r="U21" t="str">
            <v>Да</v>
          </cell>
          <cell r="X21" t="str">
            <v>Да</v>
          </cell>
          <cell r="AA21" t="str">
            <v>Да</v>
          </cell>
          <cell r="AD21" t="str">
            <v>Да</v>
          </cell>
          <cell r="AG21" t="str">
            <v>Да</v>
          </cell>
          <cell r="AJ21" t="str">
            <v>Да</v>
          </cell>
          <cell r="AM21" t="str">
            <v>Да</v>
          </cell>
        </row>
        <row r="22">
          <cell r="E22"/>
          <cell r="H22"/>
          <cell r="L22"/>
          <cell r="O22"/>
          <cell r="R22"/>
          <cell r="U22"/>
          <cell r="X22"/>
          <cell r="AA22"/>
          <cell r="AD22"/>
          <cell r="AG22"/>
          <cell r="AJ22"/>
          <cell r="AM22" t="str">
            <v>Да</v>
          </cell>
        </row>
        <row r="23">
          <cell r="E23" t="str">
            <v>Да</v>
          </cell>
          <cell r="H23" t="str">
            <v>Да</v>
          </cell>
          <cell r="L23" t="str">
            <v>Да</v>
          </cell>
          <cell r="O23" t="str">
            <v>Да</v>
          </cell>
          <cell r="R23" t="str">
            <v>Да</v>
          </cell>
          <cell r="U23" t="str">
            <v>Да</v>
          </cell>
          <cell r="X23" t="str">
            <v>Да</v>
          </cell>
          <cell r="AA23" t="str">
            <v>Да</v>
          </cell>
          <cell r="AD23" t="str">
            <v>Да</v>
          </cell>
          <cell r="AG23" t="str">
            <v>Да</v>
          </cell>
          <cell r="AJ23" t="str">
            <v>Да</v>
          </cell>
          <cell r="AM23" t="str">
            <v>Да</v>
          </cell>
        </row>
        <row r="24">
          <cell r="E24" t="str">
            <v>Да</v>
          </cell>
          <cell r="H24" t="str">
            <v>Да</v>
          </cell>
          <cell r="L24" t="str">
            <v>Да</v>
          </cell>
          <cell r="O24" t="str">
            <v>Да</v>
          </cell>
          <cell r="R24" t="str">
            <v>Да</v>
          </cell>
          <cell r="U24" t="str">
            <v>Да</v>
          </cell>
          <cell r="X24" t="str">
            <v>Да</v>
          </cell>
          <cell r="AA24" t="str">
            <v>Да</v>
          </cell>
          <cell r="AD24" t="str">
            <v>Да</v>
          </cell>
          <cell r="AG24" t="str">
            <v>Да</v>
          </cell>
          <cell r="AJ24" t="str">
            <v>Да</v>
          </cell>
          <cell r="AM24" t="str">
            <v>Да</v>
          </cell>
        </row>
        <row r="25">
          <cell r="E25" t="str">
            <v>Да</v>
          </cell>
          <cell r="H25" t="str">
            <v>Да</v>
          </cell>
          <cell r="L25" t="str">
            <v>Да</v>
          </cell>
          <cell r="O25" t="str">
            <v>Да</v>
          </cell>
          <cell r="R25" t="str">
            <v>Да</v>
          </cell>
          <cell r="U25" t="str">
            <v>Да</v>
          </cell>
          <cell r="X25" t="str">
            <v>Да</v>
          </cell>
          <cell r="AA25" t="str">
            <v>Да</v>
          </cell>
          <cell r="AD25" t="str">
            <v>Да</v>
          </cell>
          <cell r="AG25" t="str">
            <v>Да</v>
          </cell>
          <cell r="AJ25" t="str">
            <v>Да</v>
          </cell>
          <cell r="AM25" t="str">
            <v>Да</v>
          </cell>
        </row>
      </sheetData>
      <sheetData sheetId="36">
        <row r="3">
          <cell r="F3" t="str">
            <v>Да</v>
          </cell>
          <cell r="J3" t="str">
            <v>Да</v>
          </cell>
          <cell r="N3" t="str">
            <v>Да</v>
          </cell>
          <cell r="R3" t="str">
            <v>Да</v>
          </cell>
          <cell r="V3" t="str">
            <v>Да</v>
          </cell>
          <cell r="AA3" t="str">
            <v>Да</v>
          </cell>
          <cell r="AF3" t="str">
            <v>Да</v>
          </cell>
          <cell r="AJ3" t="str">
            <v>Да</v>
          </cell>
          <cell r="AO3" t="str">
            <v>Нет</v>
          </cell>
          <cell r="AT3" t="str">
            <v>Да</v>
          </cell>
          <cell r="AY3" t="str">
            <v>Нет</v>
          </cell>
          <cell r="BD3" t="str">
            <v>Да</v>
          </cell>
        </row>
        <row r="4">
          <cell r="F4"/>
          <cell r="J4"/>
          <cell r="N4" t="str">
            <v>Да</v>
          </cell>
          <cell r="R4" t="str">
            <v>Нет</v>
          </cell>
          <cell r="V4" t="str">
            <v>Нет</v>
          </cell>
          <cell r="AA4" t="str">
            <v>Да</v>
          </cell>
          <cell r="AF4" t="str">
            <v>Нет</v>
          </cell>
          <cell r="AJ4" t="str">
            <v>Нет</v>
          </cell>
          <cell r="AO4" t="str">
            <v>Нет</v>
          </cell>
          <cell r="AT4" t="str">
            <v>Нет</v>
          </cell>
          <cell r="AY4" t="str">
            <v>Нет</v>
          </cell>
          <cell r="BD4" t="str">
            <v>Нет</v>
          </cell>
        </row>
        <row r="5">
          <cell r="F5"/>
          <cell r="J5"/>
          <cell r="N5"/>
          <cell r="R5"/>
          <cell r="V5"/>
          <cell r="AA5"/>
          <cell r="AF5"/>
          <cell r="AJ5"/>
          <cell r="AO5" t="str">
            <v>Да</v>
          </cell>
          <cell r="AT5" t="str">
            <v>Да</v>
          </cell>
          <cell r="AY5" t="str">
            <v>Да</v>
          </cell>
          <cell r="BD5" t="str">
            <v>Да</v>
          </cell>
        </row>
        <row r="6">
          <cell r="F6" t="str">
            <v>Да</v>
          </cell>
          <cell r="J6" t="str">
            <v>Да</v>
          </cell>
          <cell r="N6" t="str">
            <v>Да</v>
          </cell>
          <cell r="R6" t="str">
            <v>Да</v>
          </cell>
          <cell r="V6" t="str">
            <v>Да</v>
          </cell>
          <cell r="AA6" t="str">
            <v>Да</v>
          </cell>
          <cell r="AF6" t="str">
            <v>Нет</v>
          </cell>
          <cell r="AJ6" t="str">
            <v>Нет</v>
          </cell>
          <cell r="AO6" t="str">
            <v>Нет</v>
          </cell>
          <cell r="AT6" t="str">
            <v>Нет</v>
          </cell>
          <cell r="AY6" t="str">
            <v>Нет</v>
          </cell>
          <cell r="BD6" t="str">
            <v>Нет</v>
          </cell>
        </row>
        <row r="7">
          <cell r="F7" t="str">
            <v>Да</v>
          </cell>
          <cell r="J7" t="str">
            <v>Да</v>
          </cell>
          <cell r="N7" t="str">
            <v>Да</v>
          </cell>
          <cell r="R7" t="str">
            <v>Да</v>
          </cell>
          <cell r="V7" t="str">
            <v>Да</v>
          </cell>
          <cell r="AA7" t="str">
            <v>Да</v>
          </cell>
          <cell r="AF7" t="str">
            <v>Да</v>
          </cell>
          <cell r="AJ7" t="str">
            <v>Да</v>
          </cell>
          <cell r="AO7" t="str">
            <v>Да</v>
          </cell>
          <cell r="AT7" t="str">
            <v>Да</v>
          </cell>
          <cell r="AY7" t="str">
            <v>Да</v>
          </cell>
          <cell r="BD7" t="str">
            <v>Да</v>
          </cell>
        </row>
        <row r="8">
          <cell r="F8" t="str">
            <v>Да</v>
          </cell>
          <cell r="J8" t="str">
            <v>Да</v>
          </cell>
          <cell r="N8" t="str">
            <v>Да</v>
          </cell>
          <cell r="R8" t="str">
            <v>Да</v>
          </cell>
          <cell r="V8" t="str">
            <v>Да</v>
          </cell>
          <cell r="AA8" t="str">
            <v>Да</v>
          </cell>
          <cell r="AF8" t="str">
            <v>Да</v>
          </cell>
          <cell r="AJ8" t="str">
            <v>Да</v>
          </cell>
          <cell r="AO8" t="str">
            <v>Да</v>
          </cell>
          <cell r="AT8" t="str">
            <v>Да</v>
          </cell>
          <cell r="AY8" t="str">
            <v>Да</v>
          </cell>
          <cell r="BD8" t="str">
            <v>Да</v>
          </cell>
        </row>
        <row r="9">
          <cell r="F9" t="str">
            <v>Да</v>
          </cell>
          <cell r="J9" t="str">
            <v>Да</v>
          </cell>
          <cell r="N9" t="str">
            <v>Да</v>
          </cell>
          <cell r="R9" t="str">
            <v>Да</v>
          </cell>
          <cell r="V9" t="str">
            <v>Да</v>
          </cell>
          <cell r="AA9" t="str">
            <v>Да</v>
          </cell>
          <cell r="AF9" t="str">
            <v>Да</v>
          </cell>
          <cell r="AJ9" t="str">
            <v>Да</v>
          </cell>
          <cell r="AO9" t="str">
            <v>Да</v>
          </cell>
          <cell r="AT9" t="str">
            <v>Да</v>
          </cell>
          <cell r="AY9" t="str">
            <v>Да</v>
          </cell>
          <cell r="BD9" t="str">
            <v>Да</v>
          </cell>
        </row>
        <row r="10">
          <cell r="F10" t="str">
            <v>Да</v>
          </cell>
          <cell r="J10" t="str">
            <v>Да</v>
          </cell>
          <cell r="N10" t="str">
            <v>Да</v>
          </cell>
          <cell r="R10" t="str">
            <v>Да</v>
          </cell>
          <cell r="V10" t="str">
            <v>Да</v>
          </cell>
          <cell r="AA10" t="str">
            <v>Да</v>
          </cell>
          <cell r="AF10" t="str">
            <v>Да</v>
          </cell>
          <cell r="AJ10" t="str">
            <v>Да</v>
          </cell>
          <cell r="AO10" t="str">
            <v>Да</v>
          </cell>
          <cell r="AT10" t="str">
            <v>Да</v>
          </cell>
          <cell r="AY10" t="str">
            <v>Да</v>
          </cell>
          <cell r="BD10" t="str">
            <v>Да</v>
          </cell>
        </row>
        <row r="11">
          <cell r="F11" t="str">
            <v>Да</v>
          </cell>
          <cell r="J11" t="str">
            <v>Да</v>
          </cell>
          <cell r="N11" t="str">
            <v>Да</v>
          </cell>
          <cell r="R11" t="str">
            <v>Да</v>
          </cell>
          <cell r="V11" t="str">
            <v>Да</v>
          </cell>
          <cell r="AA11" t="str">
            <v>Да</v>
          </cell>
          <cell r="AF11" t="str">
            <v>Да</v>
          </cell>
          <cell r="AJ11" t="str">
            <v>Да</v>
          </cell>
          <cell r="AO11" t="str">
            <v>Да</v>
          </cell>
          <cell r="AT11" t="str">
            <v>Да</v>
          </cell>
          <cell r="AY11" t="str">
            <v>Да</v>
          </cell>
          <cell r="BD11" t="str">
            <v>Да</v>
          </cell>
        </row>
        <row r="12">
          <cell r="F12"/>
          <cell r="J12"/>
          <cell r="N12" t="str">
            <v>Да</v>
          </cell>
          <cell r="R12" t="str">
            <v>Да</v>
          </cell>
          <cell r="V12" t="str">
            <v>Да</v>
          </cell>
          <cell r="AA12" t="str">
            <v>Да</v>
          </cell>
          <cell r="AF12" t="str">
            <v>Да</v>
          </cell>
          <cell r="AJ12" t="str">
            <v>Да</v>
          </cell>
          <cell r="AO12" t="str">
            <v>Да</v>
          </cell>
          <cell r="AT12" t="str">
            <v>Да</v>
          </cell>
          <cell r="AY12" t="str">
            <v>Да</v>
          </cell>
          <cell r="BD12" t="str">
            <v>Да</v>
          </cell>
        </row>
        <row r="13">
          <cell r="F13"/>
          <cell r="J13"/>
          <cell r="N13"/>
          <cell r="R13"/>
          <cell r="V13"/>
          <cell r="AA13"/>
          <cell r="AF13"/>
          <cell r="AJ13" t="str">
            <v>Да</v>
          </cell>
          <cell r="AO13" t="str">
            <v>Да</v>
          </cell>
          <cell r="AT13" t="str">
            <v>Да</v>
          </cell>
          <cell r="AY13" t="str">
            <v>Да</v>
          </cell>
          <cell r="BD13" t="str">
            <v>Да</v>
          </cell>
        </row>
        <row r="14">
          <cell r="F14" t="str">
            <v>Да</v>
          </cell>
          <cell r="J14" t="str">
            <v>Да</v>
          </cell>
          <cell r="N14" t="str">
            <v>Да</v>
          </cell>
          <cell r="R14" t="str">
            <v>Да</v>
          </cell>
          <cell r="V14" t="str">
            <v>Да</v>
          </cell>
          <cell r="AA14" t="str">
            <v>Да</v>
          </cell>
          <cell r="AF14" t="str">
            <v>Да</v>
          </cell>
          <cell r="AJ14" t="str">
            <v>Да</v>
          </cell>
          <cell r="AO14" t="str">
            <v>Да</v>
          </cell>
          <cell r="AT14" t="str">
            <v>Да</v>
          </cell>
          <cell r="AY14" t="str">
            <v>Да</v>
          </cell>
          <cell r="BD14" t="str">
            <v>Да</v>
          </cell>
        </row>
        <row r="15">
          <cell r="F15"/>
          <cell r="J15"/>
          <cell r="N15"/>
          <cell r="R15"/>
          <cell r="V15"/>
          <cell r="AA15" t="str">
            <v>Да</v>
          </cell>
          <cell r="AF15" t="str">
            <v>Нет</v>
          </cell>
          <cell r="AJ15" t="str">
            <v>Нет</v>
          </cell>
          <cell r="AO15" t="str">
            <v>Нет</v>
          </cell>
          <cell r="AT15" t="str">
            <v>Нет</v>
          </cell>
          <cell r="AY15" t="str">
            <v>Нет</v>
          </cell>
          <cell r="BD15" t="str">
            <v>Нет</v>
          </cell>
        </row>
        <row r="16">
          <cell r="F16" t="str">
            <v>Да</v>
          </cell>
          <cell r="J16" t="str">
            <v>Да</v>
          </cell>
          <cell r="N16" t="str">
            <v>Да</v>
          </cell>
          <cell r="R16" t="str">
            <v>Да</v>
          </cell>
          <cell r="V16" t="str">
            <v>Да</v>
          </cell>
          <cell r="AA16" t="str">
            <v>Да</v>
          </cell>
          <cell r="AF16" t="str">
            <v>Да</v>
          </cell>
          <cell r="AJ16" t="str">
            <v>Да</v>
          </cell>
          <cell r="AO16" t="str">
            <v>Да</v>
          </cell>
          <cell r="AT16" t="str">
            <v>Да</v>
          </cell>
          <cell r="AY16" t="str">
            <v>Да</v>
          </cell>
          <cell r="BD16" t="str">
            <v>Да</v>
          </cell>
        </row>
        <row r="17">
          <cell r="F17" t="str">
            <v>Нет</v>
          </cell>
          <cell r="J17" t="str">
            <v>Нет</v>
          </cell>
          <cell r="N17" t="str">
            <v>Нет</v>
          </cell>
          <cell r="R17" t="str">
            <v>Нет</v>
          </cell>
          <cell r="V17" t="str">
            <v>Нет</v>
          </cell>
          <cell r="AA17" t="str">
            <v>Нет</v>
          </cell>
          <cell r="AF17" t="str">
            <v>Нет</v>
          </cell>
          <cell r="AJ17" t="str">
            <v>Нет</v>
          </cell>
          <cell r="AO17" t="str">
            <v>Нет</v>
          </cell>
          <cell r="AT17" t="str">
            <v>Нет</v>
          </cell>
          <cell r="AY17" t="str">
            <v>Нет</v>
          </cell>
          <cell r="BD17" t="str">
            <v>Нет</v>
          </cell>
        </row>
        <row r="18">
          <cell r="F18" t="str">
            <v>Да</v>
          </cell>
          <cell r="J18" t="str">
            <v>Да</v>
          </cell>
          <cell r="N18" t="str">
            <v>Да</v>
          </cell>
          <cell r="R18" t="str">
            <v>Да</v>
          </cell>
          <cell r="V18" t="str">
            <v>Да</v>
          </cell>
          <cell r="AA18" t="str">
            <v>Да</v>
          </cell>
          <cell r="AF18" t="str">
            <v>Да</v>
          </cell>
          <cell r="AJ18" t="str">
            <v>Да</v>
          </cell>
          <cell r="AO18" t="str">
            <v>Нет</v>
          </cell>
          <cell r="AT18" t="str">
            <v>Да</v>
          </cell>
          <cell r="AY18" t="str">
            <v>Да</v>
          </cell>
          <cell r="BD18" t="str">
            <v>Да</v>
          </cell>
        </row>
        <row r="19">
          <cell r="F19" t="str">
            <v>Да</v>
          </cell>
          <cell r="J19" t="str">
            <v>Да</v>
          </cell>
          <cell r="N19" t="str">
            <v>Да</v>
          </cell>
          <cell r="R19" t="str">
            <v>Нет</v>
          </cell>
          <cell r="V19" t="str">
            <v>Нет</v>
          </cell>
          <cell r="AA19" t="str">
            <v>Да</v>
          </cell>
          <cell r="AF19" t="str">
            <v>Нет</v>
          </cell>
          <cell r="AJ19" t="str">
            <v>Нет</v>
          </cell>
          <cell r="AO19" t="str">
            <v>Нет</v>
          </cell>
          <cell r="AT19" t="str">
            <v>Нет</v>
          </cell>
          <cell r="AY19" t="str">
            <v>Нет</v>
          </cell>
          <cell r="BD19" t="str">
            <v>Нет</v>
          </cell>
        </row>
        <row r="20">
          <cell r="F20" t="str">
            <v>Да</v>
          </cell>
          <cell r="J20" t="str">
            <v>Да</v>
          </cell>
          <cell r="N20" t="str">
            <v>Да</v>
          </cell>
          <cell r="R20" t="str">
            <v>Да</v>
          </cell>
          <cell r="V20" t="str">
            <v>Да</v>
          </cell>
          <cell r="AA20" t="str">
            <v>Да</v>
          </cell>
          <cell r="AF20" t="str">
            <v>Да</v>
          </cell>
          <cell r="AJ20" t="str">
            <v>Да</v>
          </cell>
          <cell r="AO20" t="str">
            <v>Да</v>
          </cell>
          <cell r="AT20" t="str">
            <v>Да</v>
          </cell>
          <cell r="AY20" t="str">
            <v>Да</v>
          </cell>
          <cell r="BD20" t="str">
            <v>Да</v>
          </cell>
        </row>
        <row r="21">
          <cell r="F21" t="str">
            <v>Да</v>
          </cell>
          <cell r="J21" t="str">
            <v>Нет</v>
          </cell>
          <cell r="N21" t="str">
            <v>Нет</v>
          </cell>
          <cell r="R21" t="str">
            <v>Нет</v>
          </cell>
          <cell r="V21" t="str">
            <v>Нет</v>
          </cell>
          <cell r="AA21" t="str">
            <v>Да</v>
          </cell>
          <cell r="AF21" t="str">
            <v>Нет</v>
          </cell>
          <cell r="AJ21" t="str">
            <v>Нет</v>
          </cell>
          <cell r="AO21" t="str">
            <v>Нет</v>
          </cell>
          <cell r="AT21" t="str">
            <v>Нет</v>
          </cell>
          <cell r="AY21" t="str">
            <v>Нет</v>
          </cell>
          <cell r="BD21" t="str">
            <v>Нет</v>
          </cell>
        </row>
        <row r="22">
          <cell r="F22"/>
          <cell r="J22"/>
          <cell r="N22"/>
          <cell r="R22" t="str">
            <v>Да</v>
          </cell>
          <cell r="V22" t="str">
            <v>Да</v>
          </cell>
          <cell r="AA22" t="str">
            <v>Да</v>
          </cell>
          <cell r="AF22" t="str">
            <v>Да</v>
          </cell>
          <cell r="AJ22" t="str">
            <v>Да</v>
          </cell>
          <cell r="AO22" t="str">
            <v>Да</v>
          </cell>
          <cell r="AT22" t="str">
            <v>Да</v>
          </cell>
          <cell r="AY22" t="str">
            <v>Нет</v>
          </cell>
          <cell r="BD22" t="str">
            <v>Да</v>
          </cell>
        </row>
        <row r="23">
          <cell r="F23" t="str">
            <v>Да</v>
          </cell>
          <cell r="J23" t="str">
            <v>Да</v>
          </cell>
          <cell r="N23" t="str">
            <v>Да</v>
          </cell>
          <cell r="R23" t="str">
            <v>Да</v>
          </cell>
          <cell r="V23" t="str">
            <v>Да</v>
          </cell>
          <cell r="AA23" t="str">
            <v>Да</v>
          </cell>
          <cell r="AF23" t="str">
            <v>Да</v>
          </cell>
          <cell r="AJ23" t="str">
            <v>Да</v>
          </cell>
          <cell r="AO23" t="str">
            <v>Да</v>
          </cell>
          <cell r="AT23" t="str">
            <v>Да</v>
          </cell>
          <cell r="AY23" t="str">
            <v>Да</v>
          </cell>
          <cell r="BD23" t="str">
            <v>Да</v>
          </cell>
        </row>
      </sheetData>
      <sheetData sheetId="37">
        <row r="3">
          <cell r="F3" t="str">
            <v>Да</v>
          </cell>
          <cell r="M3" t="str">
            <v>Да</v>
          </cell>
          <cell r="U3" t="str">
            <v>Да</v>
          </cell>
          <cell r="AC3" t="str">
            <v>Да</v>
          </cell>
          <cell r="AJ3" t="str">
            <v>Да</v>
          </cell>
          <cell r="AP3" t="str">
            <v>Да</v>
          </cell>
          <cell r="AV3" t="str">
            <v>Да</v>
          </cell>
          <cell r="BB3" t="str">
            <v>Да</v>
          </cell>
          <cell r="BJ3" t="str">
            <v>Да</v>
          </cell>
          <cell r="BQ3" t="str">
            <v>Да</v>
          </cell>
          <cell r="BX3" t="str">
            <v>Да</v>
          </cell>
          <cell r="CD3" t="str">
            <v>Да</v>
          </cell>
        </row>
        <row r="4">
          <cell r="F4" t="str">
            <v>Да</v>
          </cell>
          <cell r="M4" t="str">
            <v>Да</v>
          </cell>
          <cell r="U4" t="str">
            <v>Нет</v>
          </cell>
          <cell r="AC4" t="str">
            <v>Нет</v>
          </cell>
          <cell r="AJ4" t="str">
            <v>Нет</v>
          </cell>
          <cell r="AP4" t="str">
            <v>Нет</v>
          </cell>
          <cell r="AV4" t="str">
            <v>Нет</v>
          </cell>
          <cell r="BB4" t="str">
            <v>Нет</v>
          </cell>
          <cell r="BJ4" t="str">
            <v>Нет</v>
          </cell>
          <cell r="BQ4" t="str">
            <v>Нет</v>
          </cell>
          <cell r="BX4" t="str">
            <v>Нет</v>
          </cell>
          <cell r="CD4" t="str">
            <v>Нет</v>
          </cell>
        </row>
        <row r="5">
          <cell r="F5" t="str">
            <v>Да</v>
          </cell>
          <cell r="M5" t="str">
            <v>Да</v>
          </cell>
          <cell r="U5" t="str">
            <v>Да</v>
          </cell>
          <cell r="AC5" t="str">
            <v>Да</v>
          </cell>
          <cell r="AJ5" t="str">
            <v>Да</v>
          </cell>
          <cell r="AP5" t="str">
            <v>Да</v>
          </cell>
          <cell r="AV5" t="str">
            <v>Да</v>
          </cell>
          <cell r="BB5" t="str">
            <v>Да</v>
          </cell>
          <cell r="BJ5" t="str">
            <v>Да</v>
          </cell>
          <cell r="BQ5" t="str">
            <v>Да</v>
          </cell>
          <cell r="BX5" t="str">
            <v>Да</v>
          </cell>
          <cell r="CD5" t="str">
            <v>Да</v>
          </cell>
        </row>
        <row r="6">
          <cell r="F6" t="str">
            <v>Да</v>
          </cell>
          <cell r="M6" t="str">
            <v>Да</v>
          </cell>
          <cell r="U6" t="str">
            <v>Да</v>
          </cell>
          <cell r="AC6" t="str">
            <v>Да</v>
          </cell>
          <cell r="AJ6" t="str">
            <v>Да</v>
          </cell>
          <cell r="AP6" t="str">
            <v>Да</v>
          </cell>
          <cell r="AV6" t="str">
            <v>Да</v>
          </cell>
          <cell r="BB6" t="str">
            <v>Да</v>
          </cell>
          <cell r="BJ6" t="str">
            <v>Да</v>
          </cell>
          <cell r="BQ6" t="str">
            <v>Да</v>
          </cell>
          <cell r="BX6" t="str">
            <v>Да</v>
          </cell>
          <cell r="CD6" t="str">
            <v>Да</v>
          </cell>
        </row>
        <row r="7">
          <cell r="F7" t="str">
            <v>Да</v>
          </cell>
          <cell r="M7" t="str">
            <v>Да</v>
          </cell>
          <cell r="U7" t="str">
            <v>Да</v>
          </cell>
          <cell r="AC7" t="str">
            <v>Да</v>
          </cell>
          <cell r="AJ7" t="str">
            <v>Да</v>
          </cell>
          <cell r="AP7" t="str">
            <v>Да</v>
          </cell>
          <cell r="AV7" t="str">
            <v>Да</v>
          </cell>
          <cell r="BB7" t="str">
            <v>Да</v>
          </cell>
          <cell r="BJ7" t="str">
            <v>Да</v>
          </cell>
          <cell r="BQ7" t="str">
            <v>Да</v>
          </cell>
          <cell r="BX7" t="str">
            <v>Да</v>
          </cell>
          <cell r="CD7" t="str">
            <v>Нет</v>
          </cell>
        </row>
        <row r="8">
          <cell r="F8" t="str">
            <v>Нет</v>
          </cell>
          <cell r="M8" t="str">
            <v>Нет</v>
          </cell>
          <cell r="U8" t="str">
            <v>Нет</v>
          </cell>
          <cell r="AC8" t="str">
            <v>Нет</v>
          </cell>
          <cell r="AJ8" t="str">
            <v>Нет</v>
          </cell>
          <cell r="AP8" t="str">
            <v>Нет</v>
          </cell>
          <cell r="AV8" t="str">
            <v>Нет</v>
          </cell>
          <cell r="BB8" t="str">
            <v>Нет</v>
          </cell>
          <cell r="BJ8" t="str">
            <v>Нет</v>
          </cell>
          <cell r="BQ8" t="str">
            <v>Нет</v>
          </cell>
          <cell r="BX8" t="str">
            <v>Нет</v>
          </cell>
          <cell r="CD8" t="str">
            <v>Нет</v>
          </cell>
        </row>
        <row r="9">
          <cell r="F9" t="str">
            <v>Да</v>
          </cell>
          <cell r="M9" t="str">
            <v>Да</v>
          </cell>
          <cell r="U9" t="str">
            <v>Да</v>
          </cell>
          <cell r="AC9" t="str">
            <v>Да</v>
          </cell>
          <cell r="AJ9" t="str">
            <v>Да</v>
          </cell>
          <cell r="AP9" t="str">
            <v>Да</v>
          </cell>
          <cell r="AV9" t="str">
            <v>Да</v>
          </cell>
          <cell r="BB9" t="str">
            <v>Да</v>
          </cell>
          <cell r="BJ9" t="str">
            <v>Да</v>
          </cell>
          <cell r="BQ9" t="str">
            <v>Да</v>
          </cell>
          <cell r="BX9" t="str">
            <v>Да</v>
          </cell>
          <cell r="CD9" t="str">
            <v>Да</v>
          </cell>
        </row>
        <row r="10">
          <cell r="F10" t="str">
            <v>Да</v>
          </cell>
          <cell r="M10" t="str">
            <v>Да</v>
          </cell>
          <cell r="U10" t="str">
            <v>Да</v>
          </cell>
          <cell r="AC10" t="str">
            <v>Да</v>
          </cell>
          <cell r="AJ10" t="str">
            <v>Да</v>
          </cell>
          <cell r="AP10" t="str">
            <v>Да</v>
          </cell>
          <cell r="AV10" t="str">
            <v>Да</v>
          </cell>
          <cell r="BB10" t="str">
            <v>Да</v>
          </cell>
          <cell r="BJ10" t="str">
            <v>Да</v>
          </cell>
          <cell r="BQ10" t="str">
            <v>Да</v>
          </cell>
          <cell r="BX10" t="str">
            <v>Да</v>
          </cell>
          <cell r="CD10" t="str">
            <v>Да</v>
          </cell>
        </row>
        <row r="11">
          <cell r="F11" t="str">
            <v>Да</v>
          </cell>
          <cell r="M11" t="str">
            <v>Да</v>
          </cell>
          <cell r="U11" t="str">
            <v>Да</v>
          </cell>
          <cell r="AC11" t="str">
            <v>Да</v>
          </cell>
          <cell r="AJ11" t="str">
            <v>Да</v>
          </cell>
          <cell r="AP11" t="str">
            <v>Да</v>
          </cell>
          <cell r="AV11" t="str">
            <v>Да</v>
          </cell>
          <cell r="BB11" t="str">
            <v>Да</v>
          </cell>
          <cell r="BJ11" t="str">
            <v>Да</v>
          </cell>
          <cell r="BQ11" t="str">
            <v>Да</v>
          </cell>
          <cell r="BX11" t="str">
            <v>Да</v>
          </cell>
          <cell r="CD11" t="str">
            <v>Да</v>
          </cell>
        </row>
        <row r="13">
          <cell r="F13" t="str">
            <v>Да</v>
          </cell>
          <cell r="M13" t="str">
            <v>Да</v>
          </cell>
          <cell r="U13" t="str">
            <v>Да</v>
          </cell>
          <cell r="AC13" t="str">
            <v>Да</v>
          </cell>
          <cell r="AJ13" t="str">
            <v>Да</v>
          </cell>
          <cell r="AP13" t="str">
            <v>Нет</v>
          </cell>
          <cell r="AV13" t="str">
            <v>Нет</v>
          </cell>
          <cell r="BB13" t="str">
            <v>Нет</v>
          </cell>
          <cell r="BJ13" t="str">
            <v>Нет</v>
          </cell>
          <cell r="BQ13" t="str">
            <v>Нет</v>
          </cell>
          <cell r="BX13" t="str">
            <v>Нет</v>
          </cell>
          <cell r="CD13" t="str">
            <v>Нет</v>
          </cell>
        </row>
        <row r="14">
          <cell r="F14" t="str">
            <v>Да</v>
          </cell>
          <cell r="M14" t="str">
            <v>Да</v>
          </cell>
          <cell r="U14" t="str">
            <v>Да</v>
          </cell>
          <cell r="AC14" t="str">
            <v>Да</v>
          </cell>
          <cell r="AJ14" t="str">
            <v>Да</v>
          </cell>
          <cell r="AP14" t="str">
            <v>Да</v>
          </cell>
          <cell r="AV14" t="str">
            <v>Да</v>
          </cell>
          <cell r="BB14" t="str">
            <v>Да</v>
          </cell>
          <cell r="BJ14" t="str">
            <v>Да</v>
          </cell>
          <cell r="BQ14" t="str">
            <v>Да</v>
          </cell>
          <cell r="BX14" t="str">
            <v>Да</v>
          </cell>
          <cell r="CD14" t="str">
            <v>Да</v>
          </cell>
        </row>
        <row r="15">
          <cell r="F15" t="str">
            <v>Да</v>
          </cell>
          <cell r="M15" t="str">
            <v>Да</v>
          </cell>
          <cell r="U15" t="str">
            <v>Да</v>
          </cell>
          <cell r="AC15" t="str">
            <v>Да</v>
          </cell>
          <cell r="AJ15" t="str">
            <v>Да</v>
          </cell>
          <cell r="AP15" t="str">
            <v>Да</v>
          </cell>
          <cell r="AV15" t="str">
            <v>Да</v>
          </cell>
          <cell r="BB15" t="str">
            <v>Да</v>
          </cell>
          <cell r="BJ15" t="str">
            <v>Да</v>
          </cell>
          <cell r="BQ15" t="str">
            <v>Да</v>
          </cell>
          <cell r="BX15" t="str">
            <v>Да</v>
          </cell>
          <cell r="CD15" t="str">
            <v>Да</v>
          </cell>
        </row>
        <row r="16">
          <cell r="F16" t="str">
            <v>Да</v>
          </cell>
          <cell r="M16" t="str">
            <v>Да</v>
          </cell>
          <cell r="U16" t="str">
            <v>Да</v>
          </cell>
          <cell r="AC16" t="str">
            <v>Да</v>
          </cell>
          <cell r="AJ16" t="str">
            <v>Да</v>
          </cell>
          <cell r="AP16" t="str">
            <v>Да</v>
          </cell>
          <cell r="AV16" t="str">
            <v>Да</v>
          </cell>
          <cell r="BB16" t="str">
            <v>Да</v>
          </cell>
          <cell r="BJ16" t="str">
            <v>Да</v>
          </cell>
          <cell r="BQ16" t="str">
            <v>Да</v>
          </cell>
          <cell r="BX16" t="str">
            <v>Да</v>
          </cell>
          <cell r="CD16" t="str">
            <v>Да</v>
          </cell>
        </row>
        <row r="17">
          <cell r="F17"/>
          <cell r="M17"/>
          <cell r="U17"/>
          <cell r="AC17"/>
          <cell r="AJ17"/>
          <cell r="AP17"/>
          <cell r="AV17"/>
          <cell r="BB17"/>
          <cell r="BJ17" t="str">
            <v>Да</v>
          </cell>
          <cell r="BQ17" t="str">
            <v>Нет</v>
          </cell>
          <cell r="BX17" t="str">
            <v>Да</v>
          </cell>
          <cell r="CD17" t="str">
            <v>Да</v>
          </cell>
        </row>
        <row r="18">
          <cell r="F18" t="str">
            <v>Да</v>
          </cell>
          <cell r="M18" t="str">
            <v>Да</v>
          </cell>
          <cell r="U18" t="str">
            <v>Да</v>
          </cell>
          <cell r="AC18" t="str">
            <v>Да</v>
          </cell>
          <cell r="AJ18" t="str">
            <v>Нет</v>
          </cell>
          <cell r="AP18" t="str">
            <v>Нет</v>
          </cell>
          <cell r="AV18" t="str">
            <v>Нет</v>
          </cell>
          <cell r="BB18" t="str">
            <v>Нет</v>
          </cell>
          <cell r="BJ18" t="str">
            <v>Нет</v>
          </cell>
          <cell r="BQ18" t="str">
            <v>Нет</v>
          </cell>
          <cell r="BX18" t="str">
            <v>Нет</v>
          </cell>
          <cell r="CD18" t="str">
            <v>Нет</v>
          </cell>
        </row>
        <row r="19">
          <cell r="F19" t="str">
            <v>Да</v>
          </cell>
          <cell r="M19" t="str">
            <v>Да</v>
          </cell>
          <cell r="U19" t="str">
            <v>Да</v>
          </cell>
          <cell r="AC19" t="str">
            <v>Да</v>
          </cell>
          <cell r="AJ19" t="str">
            <v>Нет</v>
          </cell>
          <cell r="AP19" t="str">
            <v>Нет</v>
          </cell>
          <cell r="AV19" t="str">
            <v>Нет</v>
          </cell>
          <cell r="BB19" t="str">
            <v>Нет</v>
          </cell>
          <cell r="BJ19" t="str">
            <v>Нет</v>
          </cell>
          <cell r="BQ19" t="str">
            <v>Нет</v>
          </cell>
          <cell r="BX19" t="str">
            <v>Нет</v>
          </cell>
          <cell r="CD19" t="str">
            <v>Нет</v>
          </cell>
        </row>
        <row r="20">
          <cell r="F20"/>
          <cell r="M20"/>
          <cell r="U20"/>
          <cell r="AC20"/>
          <cell r="AJ20"/>
          <cell r="AP20" t="str">
            <v>Да</v>
          </cell>
          <cell r="AV20" t="str">
            <v>Да</v>
          </cell>
          <cell r="BB20" t="str">
            <v>Да</v>
          </cell>
          <cell r="BJ20" t="str">
            <v>Да</v>
          </cell>
          <cell r="BQ20" t="str">
            <v>Да</v>
          </cell>
          <cell r="BX20" t="str">
            <v>Да</v>
          </cell>
          <cell r="CD20" t="str">
            <v>Да</v>
          </cell>
        </row>
        <row r="21">
          <cell r="F21" t="str">
            <v>Да</v>
          </cell>
          <cell r="M21" t="str">
            <v>Да</v>
          </cell>
          <cell r="U21" t="str">
            <v>Да</v>
          </cell>
          <cell r="AC21" t="str">
            <v>Да</v>
          </cell>
          <cell r="AJ21" t="str">
            <v>Да</v>
          </cell>
          <cell r="AP21" t="str">
            <v>Да</v>
          </cell>
          <cell r="AV21" t="str">
            <v>Да</v>
          </cell>
          <cell r="BB21" t="str">
            <v>Да</v>
          </cell>
          <cell r="BJ21" t="str">
            <v>Да</v>
          </cell>
          <cell r="BQ21" t="str">
            <v>Да</v>
          </cell>
          <cell r="BX21" t="str">
            <v>Да</v>
          </cell>
          <cell r="CD21" t="str">
            <v>Да</v>
          </cell>
        </row>
        <row r="22">
          <cell r="F22" t="str">
            <v>Да</v>
          </cell>
          <cell r="M22" t="str">
            <v>Да</v>
          </cell>
          <cell r="U22" t="str">
            <v>Да</v>
          </cell>
          <cell r="AC22" t="str">
            <v>Да</v>
          </cell>
          <cell r="AJ22" t="str">
            <v>Да</v>
          </cell>
          <cell r="AP22" t="str">
            <v>Да</v>
          </cell>
          <cell r="AV22" t="str">
            <v>Да</v>
          </cell>
          <cell r="BB22" t="str">
            <v>Да</v>
          </cell>
          <cell r="BJ22" t="str">
            <v>Да</v>
          </cell>
          <cell r="BQ22" t="str">
            <v>Да</v>
          </cell>
          <cell r="BX22" t="str">
            <v>Да</v>
          </cell>
          <cell r="CD22" t="str">
            <v>Да</v>
          </cell>
        </row>
        <row r="23">
          <cell r="F23" t="str">
            <v>Да</v>
          </cell>
          <cell r="M23" t="str">
            <v>Да</v>
          </cell>
          <cell r="U23" t="str">
            <v>Да</v>
          </cell>
          <cell r="AC23" t="str">
            <v>Да</v>
          </cell>
          <cell r="AJ23" t="str">
            <v>Да</v>
          </cell>
          <cell r="AP23" t="str">
            <v>Да</v>
          </cell>
          <cell r="AV23" t="str">
            <v>Да</v>
          </cell>
          <cell r="BB23" t="str">
            <v>Да</v>
          </cell>
          <cell r="BJ23" t="str">
            <v>Да</v>
          </cell>
          <cell r="BQ23" t="str">
            <v>Да</v>
          </cell>
          <cell r="BX23" t="str">
            <v>Да</v>
          </cell>
          <cell r="CD23" t="str">
            <v>Да</v>
          </cell>
        </row>
        <row r="24">
          <cell r="F24" t="str">
            <v>Нет</v>
          </cell>
          <cell r="M24" t="str">
            <v>Нет</v>
          </cell>
          <cell r="U24" t="str">
            <v>Нет</v>
          </cell>
          <cell r="AC24" t="str">
            <v>Нет</v>
          </cell>
          <cell r="AJ24" t="str">
            <v>Нет</v>
          </cell>
          <cell r="AP24" t="str">
            <v>Нет</v>
          </cell>
          <cell r="AV24" t="str">
            <v>Нет</v>
          </cell>
          <cell r="BB24" t="str">
            <v>Нет</v>
          </cell>
          <cell r="BJ24" t="str">
            <v>Нет</v>
          </cell>
          <cell r="BQ24" t="str">
            <v>Нет</v>
          </cell>
          <cell r="BX24" t="str">
            <v>Нет</v>
          </cell>
          <cell r="CD24" t="str">
            <v>Нет</v>
          </cell>
        </row>
        <row r="25">
          <cell r="F25" t="str">
            <v>Да</v>
          </cell>
          <cell r="M25" t="str">
            <v>Да</v>
          </cell>
          <cell r="U25" t="str">
            <v>Да</v>
          </cell>
          <cell r="AC25" t="str">
            <v>Да</v>
          </cell>
          <cell r="AJ25" t="str">
            <v>Да</v>
          </cell>
          <cell r="AP25" t="str">
            <v>Да</v>
          </cell>
          <cell r="AV25" t="str">
            <v>Да</v>
          </cell>
          <cell r="BB25" t="str">
            <v>Да</v>
          </cell>
          <cell r="BJ25" t="str">
            <v>Да</v>
          </cell>
          <cell r="BQ25" t="str">
            <v>Да</v>
          </cell>
          <cell r="BX25" t="str">
            <v>Да</v>
          </cell>
          <cell r="CD25" t="str">
            <v>Да</v>
          </cell>
        </row>
        <row r="26">
          <cell r="F26" t="str">
            <v>Да</v>
          </cell>
          <cell r="M26" t="str">
            <v>Да</v>
          </cell>
          <cell r="U26" t="str">
            <v>Да</v>
          </cell>
          <cell r="AC26" t="str">
            <v>Да</v>
          </cell>
          <cell r="AJ26" t="str">
            <v>Да</v>
          </cell>
          <cell r="AP26" t="str">
            <v>Да</v>
          </cell>
          <cell r="AV26" t="str">
            <v>Да</v>
          </cell>
          <cell r="BB26" t="str">
            <v>Да</v>
          </cell>
          <cell r="BJ26" t="str">
            <v>Да</v>
          </cell>
          <cell r="BQ26" t="str">
            <v>Да</v>
          </cell>
          <cell r="BX26" t="str">
            <v>Да</v>
          </cell>
          <cell r="CD26" t="str">
            <v>Да</v>
          </cell>
        </row>
        <row r="27">
          <cell r="F27" t="str">
            <v>Да</v>
          </cell>
          <cell r="M27" t="str">
            <v>Да</v>
          </cell>
          <cell r="U27" t="str">
            <v>Да</v>
          </cell>
          <cell r="AC27" t="str">
            <v>Да</v>
          </cell>
          <cell r="AJ27" t="str">
            <v>Да</v>
          </cell>
          <cell r="AP27" t="str">
            <v>Да</v>
          </cell>
          <cell r="AV27" t="str">
            <v>Да</v>
          </cell>
          <cell r="BB27" t="str">
            <v>Да</v>
          </cell>
          <cell r="BJ27" t="str">
            <v>Да</v>
          </cell>
          <cell r="BQ27" t="str">
            <v>Да</v>
          </cell>
          <cell r="BX27" t="str">
            <v>Да</v>
          </cell>
          <cell r="CD27" t="str">
            <v>Да</v>
          </cell>
        </row>
        <row r="28">
          <cell r="F28"/>
          <cell r="M28"/>
          <cell r="U28"/>
          <cell r="AC28" t="str">
            <v>Да</v>
          </cell>
          <cell r="AJ28" t="str">
            <v>Да</v>
          </cell>
          <cell r="AP28" t="str">
            <v>Да</v>
          </cell>
          <cell r="AV28" t="str">
            <v>Да</v>
          </cell>
          <cell r="BB28" t="str">
            <v>Да</v>
          </cell>
          <cell r="BJ28" t="str">
            <v>Да</v>
          </cell>
          <cell r="BQ28" t="str">
            <v>Да</v>
          </cell>
          <cell r="BX28" t="str">
            <v>Да</v>
          </cell>
          <cell r="CD28" t="str">
            <v>Да</v>
          </cell>
        </row>
        <row r="30">
          <cell r="F30" t="str">
            <v>Да</v>
          </cell>
          <cell r="M30" t="str">
            <v>Да</v>
          </cell>
          <cell r="U30" t="str">
            <v>Да</v>
          </cell>
          <cell r="AC30" t="str">
            <v>Да</v>
          </cell>
          <cell r="AJ30" t="str">
            <v>Да</v>
          </cell>
          <cell r="AP30" t="str">
            <v>Да</v>
          </cell>
          <cell r="AV30" t="str">
            <v>Да</v>
          </cell>
          <cell r="BB30" t="str">
            <v>Да</v>
          </cell>
          <cell r="BJ30" t="str">
            <v>Да</v>
          </cell>
          <cell r="BQ30" t="str">
            <v>Да</v>
          </cell>
          <cell r="BX30" t="str">
            <v>Да</v>
          </cell>
          <cell r="CD30" t="str">
            <v>Да</v>
          </cell>
        </row>
        <row r="31">
          <cell r="F31" t="str">
            <v>Да</v>
          </cell>
          <cell r="M31" t="str">
            <v>Да</v>
          </cell>
          <cell r="U31" t="str">
            <v>Да</v>
          </cell>
          <cell r="AC31" t="str">
            <v>Да</v>
          </cell>
          <cell r="AJ31" t="str">
            <v>Да</v>
          </cell>
          <cell r="AP31" t="str">
            <v>Да</v>
          </cell>
          <cell r="AV31" t="str">
            <v>Да</v>
          </cell>
          <cell r="BB31" t="str">
            <v>Да</v>
          </cell>
          <cell r="BJ31" t="str">
            <v>Да</v>
          </cell>
          <cell r="BQ31" t="str">
            <v>Да</v>
          </cell>
          <cell r="BX31" t="str">
            <v>Да</v>
          </cell>
          <cell r="CD31" t="str">
            <v>Да</v>
          </cell>
        </row>
        <row r="32">
          <cell r="F32"/>
          <cell r="M32"/>
          <cell r="U32"/>
          <cell r="AC32"/>
          <cell r="AJ32"/>
          <cell r="AP32"/>
          <cell r="AV32"/>
          <cell r="BB32"/>
          <cell r="BJ32"/>
          <cell r="BQ32"/>
          <cell r="BX32"/>
          <cell r="CD32" t="str">
            <v>Да</v>
          </cell>
        </row>
        <row r="33">
          <cell r="F33" t="str">
            <v>Да</v>
          </cell>
          <cell r="M33" t="str">
            <v>Да</v>
          </cell>
          <cell r="U33" t="str">
            <v>Да</v>
          </cell>
          <cell r="AC33" t="str">
            <v>Да</v>
          </cell>
          <cell r="AJ33" t="str">
            <v>Да</v>
          </cell>
          <cell r="AP33" t="str">
            <v>Да</v>
          </cell>
          <cell r="AV33" t="str">
            <v>Да</v>
          </cell>
          <cell r="BB33" t="str">
            <v>Да</v>
          </cell>
          <cell r="BJ33" t="str">
            <v>Да</v>
          </cell>
          <cell r="BQ33" t="str">
            <v>Да</v>
          </cell>
          <cell r="BX33" t="str">
            <v>Да</v>
          </cell>
          <cell r="CD33" t="str">
            <v>Да</v>
          </cell>
        </row>
        <row r="34">
          <cell r="F34" t="str">
            <v>Да</v>
          </cell>
          <cell r="M34" t="str">
            <v>Да</v>
          </cell>
          <cell r="U34" t="str">
            <v>Да</v>
          </cell>
          <cell r="AC34" t="str">
            <v>Да</v>
          </cell>
          <cell r="AJ34" t="str">
            <v>Да</v>
          </cell>
          <cell r="AP34" t="str">
            <v>Да</v>
          </cell>
          <cell r="AV34" t="str">
            <v>Да</v>
          </cell>
          <cell r="BB34" t="str">
            <v>Да</v>
          </cell>
          <cell r="BJ34" t="str">
            <v>Да</v>
          </cell>
          <cell r="BQ34" t="str">
            <v>Да</v>
          </cell>
          <cell r="BX34" t="str">
            <v>Да</v>
          </cell>
          <cell r="CD34" t="str">
            <v>Да</v>
          </cell>
        </row>
      </sheetData>
      <sheetData sheetId="38">
        <row r="3">
          <cell r="F3" t="str">
            <v>Да</v>
          </cell>
          <cell r="J3" t="str">
            <v>Да</v>
          </cell>
          <cell r="N3" t="str">
            <v>Да</v>
          </cell>
          <cell r="R3" t="str">
            <v>Нет</v>
          </cell>
          <cell r="V3" t="str">
            <v>Да</v>
          </cell>
          <cell r="Z3" t="str">
            <v>Да</v>
          </cell>
          <cell r="AD3" t="str">
            <v>Да</v>
          </cell>
          <cell r="AH3" t="str">
            <v>Да</v>
          </cell>
          <cell r="AL3" t="str">
            <v>Да</v>
          </cell>
          <cell r="AP3" t="str">
            <v>Да</v>
          </cell>
          <cell r="AT3" t="str">
            <v>Да</v>
          </cell>
          <cell r="AX3" t="str">
            <v>Да</v>
          </cell>
        </row>
        <row r="4">
          <cell r="F4" t="str">
            <v>Да</v>
          </cell>
          <cell r="J4" t="str">
            <v>Да</v>
          </cell>
          <cell r="N4" t="str">
            <v>Да</v>
          </cell>
          <cell r="R4" t="str">
            <v>Да</v>
          </cell>
          <cell r="V4" t="str">
            <v>Да</v>
          </cell>
          <cell r="Z4" t="str">
            <v>Да</v>
          </cell>
          <cell r="AD4" t="str">
            <v>Да</v>
          </cell>
          <cell r="AH4" t="str">
            <v>Да</v>
          </cell>
          <cell r="AL4" t="str">
            <v>Да</v>
          </cell>
          <cell r="AP4" t="str">
            <v>Да</v>
          </cell>
          <cell r="AT4" t="str">
            <v>Нет</v>
          </cell>
          <cell r="AX4" t="str">
            <v>Нет</v>
          </cell>
        </row>
        <row r="5">
          <cell r="F5" t="str">
            <v>Да</v>
          </cell>
          <cell r="J5" t="str">
            <v>Да</v>
          </cell>
          <cell r="N5" t="str">
            <v>Да</v>
          </cell>
          <cell r="R5" t="str">
            <v>Да</v>
          </cell>
          <cell r="V5" t="str">
            <v>Да</v>
          </cell>
          <cell r="Z5" t="str">
            <v>Да</v>
          </cell>
          <cell r="AD5" t="str">
            <v>Да</v>
          </cell>
          <cell r="AH5" t="str">
            <v>Да</v>
          </cell>
          <cell r="AL5" t="str">
            <v>Да</v>
          </cell>
          <cell r="AP5" t="str">
            <v>Да</v>
          </cell>
          <cell r="AT5" t="str">
            <v>Да</v>
          </cell>
          <cell r="AX5" t="str">
            <v>Да</v>
          </cell>
        </row>
        <row r="6">
          <cell r="F6" t="str">
            <v>Да</v>
          </cell>
          <cell r="J6" t="str">
            <v>Нет</v>
          </cell>
          <cell r="N6" t="str">
            <v>Нет</v>
          </cell>
          <cell r="R6" t="str">
            <v>Нет</v>
          </cell>
          <cell r="V6" t="str">
            <v>Нет</v>
          </cell>
          <cell r="Z6" t="str">
            <v>Нет</v>
          </cell>
          <cell r="AD6" t="str">
            <v>Нет</v>
          </cell>
          <cell r="AH6" t="str">
            <v>Нет</v>
          </cell>
          <cell r="AL6" t="str">
            <v>Нет</v>
          </cell>
          <cell r="AP6" t="str">
            <v>Нет</v>
          </cell>
          <cell r="AT6" t="str">
            <v>Нет</v>
          </cell>
          <cell r="AX6" t="str">
            <v>Нет</v>
          </cell>
        </row>
        <row r="7">
          <cell r="F7" t="str">
            <v>Да</v>
          </cell>
          <cell r="J7" t="str">
            <v>Да</v>
          </cell>
          <cell r="N7" t="str">
            <v>Да</v>
          </cell>
          <cell r="R7" t="str">
            <v>Да</v>
          </cell>
          <cell r="V7" t="str">
            <v>Да</v>
          </cell>
          <cell r="Z7" t="str">
            <v>Да</v>
          </cell>
          <cell r="AD7" t="str">
            <v>Да</v>
          </cell>
          <cell r="AH7" t="str">
            <v>Да</v>
          </cell>
          <cell r="AL7" t="str">
            <v>Да</v>
          </cell>
          <cell r="AP7" t="str">
            <v>Да</v>
          </cell>
          <cell r="AT7" t="str">
            <v>Да</v>
          </cell>
          <cell r="AX7" t="str">
            <v>Да</v>
          </cell>
        </row>
        <row r="8">
          <cell r="F8" t="str">
            <v>Да</v>
          </cell>
          <cell r="J8" t="str">
            <v>Да</v>
          </cell>
          <cell r="N8" t="str">
            <v>Да</v>
          </cell>
          <cell r="R8" t="str">
            <v>Да</v>
          </cell>
          <cell r="V8" t="str">
            <v>Да</v>
          </cell>
          <cell r="Z8" t="str">
            <v>Да</v>
          </cell>
          <cell r="AD8" t="str">
            <v>Да</v>
          </cell>
          <cell r="AH8" t="str">
            <v>Да</v>
          </cell>
          <cell r="AL8" t="str">
            <v>Да</v>
          </cell>
          <cell r="AP8" t="str">
            <v>Да</v>
          </cell>
          <cell r="AT8" t="str">
            <v>Да</v>
          </cell>
          <cell r="AX8" t="str">
            <v>Да</v>
          </cell>
        </row>
        <row r="9">
          <cell r="F9" t="str">
            <v>Да</v>
          </cell>
          <cell r="J9" t="str">
            <v>Да</v>
          </cell>
          <cell r="N9" t="str">
            <v>Да</v>
          </cell>
          <cell r="R9" t="str">
            <v>Да</v>
          </cell>
          <cell r="V9" t="str">
            <v>Да</v>
          </cell>
          <cell r="Z9" t="str">
            <v>Да</v>
          </cell>
          <cell r="AD9" t="str">
            <v>Да</v>
          </cell>
          <cell r="AH9" t="str">
            <v>Да</v>
          </cell>
          <cell r="AL9" t="str">
            <v>Да</v>
          </cell>
          <cell r="AP9" t="str">
            <v>Да</v>
          </cell>
          <cell r="AT9" t="str">
            <v>Да</v>
          </cell>
          <cell r="AX9" t="str">
            <v>Да</v>
          </cell>
        </row>
        <row r="10">
          <cell r="F10"/>
          <cell r="J10"/>
          <cell r="N10"/>
          <cell r="R10"/>
          <cell r="V10" t="str">
            <v>Да</v>
          </cell>
          <cell r="Z10" t="str">
            <v>Да</v>
          </cell>
          <cell r="AD10" t="str">
            <v>Да</v>
          </cell>
          <cell r="AH10" t="str">
            <v>Да</v>
          </cell>
          <cell r="AL10" t="str">
            <v>Да</v>
          </cell>
          <cell r="AP10" t="str">
            <v>Да</v>
          </cell>
          <cell r="AT10" t="str">
            <v>Да</v>
          </cell>
          <cell r="AX10" t="str">
            <v>Да</v>
          </cell>
        </row>
        <row r="11">
          <cell r="F11" t="str">
            <v>Да</v>
          </cell>
          <cell r="J11" t="str">
            <v>Да</v>
          </cell>
          <cell r="N11" t="str">
            <v>Да</v>
          </cell>
          <cell r="R11" t="str">
            <v>Да</v>
          </cell>
          <cell r="V11" t="str">
            <v>Да</v>
          </cell>
          <cell r="Z11" t="str">
            <v>Да</v>
          </cell>
          <cell r="AD11" t="str">
            <v>Да</v>
          </cell>
          <cell r="AH11" t="str">
            <v>Да</v>
          </cell>
          <cell r="AL11" t="str">
            <v>Да</v>
          </cell>
          <cell r="AP11" t="str">
            <v>Да</v>
          </cell>
          <cell r="AT11" t="str">
            <v>Да</v>
          </cell>
          <cell r="AX11" t="str">
            <v>Да</v>
          </cell>
        </row>
        <row r="12">
          <cell r="F12" t="str">
            <v>Да</v>
          </cell>
          <cell r="J12" t="str">
            <v>Да</v>
          </cell>
          <cell r="N12" t="str">
            <v>Да</v>
          </cell>
          <cell r="R12" t="str">
            <v>Да</v>
          </cell>
          <cell r="V12" t="str">
            <v>Да</v>
          </cell>
          <cell r="Z12" t="str">
            <v>Да</v>
          </cell>
          <cell r="AD12" t="str">
            <v>Да</v>
          </cell>
          <cell r="AH12" t="str">
            <v>Да</v>
          </cell>
          <cell r="AL12" t="str">
            <v>Да</v>
          </cell>
          <cell r="AP12" t="str">
            <v>Да</v>
          </cell>
          <cell r="AT12" t="str">
            <v>Да</v>
          </cell>
          <cell r="AX12" t="str">
            <v>Да</v>
          </cell>
        </row>
        <row r="13">
          <cell r="F13" t="str">
            <v>Да</v>
          </cell>
          <cell r="J13" t="str">
            <v>Да</v>
          </cell>
          <cell r="N13" t="str">
            <v>Да</v>
          </cell>
          <cell r="R13" t="str">
            <v>Да</v>
          </cell>
          <cell r="V13" t="str">
            <v>Да</v>
          </cell>
          <cell r="Z13" t="str">
            <v>Да</v>
          </cell>
          <cell r="AD13" t="str">
            <v>Да</v>
          </cell>
          <cell r="AH13" t="str">
            <v>Да</v>
          </cell>
          <cell r="AL13" t="str">
            <v>Да</v>
          </cell>
          <cell r="AP13" t="str">
            <v>Да</v>
          </cell>
          <cell r="AT13" t="str">
            <v>Да</v>
          </cell>
          <cell r="AX13" t="str">
            <v>Да</v>
          </cell>
        </row>
        <row r="14">
          <cell r="F14" t="str">
            <v>Да</v>
          </cell>
          <cell r="J14" t="str">
            <v>Да</v>
          </cell>
          <cell r="N14" t="str">
            <v>Да</v>
          </cell>
          <cell r="R14" t="str">
            <v>Да</v>
          </cell>
          <cell r="V14" t="str">
            <v>Да</v>
          </cell>
          <cell r="Z14" t="str">
            <v>Да</v>
          </cell>
          <cell r="AD14" t="str">
            <v>Да</v>
          </cell>
          <cell r="AH14" t="str">
            <v>Да</v>
          </cell>
          <cell r="AL14" t="str">
            <v>Да</v>
          </cell>
          <cell r="AP14" t="str">
            <v>Да</v>
          </cell>
          <cell r="AT14" t="str">
            <v>Да</v>
          </cell>
          <cell r="AX14" t="str">
            <v>Да</v>
          </cell>
        </row>
        <row r="15">
          <cell r="F15" t="str">
            <v>Да</v>
          </cell>
          <cell r="J15" t="str">
            <v>Да</v>
          </cell>
          <cell r="N15" t="str">
            <v>Да</v>
          </cell>
          <cell r="R15" t="str">
            <v>Да</v>
          </cell>
          <cell r="V15" t="str">
            <v>Да</v>
          </cell>
          <cell r="Z15" t="str">
            <v>Да</v>
          </cell>
          <cell r="AD15" t="str">
            <v>Да</v>
          </cell>
          <cell r="AH15" t="str">
            <v>Да</v>
          </cell>
          <cell r="AL15" t="str">
            <v>Да</v>
          </cell>
          <cell r="AP15" t="str">
            <v>Да</v>
          </cell>
          <cell r="AT15" t="str">
            <v>Да</v>
          </cell>
          <cell r="AX15" t="str">
            <v>Да</v>
          </cell>
        </row>
        <row r="16">
          <cell r="F16" t="str">
            <v>Да</v>
          </cell>
          <cell r="J16" t="str">
            <v>Да</v>
          </cell>
          <cell r="N16" t="str">
            <v>Да</v>
          </cell>
          <cell r="R16" t="str">
            <v>Да</v>
          </cell>
          <cell r="V16" t="str">
            <v>Да</v>
          </cell>
          <cell r="Z16" t="str">
            <v>Да</v>
          </cell>
          <cell r="AD16" t="str">
            <v>Да</v>
          </cell>
          <cell r="AH16" t="str">
            <v>Да</v>
          </cell>
          <cell r="AL16" t="str">
            <v>Да</v>
          </cell>
          <cell r="AP16" t="str">
            <v>Да</v>
          </cell>
          <cell r="AT16" t="str">
            <v>Да</v>
          </cell>
          <cell r="AX16" t="str">
            <v>Да</v>
          </cell>
        </row>
        <row r="17">
          <cell r="F17" t="str">
            <v>Да</v>
          </cell>
          <cell r="J17" t="str">
            <v>Да</v>
          </cell>
          <cell r="N17" t="str">
            <v>Да</v>
          </cell>
          <cell r="R17" t="str">
            <v>Да</v>
          </cell>
          <cell r="V17" t="str">
            <v>Да</v>
          </cell>
          <cell r="Z17" t="str">
            <v>Да</v>
          </cell>
          <cell r="AD17" t="str">
            <v>Да</v>
          </cell>
          <cell r="AH17" t="str">
            <v>Да</v>
          </cell>
          <cell r="AL17" t="str">
            <v>Да</v>
          </cell>
          <cell r="AP17" t="str">
            <v>Да</v>
          </cell>
          <cell r="AT17" t="str">
            <v>Да</v>
          </cell>
          <cell r="AX17" t="str">
            <v>Да</v>
          </cell>
        </row>
        <row r="19">
          <cell r="F19" t="str">
            <v>Да</v>
          </cell>
          <cell r="J19" t="str">
            <v>Да</v>
          </cell>
          <cell r="N19" t="str">
            <v>Да</v>
          </cell>
          <cell r="R19" t="str">
            <v>Да</v>
          </cell>
          <cell r="V19" t="str">
            <v>Да</v>
          </cell>
          <cell r="Z19" t="str">
            <v>Да</v>
          </cell>
          <cell r="AD19" t="str">
            <v>Да</v>
          </cell>
          <cell r="AH19" t="str">
            <v>Да</v>
          </cell>
          <cell r="AL19" t="str">
            <v>Нет</v>
          </cell>
          <cell r="AP19" t="str">
            <v>Нет</v>
          </cell>
          <cell r="AT19" t="str">
            <v>Нет</v>
          </cell>
          <cell r="AX19" t="str">
            <v>Нет</v>
          </cell>
        </row>
        <row r="20">
          <cell r="F20" t="str">
            <v>Да</v>
          </cell>
          <cell r="J20" t="str">
            <v>Да</v>
          </cell>
          <cell r="N20" t="str">
            <v>Да</v>
          </cell>
          <cell r="R20" t="str">
            <v>Да</v>
          </cell>
          <cell r="V20" t="str">
            <v>Нет</v>
          </cell>
          <cell r="Z20" t="str">
            <v>Нет</v>
          </cell>
          <cell r="AD20" t="str">
            <v>Нет</v>
          </cell>
          <cell r="AH20" t="str">
            <v>Нет</v>
          </cell>
          <cell r="AL20" t="str">
            <v>Нет</v>
          </cell>
          <cell r="AP20" t="str">
            <v>Нет</v>
          </cell>
          <cell r="AT20" t="str">
            <v>Нет</v>
          </cell>
          <cell r="AX20" t="str">
            <v>Да</v>
          </cell>
        </row>
        <row r="21">
          <cell r="F21"/>
          <cell r="J21"/>
          <cell r="N21"/>
          <cell r="R21"/>
          <cell r="V21"/>
          <cell r="Z21" t="str">
            <v>Да</v>
          </cell>
          <cell r="AD21" t="str">
            <v>Да</v>
          </cell>
          <cell r="AH21" t="str">
            <v>Да</v>
          </cell>
          <cell r="AL21" t="str">
            <v>Да</v>
          </cell>
          <cell r="AP21" t="str">
            <v>Да</v>
          </cell>
          <cell r="AT21" t="str">
            <v>Да</v>
          </cell>
          <cell r="AX21" t="str">
            <v>Да</v>
          </cell>
        </row>
        <row r="22">
          <cell r="F22" t="str">
            <v>Да</v>
          </cell>
          <cell r="J22" t="str">
            <v>Да</v>
          </cell>
          <cell r="N22" t="str">
            <v>Да</v>
          </cell>
          <cell r="R22" t="str">
            <v>Да</v>
          </cell>
          <cell r="V22" t="str">
            <v>Да</v>
          </cell>
          <cell r="Z22" t="str">
            <v>Да</v>
          </cell>
          <cell r="AD22" t="str">
            <v>Да</v>
          </cell>
          <cell r="AH22" t="str">
            <v>Да</v>
          </cell>
          <cell r="AL22" t="str">
            <v>Да</v>
          </cell>
          <cell r="AP22" t="str">
            <v>Да</v>
          </cell>
          <cell r="AT22" t="str">
            <v>Да</v>
          </cell>
          <cell r="AX22" t="str">
            <v>Да</v>
          </cell>
        </row>
        <row r="23">
          <cell r="F23" t="str">
            <v>Да</v>
          </cell>
          <cell r="J23" t="str">
            <v>Да</v>
          </cell>
          <cell r="N23" t="str">
            <v>Да</v>
          </cell>
          <cell r="R23" t="str">
            <v>Да</v>
          </cell>
          <cell r="V23" t="str">
            <v>Да</v>
          </cell>
          <cell r="Z23" t="str">
            <v>Да</v>
          </cell>
          <cell r="AD23" t="str">
            <v>Да</v>
          </cell>
          <cell r="AH23" t="str">
            <v>Да</v>
          </cell>
          <cell r="AL23" t="str">
            <v>Да</v>
          </cell>
          <cell r="AP23" t="str">
            <v>Да</v>
          </cell>
          <cell r="AT23" t="str">
            <v>Да</v>
          </cell>
          <cell r="AX23" t="str">
            <v>Да</v>
          </cell>
        </row>
        <row r="24">
          <cell r="F24" t="str">
            <v>Да</v>
          </cell>
          <cell r="J24" t="str">
            <v>Да</v>
          </cell>
          <cell r="N24" t="str">
            <v>Да</v>
          </cell>
          <cell r="R24" t="str">
            <v>Да</v>
          </cell>
          <cell r="V24" t="str">
            <v>Да</v>
          </cell>
          <cell r="Z24" t="str">
            <v>Да</v>
          </cell>
          <cell r="AD24" t="str">
            <v>Да</v>
          </cell>
          <cell r="AH24" t="str">
            <v>Да</v>
          </cell>
          <cell r="AL24" t="str">
            <v>Да</v>
          </cell>
          <cell r="AP24" t="str">
            <v>Да</v>
          </cell>
          <cell r="AT24" t="str">
            <v>Да</v>
          </cell>
          <cell r="AX24" t="str">
            <v>Да</v>
          </cell>
        </row>
        <row r="25">
          <cell r="F25" t="str">
            <v>Да</v>
          </cell>
          <cell r="J25" t="str">
            <v>Да</v>
          </cell>
          <cell r="N25" t="str">
            <v>Да</v>
          </cell>
          <cell r="R25" t="str">
            <v>Да</v>
          </cell>
          <cell r="V25" t="str">
            <v>Да</v>
          </cell>
          <cell r="Z25" t="str">
            <v>Да</v>
          </cell>
          <cell r="AD25" t="str">
            <v>Да</v>
          </cell>
          <cell r="AH25" t="str">
            <v>Да</v>
          </cell>
          <cell r="AL25" t="str">
            <v>Да</v>
          </cell>
          <cell r="AP25" t="str">
            <v>Да</v>
          </cell>
          <cell r="AT25" t="str">
            <v>Да</v>
          </cell>
          <cell r="AX25" t="str">
            <v>Да</v>
          </cell>
        </row>
        <row r="26">
          <cell r="F26" t="str">
            <v>Да</v>
          </cell>
          <cell r="J26" t="str">
            <v>Да</v>
          </cell>
          <cell r="N26" t="str">
            <v>Да</v>
          </cell>
          <cell r="R26" t="str">
            <v>Да</v>
          </cell>
          <cell r="V26" t="str">
            <v>Да</v>
          </cell>
          <cell r="Z26" t="str">
            <v>Да</v>
          </cell>
          <cell r="AD26" t="str">
            <v>Да</v>
          </cell>
          <cell r="AH26" t="str">
            <v>Да</v>
          </cell>
          <cell r="AL26" t="str">
            <v>Да</v>
          </cell>
          <cell r="AP26" t="str">
            <v>Да</v>
          </cell>
          <cell r="AT26" t="str">
            <v>Да</v>
          </cell>
          <cell r="AX26" t="str">
            <v>Да</v>
          </cell>
        </row>
        <row r="27">
          <cell r="F27"/>
          <cell r="J27"/>
          <cell r="N27"/>
          <cell r="R27"/>
          <cell r="V27" t="str">
            <v>Да</v>
          </cell>
          <cell r="Z27" t="str">
            <v>Да</v>
          </cell>
          <cell r="AD27" t="str">
            <v>Да</v>
          </cell>
          <cell r="AH27" t="str">
            <v>Да</v>
          </cell>
          <cell r="AL27" t="str">
            <v>Да</v>
          </cell>
          <cell r="AP27" t="str">
            <v>Да</v>
          </cell>
          <cell r="AT27" t="str">
            <v>Да</v>
          </cell>
          <cell r="AX27" t="str">
            <v>Да</v>
          </cell>
        </row>
        <row r="28">
          <cell r="F28" t="str">
            <v>Да</v>
          </cell>
          <cell r="J28" t="str">
            <v>Да</v>
          </cell>
          <cell r="N28" t="str">
            <v>Да</v>
          </cell>
          <cell r="R28" t="str">
            <v>Да</v>
          </cell>
          <cell r="V28" t="str">
            <v>Да</v>
          </cell>
          <cell r="Z28" t="str">
            <v>Да</v>
          </cell>
          <cell r="AD28" t="str">
            <v>Да</v>
          </cell>
          <cell r="AH28" t="str">
            <v>Да</v>
          </cell>
          <cell r="AL28" t="str">
            <v>Да</v>
          </cell>
          <cell r="AP28" t="str">
            <v>Да</v>
          </cell>
          <cell r="AT28" t="str">
            <v>Да</v>
          </cell>
          <cell r="AX28" t="str">
            <v>Да</v>
          </cell>
        </row>
        <row r="29">
          <cell r="F29" t="str">
            <v>Да</v>
          </cell>
          <cell r="J29" t="str">
            <v>Да</v>
          </cell>
          <cell r="N29" t="str">
            <v>Да</v>
          </cell>
          <cell r="R29" t="str">
            <v>Да</v>
          </cell>
          <cell r="V29" t="str">
            <v>Да</v>
          </cell>
          <cell r="Z29" t="str">
            <v>Да</v>
          </cell>
          <cell r="AD29" t="str">
            <v>Нет</v>
          </cell>
          <cell r="AH29" t="str">
            <v>Да</v>
          </cell>
          <cell r="AL29" t="str">
            <v>Да</v>
          </cell>
          <cell r="AP29" t="str">
            <v>Да</v>
          </cell>
          <cell r="AT29" t="str">
            <v>Да</v>
          </cell>
          <cell r="AX29" t="str">
            <v>Да</v>
          </cell>
        </row>
        <row r="30">
          <cell r="F30" t="str">
            <v>Да</v>
          </cell>
          <cell r="J30" t="str">
            <v>Да</v>
          </cell>
          <cell r="N30" t="str">
            <v>Да</v>
          </cell>
          <cell r="R30" t="str">
            <v>Да</v>
          </cell>
          <cell r="V30" t="str">
            <v>Да</v>
          </cell>
          <cell r="Z30" t="str">
            <v>Да</v>
          </cell>
          <cell r="AD30" t="str">
            <v>Да</v>
          </cell>
          <cell r="AH30" t="str">
            <v>Да</v>
          </cell>
          <cell r="AL30" t="str">
            <v>Да</v>
          </cell>
          <cell r="AP30" t="str">
            <v>Да</v>
          </cell>
          <cell r="AT30" t="str">
            <v>Нет</v>
          </cell>
          <cell r="AX30" t="str">
            <v>Нет</v>
          </cell>
        </row>
        <row r="31">
          <cell r="F31" t="str">
            <v>Да</v>
          </cell>
          <cell r="J31" t="str">
            <v>Да</v>
          </cell>
          <cell r="N31" t="str">
            <v>Да</v>
          </cell>
          <cell r="R31" t="str">
            <v>Да</v>
          </cell>
          <cell r="V31" t="str">
            <v>Да</v>
          </cell>
          <cell r="Z31" t="str">
            <v>Да</v>
          </cell>
          <cell r="AD31" t="str">
            <v>Да</v>
          </cell>
          <cell r="AH31" t="str">
            <v>Да</v>
          </cell>
          <cell r="AL31" t="str">
            <v>Да</v>
          </cell>
          <cell r="AP31" t="str">
            <v>Да</v>
          </cell>
          <cell r="AT31" t="str">
            <v>Да</v>
          </cell>
          <cell r="AX31" t="str">
            <v>Да</v>
          </cell>
        </row>
        <row r="32">
          <cell r="F32" t="str">
            <v>Да</v>
          </cell>
          <cell r="J32" t="str">
            <v>Да</v>
          </cell>
          <cell r="N32" t="str">
            <v>Да</v>
          </cell>
          <cell r="R32" t="str">
            <v>Да</v>
          </cell>
          <cell r="V32" t="str">
            <v>Да</v>
          </cell>
          <cell r="Z32" t="str">
            <v>Да</v>
          </cell>
          <cell r="AD32" t="str">
            <v>Да</v>
          </cell>
          <cell r="AH32" t="str">
            <v>Да</v>
          </cell>
          <cell r="AL32" t="str">
            <v>Да</v>
          </cell>
          <cell r="AP32" t="str">
            <v>Да</v>
          </cell>
          <cell r="AT32" t="str">
            <v>Да</v>
          </cell>
          <cell r="AX32" t="str">
            <v>Да</v>
          </cell>
        </row>
        <row r="33">
          <cell r="F33" t="str">
            <v>Да</v>
          </cell>
          <cell r="J33" t="str">
            <v>Нет</v>
          </cell>
          <cell r="N33" t="str">
            <v>Да</v>
          </cell>
          <cell r="R33" t="str">
            <v>Да</v>
          </cell>
          <cell r="V33" t="str">
            <v>Да</v>
          </cell>
          <cell r="Z33" t="str">
            <v>Да</v>
          </cell>
          <cell r="AD33" t="str">
            <v>Да</v>
          </cell>
          <cell r="AH33" t="str">
            <v>Да</v>
          </cell>
          <cell r="AL33" t="str">
            <v>Да</v>
          </cell>
          <cell r="AP33" t="str">
            <v>Да</v>
          </cell>
          <cell r="AT33" t="str">
            <v>Да</v>
          </cell>
          <cell r="AX33" t="str">
            <v>Да</v>
          </cell>
        </row>
        <row r="34">
          <cell r="F34" t="str">
            <v>Да</v>
          </cell>
          <cell r="J34" t="str">
            <v>Да</v>
          </cell>
          <cell r="N34" t="str">
            <v>Да</v>
          </cell>
          <cell r="R34" t="str">
            <v>Да</v>
          </cell>
          <cell r="V34" t="str">
            <v>Да</v>
          </cell>
          <cell r="Z34" t="str">
            <v>Да</v>
          </cell>
          <cell r="AD34" t="str">
            <v>Да</v>
          </cell>
          <cell r="AH34" t="str">
            <v>Да</v>
          </cell>
          <cell r="AL34" t="str">
            <v>Да</v>
          </cell>
          <cell r="AP34" t="str">
            <v>Да</v>
          </cell>
          <cell r="AT34" t="str">
            <v>Да</v>
          </cell>
          <cell r="AX34" t="str">
            <v>Да</v>
          </cell>
        </row>
      </sheetData>
      <sheetData sheetId="39">
        <row r="3">
          <cell r="E3"/>
          <cell r="J3"/>
          <cell r="O3"/>
          <cell r="T3"/>
          <cell r="Y3" t="str">
            <v>Да</v>
          </cell>
          <cell r="AD3" t="str">
            <v>Да</v>
          </cell>
          <cell r="AI3" t="str">
            <v>Да</v>
          </cell>
          <cell r="AN3" t="str">
            <v>Да</v>
          </cell>
          <cell r="AS3" t="str">
            <v>Да</v>
          </cell>
          <cell r="AX3" t="str">
            <v>Да</v>
          </cell>
          <cell r="BC3" t="str">
            <v>Да</v>
          </cell>
          <cell r="BH3" t="str">
            <v>Да</v>
          </cell>
        </row>
        <row r="4">
          <cell r="E4" t="str">
            <v>Нет</v>
          </cell>
          <cell r="J4" t="str">
            <v>Нет</v>
          </cell>
          <cell r="O4" t="str">
            <v>Нет</v>
          </cell>
          <cell r="T4" t="str">
            <v>Нет</v>
          </cell>
          <cell r="Y4" t="str">
            <v>Нет</v>
          </cell>
          <cell r="AD4" t="str">
            <v>Нет</v>
          </cell>
          <cell r="AI4" t="str">
            <v>Нет</v>
          </cell>
          <cell r="AN4" t="str">
            <v>Нет</v>
          </cell>
          <cell r="AS4" t="str">
            <v>Нет</v>
          </cell>
          <cell r="AX4" t="str">
            <v>Нет</v>
          </cell>
          <cell r="BC4" t="str">
            <v>Нет</v>
          </cell>
          <cell r="BH4" t="str">
            <v>Нет</v>
          </cell>
        </row>
        <row r="5">
          <cell r="E5" t="str">
            <v>Да</v>
          </cell>
          <cell r="J5" t="str">
            <v>Да</v>
          </cell>
          <cell r="O5" t="str">
            <v>Да</v>
          </cell>
          <cell r="T5" t="str">
            <v>Да</v>
          </cell>
          <cell r="Y5" t="str">
            <v>Да</v>
          </cell>
          <cell r="AD5" t="str">
            <v>Да</v>
          </cell>
          <cell r="AI5" t="str">
            <v>Да</v>
          </cell>
          <cell r="AN5" t="str">
            <v>Да</v>
          </cell>
          <cell r="AS5" t="str">
            <v>Да</v>
          </cell>
          <cell r="AX5" t="str">
            <v>Да</v>
          </cell>
          <cell r="BC5" t="str">
            <v>Да</v>
          </cell>
          <cell r="BH5" t="str">
            <v>Да</v>
          </cell>
        </row>
        <row r="6">
          <cell r="E6" t="str">
            <v>Да</v>
          </cell>
          <cell r="J6" t="str">
            <v>Да</v>
          </cell>
          <cell r="O6" t="str">
            <v>Да</v>
          </cell>
          <cell r="T6" t="str">
            <v>Да</v>
          </cell>
          <cell r="Y6" t="str">
            <v>Да</v>
          </cell>
          <cell r="AD6" t="str">
            <v>Да</v>
          </cell>
          <cell r="AI6" t="str">
            <v>Да</v>
          </cell>
          <cell r="AN6" t="str">
            <v>Да</v>
          </cell>
          <cell r="AS6" t="str">
            <v>Да</v>
          </cell>
          <cell r="AX6" t="str">
            <v>Да</v>
          </cell>
          <cell r="BC6" t="str">
            <v>Да</v>
          </cell>
          <cell r="BH6" t="str">
            <v>Да</v>
          </cell>
        </row>
        <row r="7">
          <cell r="E7" t="str">
            <v>Да</v>
          </cell>
          <cell r="J7" t="str">
            <v>Да</v>
          </cell>
          <cell r="O7" t="str">
            <v>Нет</v>
          </cell>
          <cell r="T7" t="str">
            <v>Нет</v>
          </cell>
          <cell r="Y7" t="str">
            <v>Нет</v>
          </cell>
          <cell r="AD7" t="str">
            <v>Нет</v>
          </cell>
          <cell r="AI7" t="str">
            <v>Нет</v>
          </cell>
          <cell r="AN7" t="str">
            <v>Нет</v>
          </cell>
          <cell r="AS7" t="str">
            <v>Нет</v>
          </cell>
          <cell r="AX7" t="str">
            <v>Нет</v>
          </cell>
          <cell r="BC7" t="str">
            <v>Нет</v>
          </cell>
          <cell r="BH7" t="str">
            <v>Нет</v>
          </cell>
        </row>
        <row r="8">
          <cell r="E8" t="str">
            <v>Да</v>
          </cell>
          <cell r="J8" t="str">
            <v>Да</v>
          </cell>
          <cell r="O8" t="str">
            <v>Да</v>
          </cell>
          <cell r="T8" t="str">
            <v>Да</v>
          </cell>
          <cell r="Y8" t="str">
            <v>Да</v>
          </cell>
          <cell r="AD8" t="str">
            <v>Да</v>
          </cell>
          <cell r="AI8" t="str">
            <v>Да</v>
          </cell>
          <cell r="AN8" t="str">
            <v>Да</v>
          </cell>
          <cell r="AS8" t="str">
            <v>Да</v>
          </cell>
          <cell r="AX8" t="str">
            <v>Да</v>
          </cell>
          <cell r="BC8" t="str">
            <v>Да</v>
          </cell>
          <cell r="BH8" t="str">
            <v>Да</v>
          </cell>
        </row>
        <row r="9">
          <cell r="E9" t="str">
            <v>Да</v>
          </cell>
          <cell r="J9" t="str">
            <v>Да</v>
          </cell>
          <cell r="O9" t="str">
            <v>Да</v>
          </cell>
          <cell r="T9" t="str">
            <v>Да</v>
          </cell>
          <cell r="Y9" t="str">
            <v>Да</v>
          </cell>
          <cell r="AD9" t="str">
            <v>Да</v>
          </cell>
          <cell r="AI9" t="str">
            <v>Да</v>
          </cell>
          <cell r="AN9" t="str">
            <v>Да</v>
          </cell>
          <cell r="AS9" t="str">
            <v>Да</v>
          </cell>
          <cell r="AX9" t="str">
            <v>Да</v>
          </cell>
          <cell r="BC9" t="str">
            <v>Да</v>
          </cell>
          <cell r="BH9" t="str">
            <v>Да</v>
          </cell>
        </row>
        <row r="10">
          <cell r="E10" t="str">
            <v>Да</v>
          </cell>
          <cell r="J10" t="str">
            <v>Нет</v>
          </cell>
          <cell r="O10" t="str">
            <v>Да</v>
          </cell>
          <cell r="T10" t="str">
            <v>Да</v>
          </cell>
          <cell r="Y10" t="str">
            <v>Да</v>
          </cell>
          <cell r="AD10" t="str">
            <v>Да</v>
          </cell>
          <cell r="AI10" t="str">
            <v>Да</v>
          </cell>
          <cell r="AN10" t="str">
            <v>Да</v>
          </cell>
          <cell r="AS10" t="str">
            <v>Да</v>
          </cell>
          <cell r="AX10" t="str">
            <v>Да</v>
          </cell>
          <cell r="BC10" t="str">
            <v>Да</v>
          </cell>
          <cell r="BH10" t="str">
            <v>Да</v>
          </cell>
        </row>
        <row r="11">
          <cell r="E11"/>
          <cell r="J11"/>
          <cell r="O11"/>
          <cell r="T11"/>
          <cell r="Y11"/>
          <cell r="AD11"/>
          <cell r="AI11"/>
          <cell r="AN11" t="str">
            <v>Да</v>
          </cell>
          <cell r="AS11" t="str">
            <v>Да</v>
          </cell>
          <cell r="AX11" t="str">
            <v>Да</v>
          </cell>
          <cell r="BC11" t="str">
            <v>Да</v>
          </cell>
          <cell r="BH11" t="str">
            <v>Да</v>
          </cell>
        </row>
        <row r="12">
          <cell r="E12" t="str">
            <v>Да</v>
          </cell>
          <cell r="J12" t="str">
            <v>Да</v>
          </cell>
          <cell r="O12" t="str">
            <v>Да</v>
          </cell>
          <cell r="T12" t="str">
            <v>Да</v>
          </cell>
          <cell r="Y12" t="str">
            <v>Да</v>
          </cell>
          <cell r="AD12" t="str">
            <v>Да</v>
          </cell>
          <cell r="AI12" t="str">
            <v>Да</v>
          </cell>
          <cell r="AN12" t="str">
            <v>Да</v>
          </cell>
          <cell r="AS12" t="str">
            <v>Да</v>
          </cell>
          <cell r="AX12" t="str">
            <v>Да</v>
          </cell>
          <cell r="BC12" t="str">
            <v>Да</v>
          </cell>
          <cell r="BH12" t="str">
            <v>Да</v>
          </cell>
        </row>
        <row r="13">
          <cell r="E13" t="str">
            <v>Да</v>
          </cell>
          <cell r="J13" t="str">
            <v>Да</v>
          </cell>
          <cell r="O13" t="str">
            <v>Да</v>
          </cell>
          <cell r="T13" t="str">
            <v>Да</v>
          </cell>
          <cell r="Y13" t="str">
            <v>Да</v>
          </cell>
          <cell r="AD13" t="str">
            <v>Нет</v>
          </cell>
          <cell r="AI13" t="str">
            <v>Да</v>
          </cell>
          <cell r="AN13" t="str">
            <v>Да</v>
          </cell>
          <cell r="AS13" t="str">
            <v>Да</v>
          </cell>
          <cell r="AX13" t="str">
            <v>Да</v>
          </cell>
          <cell r="BC13" t="str">
            <v>Да</v>
          </cell>
          <cell r="BH13" t="str">
            <v>Да</v>
          </cell>
        </row>
        <row r="14">
          <cell r="E14" t="str">
            <v>Да</v>
          </cell>
          <cell r="J14" t="str">
            <v>Да</v>
          </cell>
          <cell r="O14" t="str">
            <v>Да</v>
          </cell>
          <cell r="T14" t="str">
            <v>Да</v>
          </cell>
          <cell r="Y14" t="str">
            <v>Да</v>
          </cell>
          <cell r="AD14" t="str">
            <v>Да</v>
          </cell>
          <cell r="AI14" t="str">
            <v>Да</v>
          </cell>
          <cell r="AN14" t="str">
            <v>Да</v>
          </cell>
          <cell r="AS14" t="str">
            <v>Да</v>
          </cell>
          <cell r="AX14" t="str">
            <v>Да</v>
          </cell>
          <cell r="BC14" t="str">
            <v>Да</v>
          </cell>
          <cell r="BH14" t="str">
            <v>Да</v>
          </cell>
        </row>
        <row r="15">
          <cell r="E15" t="str">
            <v>Нет</v>
          </cell>
          <cell r="J15" t="str">
            <v>Да</v>
          </cell>
          <cell r="O15" t="str">
            <v>Нет</v>
          </cell>
          <cell r="T15" t="str">
            <v>Нет</v>
          </cell>
          <cell r="Y15" t="str">
            <v>Нет</v>
          </cell>
          <cell r="AD15" t="str">
            <v>Нет</v>
          </cell>
          <cell r="AI15" t="str">
            <v>Нет</v>
          </cell>
          <cell r="AN15" t="str">
            <v>Нет</v>
          </cell>
          <cell r="AS15" t="str">
            <v>Нет</v>
          </cell>
          <cell r="AX15" t="str">
            <v>Нет</v>
          </cell>
          <cell r="BC15" t="str">
            <v>Нет</v>
          </cell>
          <cell r="BH15" t="str">
            <v>Нет</v>
          </cell>
        </row>
        <row r="16">
          <cell r="E16" t="str">
            <v>Да</v>
          </cell>
          <cell r="J16" t="str">
            <v>Да</v>
          </cell>
          <cell r="O16" t="str">
            <v>Да</v>
          </cell>
          <cell r="T16" t="str">
            <v>Да</v>
          </cell>
          <cell r="Y16" t="str">
            <v>Да</v>
          </cell>
          <cell r="AD16" t="str">
            <v>Да</v>
          </cell>
          <cell r="AI16" t="str">
            <v>Да</v>
          </cell>
          <cell r="AN16" t="str">
            <v>Да</v>
          </cell>
          <cell r="AS16" t="str">
            <v>Нет</v>
          </cell>
          <cell r="AX16" t="str">
            <v>Да</v>
          </cell>
          <cell r="BC16" t="str">
            <v>Да</v>
          </cell>
          <cell r="BH16" t="str">
            <v>Да</v>
          </cell>
        </row>
        <row r="17">
          <cell r="E17" t="str">
            <v>Да</v>
          </cell>
          <cell r="J17" t="str">
            <v>Да</v>
          </cell>
          <cell r="O17" t="str">
            <v>Да</v>
          </cell>
          <cell r="T17" t="str">
            <v>Да</v>
          </cell>
          <cell r="Y17" t="str">
            <v>Да</v>
          </cell>
          <cell r="AD17" t="str">
            <v>Да</v>
          </cell>
          <cell r="AI17" t="str">
            <v>Да</v>
          </cell>
          <cell r="AN17" t="str">
            <v>Да</v>
          </cell>
          <cell r="AS17" t="str">
            <v>Да</v>
          </cell>
          <cell r="AX17" t="str">
            <v>Да</v>
          </cell>
          <cell r="BC17" t="str">
            <v>Да</v>
          </cell>
          <cell r="BH17" t="str">
            <v>Да</v>
          </cell>
        </row>
        <row r="18">
          <cell r="E18" t="str">
            <v>Да</v>
          </cell>
          <cell r="J18" t="str">
            <v>Да</v>
          </cell>
          <cell r="O18" t="str">
            <v>Да</v>
          </cell>
          <cell r="T18" t="str">
            <v>Да</v>
          </cell>
          <cell r="Y18" t="str">
            <v>Да</v>
          </cell>
          <cell r="AD18" t="str">
            <v>Да</v>
          </cell>
          <cell r="AI18" t="str">
            <v>Да</v>
          </cell>
          <cell r="AN18" t="str">
            <v>Да</v>
          </cell>
          <cell r="AS18" t="str">
            <v>Да</v>
          </cell>
          <cell r="AX18" t="str">
            <v>Да</v>
          </cell>
          <cell r="BC18" t="str">
            <v>Да</v>
          </cell>
          <cell r="BH18" t="str">
            <v>Да</v>
          </cell>
        </row>
        <row r="19">
          <cell r="E19" t="str">
            <v>Да</v>
          </cell>
          <cell r="J19" t="str">
            <v>Да</v>
          </cell>
          <cell r="O19" t="str">
            <v>Да</v>
          </cell>
          <cell r="T19" t="str">
            <v>Да</v>
          </cell>
          <cell r="Y19" t="str">
            <v>Да</v>
          </cell>
          <cell r="AD19" t="str">
            <v>Да</v>
          </cell>
          <cell r="AI19" t="str">
            <v>Да</v>
          </cell>
          <cell r="AN19" t="str">
            <v>Да</v>
          </cell>
          <cell r="AS19" t="str">
            <v>Да</v>
          </cell>
          <cell r="AX19" t="str">
            <v>Да</v>
          </cell>
          <cell r="BC19" t="str">
            <v>Да</v>
          </cell>
          <cell r="BH19" t="str">
            <v>Да</v>
          </cell>
        </row>
        <row r="20">
          <cell r="E20" t="str">
            <v>Да</v>
          </cell>
          <cell r="J20" t="str">
            <v>Да</v>
          </cell>
          <cell r="O20" t="str">
            <v>Да</v>
          </cell>
          <cell r="T20" t="str">
            <v>Да</v>
          </cell>
          <cell r="Y20" t="str">
            <v>Да</v>
          </cell>
          <cell r="AD20" t="str">
            <v>Да</v>
          </cell>
          <cell r="AI20" t="str">
            <v>Да</v>
          </cell>
          <cell r="AN20" t="str">
            <v>Да</v>
          </cell>
          <cell r="AS20" t="str">
            <v>Да</v>
          </cell>
          <cell r="AX20" t="str">
            <v>Да</v>
          </cell>
          <cell r="BC20" t="str">
            <v>Да</v>
          </cell>
          <cell r="BH20" t="str">
            <v>Да</v>
          </cell>
        </row>
        <row r="21">
          <cell r="E21" t="str">
            <v>Да</v>
          </cell>
          <cell r="J21" t="str">
            <v>Да</v>
          </cell>
          <cell r="O21" t="str">
            <v>Да</v>
          </cell>
          <cell r="T21" t="str">
            <v>Да</v>
          </cell>
          <cell r="Y21" t="str">
            <v>Да</v>
          </cell>
          <cell r="AD21" t="str">
            <v>Да</v>
          </cell>
          <cell r="AI21" t="str">
            <v>Да</v>
          </cell>
          <cell r="AN21" t="str">
            <v>Да</v>
          </cell>
          <cell r="AS21" t="str">
            <v>Да</v>
          </cell>
          <cell r="AX21" t="str">
            <v>Да</v>
          </cell>
          <cell r="BC21" t="str">
            <v>Да</v>
          </cell>
          <cell r="BH21" t="str">
            <v>Да</v>
          </cell>
        </row>
        <row r="22">
          <cell r="E22" t="str">
            <v>Да</v>
          </cell>
          <cell r="J22" t="str">
            <v>Да</v>
          </cell>
          <cell r="O22" t="str">
            <v>Да</v>
          </cell>
          <cell r="T22" t="str">
            <v>Да</v>
          </cell>
          <cell r="Y22" t="str">
            <v>Да</v>
          </cell>
          <cell r="AD22" t="str">
            <v>Да</v>
          </cell>
          <cell r="AI22" t="str">
            <v>Да</v>
          </cell>
          <cell r="AN22" t="str">
            <v>Да</v>
          </cell>
          <cell r="AS22" t="str">
            <v>Да</v>
          </cell>
          <cell r="AX22" t="str">
            <v>Да</v>
          </cell>
          <cell r="BC22" t="str">
            <v>Да</v>
          </cell>
          <cell r="BH22" t="str">
            <v>Да</v>
          </cell>
        </row>
        <row r="23">
          <cell r="E23" t="str">
            <v>Да</v>
          </cell>
          <cell r="J23" t="str">
            <v>Да</v>
          </cell>
          <cell r="O23" t="str">
            <v>Да</v>
          </cell>
          <cell r="T23" t="str">
            <v>Да</v>
          </cell>
          <cell r="Y23" t="str">
            <v>Да</v>
          </cell>
          <cell r="AD23" t="str">
            <v>Да</v>
          </cell>
          <cell r="AI23" t="str">
            <v>Да</v>
          </cell>
          <cell r="AN23" t="str">
            <v>Да</v>
          </cell>
          <cell r="AS23" t="str">
            <v>Да</v>
          </cell>
          <cell r="AX23" t="str">
            <v>Да</v>
          </cell>
          <cell r="BC23" t="str">
            <v>Да</v>
          </cell>
          <cell r="BH23" t="str">
            <v>Да</v>
          </cell>
        </row>
        <row r="24">
          <cell r="E24" t="str">
            <v>Да</v>
          </cell>
          <cell r="J24" t="str">
            <v>Да</v>
          </cell>
          <cell r="O24" t="str">
            <v>Да</v>
          </cell>
          <cell r="T24" t="str">
            <v>Да</v>
          </cell>
          <cell r="Y24" t="str">
            <v>Да</v>
          </cell>
          <cell r="AD24" t="str">
            <v>Да</v>
          </cell>
          <cell r="AI24" t="str">
            <v>Да</v>
          </cell>
          <cell r="AN24" t="str">
            <v>Да</v>
          </cell>
          <cell r="AS24" t="str">
            <v>Да</v>
          </cell>
          <cell r="AX24" t="str">
            <v>Да</v>
          </cell>
          <cell r="BC24" t="str">
            <v>Да</v>
          </cell>
          <cell r="BH24" t="str">
            <v>Да</v>
          </cell>
        </row>
        <row r="25">
          <cell r="E25" t="str">
            <v>Да</v>
          </cell>
          <cell r="J25" t="str">
            <v>Да</v>
          </cell>
          <cell r="O25" t="str">
            <v>Да</v>
          </cell>
          <cell r="T25" t="str">
            <v>Да</v>
          </cell>
          <cell r="Y25" t="str">
            <v>Да</v>
          </cell>
          <cell r="AD25" t="str">
            <v>Да</v>
          </cell>
          <cell r="AI25" t="str">
            <v>Да</v>
          </cell>
          <cell r="AN25" t="str">
            <v>Да</v>
          </cell>
          <cell r="AS25" t="str">
            <v>Да</v>
          </cell>
          <cell r="AX25" t="str">
            <v>Да</v>
          </cell>
          <cell r="BC25" t="str">
            <v>Да</v>
          </cell>
          <cell r="BH25" t="str">
            <v>Да</v>
          </cell>
        </row>
      </sheetData>
      <sheetData sheetId="40">
        <row r="3">
          <cell r="F3" t="str">
            <v>Да</v>
          </cell>
          <cell r="J3" t="str">
            <v>Да</v>
          </cell>
          <cell r="N3" t="str">
            <v>Да</v>
          </cell>
          <cell r="R3" t="str">
            <v>Да</v>
          </cell>
          <cell r="V3" t="str">
            <v>Да</v>
          </cell>
          <cell r="Z3" t="str">
            <v>Да</v>
          </cell>
          <cell r="AD3" t="str">
            <v>Да</v>
          </cell>
          <cell r="AG3" t="str">
            <v>Да</v>
          </cell>
          <cell r="AK3" t="str">
            <v>Да</v>
          </cell>
          <cell r="AO3" t="str">
            <v>Да</v>
          </cell>
          <cell r="AS3" t="str">
            <v>Да</v>
          </cell>
          <cell r="AW3" t="str">
            <v>Да</v>
          </cell>
        </row>
        <row r="4">
          <cell r="F4" t="str">
            <v>Да</v>
          </cell>
          <cell r="J4" t="str">
            <v>Да</v>
          </cell>
          <cell r="N4" t="str">
            <v>Да</v>
          </cell>
          <cell r="R4" t="str">
            <v>Да</v>
          </cell>
          <cell r="V4" t="str">
            <v>Да</v>
          </cell>
          <cell r="Z4" t="str">
            <v>Да</v>
          </cell>
          <cell r="AD4" t="str">
            <v>Да</v>
          </cell>
          <cell r="AG4" t="str">
            <v>Да</v>
          </cell>
          <cell r="AK4" t="str">
            <v>Да</v>
          </cell>
          <cell r="AO4" t="str">
            <v>Да</v>
          </cell>
          <cell r="AS4" t="str">
            <v>Да</v>
          </cell>
          <cell r="AW4" t="str">
            <v>Да</v>
          </cell>
        </row>
        <row r="5">
          <cell r="F5" t="str">
            <v>Да</v>
          </cell>
          <cell r="J5" t="str">
            <v>Да</v>
          </cell>
          <cell r="N5" t="str">
            <v>Да</v>
          </cell>
          <cell r="R5" t="str">
            <v>Да</v>
          </cell>
          <cell r="V5" t="str">
            <v>Да</v>
          </cell>
          <cell r="Z5" t="str">
            <v>Да</v>
          </cell>
          <cell r="AD5" t="str">
            <v>Нет</v>
          </cell>
          <cell r="AG5" t="str">
            <v>Да</v>
          </cell>
          <cell r="AK5" t="str">
            <v>Да</v>
          </cell>
          <cell r="AO5" t="str">
            <v>Да</v>
          </cell>
          <cell r="AS5" t="str">
            <v>Да</v>
          </cell>
          <cell r="AW5" t="str">
            <v>Да</v>
          </cell>
        </row>
        <row r="6">
          <cell r="F6"/>
          <cell r="J6"/>
          <cell r="N6"/>
          <cell r="R6" t="str">
            <v>Да</v>
          </cell>
          <cell r="V6" t="str">
            <v>Да</v>
          </cell>
          <cell r="Z6" t="str">
            <v>Да</v>
          </cell>
          <cell r="AD6" t="str">
            <v>Да</v>
          </cell>
          <cell r="AG6" t="str">
            <v>Да</v>
          </cell>
          <cell r="AK6" t="str">
            <v>Да</v>
          </cell>
          <cell r="AO6" t="str">
            <v>Да</v>
          </cell>
          <cell r="AS6" t="str">
            <v>Да</v>
          </cell>
          <cell r="AW6" t="str">
            <v>Да</v>
          </cell>
        </row>
        <row r="7">
          <cell r="F7"/>
          <cell r="J7"/>
          <cell r="N7"/>
          <cell r="R7"/>
          <cell r="V7"/>
          <cell r="Z7"/>
          <cell r="AD7"/>
          <cell r="AG7"/>
          <cell r="AK7"/>
          <cell r="AO7"/>
          <cell r="AS7" t="str">
            <v>Да</v>
          </cell>
          <cell r="AW7" t="str">
            <v>Да</v>
          </cell>
        </row>
        <row r="8">
          <cell r="F8" t="str">
            <v>Да</v>
          </cell>
          <cell r="J8" t="str">
            <v>Да</v>
          </cell>
          <cell r="N8" t="str">
            <v>Да</v>
          </cell>
          <cell r="R8" t="str">
            <v>Да</v>
          </cell>
          <cell r="V8" t="str">
            <v>Да</v>
          </cell>
          <cell r="Z8" t="str">
            <v>Да</v>
          </cell>
          <cell r="AD8" t="str">
            <v>Да</v>
          </cell>
          <cell r="AG8" t="str">
            <v>Да</v>
          </cell>
          <cell r="AK8" t="str">
            <v>Да</v>
          </cell>
          <cell r="AO8" t="str">
            <v>Да</v>
          </cell>
          <cell r="AS8" t="str">
            <v>Да</v>
          </cell>
          <cell r="AW8" t="str">
            <v>Да</v>
          </cell>
        </row>
        <row r="9">
          <cell r="F9" t="str">
            <v>Да</v>
          </cell>
          <cell r="J9" t="str">
            <v>Да</v>
          </cell>
          <cell r="N9" t="str">
            <v>Да</v>
          </cell>
          <cell r="R9" t="str">
            <v>Да</v>
          </cell>
          <cell r="V9" t="str">
            <v>Да</v>
          </cell>
          <cell r="Z9" t="str">
            <v>Да</v>
          </cell>
          <cell r="AD9" t="str">
            <v>Да</v>
          </cell>
          <cell r="AG9" t="str">
            <v>Да</v>
          </cell>
          <cell r="AK9" t="str">
            <v>Да</v>
          </cell>
          <cell r="AO9" t="str">
            <v>Да</v>
          </cell>
          <cell r="AS9" t="str">
            <v>Да</v>
          </cell>
          <cell r="AW9" t="str">
            <v>Да</v>
          </cell>
        </row>
        <row r="10">
          <cell r="F10" t="str">
            <v>Да</v>
          </cell>
          <cell r="J10" t="str">
            <v>Да</v>
          </cell>
          <cell r="N10" t="str">
            <v>Да</v>
          </cell>
          <cell r="R10" t="str">
            <v>Да</v>
          </cell>
          <cell r="V10" t="str">
            <v>Да</v>
          </cell>
          <cell r="Z10" t="str">
            <v>Да</v>
          </cell>
          <cell r="AD10" t="str">
            <v>Да</v>
          </cell>
          <cell r="AG10" t="str">
            <v>Да</v>
          </cell>
          <cell r="AK10" t="str">
            <v>Да</v>
          </cell>
          <cell r="AO10" t="str">
            <v>Да</v>
          </cell>
          <cell r="AS10" t="str">
            <v>Да</v>
          </cell>
          <cell r="AW10" t="str">
            <v>Да</v>
          </cell>
        </row>
        <row r="11">
          <cell r="F11" t="str">
            <v>Да</v>
          </cell>
          <cell r="J11" t="str">
            <v>Нет</v>
          </cell>
          <cell r="N11" t="str">
            <v>Да</v>
          </cell>
          <cell r="R11" t="str">
            <v>Да</v>
          </cell>
          <cell r="V11" t="str">
            <v>Да</v>
          </cell>
          <cell r="Z11" t="str">
            <v>Да</v>
          </cell>
          <cell r="AD11" t="str">
            <v>Да</v>
          </cell>
          <cell r="AG11" t="str">
            <v>Да</v>
          </cell>
          <cell r="AK11" t="str">
            <v>Да</v>
          </cell>
          <cell r="AO11" t="str">
            <v>Да</v>
          </cell>
          <cell r="AS11" t="str">
            <v>Да</v>
          </cell>
          <cell r="AW11" t="str">
            <v>Да</v>
          </cell>
        </row>
        <row r="12">
          <cell r="F12" t="str">
            <v>Да</v>
          </cell>
          <cell r="J12" t="str">
            <v>Да</v>
          </cell>
          <cell r="N12" t="str">
            <v>Да</v>
          </cell>
          <cell r="R12" t="str">
            <v>Да</v>
          </cell>
          <cell r="V12" t="str">
            <v>Да</v>
          </cell>
          <cell r="Z12" t="str">
            <v>Да</v>
          </cell>
          <cell r="AD12" t="str">
            <v>Да</v>
          </cell>
          <cell r="AG12" t="str">
            <v>Да</v>
          </cell>
          <cell r="AK12" t="str">
            <v>Да</v>
          </cell>
          <cell r="AO12" t="str">
            <v>Да</v>
          </cell>
          <cell r="AS12" t="str">
            <v>Да</v>
          </cell>
          <cell r="AW12" t="str">
            <v>Да</v>
          </cell>
        </row>
        <row r="13">
          <cell r="F13"/>
          <cell r="J13"/>
          <cell r="N13"/>
          <cell r="R13"/>
          <cell r="V13"/>
          <cell r="Z13"/>
          <cell r="AD13"/>
          <cell r="AG13"/>
          <cell r="AK13"/>
          <cell r="AO13"/>
          <cell r="AS13" t="str">
            <v>Да</v>
          </cell>
          <cell r="AW13" t="str">
            <v>Да</v>
          </cell>
        </row>
        <row r="14">
          <cell r="F14" t="str">
            <v>Да</v>
          </cell>
          <cell r="J14" t="str">
            <v>Да</v>
          </cell>
          <cell r="N14" t="str">
            <v>Да</v>
          </cell>
          <cell r="R14" t="str">
            <v>Да</v>
          </cell>
          <cell r="V14" t="str">
            <v>Да</v>
          </cell>
          <cell r="Z14" t="str">
            <v>Да</v>
          </cell>
          <cell r="AD14" t="str">
            <v>Да</v>
          </cell>
          <cell r="AG14" t="str">
            <v>Да</v>
          </cell>
          <cell r="AK14" t="str">
            <v>Да</v>
          </cell>
          <cell r="AO14" t="str">
            <v>Да</v>
          </cell>
          <cell r="AS14" t="str">
            <v>Да</v>
          </cell>
          <cell r="AW14" t="str">
            <v>Да</v>
          </cell>
        </row>
        <row r="15">
          <cell r="F15" t="str">
            <v>Да</v>
          </cell>
          <cell r="J15" t="str">
            <v>Да</v>
          </cell>
          <cell r="N15" t="str">
            <v>Да</v>
          </cell>
          <cell r="R15" t="str">
            <v>Да</v>
          </cell>
          <cell r="V15" t="str">
            <v>Да</v>
          </cell>
          <cell r="Z15" t="str">
            <v>Да</v>
          </cell>
          <cell r="AD15" t="str">
            <v>Да</v>
          </cell>
          <cell r="AG15" t="str">
            <v>Да</v>
          </cell>
          <cell r="AK15" t="str">
            <v>Да</v>
          </cell>
          <cell r="AO15" t="str">
            <v>Да</v>
          </cell>
          <cell r="AS15" t="str">
            <v>Да</v>
          </cell>
          <cell r="AW15" t="str">
            <v>Да</v>
          </cell>
        </row>
        <row r="16">
          <cell r="F16" t="str">
            <v>Да</v>
          </cell>
          <cell r="J16" t="str">
            <v>Да</v>
          </cell>
          <cell r="N16" t="str">
            <v>Да</v>
          </cell>
          <cell r="R16" t="str">
            <v>Да</v>
          </cell>
          <cell r="V16" t="str">
            <v>Да</v>
          </cell>
          <cell r="Z16" t="str">
            <v>Да</v>
          </cell>
          <cell r="AD16" t="str">
            <v>Да</v>
          </cell>
          <cell r="AG16" t="str">
            <v>Да</v>
          </cell>
          <cell r="AK16" t="str">
            <v>Да</v>
          </cell>
          <cell r="AO16" t="str">
            <v>Да</v>
          </cell>
          <cell r="AS16" t="str">
            <v>Да</v>
          </cell>
          <cell r="AW16" t="str">
            <v>Да</v>
          </cell>
        </row>
        <row r="17">
          <cell r="F17" t="str">
            <v>Да</v>
          </cell>
          <cell r="J17" t="str">
            <v>Да</v>
          </cell>
          <cell r="N17" t="str">
            <v>Да</v>
          </cell>
          <cell r="R17" t="str">
            <v>Да</v>
          </cell>
          <cell r="V17" t="str">
            <v>Да</v>
          </cell>
          <cell r="Z17" t="str">
            <v>Да</v>
          </cell>
          <cell r="AD17" t="str">
            <v>Да</v>
          </cell>
          <cell r="AG17" t="str">
            <v>Да</v>
          </cell>
          <cell r="AK17" t="str">
            <v>Да</v>
          </cell>
          <cell r="AO17" t="str">
            <v>Да</v>
          </cell>
          <cell r="AS17" t="str">
            <v>Да</v>
          </cell>
          <cell r="AW17" t="str">
            <v>Да</v>
          </cell>
        </row>
        <row r="18">
          <cell r="F18" t="str">
            <v>Да</v>
          </cell>
          <cell r="J18" t="str">
            <v>Да</v>
          </cell>
          <cell r="N18" t="str">
            <v>Да</v>
          </cell>
          <cell r="R18" t="str">
            <v>Да</v>
          </cell>
          <cell r="V18" t="str">
            <v>Да</v>
          </cell>
          <cell r="Z18" t="str">
            <v>Да</v>
          </cell>
          <cell r="AD18" t="str">
            <v>Да</v>
          </cell>
          <cell r="AG18" t="str">
            <v>Да</v>
          </cell>
          <cell r="AK18" t="str">
            <v>Да</v>
          </cell>
          <cell r="AO18" t="str">
            <v>Нет</v>
          </cell>
          <cell r="AS18" t="str">
            <v>Нет</v>
          </cell>
          <cell r="AW18" t="str">
            <v>Нет</v>
          </cell>
        </row>
      </sheetData>
      <sheetData sheetId="41">
        <row r="3">
          <cell r="E3" t="str">
            <v>Да</v>
          </cell>
          <cell r="H3" t="str">
            <v>Да</v>
          </cell>
          <cell r="K3" t="str">
            <v>Да</v>
          </cell>
          <cell r="N3" t="str">
            <v>Да</v>
          </cell>
          <cell r="Q3" t="str">
            <v>Да</v>
          </cell>
          <cell r="T3" t="str">
            <v>Да</v>
          </cell>
          <cell r="W3" t="str">
            <v>Да</v>
          </cell>
          <cell r="Z3" t="str">
            <v>Да</v>
          </cell>
          <cell r="AC3" t="str">
            <v>Нет</v>
          </cell>
          <cell r="AF3" t="str">
            <v>Нет</v>
          </cell>
          <cell r="AI3" t="str">
            <v>Нет</v>
          </cell>
          <cell r="AL3" t="str">
            <v>Нет</v>
          </cell>
        </row>
        <row r="4">
          <cell r="E4" t="str">
            <v>Нет</v>
          </cell>
          <cell r="H4" t="str">
            <v>Нет</v>
          </cell>
          <cell r="K4" t="str">
            <v>Нет</v>
          </cell>
          <cell r="N4" t="str">
            <v>Нет</v>
          </cell>
          <cell r="Q4" t="str">
            <v>Нет</v>
          </cell>
          <cell r="T4" t="str">
            <v>Нет</v>
          </cell>
          <cell r="W4" t="str">
            <v>Нет</v>
          </cell>
          <cell r="Z4" t="str">
            <v>Нет</v>
          </cell>
          <cell r="AC4" t="str">
            <v>Нет</v>
          </cell>
          <cell r="AF4" t="str">
            <v>Нет</v>
          </cell>
          <cell r="AI4" t="str">
            <v>Нет</v>
          </cell>
          <cell r="AL4" t="str">
            <v>Нет</v>
          </cell>
        </row>
        <row r="5">
          <cell r="E5" t="str">
            <v>Нет</v>
          </cell>
          <cell r="H5" t="str">
            <v>Нет</v>
          </cell>
          <cell r="K5" t="str">
            <v>Нет</v>
          </cell>
          <cell r="N5" t="str">
            <v>Да</v>
          </cell>
          <cell r="Q5" t="str">
            <v>Нет</v>
          </cell>
          <cell r="T5" t="str">
            <v>Нет</v>
          </cell>
          <cell r="W5" t="str">
            <v>Нет</v>
          </cell>
          <cell r="Z5" t="str">
            <v>Нет</v>
          </cell>
          <cell r="AC5" t="str">
            <v>Нет</v>
          </cell>
          <cell r="AF5" t="str">
            <v>Нет</v>
          </cell>
          <cell r="AI5" t="str">
            <v>Нет</v>
          </cell>
          <cell r="AL5" t="str">
            <v>Да</v>
          </cell>
        </row>
        <row r="6">
          <cell r="E6" t="str">
            <v>Да</v>
          </cell>
          <cell r="H6" t="str">
            <v>Да</v>
          </cell>
          <cell r="K6" t="str">
            <v>Да</v>
          </cell>
          <cell r="N6" t="str">
            <v>Да</v>
          </cell>
          <cell r="Q6" t="str">
            <v>Да</v>
          </cell>
          <cell r="T6" t="str">
            <v>Да</v>
          </cell>
          <cell r="W6" t="str">
            <v>Да</v>
          </cell>
          <cell r="Z6" t="str">
            <v>Да</v>
          </cell>
          <cell r="AC6" t="str">
            <v>Да</v>
          </cell>
          <cell r="AF6" t="str">
            <v>Да</v>
          </cell>
          <cell r="AI6" t="str">
            <v>Да</v>
          </cell>
          <cell r="AL6" t="str">
            <v>Да</v>
          </cell>
        </row>
        <row r="7">
          <cell r="E7" t="str">
            <v>Нет</v>
          </cell>
          <cell r="H7" t="str">
            <v>Да</v>
          </cell>
          <cell r="K7" t="str">
            <v>Да</v>
          </cell>
          <cell r="N7" t="str">
            <v>Да</v>
          </cell>
          <cell r="Q7" t="str">
            <v>Да</v>
          </cell>
          <cell r="T7" t="str">
            <v>Нет</v>
          </cell>
          <cell r="W7" t="str">
            <v>Да</v>
          </cell>
          <cell r="Z7" t="str">
            <v>Да</v>
          </cell>
          <cell r="AC7" t="str">
            <v>Да</v>
          </cell>
          <cell r="AF7" t="str">
            <v>Да</v>
          </cell>
          <cell r="AI7" t="str">
            <v>Да</v>
          </cell>
          <cell r="AL7" t="str">
            <v>Да</v>
          </cell>
        </row>
        <row r="8">
          <cell r="E8"/>
          <cell r="H8"/>
          <cell r="K8"/>
          <cell r="N8"/>
          <cell r="Q8" t="str">
            <v>Да</v>
          </cell>
          <cell r="T8" t="str">
            <v>Да</v>
          </cell>
          <cell r="W8" t="str">
            <v>Да</v>
          </cell>
          <cell r="Z8" t="str">
            <v>Да</v>
          </cell>
          <cell r="AC8" t="str">
            <v>Да</v>
          </cell>
          <cell r="AF8" t="str">
            <v>Да</v>
          </cell>
          <cell r="AI8" t="str">
            <v>Да</v>
          </cell>
          <cell r="AL8" t="str">
            <v>Да</v>
          </cell>
        </row>
        <row r="9">
          <cell r="E9" t="str">
            <v>Да</v>
          </cell>
          <cell r="H9" t="str">
            <v>Да</v>
          </cell>
          <cell r="K9" t="str">
            <v>Да</v>
          </cell>
          <cell r="N9" t="str">
            <v>Да</v>
          </cell>
          <cell r="Q9" t="str">
            <v>Да</v>
          </cell>
          <cell r="T9" t="str">
            <v>Да</v>
          </cell>
          <cell r="W9" t="str">
            <v>Да</v>
          </cell>
          <cell r="Z9" t="str">
            <v>Да</v>
          </cell>
          <cell r="AC9" t="str">
            <v>Да</v>
          </cell>
          <cell r="AF9" t="str">
            <v>Да</v>
          </cell>
          <cell r="AI9" t="str">
            <v>Да</v>
          </cell>
          <cell r="AL9" t="str">
            <v>Да</v>
          </cell>
        </row>
        <row r="10">
          <cell r="E10"/>
          <cell r="H10"/>
          <cell r="K10"/>
          <cell r="N10"/>
          <cell r="Q10"/>
          <cell r="T10"/>
          <cell r="W10" t="str">
            <v>Да</v>
          </cell>
          <cell r="Z10" t="str">
            <v>Да</v>
          </cell>
          <cell r="AC10" t="str">
            <v>Да</v>
          </cell>
          <cell r="AF10" t="str">
            <v>Да</v>
          </cell>
          <cell r="AI10" t="str">
            <v>Да</v>
          </cell>
          <cell r="AL10" t="str">
            <v>Да</v>
          </cell>
        </row>
        <row r="11">
          <cell r="E11" t="str">
            <v>Да</v>
          </cell>
          <cell r="H11" t="str">
            <v>Да</v>
          </cell>
          <cell r="K11" t="str">
            <v>Нет</v>
          </cell>
          <cell r="N11" t="str">
            <v>Нет</v>
          </cell>
          <cell r="Q11" t="str">
            <v>Нет</v>
          </cell>
          <cell r="T11" t="str">
            <v>Нет</v>
          </cell>
          <cell r="W11" t="str">
            <v>Да</v>
          </cell>
          <cell r="Z11" t="str">
            <v>Да</v>
          </cell>
          <cell r="AC11" t="str">
            <v>Нет</v>
          </cell>
          <cell r="AF11" t="str">
            <v>Нет</v>
          </cell>
          <cell r="AI11" t="str">
            <v>Нет</v>
          </cell>
          <cell r="AL11" t="str">
            <v>Нет</v>
          </cell>
        </row>
        <row r="12">
          <cell r="E12"/>
          <cell r="H12"/>
          <cell r="K12"/>
          <cell r="N12"/>
          <cell r="Q12"/>
          <cell r="T12"/>
          <cell r="W12"/>
          <cell r="Z12"/>
          <cell r="AC12" t="str">
            <v>Да</v>
          </cell>
          <cell r="AF12" t="str">
            <v>Да</v>
          </cell>
          <cell r="AI12" t="str">
            <v>Да</v>
          </cell>
          <cell r="AL12" t="str">
            <v>Да</v>
          </cell>
        </row>
        <row r="13">
          <cell r="E13"/>
          <cell r="H13"/>
          <cell r="K13"/>
          <cell r="N13"/>
          <cell r="Q13"/>
          <cell r="T13" t="str">
            <v>Да</v>
          </cell>
          <cell r="W13" t="str">
            <v>Да</v>
          </cell>
          <cell r="Z13" t="str">
            <v>Да</v>
          </cell>
          <cell r="AC13" t="str">
            <v>Да</v>
          </cell>
          <cell r="AF13" t="str">
            <v>Да</v>
          </cell>
          <cell r="AI13" t="str">
            <v>Да</v>
          </cell>
          <cell r="AL13" t="str">
            <v>Да</v>
          </cell>
        </row>
        <row r="14">
          <cell r="E14" t="str">
            <v>Да</v>
          </cell>
          <cell r="H14" t="str">
            <v>Да</v>
          </cell>
          <cell r="K14" t="str">
            <v>Да</v>
          </cell>
          <cell r="N14" t="str">
            <v>Да</v>
          </cell>
          <cell r="Q14" t="str">
            <v>Да</v>
          </cell>
          <cell r="T14" t="str">
            <v>Да</v>
          </cell>
          <cell r="W14" t="str">
            <v>Да</v>
          </cell>
          <cell r="Z14" t="str">
            <v>Да</v>
          </cell>
          <cell r="AC14" t="str">
            <v>Да</v>
          </cell>
          <cell r="AF14" t="str">
            <v>Да</v>
          </cell>
          <cell r="AI14" t="str">
            <v>Да</v>
          </cell>
          <cell r="AL14" t="str">
            <v>Да</v>
          </cell>
        </row>
        <row r="15">
          <cell r="E15" t="str">
            <v>Да</v>
          </cell>
          <cell r="H15" t="str">
            <v>Да</v>
          </cell>
          <cell r="K15" t="str">
            <v>Да</v>
          </cell>
          <cell r="N15" t="str">
            <v>Да</v>
          </cell>
          <cell r="Q15" t="str">
            <v>Да</v>
          </cell>
          <cell r="T15" t="str">
            <v>Да</v>
          </cell>
          <cell r="W15" t="str">
            <v>Да</v>
          </cell>
          <cell r="Z15" t="str">
            <v>Да</v>
          </cell>
          <cell r="AC15" t="str">
            <v>Да</v>
          </cell>
          <cell r="AF15" t="str">
            <v>Да</v>
          </cell>
          <cell r="AI15" t="str">
            <v>Да</v>
          </cell>
          <cell r="AL15" t="str">
            <v>Да</v>
          </cell>
        </row>
        <row r="16">
          <cell r="E16" t="str">
            <v>Да</v>
          </cell>
          <cell r="H16" t="str">
            <v>Да</v>
          </cell>
          <cell r="K16" t="str">
            <v>Да</v>
          </cell>
          <cell r="N16" t="str">
            <v>Нет</v>
          </cell>
          <cell r="Q16" t="str">
            <v>Нет</v>
          </cell>
          <cell r="T16" t="str">
            <v>Нет</v>
          </cell>
          <cell r="W16" t="str">
            <v>Нет</v>
          </cell>
          <cell r="Z16" t="str">
            <v>Нет</v>
          </cell>
          <cell r="AC16" t="str">
            <v>Нет</v>
          </cell>
          <cell r="AF16" t="str">
            <v>Нет</v>
          </cell>
          <cell r="AI16" t="str">
            <v>Нет</v>
          </cell>
          <cell r="AL16" t="str">
            <v>Нет</v>
          </cell>
        </row>
        <row r="17">
          <cell r="E17" t="str">
            <v>Да</v>
          </cell>
          <cell r="H17" t="str">
            <v>Да</v>
          </cell>
          <cell r="K17" t="str">
            <v>Да</v>
          </cell>
          <cell r="N17" t="str">
            <v>Да</v>
          </cell>
          <cell r="Q17" t="str">
            <v>Да</v>
          </cell>
          <cell r="T17" t="str">
            <v>Да</v>
          </cell>
          <cell r="W17" t="str">
            <v>Да</v>
          </cell>
          <cell r="Z17" t="str">
            <v>Да</v>
          </cell>
          <cell r="AC17" t="str">
            <v>Нет</v>
          </cell>
          <cell r="AF17" t="str">
            <v>Нет</v>
          </cell>
          <cell r="AI17" t="str">
            <v>Нет</v>
          </cell>
          <cell r="AL17" t="str">
            <v>Нет</v>
          </cell>
        </row>
        <row r="18">
          <cell r="E18" t="str">
            <v>Да</v>
          </cell>
          <cell r="H18" t="str">
            <v>Да</v>
          </cell>
          <cell r="K18" t="str">
            <v>Да</v>
          </cell>
          <cell r="N18" t="str">
            <v>Нет</v>
          </cell>
          <cell r="Q18" t="str">
            <v>Да</v>
          </cell>
          <cell r="T18" t="str">
            <v>Нет</v>
          </cell>
          <cell r="W18" t="str">
            <v>Нет</v>
          </cell>
          <cell r="Z18" t="str">
            <v>Нет</v>
          </cell>
          <cell r="AC18" t="str">
            <v>Нет</v>
          </cell>
          <cell r="AF18" t="str">
            <v>Нет</v>
          </cell>
          <cell r="AI18" t="str">
            <v>Нет</v>
          </cell>
          <cell r="AL18" t="str">
            <v>Нет</v>
          </cell>
        </row>
        <row r="19">
          <cell r="E19" t="str">
            <v>Да</v>
          </cell>
          <cell r="H19" t="str">
            <v>Да</v>
          </cell>
          <cell r="K19" t="str">
            <v>Да</v>
          </cell>
          <cell r="N19" t="str">
            <v>Да</v>
          </cell>
          <cell r="Q19" t="str">
            <v>Да</v>
          </cell>
          <cell r="T19" t="str">
            <v>Да</v>
          </cell>
          <cell r="W19" t="str">
            <v>Да</v>
          </cell>
          <cell r="Z19" t="str">
            <v>Да</v>
          </cell>
          <cell r="AC19" t="str">
            <v>Нет</v>
          </cell>
          <cell r="AF19" t="str">
            <v>Нет</v>
          </cell>
          <cell r="AI19" t="str">
            <v>Нет</v>
          </cell>
          <cell r="AL19" t="str">
            <v>Нет</v>
          </cell>
        </row>
        <row r="20">
          <cell r="E20" t="str">
            <v>Да</v>
          </cell>
          <cell r="H20" t="str">
            <v>Да</v>
          </cell>
          <cell r="K20" t="str">
            <v>Да</v>
          </cell>
          <cell r="N20" t="str">
            <v>Да</v>
          </cell>
          <cell r="Q20" t="str">
            <v>Да</v>
          </cell>
          <cell r="T20" t="str">
            <v>Да</v>
          </cell>
          <cell r="W20" t="str">
            <v>Да</v>
          </cell>
          <cell r="Z20" t="str">
            <v>Да</v>
          </cell>
          <cell r="AC20" t="str">
            <v>Да</v>
          </cell>
          <cell r="AF20" t="str">
            <v>Да</v>
          </cell>
          <cell r="AI20" t="str">
            <v>Да</v>
          </cell>
          <cell r="AL20" t="str">
            <v>Да</v>
          </cell>
        </row>
        <row r="21">
          <cell r="E21"/>
          <cell r="H21"/>
          <cell r="K21"/>
          <cell r="N21"/>
          <cell r="Q21"/>
          <cell r="T21"/>
          <cell r="W21"/>
          <cell r="Z21"/>
          <cell r="AC21" t="str">
            <v>Да</v>
          </cell>
          <cell r="AF21" t="str">
            <v>Да</v>
          </cell>
          <cell r="AI21" t="str">
            <v>Нет</v>
          </cell>
          <cell r="AL21" t="str">
            <v>Нет</v>
          </cell>
        </row>
        <row r="22">
          <cell r="E22" t="str">
            <v>Да</v>
          </cell>
          <cell r="H22" t="str">
            <v>Да</v>
          </cell>
          <cell r="K22" t="str">
            <v>Да</v>
          </cell>
          <cell r="N22" t="str">
            <v>Да</v>
          </cell>
          <cell r="Q22" t="str">
            <v>Да</v>
          </cell>
          <cell r="T22" t="str">
            <v>Нет</v>
          </cell>
          <cell r="W22" t="str">
            <v>Да</v>
          </cell>
          <cell r="Z22" t="str">
            <v>Нет</v>
          </cell>
          <cell r="AC22" t="str">
            <v>Да</v>
          </cell>
          <cell r="AF22" t="str">
            <v>Нет</v>
          </cell>
          <cell r="AI22" t="str">
            <v>Да</v>
          </cell>
          <cell r="AL22" t="str">
            <v>Да</v>
          </cell>
        </row>
        <row r="23">
          <cell r="E23"/>
          <cell r="H23"/>
          <cell r="K23"/>
          <cell r="N23"/>
          <cell r="Q23"/>
          <cell r="T23"/>
          <cell r="W23"/>
          <cell r="Z23"/>
          <cell r="AC23"/>
          <cell r="AF23"/>
          <cell r="AI23"/>
          <cell r="AL23" t="str">
            <v>Да</v>
          </cell>
        </row>
        <row r="24">
          <cell r="E24" t="str">
            <v>Да</v>
          </cell>
          <cell r="H24" t="str">
            <v>Да</v>
          </cell>
          <cell r="K24" t="str">
            <v>Да</v>
          </cell>
          <cell r="N24" t="str">
            <v>Да</v>
          </cell>
          <cell r="Q24" t="str">
            <v>Да</v>
          </cell>
          <cell r="T24" t="str">
            <v>Да</v>
          </cell>
          <cell r="W24" t="str">
            <v>Да</v>
          </cell>
          <cell r="Z24" t="str">
            <v>Да</v>
          </cell>
          <cell r="AC24" t="str">
            <v>Да</v>
          </cell>
          <cell r="AF24" t="str">
            <v>Да</v>
          </cell>
          <cell r="AI24" t="str">
            <v>Да</v>
          </cell>
          <cell r="AL24" t="str">
            <v>Да</v>
          </cell>
        </row>
        <row r="25">
          <cell r="E25"/>
          <cell r="H25"/>
          <cell r="K25"/>
          <cell r="N25"/>
          <cell r="Q25"/>
          <cell r="T25"/>
          <cell r="W25"/>
          <cell r="Z25"/>
          <cell r="AC25"/>
          <cell r="AF25" t="str">
            <v>Да</v>
          </cell>
          <cell r="AI25" t="str">
            <v>Да</v>
          </cell>
          <cell r="AL25" t="str">
            <v>Да</v>
          </cell>
        </row>
        <row r="26">
          <cell r="E26" t="str">
            <v>Да</v>
          </cell>
          <cell r="H26" t="str">
            <v>Да</v>
          </cell>
          <cell r="K26" t="str">
            <v>Да</v>
          </cell>
          <cell r="N26" t="str">
            <v>Да</v>
          </cell>
          <cell r="Q26" t="str">
            <v>Да</v>
          </cell>
          <cell r="T26" t="str">
            <v>Да</v>
          </cell>
          <cell r="W26" t="str">
            <v>Да</v>
          </cell>
          <cell r="Z26" t="str">
            <v>Да</v>
          </cell>
          <cell r="AC26" t="str">
            <v>Да</v>
          </cell>
          <cell r="AF26" t="str">
            <v>Нет</v>
          </cell>
          <cell r="AI26" t="str">
            <v>Да</v>
          </cell>
          <cell r="AL26" t="str">
            <v>Да</v>
          </cell>
        </row>
        <row r="27">
          <cell r="E27" t="str">
            <v>Да</v>
          </cell>
          <cell r="H27" t="str">
            <v>Да</v>
          </cell>
          <cell r="K27" t="str">
            <v>Да</v>
          </cell>
          <cell r="N27" t="str">
            <v>Да</v>
          </cell>
          <cell r="Q27" t="str">
            <v>Да</v>
          </cell>
          <cell r="T27" t="str">
            <v>Да</v>
          </cell>
          <cell r="W27" t="str">
            <v>Да</v>
          </cell>
          <cell r="Z27" t="str">
            <v>Нет</v>
          </cell>
          <cell r="AC27" t="str">
            <v>Да</v>
          </cell>
          <cell r="AF27" t="str">
            <v>Да</v>
          </cell>
          <cell r="AI27" t="str">
            <v>Да</v>
          </cell>
          <cell r="AL27" t="str">
            <v>Да</v>
          </cell>
        </row>
        <row r="28">
          <cell r="E28" t="str">
            <v>Да</v>
          </cell>
          <cell r="H28" t="str">
            <v>Да</v>
          </cell>
          <cell r="K28" t="str">
            <v>Да</v>
          </cell>
          <cell r="N28" t="str">
            <v>Нет</v>
          </cell>
          <cell r="Q28" t="str">
            <v>Нет</v>
          </cell>
          <cell r="T28" t="str">
            <v>Нет</v>
          </cell>
          <cell r="W28" t="str">
            <v>Нет</v>
          </cell>
          <cell r="Z28" t="str">
            <v>Нет</v>
          </cell>
          <cell r="AC28" t="str">
            <v>Да</v>
          </cell>
          <cell r="AF28" t="str">
            <v>Нет</v>
          </cell>
          <cell r="AI28" t="str">
            <v>Да</v>
          </cell>
          <cell r="AL28" t="str">
            <v>Да</v>
          </cell>
        </row>
        <row r="29">
          <cell r="E29"/>
          <cell r="H29" t="str">
            <v>Да</v>
          </cell>
          <cell r="K29" t="str">
            <v>Да</v>
          </cell>
          <cell r="N29" t="str">
            <v>Да</v>
          </cell>
          <cell r="Q29" t="str">
            <v>Да</v>
          </cell>
          <cell r="T29" t="str">
            <v>Да</v>
          </cell>
          <cell r="W29" t="str">
            <v>Да</v>
          </cell>
          <cell r="Z29" t="str">
            <v>Да</v>
          </cell>
          <cell r="AC29" t="str">
            <v>Нет</v>
          </cell>
          <cell r="AF29" t="str">
            <v>Да</v>
          </cell>
          <cell r="AI29" t="str">
            <v>Да</v>
          </cell>
          <cell r="AL29" t="str">
            <v>Да</v>
          </cell>
        </row>
        <row r="30">
          <cell r="E30" t="str">
            <v>Да</v>
          </cell>
          <cell r="H30" t="str">
            <v>Да</v>
          </cell>
          <cell r="K30" t="str">
            <v>Да</v>
          </cell>
          <cell r="N30" t="str">
            <v>Да</v>
          </cell>
          <cell r="Q30" t="str">
            <v>Да</v>
          </cell>
          <cell r="T30" t="str">
            <v>Да</v>
          </cell>
          <cell r="W30" t="str">
            <v>Да</v>
          </cell>
          <cell r="Z30" t="str">
            <v>Да</v>
          </cell>
          <cell r="AC30" t="str">
            <v>Да</v>
          </cell>
          <cell r="AF30" t="str">
            <v>Да</v>
          </cell>
          <cell r="AI30" t="str">
            <v>Да</v>
          </cell>
          <cell r="AL30" t="str">
            <v>Да</v>
          </cell>
        </row>
        <row r="31">
          <cell r="E31" t="str">
            <v>Да</v>
          </cell>
          <cell r="H31" t="str">
            <v>Да</v>
          </cell>
          <cell r="K31" t="str">
            <v>Да</v>
          </cell>
          <cell r="N31" t="str">
            <v>Да</v>
          </cell>
          <cell r="Q31" t="str">
            <v>Да</v>
          </cell>
          <cell r="T31" t="str">
            <v>Да</v>
          </cell>
          <cell r="W31" t="str">
            <v>Да</v>
          </cell>
          <cell r="Z31" t="str">
            <v>Да</v>
          </cell>
          <cell r="AC31" t="str">
            <v>Да</v>
          </cell>
          <cell r="AF31" t="str">
            <v>Да</v>
          </cell>
          <cell r="AI31" t="str">
            <v>Да</v>
          </cell>
          <cell r="AL31" t="str">
            <v>Да</v>
          </cell>
        </row>
        <row r="32">
          <cell r="E32" t="str">
            <v>Да</v>
          </cell>
          <cell r="H32" t="str">
            <v>Нет</v>
          </cell>
          <cell r="K32" t="str">
            <v>Нет</v>
          </cell>
          <cell r="N32" t="str">
            <v>Нет</v>
          </cell>
          <cell r="Q32" t="str">
            <v>Нет</v>
          </cell>
          <cell r="T32" t="str">
            <v>Нет</v>
          </cell>
          <cell r="W32" t="str">
            <v>Нет</v>
          </cell>
          <cell r="Z32" t="str">
            <v>Нет</v>
          </cell>
          <cell r="AC32" t="str">
            <v>Нет</v>
          </cell>
          <cell r="AF32" t="str">
            <v>Нет</v>
          </cell>
          <cell r="AI32" t="str">
            <v>Нет</v>
          </cell>
          <cell r="AL32" t="str">
            <v>Нет</v>
          </cell>
        </row>
        <row r="33">
          <cell r="E33" t="str">
            <v>Да</v>
          </cell>
          <cell r="H33" t="str">
            <v>Да</v>
          </cell>
          <cell r="K33" t="str">
            <v>Да</v>
          </cell>
          <cell r="N33" t="str">
            <v>Нет</v>
          </cell>
          <cell r="Q33" t="str">
            <v>Да</v>
          </cell>
          <cell r="T33" t="str">
            <v>Да</v>
          </cell>
          <cell r="W33" t="str">
            <v>Да</v>
          </cell>
          <cell r="Z33" t="str">
            <v>Да</v>
          </cell>
          <cell r="AC33" t="str">
            <v>Да</v>
          </cell>
          <cell r="AF33" t="str">
            <v>Нет</v>
          </cell>
          <cell r="AI33" t="str">
            <v>Да</v>
          </cell>
          <cell r="AL33" t="str">
            <v>Да</v>
          </cell>
        </row>
        <row r="34">
          <cell r="E34" t="str">
            <v>Да</v>
          </cell>
          <cell r="H34" t="str">
            <v>Да</v>
          </cell>
          <cell r="K34" t="str">
            <v>Да</v>
          </cell>
          <cell r="N34" t="str">
            <v>Да</v>
          </cell>
          <cell r="Q34" t="str">
            <v>Нет</v>
          </cell>
          <cell r="T34" t="str">
            <v>Да</v>
          </cell>
          <cell r="W34" t="str">
            <v>Да</v>
          </cell>
          <cell r="Z34" t="str">
            <v>Да</v>
          </cell>
          <cell r="AC34" t="str">
            <v>Да</v>
          </cell>
          <cell r="AF34" t="str">
            <v>Да</v>
          </cell>
          <cell r="AI34" t="str">
            <v>Да</v>
          </cell>
          <cell r="AL34" t="str">
            <v>Да</v>
          </cell>
        </row>
        <row r="35">
          <cell r="E35"/>
          <cell r="H35"/>
          <cell r="K35"/>
          <cell r="N35"/>
          <cell r="Q35"/>
          <cell r="T35"/>
          <cell r="W35"/>
          <cell r="Z35"/>
          <cell r="AC35" t="str">
            <v>Да</v>
          </cell>
          <cell r="AF35" t="str">
            <v>Да</v>
          </cell>
          <cell r="AI35" t="str">
            <v>Нет</v>
          </cell>
          <cell r="AL35" t="str">
            <v>Нет</v>
          </cell>
        </row>
        <row r="36">
          <cell r="E36" t="str">
            <v>Да</v>
          </cell>
          <cell r="H36" t="str">
            <v>Да</v>
          </cell>
          <cell r="K36" t="str">
            <v>Да</v>
          </cell>
          <cell r="N36" t="str">
            <v>Да</v>
          </cell>
          <cell r="Q36" t="str">
            <v>Да</v>
          </cell>
          <cell r="T36" t="str">
            <v>Да</v>
          </cell>
          <cell r="W36" t="str">
            <v>Да</v>
          </cell>
          <cell r="Z36" t="str">
            <v>Нет</v>
          </cell>
          <cell r="AC36" t="str">
            <v>Да</v>
          </cell>
          <cell r="AF36" t="str">
            <v>Да</v>
          </cell>
          <cell r="AI36" t="str">
            <v>Да</v>
          </cell>
          <cell r="AL36" t="str">
            <v>Да</v>
          </cell>
        </row>
        <row r="37">
          <cell r="E37" t="str">
            <v>Да</v>
          </cell>
          <cell r="H37" t="str">
            <v>Да</v>
          </cell>
          <cell r="K37" t="str">
            <v>Да</v>
          </cell>
          <cell r="N37" t="str">
            <v>Да</v>
          </cell>
          <cell r="Q37" t="str">
            <v>Да</v>
          </cell>
          <cell r="T37" t="str">
            <v>Да</v>
          </cell>
          <cell r="W37" t="str">
            <v>Да</v>
          </cell>
          <cell r="Z37" t="str">
            <v>Да</v>
          </cell>
          <cell r="AC37" t="str">
            <v>Нет</v>
          </cell>
          <cell r="AF37" t="str">
            <v>Нет</v>
          </cell>
          <cell r="AI37" t="str">
            <v>Нет</v>
          </cell>
          <cell r="AL37" t="str">
            <v>Нет</v>
          </cell>
        </row>
        <row r="38">
          <cell r="E38" t="str">
            <v>Нет</v>
          </cell>
          <cell r="H38" t="str">
            <v>Нет</v>
          </cell>
          <cell r="K38" t="str">
            <v>Нет</v>
          </cell>
          <cell r="N38" t="str">
            <v>Нет</v>
          </cell>
          <cell r="Q38" t="str">
            <v>Нет</v>
          </cell>
          <cell r="T38" t="str">
            <v>Нет</v>
          </cell>
          <cell r="W38" t="str">
            <v>Нет</v>
          </cell>
          <cell r="Z38" t="str">
            <v>Нет</v>
          </cell>
          <cell r="AC38" t="str">
            <v>Нет</v>
          </cell>
          <cell r="AF38" t="str">
            <v>Нет</v>
          </cell>
          <cell r="AI38" t="str">
            <v>Нет</v>
          </cell>
          <cell r="AL38" t="str">
            <v>Нет</v>
          </cell>
        </row>
        <row r="39">
          <cell r="E39" t="str">
            <v>Да</v>
          </cell>
          <cell r="H39" t="str">
            <v>Да</v>
          </cell>
          <cell r="K39" t="str">
            <v>Да</v>
          </cell>
          <cell r="N39" t="str">
            <v>Да</v>
          </cell>
          <cell r="Q39" t="str">
            <v>Да</v>
          </cell>
          <cell r="T39" t="str">
            <v>Да</v>
          </cell>
          <cell r="W39" t="str">
            <v>Да</v>
          </cell>
          <cell r="Z39" t="str">
            <v>Да</v>
          </cell>
          <cell r="AC39" t="str">
            <v>Да</v>
          </cell>
          <cell r="AF39" t="str">
            <v>Да</v>
          </cell>
          <cell r="AI39" t="str">
            <v>Да</v>
          </cell>
          <cell r="AL39" t="str">
            <v>Да</v>
          </cell>
        </row>
        <row r="40">
          <cell r="E40"/>
          <cell r="H40"/>
          <cell r="K40"/>
          <cell r="N40"/>
          <cell r="Q40"/>
          <cell r="T40"/>
          <cell r="W40"/>
          <cell r="Z40"/>
          <cell r="AC40"/>
          <cell r="AF40"/>
          <cell r="AI40"/>
          <cell r="AL40" t="str">
            <v>Да</v>
          </cell>
        </row>
        <row r="41">
          <cell r="E41" t="str">
            <v>Да</v>
          </cell>
          <cell r="H41" t="str">
            <v>Да</v>
          </cell>
          <cell r="K41" t="str">
            <v>Да</v>
          </cell>
          <cell r="N41" t="str">
            <v>Да</v>
          </cell>
          <cell r="Q41" t="str">
            <v>Да</v>
          </cell>
          <cell r="T41" t="str">
            <v>Да</v>
          </cell>
          <cell r="W41" t="str">
            <v>Да</v>
          </cell>
          <cell r="Z41" t="str">
            <v>Да</v>
          </cell>
          <cell r="AC41" t="str">
            <v>Да</v>
          </cell>
          <cell r="AF41" t="str">
            <v>Да</v>
          </cell>
          <cell r="AI41" t="str">
            <v>Да</v>
          </cell>
          <cell r="AL41" t="str">
            <v>Да</v>
          </cell>
        </row>
        <row r="42">
          <cell r="E42" t="str">
            <v>Да</v>
          </cell>
          <cell r="H42" t="str">
            <v>Да</v>
          </cell>
          <cell r="K42" t="str">
            <v>Да</v>
          </cell>
          <cell r="N42" t="str">
            <v>Да</v>
          </cell>
          <cell r="Q42" t="str">
            <v>Нет</v>
          </cell>
          <cell r="T42" t="str">
            <v>Да</v>
          </cell>
          <cell r="W42" t="str">
            <v>Да</v>
          </cell>
          <cell r="Z42" t="str">
            <v>Да</v>
          </cell>
          <cell r="AC42" t="str">
            <v>Да</v>
          </cell>
          <cell r="AF42" t="str">
            <v>Да</v>
          </cell>
          <cell r="AI42" t="str">
            <v>Да</v>
          </cell>
          <cell r="AL42" t="str">
            <v>Да</v>
          </cell>
        </row>
        <row r="43">
          <cell r="E43" t="str">
            <v>Да</v>
          </cell>
          <cell r="H43" t="str">
            <v>Да</v>
          </cell>
          <cell r="K43" t="str">
            <v>Да</v>
          </cell>
          <cell r="N43" t="str">
            <v>Да</v>
          </cell>
          <cell r="Q43" t="str">
            <v>Да</v>
          </cell>
          <cell r="T43" t="str">
            <v>Да</v>
          </cell>
          <cell r="W43" t="str">
            <v>Да</v>
          </cell>
          <cell r="Z43" t="str">
            <v>Да</v>
          </cell>
          <cell r="AC43" t="str">
            <v>Да</v>
          </cell>
          <cell r="AF43" t="str">
            <v>Да</v>
          </cell>
          <cell r="AI43" t="str">
            <v>Да</v>
          </cell>
          <cell r="AL43" t="str">
            <v>Да</v>
          </cell>
        </row>
        <row r="44">
          <cell r="E44" t="str">
            <v>Да</v>
          </cell>
          <cell r="H44" t="str">
            <v>Да</v>
          </cell>
          <cell r="K44" t="str">
            <v>Да</v>
          </cell>
          <cell r="N44" t="str">
            <v>Да</v>
          </cell>
          <cell r="Q44" t="str">
            <v>Да</v>
          </cell>
          <cell r="T44" t="str">
            <v>Да</v>
          </cell>
          <cell r="W44" t="str">
            <v>Да</v>
          </cell>
          <cell r="Z44" t="str">
            <v>Да</v>
          </cell>
          <cell r="AC44" t="str">
            <v>Нет</v>
          </cell>
          <cell r="AF44" t="str">
            <v>Да</v>
          </cell>
          <cell r="AI44" t="str">
            <v>Да</v>
          </cell>
          <cell r="AL44" t="str">
            <v>Да</v>
          </cell>
        </row>
        <row r="45">
          <cell r="E45" t="str">
            <v>Да</v>
          </cell>
          <cell r="H45" t="str">
            <v>Да</v>
          </cell>
          <cell r="K45" t="str">
            <v>Да</v>
          </cell>
          <cell r="N45" t="str">
            <v>Да</v>
          </cell>
          <cell r="Q45" t="str">
            <v>Да</v>
          </cell>
          <cell r="T45" t="str">
            <v>Да</v>
          </cell>
          <cell r="W45" t="str">
            <v>Да</v>
          </cell>
          <cell r="Z45" t="str">
            <v>Да</v>
          </cell>
          <cell r="AC45" t="str">
            <v>Да</v>
          </cell>
          <cell r="AF45" t="str">
            <v>Да</v>
          </cell>
          <cell r="AI45" t="str">
            <v>Да</v>
          </cell>
          <cell r="AL45" t="str">
            <v>Да</v>
          </cell>
        </row>
        <row r="46">
          <cell r="E46"/>
          <cell r="H46"/>
          <cell r="K46"/>
          <cell r="N46"/>
          <cell r="Q46"/>
          <cell r="T46"/>
          <cell r="W46"/>
          <cell r="Z46"/>
          <cell r="AC46" t="str">
            <v>Да</v>
          </cell>
          <cell r="AF46" t="str">
            <v>Да</v>
          </cell>
          <cell r="AI46" t="str">
            <v>Нет</v>
          </cell>
          <cell r="AL46" t="str">
            <v>Нет</v>
          </cell>
        </row>
        <row r="47">
          <cell r="E47" t="str">
            <v>Да</v>
          </cell>
          <cell r="H47" t="str">
            <v>Да</v>
          </cell>
          <cell r="K47" t="str">
            <v>Да</v>
          </cell>
          <cell r="N47" t="str">
            <v>Да</v>
          </cell>
          <cell r="Q47" t="str">
            <v>Да</v>
          </cell>
          <cell r="T47" t="str">
            <v>Да</v>
          </cell>
          <cell r="W47" t="str">
            <v>Да</v>
          </cell>
          <cell r="Z47" t="str">
            <v>Да</v>
          </cell>
          <cell r="AC47" t="str">
            <v>Да</v>
          </cell>
          <cell r="AF47" t="str">
            <v>Да</v>
          </cell>
          <cell r="AI47" t="str">
            <v>Да</v>
          </cell>
          <cell r="AL47" t="str">
            <v>Да</v>
          </cell>
        </row>
        <row r="48">
          <cell r="E48" t="str">
            <v>Да</v>
          </cell>
          <cell r="H48" t="str">
            <v>Да</v>
          </cell>
          <cell r="K48" t="str">
            <v>Да</v>
          </cell>
          <cell r="N48" t="str">
            <v>Да</v>
          </cell>
          <cell r="Q48" t="str">
            <v>Да</v>
          </cell>
          <cell r="T48" t="str">
            <v>Да</v>
          </cell>
          <cell r="W48" t="str">
            <v>Да</v>
          </cell>
          <cell r="Z48" t="str">
            <v>Да</v>
          </cell>
          <cell r="AC48" t="str">
            <v>Да</v>
          </cell>
          <cell r="AF48" t="str">
            <v>Да</v>
          </cell>
          <cell r="AI48" t="str">
            <v>Да</v>
          </cell>
          <cell r="AL48" t="str">
            <v>Да</v>
          </cell>
        </row>
        <row r="49">
          <cell r="E49" t="str">
            <v>Да</v>
          </cell>
          <cell r="H49" t="str">
            <v>Да</v>
          </cell>
          <cell r="K49" t="str">
            <v>Да</v>
          </cell>
          <cell r="N49" t="str">
            <v>Да</v>
          </cell>
          <cell r="Q49" t="str">
            <v>Да</v>
          </cell>
          <cell r="T49" t="str">
            <v>Да</v>
          </cell>
          <cell r="W49" t="str">
            <v>Нет</v>
          </cell>
          <cell r="Z49" t="str">
            <v>Да</v>
          </cell>
          <cell r="AC49" t="str">
            <v>Да</v>
          </cell>
          <cell r="AF49" t="str">
            <v>Да</v>
          </cell>
          <cell r="AI49" t="str">
            <v>Да</v>
          </cell>
          <cell r="AL49" t="str">
            <v>Да</v>
          </cell>
        </row>
        <row r="50">
          <cell r="E50" t="str">
            <v>Да</v>
          </cell>
          <cell r="H50" t="str">
            <v>Да</v>
          </cell>
          <cell r="K50" t="str">
            <v>Нет</v>
          </cell>
          <cell r="N50" t="str">
            <v>Нет</v>
          </cell>
          <cell r="Q50" t="str">
            <v>Нет</v>
          </cell>
          <cell r="T50" t="str">
            <v>Нет</v>
          </cell>
          <cell r="W50" t="str">
            <v>Нет</v>
          </cell>
          <cell r="Z50" t="str">
            <v>Нет</v>
          </cell>
          <cell r="AC50" t="str">
            <v>Нет</v>
          </cell>
          <cell r="AF50" t="str">
            <v>Нет</v>
          </cell>
          <cell r="AI50" t="str">
            <v>Нет</v>
          </cell>
          <cell r="AL50" t="str">
            <v>Нет</v>
          </cell>
        </row>
        <row r="51">
          <cell r="E51" t="str">
            <v>Да</v>
          </cell>
          <cell r="H51" t="str">
            <v>Да</v>
          </cell>
          <cell r="K51" t="str">
            <v>Да</v>
          </cell>
          <cell r="N51" t="str">
            <v>Нет</v>
          </cell>
          <cell r="Q51" t="str">
            <v>Нет</v>
          </cell>
          <cell r="T51" t="str">
            <v>Нет</v>
          </cell>
          <cell r="W51" t="str">
            <v>Нет</v>
          </cell>
          <cell r="Z51" t="str">
            <v>Нет</v>
          </cell>
          <cell r="AC51" t="str">
            <v>Нет</v>
          </cell>
          <cell r="AF51" t="str">
            <v>Нет</v>
          </cell>
          <cell r="AI51" t="str">
            <v>Нет</v>
          </cell>
          <cell r="AL51" t="str">
            <v>Нет</v>
          </cell>
        </row>
        <row r="52">
          <cell r="E52" t="str">
            <v>Да</v>
          </cell>
          <cell r="H52" t="str">
            <v>Да</v>
          </cell>
          <cell r="K52" t="str">
            <v>Нет</v>
          </cell>
          <cell r="N52" t="str">
            <v>Нет</v>
          </cell>
          <cell r="Q52" t="str">
            <v>Нет</v>
          </cell>
          <cell r="T52" t="str">
            <v>Нет</v>
          </cell>
          <cell r="W52" t="str">
            <v>Да</v>
          </cell>
          <cell r="Z52" t="str">
            <v>Да</v>
          </cell>
          <cell r="AC52" t="str">
            <v>Да</v>
          </cell>
          <cell r="AF52" t="str">
            <v>Да</v>
          </cell>
          <cell r="AI52" t="str">
            <v>Да</v>
          </cell>
          <cell r="AL52" t="str">
            <v>Нет</v>
          </cell>
        </row>
        <row r="53">
          <cell r="E53" t="str">
            <v>Да</v>
          </cell>
          <cell r="H53" t="str">
            <v>Да</v>
          </cell>
          <cell r="K53" t="str">
            <v>Да</v>
          </cell>
          <cell r="N53" t="str">
            <v>Да</v>
          </cell>
          <cell r="Q53" t="str">
            <v>Да</v>
          </cell>
          <cell r="T53" t="str">
            <v>Да</v>
          </cell>
          <cell r="W53" t="str">
            <v>Да</v>
          </cell>
          <cell r="Z53" t="str">
            <v>Да</v>
          </cell>
          <cell r="AC53" t="str">
            <v>Да</v>
          </cell>
          <cell r="AF53" t="str">
            <v>Да</v>
          </cell>
          <cell r="AI53" t="str">
            <v>Да</v>
          </cell>
          <cell r="AL53" t="str">
            <v>Да</v>
          </cell>
        </row>
        <row r="54">
          <cell r="E54"/>
          <cell r="H54"/>
          <cell r="K54"/>
          <cell r="N54"/>
          <cell r="Q54"/>
          <cell r="T54" t="str">
            <v>Да</v>
          </cell>
          <cell r="W54" t="str">
            <v>Да</v>
          </cell>
          <cell r="Z54" t="str">
            <v>Да</v>
          </cell>
          <cell r="AC54" t="str">
            <v>Нет</v>
          </cell>
          <cell r="AF54" t="str">
            <v>Да</v>
          </cell>
          <cell r="AI54" t="str">
            <v>Да</v>
          </cell>
          <cell r="AL54" t="str">
            <v>Да</v>
          </cell>
        </row>
        <row r="55">
          <cell r="E55" t="str">
            <v>Да</v>
          </cell>
          <cell r="H55" t="str">
            <v>Да</v>
          </cell>
          <cell r="K55" t="str">
            <v>Да</v>
          </cell>
          <cell r="N55" t="str">
            <v>Да</v>
          </cell>
          <cell r="Q55" t="str">
            <v>Да</v>
          </cell>
          <cell r="T55" t="str">
            <v>Да</v>
          </cell>
          <cell r="W55" t="str">
            <v>Да</v>
          </cell>
          <cell r="Z55" t="str">
            <v>Да</v>
          </cell>
          <cell r="AC55" t="str">
            <v>Да</v>
          </cell>
          <cell r="AF55" t="str">
            <v>Да</v>
          </cell>
          <cell r="AI55" t="str">
            <v>Да</v>
          </cell>
          <cell r="AL55" t="str">
            <v>Да</v>
          </cell>
        </row>
        <row r="56">
          <cell r="E56"/>
          <cell r="H56"/>
          <cell r="K56"/>
          <cell r="N56"/>
          <cell r="Q56"/>
          <cell r="T56"/>
          <cell r="W56"/>
          <cell r="Z56" t="str">
            <v>Да</v>
          </cell>
          <cell r="AC56" t="str">
            <v>Да</v>
          </cell>
          <cell r="AF56" t="str">
            <v>Да</v>
          </cell>
          <cell r="AI56" t="str">
            <v>Да</v>
          </cell>
          <cell r="AL56" t="str">
            <v>Да</v>
          </cell>
        </row>
        <row r="57">
          <cell r="E57"/>
          <cell r="H57"/>
          <cell r="K57"/>
          <cell r="N57"/>
          <cell r="Q57"/>
          <cell r="T57"/>
          <cell r="W57"/>
          <cell r="Z57"/>
          <cell r="AC57" t="str">
            <v>Да</v>
          </cell>
          <cell r="AF57" t="str">
            <v>Да</v>
          </cell>
          <cell r="AI57" t="str">
            <v>Нет</v>
          </cell>
          <cell r="AL57" t="str">
            <v>Нет</v>
          </cell>
        </row>
        <row r="58">
          <cell r="E58" t="str">
            <v>Да</v>
          </cell>
          <cell r="H58" t="str">
            <v>Да</v>
          </cell>
          <cell r="K58" t="str">
            <v>Да</v>
          </cell>
          <cell r="N58" t="str">
            <v>Да</v>
          </cell>
          <cell r="Q58" t="str">
            <v>Да</v>
          </cell>
          <cell r="T58" t="str">
            <v>Да</v>
          </cell>
          <cell r="W58" t="str">
            <v>Да</v>
          </cell>
          <cell r="Z58" t="str">
            <v>Да</v>
          </cell>
          <cell r="AC58" t="str">
            <v>Да</v>
          </cell>
          <cell r="AF58" t="str">
            <v>Да</v>
          </cell>
          <cell r="AI58" t="str">
            <v>Да</v>
          </cell>
          <cell r="AL58" t="str">
            <v>Да</v>
          </cell>
        </row>
        <row r="59">
          <cell r="E59" t="str">
            <v>Да</v>
          </cell>
          <cell r="H59" t="str">
            <v>Да</v>
          </cell>
          <cell r="K59" t="str">
            <v>Да</v>
          </cell>
          <cell r="N59" t="str">
            <v>Да</v>
          </cell>
          <cell r="Q59" t="str">
            <v>Нет</v>
          </cell>
          <cell r="T59" t="str">
            <v>Да</v>
          </cell>
          <cell r="W59" t="str">
            <v>Нет</v>
          </cell>
          <cell r="Z59" t="str">
            <v>Нет</v>
          </cell>
          <cell r="AC59" t="str">
            <v>Нет</v>
          </cell>
          <cell r="AF59" t="str">
            <v>Нет</v>
          </cell>
          <cell r="AI59" t="str">
            <v>Нет</v>
          </cell>
          <cell r="AL59" t="str">
            <v>Нет</v>
          </cell>
        </row>
        <row r="60">
          <cell r="E60" t="str">
            <v>Да</v>
          </cell>
          <cell r="H60" t="str">
            <v>Да</v>
          </cell>
          <cell r="K60" t="str">
            <v>Да</v>
          </cell>
          <cell r="N60" t="str">
            <v>Да</v>
          </cell>
          <cell r="Q60" t="str">
            <v>Да</v>
          </cell>
          <cell r="T60" t="str">
            <v>Да</v>
          </cell>
          <cell r="W60" t="str">
            <v>Да</v>
          </cell>
          <cell r="Z60" t="str">
            <v>Да</v>
          </cell>
          <cell r="AC60" t="str">
            <v>Да</v>
          </cell>
          <cell r="AF60" t="str">
            <v>Нет</v>
          </cell>
          <cell r="AI60" t="str">
            <v>Нет</v>
          </cell>
          <cell r="AL60" t="str">
            <v>Да</v>
          </cell>
        </row>
        <row r="61">
          <cell r="E61" t="str">
            <v>Да</v>
          </cell>
          <cell r="H61" t="str">
            <v>Нет</v>
          </cell>
          <cell r="K61" t="str">
            <v>Да</v>
          </cell>
          <cell r="N61" t="str">
            <v>Да</v>
          </cell>
          <cell r="Q61" t="str">
            <v>Да</v>
          </cell>
          <cell r="T61" t="str">
            <v>Да</v>
          </cell>
          <cell r="W61" t="str">
            <v>Да</v>
          </cell>
          <cell r="Z61" t="str">
            <v>Да</v>
          </cell>
          <cell r="AC61" t="str">
            <v>Да</v>
          </cell>
          <cell r="AF61" t="str">
            <v>Да</v>
          </cell>
          <cell r="AI61" t="str">
            <v>Да</v>
          </cell>
          <cell r="AL61" t="str">
            <v>Да</v>
          </cell>
        </row>
        <row r="62">
          <cell r="E62" t="str">
            <v>Да</v>
          </cell>
          <cell r="H62" t="str">
            <v>Да</v>
          </cell>
          <cell r="K62" t="str">
            <v>Да</v>
          </cell>
          <cell r="N62" t="str">
            <v>Да</v>
          </cell>
          <cell r="Q62" t="str">
            <v>Да</v>
          </cell>
          <cell r="T62" t="str">
            <v>Нет</v>
          </cell>
          <cell r="W62" t="str">
            <v>Нет</v>
          </cell>
          <cell r="Z62" t="str">
            <v>Нет</v>
          </cell>
          <cell r="AC62" t="str">
            <v>Нет</v>
          </cell>
          <cell r="AF62" t="str">
            <v>Нет</v>
          </cell>
          <cell r="AI62" t="str">
            <v>Нет</v>
          </cell>
          <cell r="AL62" t="str">
            <v>Нет</v>
          </cell>
        </row>
        <row r="63">
          <cell r="E63" t="str">
            <v>Да</v>
          </cell>
          <cell r="H63" t="str">
            <v>Да</v>
          </cell>
          <cell r="K63" t="str">
            <v>Да</v>
          </cell>
          <cell r="N63" t="str">
            <v>Да</v>
          </cell>
          <cell r="Q63" t="str">
            <v>Да</v>
          </cell>
          <cell r="T63" t="str">
            <v>Да</v>
          </cell>
          <cell r="W63" t="str">
            <v>Да</v>
          </cell>
          <cell r="Z63" t="str">
            <v>Да</v>
          </cell>
          <cell r="AC63" t="str">
            <v>Да</v>
          </cell>
          <cell r="AF63" t="str">
            <v>Да</v>
          </cell>
          <cell r="AI63" t="str">
            <v>Да</v>
          </cell>
          <cell r="AL63" t="str">
            <v>Да</v>
          </cell>
        </row>
        <row r="64">
          <cell r="E64"/>
          <cell r="H64"/>
          <cell r="K64"/>
          <cell r="N64"/>
          <cell r="Q64"/>
          <cell r="T64"/>
          <cell r="W64"/>
          <cell r="Z64"/>
          <cell r="AC64"/>
          <cell r="AF64"/>
          <cell r="AI64"/>
          <cell r="AL64" t="str">
            <v>Да</v>
          </cell>
        </row>
        <row r="65">
          <cell r="E65"/>
          <cell r="H65"/>
          <cell r="K65"/>
          <cell r="N65"/>
          <cell r="Q65"/>
          <cell r="T65"/>
          <cell r="W65" t="str">
            <v>Да</v>
          </cell>
          <cell r="Z65" t="str">
            <v>Да</v>
          </cell>
          <cell r="AC65" t="str">
            <v>Да</v>
          </cell>
          <cell r="AF65" t="str">
            <v>Да</v>
          </cell>
          <cell r="AI65" t="str">
            <v>Да</v>
          </cell>
          <cell r="AL65" t="str">
            <v>Да</v>
          </cell>
        </row>
      </sheetData>
      <sheetData sheetId="42">
        <row r="3">
          <cell r="R3" t="str">
            <v>Да</v>
          </cell>
          <cell r="AI3" t="str">
            <v>Да</v>
          </cell>
          <cell r="AZ3" t="str">
            <v>Да</v>
          </cell>
          <cell r="BQ3" t="str">
            <v>Да</v>
          </cell>
          <cell r="CH3" t="str">
            <v>Да</v>
          </cell>
          <cell r="CY3" t="str">
            <v>Да</v>
          </cell>
          <cell r="DP3" t="str">
            <v>Да</v>
          </cell>
          <cell r="EG3" t="str">
            <v>Да</v>
          </cell>
          <cell r="EX3" t="str">
            <v>Да</v>
          </cell>
          <cell r="FO3" t="str">
            <v>Да</v>
          </cell>
          <cell r="GF3" t="str">
            <v>Да</v>
          </cell>
          <cell r="GW3" t="str">
            <v>Да</v>
          </cell>
        </row>
        <row r="4">
          <cell r="R4" t="str">
            <v>Да</v>
          </cell>
          <cell r="AI4" t="str">
            <v>Да</v>
          </cell>
          <cell r="AZ4" t="str">
            <v>Нет</v>
          </cell>
          <cell r="BQ4" t="str">
            <v>Да</v>
          </cell>
          <cell r="CH4" t="str">
            <v>Да</v>
          </cell>
          <cell r="CY4" t="str">
            <v>Нет</v>
          </cell>
          <cell r="DP4" t="str">
            <v>Да</v>
          </cell>
          <cell r="EG4" t="str">
            <v>Нет</v>
          </cell>
          <cell r="EX4" t="str">
            <v>Нет</v>
          </cell>
          <cell r="FO4" t="str">
            <v>Нет</v>
          </cell>
          <cell r="GF4" t="str">
            <v>Нет</v>
          </cell>
          <cell r="GW4" t="str">
            <v>Нет</v>
          </cell>
        </row>
        <row r="5">
          <cell r="R5" t="str">
            <v>Да</v>
          </cell>
          <cell r="AI5" t="str">
            <v>Да</v>
          </cell>
          <cell r="AZ5" t="str">
            <v>Да</v>
          </cell>
          <cell r="BQ5" t="str">
            <v>Нет</v>
          </cell>
          <cell r="CH5" t="str">
            <v>Нет</v>
          </cell>
          <cell r="CY5" t="str">
            <v>Нет</v>
          </cell>
          <cell r="DP5" t="str">
            <v>Нет</v>
          </cell>
          <cell r="EG5" t="str">
            <v>Да</v>
          </cell>
          <cell r="EX5" t="str">
            <v>Нет</v>
          </cell>
          <cell r="FO5" t="str">
            <v>Нет</v>
          </cell>
          <cell r="GF5" t="str">
            <v>Да</v>
          </cell>
          <cell r="GW5" t="str">
            <v>Нет</v>
          </cell>
        </row>
        <row r="6">
          <cell r="R6" t="str">
            <v>Да</v>
          </cell>
          <cell r="AI6" t="str">
            <v>Да</v>
          </cell>
          <cell r="AZ6" t="str">
            <v>Да</v>
          </cell>
          <cell r="BQ6" t="str">
            <v>Да</v>
          </cell>
          <cell r="CH6" t="str">
            <v>Да</v>
          </cell>
          <cell r="CY6" t="str">
            <v>Да</v>
          </cell>
          <cell r="DP6" t="str">
            <v>Да</v>
          </cell>
          <cell r="EG6" t="str">
            <v>Да</v>
          </cell>
          <cell r="EX6" t="str">
            <v>Да</v>
          </cell>
          <cell r="FO6" t="str">
            <v>Да</v>
          </cell>
          <cell r="GF6" t="str">
            <v>Да</v>
          </cell>
          <cell r="GW6" t="str">
            <v>Да</v>
          </cell>
        </row>
        <row r="7">
          <cell r="R7"/>
          <cell r="AI7"/>
          <cell r="AZ7"/>
          <cell r="BQ7"/>
          <cell r="CH7"/>
          <cell r="CY7"/>
          <cell r="DP7"/>
          <cell r="EG7"/>
          <cell r="EX7"/>
          <cell r="FO7"/>
          <cell r="GF7"/>
          <cell r="GW7" t="str">
            <v>Да</v>
          </cell>
        </row>
        <row r="8">
          <cell r="R8" t="str">
            <v>Да</v>
          </cell>
          <cell r="AI8" t="str">
            <v>Да</v>
          </cell>
          <cell r="AZ8" t="str">
            <v>Да</v>
          </cell>
          <cell r="BQ8" t="str">
            <v>Да</v>
          </cell>
          <cell r="CH8" t="str">
            <v>Да</v>
          </cell>
          <cell r="CY8" t="str">
            <v>Да</v>
          </cell>
          <cell r="DP8" t="str">
            <v>Да</v>
          </cell>
          <cell r="EG8" t="str">
            <v>Да</v>
          </cell>
          <cell r="EX8" t="str">
            <v>Да</v>
          </cell>
          <cell r="FO8" t="str">
            <v>Да</v>
          </cell>
          <cell r="GF8" t="str">
            <v>Да</v>
          </cell>
          <cell r="GW8" t="str">
            <v>Да</v>
          </cell>
        </row>
        <row r="9">
          <cell r="R9" t="str">
            <v>Да</v>
          </cell>
          <cell r="AI9" t="str">
            <v>Да</v>
          </cell>
          <cell r="AZ9" t="str">
            <v>Да</v>
          </cell>
          <cell r="BQ9" t="str">
            <v>Да</v>
          </cell>
          <cell r="CH9" t="str">
            <v>Да</v>
          </cell>
          <cell r="CY9" t="str">
            <v>Да</v>
          </cell>
          <cell r="DP9" t="str">
            <v>Да</v>
          </cell>
          <cell r="EG9" t="str">
            <v>Да</v>
          </cell>
          <cell r="EX9" t="str">
            <v>Да</v>
          </cell>
          <cell r="FO9" t="str">
            <v>Да</v>
          </cell>
          <cell r="GF9" t="str">
            <v>Да</v>
          </cell>
          <cell r="GW9" t="str">
            <v>Да</v>
          </cell>
        </row>
        <row r="10">
          <cell r="R10" t="str">
            <v>Да</v>
          </cell>
          <cell r="AI10" t="str">
            <v>Нет</v>
          </cell>
          <cell r="AZ10" t="str">
            <v>Да</v>
          </cell>
          <cell r="BQ10" t="str">
            <v>Да</v>
          </cell>
          <cell r="CH10" t="str">
            <v>Да</v>
          </cell>
          <cell r="CY10" t="str">
            <v>Да</v>
          </cell>
          <cell r="DP10" t="str">
            <v>Да</v>
          </cell>
          <cell r="EG10" t="str">
            <v>Нет</v>
          </cell>
          <cell r="EX10" t="str">
            <v>Да</v>
          </cell>
          <cell r="FO10" t="str">
            <v>Нет</v>
          </cell>
          <cell r="GF10" t="str">
            <v>Да</v>
          </cell>
          <cell r="GW10" t="str">
            <v>Да</v>
          </cell>
        </row>
        <row r="11">
          <cell r="R11" t="str">
            <v>Да</v>
          </cell>
          <cell r="AI11" t="str">
            <v>Да</v>
          </cell>
          <cell r="AZ11" t="str">
            <v>Да</v>
          </cell>
          <cell r="BQ11" t="str">
            <v>Да</v>
          </cell>
          <cell r="CH11" t="str">
            <v>Да</v>
          </cell>
          <cell r="CY11" t="str">
            <v>Да</v>
          </cell>
          <cell r="DP11" t="str">
            <v>Да</v>
          </cell>
          <cell r="EG11" t="str">
            <v>Да</v>
          </cell>
          <cell r="EX11" t="str">
            <v>Да</v>
          </cell>
          <cell r="FO11" t="str">
            <v>Да</v>
          </cell>
          <cell r="GF11" t="str">
            <v>Да</v>
          </cell>
          <cell r="GW11" t="str">
            <v>Да</v>
          </cell>
        </row>
        <row r="12">
          <cell r="R12" t="str">
            <v>Да</v>
          </cell>
          <cell r="AI12" t="str">
            <v>Да</v>
          </cell>
          <cell r="AZ12" t="str">
            <v>Нет</v>
          </cell>
          <cell r="BQ12" t="str">
            <v>Нет</v>
          </cell>
          <cell r="CH12" t="str">
            <v>Нет</v>
          </cell>
          <cell r="CY12" t="str">
            <v>Нет</v>
          </cell>
          <cell r="DP12" t="str">
            <v>Да</v>
          </cell>
          <cell r="EG12" t="str">
            <v>Нет</v>
          </cell>
          <cell r="EX12" t="str">
            <v>Нет</v>
          </cell>
          <cell r="FO12" t="str">
            <v>Нет</v>
          </cell>
          <cell r="GF12" t="str">
            <v>Нет</v>
          </cell>
          <cell r="GW12" t="str">
            <v>Нет</v>
          </cell>
        </row>
        <row r="13">
          <cell r="R13" t="str">
            <v>Да</v>
          </cell>
          <cell r="AI13" t="str">
            <v>Нет</v>
          </cell>
          <cell r="AZ13" t="str">
            <v>Да</v>
          </cell>
          <cell r="BQ13" t="str">
            <v>Да</v>
          </cell>
          <cell r="CH13" t="str">
            <v>Да</v>
          </cell>
          <cell r="CY13" t="str">
            <v>Да</v>
          </cell>
          <cell r="DP13" t="str">
            <v>Да</v>
          </cell>
          <cell r="EG13" t="str">
            <v>Нет</v>
          </cell>
          <cell r="EX13" t="str">
            <v>Да</v>
          </cell>
          <cell r="FO13" t="str">
            <v>Нет</v>
          </cell>
          <cell r="GF13" t="str">
            <v>Да</v>
          </cell>
          <cell r="GW13" t="str">
            <v>Нет</v>
          </cell>
        </row>
        <row r="14">
          <cell r="R14" t="str">
            <v>Да</v>
          </cell>
          <cell r="AI14" t="str">
            <v>Да</v>
          </cell>
          <cell r="AZ14" t="str">
            <v>Да</v>
          </cell>
          <cell r="BQ14" t="str">
            <v>Да</v>
          </cell>
          <cell r="CH14" t="str">
            <v>Да</v>
          </cell>
          <cell r="CY14" t="str">
            <v>Да</v>
          </cell>
          <cell r="DP14" t="str">
            <v>Да</v>
          </cell>
          <cell r="EG14" t="str">
            <v>Да</v>
          </cell>
          <cell r="EX14" t="str">
            <v>Да</v>
          </cell>
          <cell r="FO14" t="str">
            <v>Да</v>
          </cell>
          <cell r="GF14" t="str">
            <v>Да</v>
          </cell>
          <cell r="GW14" t="str">
            <v>Да</v>
          </cell>
        </row>
        <row r="15">
          <cell r="R15" t="str">
            <v>Да</v>
          </cell>
          <cell r="AI15" t="str">
            <v>Да</v>
          </cell>
          <cell r="AZ15" t="str">
            <v>Да</v>
          </cell>
          <cell r="BQ15" t="str">
            <v>Да</v>
          </cell>
          <cell r="CH15" t="str">
            <v>Да</v>
          </cell>
          <cell r="CY15" t="str">
            <v>Да</v>
          </cell>
          <cell r="DP15" t="str">
            <v>Да</v>
          </cell>
          <cell r="EG15" t="str">
            <v>Да</v>
          </cell>
          <cell r="EX15" t="str">
            <v>Да</v>
          </cell>
          <cell r="FO15" t="str">
            <v>Да</v>
          </cell>
          <cell r="GF15" t="str">
            <v>Да</v>
          </cell>
          <cell r="GW15" t="str">
            <v>Да</v>
          </cell>
        </row>
        <row r="16">
          <cell r="R16"/>
          <cell r="AI16"/>
          <cell r="AZ16"/>
          <cell r="BQ16" t="str">
            <v>Да</v>
          </cell>
          <cell r="CH16" t="str">
            <v>Да</v>
          </cell>
          <cell r="CY16" t="str">
            <v>Да</v>
          </cell>
          <cell r="DP16" t="str">
            <v>Да</v>
          </cell>
          <cell r="EG16" t="str">
            <v>Да</v>
          </cell>
          <cell r="EX16" t="str">
            <v>Да</v>
          </cell>
          <cell r="FO16" t="str">
            <v>Да</v>
          </cell>
          <cell r="GF16" t="str">
            <v>Да</v>
          </cell>
          <cell r="GW16" t="str">
            <v>Да</v>
          </cell>
        </row>
        <row r="17">
          <cell r="R17" t="str">
            <v>Да</v>
          </cell>
          <cell r="AI17" t="str">
            <v>Да</v>
          </cell>
          <cell r="AZ17" t="str">
            <v>Да</v>
          </cell>
          <cell r="BQ17" t="str">
            <v>Да</v>
          </cell>
          <cell r="CH17" t="str">
            <v>Да</v>
          </cell>
          <cell r="CY17" t="str">
            <v>Да</v>
          </cell>
          <cell r="DP17" t="str">
            <v>Да</v>
          </cell>
          <cell r="EG17" t="str">
            <v>Да</v>
          </cell>
          <cell r="EX17" t="str">
            <v>Да</v>
          </cell>
          <cell r="FO17" t="str">
            <v>Да</v>
          </cell>
          <cell r="GF17" t="str">
            <v>Да</v>
          </cell>
          <cell r="GW17" t="str">
            <v>Да</v>
          </cell>
        </row>
        <row r="19">
          <cell r="R19" t="str">
            <v>Да</v>
          </cell>
          <cell r="AI19" t="str">
            <v>Да</v>
          </cell>
          <cell r="AZ19" t="str">
            <v>Да</v>
          </cell>
          <cell r="BQ19" t="str">
            <v>Да</v>
          </cell>
          <cell r="CH19" t="str">
            <v>Да</v>
          </cell>
          <cell r="CY19" t="str">
            <v>Да</v>
          </cell>
          <cell r="DP19" t="str">
            <v>Да</v>
          </cell>
          <cell r="EG19" t="str">
            <v>Да</v>
          </cell>
          <cell r="EX19" t="str">
            <v>Нет</v>
          </cell>
          <cell r="FO19" t="str">
            <v>Да</v>
          </cell>
          <cell r="GF19" t="str">
            <v>Да</v>
          </cell>
          <cell r="GW19" t="str">
            <v>Да</v>
          </cell>
        </row>
        <row r="20">
          <cell r="R20" t="str">
            <v>Да</v>
          </cell>
          <cell r="AI20" t="str">
            <v>Да</v>
          </cell>
          <cell r="AZ20" t="str">
            <v>Да</v>
          </cell>
          <cell r="BQ20" t="str">
            <v>Да</v>
          </cell>
          <cell r="CH20" t="str">
            <v>Да</v>
          </cell>
          <cell r="CY20" t="str">
            <v>Да</v>
          </cell>
          <cell r="DP20" t="str">
            <v>Да</v>
          </cell>
          <cell r="EG20" t="str">
            <v>Да</v>
          </cell>
          <cell r="EX20" t="str">
            <v>Да</v>
          </cell>
          <cell r="FO20" t="str">
            <v>Да</v>
          </cell>
          <cell r="GF20" t="str">
            <v>Да</v>
          </cell>
          <cell r="GW20" t="str">
            <v>Да</v>
          </cell>
        </row>
        <row r="21">
          <cell r="R21" t="str">
            <v>Да</v>
          </cell>
          <cell r="AI21" t="str">
            <v>Да</v>
          </cell>
          <cell r="AZ21" t="str">
            <v>Да</v>
          </cell>
          <cell r="BQ21" t="str">
            <v>Да</v>
          </cell>
          <cell r="CH21" t="str">
            <v>Да</v>
          </cell>
          <cell r="CY21" t="str">
            <v>Да</v>
          </cell>
          <cell r="DP21" t="str">
            <v>Да</v>
          </cell>
          <cell r="EG21" t="str">
            <v>Да</v>
          </cell>
          <cell r="EX21" t="str">
            <v>Да</v>
          </cell>
          <cell r="FO21" t="str">
            <v>Да</v>
          </cell>
          <cell r="GF21" t="str">
            <v>Да</v>
          </cell>
          <cell r="GW21" t="str">
            <v>Да</v>
          </cell>
        </row>
      </sheetData>
      <sheetData sheetId="43">
        <row r="3">
          <cell r="C3"/>
          <cell r="E3"/>
          <cell r="J3" t="str">
            <v>Да</v>
          </cell>
          <cell r="O3" t="str">
            <v>Да</v>
          </cell>
          <cell r="T3" t="str">
            <v>Да</v>
          </cell>
          <cell r="Y3" t="str">
            <v>Да</v>
          </cell>
          <cell r="AD3" t="str">
            <v>Да</v>
          </cell>
          <cell r="AI3" t="str">
            <v>Да</v>
          </cell>
          <cell r="AL3" t="str">
            <v>Да</v>
          </cell>
          <cell r="AQ3" t="str">
            <v>Да</v>
          </cell>
          <cell r="AV3" t="str">
            <v>Да</v>
          </cell>
          <cell r="BB3" t="str">
            <v>Да</v>
          </cell>
        </row>
        <row r="4">
          <cell r="C4"/>
          <cell r="E4"/>
          <cell r="J4" t="str">
            <v>Нет</v>
          </cell>
          <cell r="O4" t="str">
            <v>Да</v>
          </cell>
          <cell r="T4" t="str">
            <v>Нет</v>
          </cell>
          <cell r="Y4" t="str">
            <v>Нет</v>
          </cell>
          <cell r="AD4" t="str">
            <v>Нет</v>
          </cell>
          <cell r="AI4" t="str">
            <v>Нет</v>
          </cell>
          <cell r="AL4" t="str">
            <v>Да</v>
          </cell>
          <cell r="AQ4" t="str">
            <v>Нет</v>
          </cell>
          <cell r="AV4" t="str">
            <v>Нет</v>
          </cell>
          <cell r="BB4" t="str">
            <v>Нет</v>
          </cell>
        </row>
        <row r="6">
          <cell r="C6"/>
          <cell r="E6"/>
          <cell r="J6" t="str">
            <v>Нет</v>
          </cell>
          <cell r="O6" t="str">
            <v>Нет</v>
          </cell>
          <cell r="T6" t="str">
            <v>Нет</v>
          </cell>
          <cell r="Y6" t="str">
            <v>Нет</v>
          </cell>
          <cell r="AD6" t="str">
            <v>Нет</v>
          </cell>
          <cell r="AI6" t="str">
            <v>Нет</v>
          </cell>
          <cell r="AL6" t="str">
            <v>Нет</v>
          </cell>
          <cell r="AQ6" t="str">
            <v>Нет</v>
          </cell>
          <cell r="AV6" t="str">
            <v>Нет</v>
          </cell>
          <cell r="BB6" t="str">
            <v>Нет</v>
          </cell>
        </row>
        <row r="7">
          <cell r="C7"/>
          <cell r="E7"/>
          <cell r="J7" t="str">
            <v>Нет</v>
          </cell>
          <cell r="O7" t="str">
            <v>Да</v>
          </cell>
          <cell r="T7" t="str">
            <v>Да</v>
          </cell>
          <cell r="Y7" t="str">
            <v>Нет</v>
          </cell>
          <cell r="AD7" t="str">
            <v>Нет</v>
          </cell>
          <cell r="AI7" t="str">
            <v>Да</v>
          </cell>
          <cell r="AL7" t="str">
            <v>Да</v>
          </cell>
          <cell r="AQ7" t="str">
            <v>Нет</v>
          </cell>
          <cell r="AV7" t="str">
            <v>Нет</v>
          </cell>
          <cell r="BB7" t="str">
            <v>Нет</v>
          </cell>
        </row>
        <row r="8">
          <cell r="C8"/>
          <cell r="E8"/>
          <cell r="J8" t="str">
            <v>Да</v>
          </cell>
          <cell r="O8" t="str">
            <v>Нет</v>
          </cell>
          <cell r="T8" t="str">
            <v>Нет</v>
          </cell>
          <cell r="Y8" t="str">
            <v>Нет</v>
          </cell>
          <cell r="AD8" t="str">
            <v>Нет</v>
          </cell>
          <cell r="AI8" t="str">
            <v>Нет</v>
          </cell>
          <cell r="AL8" t="str">
            <v>Да</v>
          </cell>
          <cell r="AQ8" t="str">
            <v>Да</v>
          </cell>
          <cell r="AV8" t="str">
            <v>Да</v>
          </cell>
          <cell r="BB8" t="str">
            <v>Нет</v>
          </cell>
        </row>
        <row r="9">
          <cell r="C9"/>
          <cell r="E9"/>
          <cell r="J9" t="str">
            <v>Нет</v>
          </cell>
          <cell r="O9" t="str">
            <v>Нет</v>
          </cell>
          <cell r="T9" t="str">
            <v>Нет</v>
          </cell>
          <cell r="Y9" t="str">
            <v>Нет</v>
          </cell>
          <cell r="AD9" t="str">
            <v>Нет</v>
          </cell>
          <cell r="AI9" t="str">
            <v>Нет</v>
          </cell>
          <cell r="AL9" t="str">
            <v>Нет</v>
          </cell>
          <cell r="AQ9" t="str">
            <v>Нет</v>
          </cell>
          <cell r="AV9" t="str">
            <v>Нет</v>
          </cell>
          <cell r="BB9" t="str">
            <v>Нет</v>
          </cell>
        </row>
        <row r="10">
          <cell r="C10"/>
          <cell r="E10"/>
          <cell r="J10" t="str">
            <v>Нет</v>
          </cell>
          <cell r="O10" t="str">
            <v>Нет</v>
          </cell>
          <cell r="T10" t="str">
            <v>Нет</v>
          </cell>
          <cell r="Y10" t="str">
            <v>Нет</v>
          </cell>
          <cell r="AD10" t="str">
            <v>Нет</v>
          </cell>
          <cell r="AI10" t="str">
            <v>Нет</v>
          </cell>
          <cell r="AL10" t="str">
            <v>Нет</v>
          </cell>
          <cell r="AQ10" t="str">
            <v>Нет</v>
          </cell>
          <cell r="AV10" t="str">
            <v>Нет</v>
          </cell>
          <cell r="BB10" t="str">
            <v>Нет</v>
          </cell>
        </row>
        <row r="11">
          <cell r="C11"/>
          <cell r="E11"/>
          <cell r="J11" t="str">
            <v>Нет</v>
          </cell>
          <cell r="O11" t="str">
            <v>Нет</v>
          </cell>
          <cell r="T11" t="str">
            <v>Нет</v>
          </cell>
          <cell r="Y11" t="str">
            <v>Нет</v>
          </cell>
          <cell r="AD11" t="str">
            <v>Нет</v>
          </cell>
          <cell r="AI11" t="str">
            <v>Нет</v>
          </cell>
          <cell r="AL11" t="str">
            <v>Нет</v>
          </cell>
          <cell r="AQ11" t="str">
            <v>Нет</v>
          </cell>
          <cell r="AV11" t="str">
            <v>Нет</v>
          </cell>
          <cell r="BB11" t="str">
            <v>Нет</v>
          </cell>
        </row>
      </sheetData>
      <sheetData sheetId="4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2994"/>
  <x:sheetViews>
    <x:sheetView workbookViewId="0">
      <x:selection activeCell="D220" sqref="D220 D220:D262"/>
    </x:sheetView>
  </x:sheetViews>
  <x:sheetFormatPr defaultColWidth="10.424911" defaultRowHeight="15" x14ac:dyDescent="0.25"/>
  <x:cols>
    <x:col min="1" max="5" width="22.140625" style="1" customWidth="1"/>
  </x:cols>
  <x:sheetData>
    <x:row r="1" spans="1:5" ht="30" customHeight="1" x14ac:dyDescent="0.25">
      <x:c r="A1" s="555" t="s">
        <x:v>0</x:v>
      </x:c>
      <x:c r="B1" s="555" t="s">
        <x:v>1</x:v>
      </x:c>
      <x:c r="C1" s="555" t="s">
        <x:v>2</x:v>
      </x:c>
      <x:c r="D1" s="555" t="s">
        <x:v>3</x:v>
      </x:c>
      <x:c r="E1" s="555" t="s">
        <x:v>4</x:v>
      </x:c>
    </x:row>
    <x:row r="2" spans="1:5" ht="81.95" customHeight="1" x14ac:dyDescent="0.25">
      <x:c r="A2" s="3" t="s">
        <x:v>5</x:v>
      </x:c>
      <x:c r="B2" s="3" t="s">
        <x:v>6</x:v>
      </x:c>
      <x:c r="C2" s="3" t="s">
        <x:v>7</x:v>
      </x:c>
      <x:c r="D2" s="3" t="s">
        <x:v>8</x:v>
      </x:c>
      <x:c r="E2" s="3"/>
    </x:row>
    <x:row r="3" spans="1:5" ht="71.1" customHeight="1" x14ac:dyDescent="0.25">
      <x:c r="A3" s="3" t="s">
        <x:v>9</x:v>
      </x:c>
      <x:c r="B3" s="3" t="s">
        <x:v>10</x:v>
      </x:c>
      <x:c r="C3" s="79"/>
      <x:c r="D3" s="3" t="s">
        <x:v>11</x:v>
      </x:c>
      <x:c r="E3" s="3"/>
    </x:row>
    <x:row r="4" spans="1:5" ht="71.1" customHeight="1" x14ac:dyDescent="0.25">
      <x:c r="A4" s="3" t="s">
        <x:v>12</x:v>
      </x:c>
      <x:c r="B4" s="3" t="s">
        <x:v>10</x:v>
      </x:c>
      <x:c r="C4" s="3" t="s">
        <x:v>13</x:v>
      </x:c>
      <x:c r="D4" s="79" t="s">
        <x:v>14</x:v>
      </x:c>
      <x:c r="E4" s="3"/>
    </x:row>
    <x:row r="5" spans="1:5" ht="81.95" customHeight="1" x14ac:dyDescent="0.25">
      <x:c r="A5" s="3" t="s">
        <x:v>15</x:v>
      </x:c>
      <x:c r="B5" s="3" t="s">
        <x:v>10</x:v>
      </x:c>
      <x:c r="C5" s="79" t="s">
        <x:v>13</x:v>
      </x:c>
      <x:c r="D5" s="3" t="s">
        <x:v>16</x:v>
      </x:c>
      <x:c r="E5" s="3" t="s">
        <x:v>17</x:v>
      </x:c>
    </x:row>
    <x:row r="6" spans="1:5" ht="81.95" customHeight="1" x14ac:dyDescent="0.25">
      <x:c r="A6" s="3" t="s">
        <x:v>18</x:v>
      </x:c>
      <x:c r="B6" s="3" t="s">
        <x:v>10</x:v>
      </x:c>
      <x:c r="C6" s="3" t="s">
        <x:v>13</x:v>
      </x:c>
      <x:c r="D6" s="79" t="s">
        <x:v>16</x:v>
      </x:c>
      <x:c r="E6" s="3" t="s">
        <x:v>17</x:v>
      </x:c>
    </x:row>
    <x:row r="7" spans="1:5" ht="81.95" customHeight="1" x14ac:dyDescent="0.25">
      <x:c r="A7" s="3" t="s">
        <x:v>19</x:v>
      </x:c>
      <x:c r="B7" s="3" t="s">
        <x:v>10</x:v>
      </x:c>
      <x:c r="C7" s="79" t="s">
        <x:v>13</x:v>
      </x:c>
      <x:c r="D7" s="3" t="s">
        <x:v>16</x:v>
      </x:c>
      <x:c r="E7" s="3" t="s">
        <x:v>17</x:v>
      </x:c>
    </x:row>
    <x:row r="8" spans="1:5" ht="71.1" customHeight="1" x14ac:dyDescent="0.25">
      <x:c r="A8" s="3" t="s">
        <x:v>20</x:v>
      </x:c>
      <x:c r="B8" s="3" t="s">
        <x:v>10</x:v>
      </x:c>
      <x:c r="C8" s="3" t="s">
        <x:v>13</x:v>
      </x:c>
      <x:c r="D8" s="79" t="s">
        <x:v>21</x:v>
      </x:c>
      <x:c r="E8" s="3" t="s">
        <x:v>17</x:v>
      </x:c>
    </x:row>
    <x:row r="9" spans="1:5" ht="71.1" customHeight="1" x14ac:dyDescent="0.25">
      <x:c r="A9" s="3" t="s">
        <x:v>22</x:v>
      </x:c>
      <x:c r="B9" s="3" t="s">
        <x:v>10</x:v>
      </x:c>
      <x:c r="C9" s="79" t="s">
        <x:v>13</x:v>
      </x:c>
      <x:c r="D9" s="3" t="s">
        <x:v>23</x:v>
      </x:c>
      <x:c r="E9" s="3" t="s">
        <x:v>24</x:v>
      </x:c>
    </x:row>
    <x:row r="10" spans="1:5" ht="71.1" customHeight="1" x14ac:dyDescent="0.25">
      <x:c r="A10" s="3" t="s">
        <x:v>25</x:v>
      </x:c>
      <x:c r="B10" s="3" t="s">
        <x:v>10</x:v>
      </x:c>
      <x:c r="C10" s="3" t="s">
        <x:v>13</x:v>
      </x:c>
      <x:c r="D10" s="79" t="s">
        <x:v>23</x:v>
      </x:c>
      <x:c r="E10" s="3" t="s">
        <x:v>24</x:v>
      </x:c>
    </x:row>
    <x:row r="11" spans="1:5" ht="71.1" customHeight="1" x14ac:dyDescent="0.25">
      <x:c r="A11" s="3" t="s">
        <x:v>26</x:v>
      </x:c>
      <x:c r="B11" s="3" t="s">
        <x:v>10</x:v>
      </x:c>
      <x:c r="C11" s="79" t="s">
        <x:v>13</x:v>
      </x:c>
      <x:c r="D11" s="3" t="s">
        <x:v>23</x:v>
      </x:c>
      <x:c r="E11" s="3" t="s">
        <x:v>24</x:v>
      </x:c>
    </x:row>
    <x:row r="12" spans="1:5" ht="71.1" customHeight="1" x14ac:dyDescent="0.25">
      <x:c r="A12" s="3" t="s">
        <x:v>27</x:v>
      </x:c>
      <x:c r="B12" s="3" t="s">
        <x:v>10</x:v>
      </x:c>
      <x:c r="C12" s="3" t="s">
        <x:v>13</x:v>
      </x:c>
      <x:c r="D12" s="79" t="s">
        <x:v>23</x:v>
      </x:c>
      <x:c r="E12" s="3" t="s">
        <x:v>24</x:v>
      </x:c>
    </x:row>
    <x:row r="13" spans="1:5" ht="71.1" customHeight="1" x14ac:dyDescent="0.25">
      <x:c r="A13" s="3" t="s">
        <x:v>28</x:v>
      </x:c>
      <x:c r="B13" s="3" t="s">
        <x:v>10</x:v>
      </x:c>
      <x:c r="C13" s="79" t="s">
        <x:v>13</x:v>
      </x:c>
      <x:c r="D13" s="3" t="s">
        <x:v>23</x:v>
      </x:c>
      <x:c r="E13" s="3" t="s">
        <x:v>24</x:v>
      </x:c>
    </x:row>
    <x:row r="14" spans="1:5" ht="71.1" customHeight="1" x14ac:dyDescent="0.25">
      <x:c r="A14" s="3" t="s">
        <x:v>29</x:v>
      </x:c>
      <x:c r="B14" s="3" t="s">
        <x:v>10</x:v>
      </x:c>
      <x:c r="C14" s="3" t="s">
        <x:v>13</x:v>
      </x:c>
      <x:c r="D14" s="79" t="s">
        <x:v>23</x:v>
      </x:c>
      <x:c r="E14" s="3" t="s">
        <x:v>24</x:v>
      </x:c>
    </x:row>
    <x:row r="15" spans="1:5" ht="71.1" customHeight="1" x14ac:dyDescent="0.25">
      <x:c r="A15" s="3" t="s">
        <x:v>30</x:v>
      </x:c>
      <x:c r="B15" s="3" t="s">
        <x:v>10</x:v>
      </x:c>
      <x:c r="C15" s="79" t="s">
        <x:v>13</x:v>
      </x:c>
      <x:c r="D15" s="3" t="s">
        <x:v>23</x:v>
      </x:c>
      <x:c r="E15" s="3" t="s">
        <x:v>24</x:v>
      </x:c>
    </x:row>
    <x:row r="16" spans="1:5" ht="71.1" customHeight="1" x14ac:dyDescent="0.25">
      <x:c r="A16" s="3" t="s">
        <x:v>31</x:v>
      </x:c>
      <x:c r="B16" s="3" t="s">
        <x:v>10</x:v>
      </x:c>
      <x:c r="C16" s="3" t="s">
        <x:v>13</x:v>
      </x:c>
      <x:c r="D16" s="79" t="s">
        <x:v>23</x:v>
      </x:c>
      <x:c r="E16" s="3" t="s">
        <x:v>24</x:v>
      </x:c>
    </x:row>
    <x:row r="17" spans="1:5" ht="71.1" customHeight="1" x14ac:dyDescent="0.25">
      <x:c r="A17" s="3" t="s">
        <x:v>32</x:v>
      </x:c>
      <x:c r="B17" s="3" t="s">
        <x:v>10</x:v>
      </x:c>
      <x:c r="C17" s="79" t="s">
        <x:v>13</x:v>
      </x:c>
      <x:c r="D17" s="3" t="s">
        <x:v>23</x:v>
      </x:c>
      <x:c r="E17" s="3" t="s">
        <x:v>24</x:v>
      </x:c>
    </x:row>
    <x:row r="18" spans="1:5" ht="71.1" customHeight="1" x14ac:dyDescent="0.25">
      <x:c r="A18" s="3" t="s">
        <x:v>33</x:v>
      </x:c>
      <x:c r="B18" s="3" t="s">
        <x:v>10</x:v>
      </x:c>
      <x:c r="C18" s="3" t="s">
        <x:v>13</x:v>
      </x:c>
      <x:c r="D18" s="79" t="s">
        <x:v>23</x:v>
      </x:c>
      <x:c r="E18" s="3" t="s">
        <x:v>24</x:v>
      </x:c>
    </x:row>
    <x:row r="19" spans="1:5" ht="71.1" customHeight="1" x14ac:dyDescent="0.25">
      <x:c r="A19" s="3" t="s">
        <x:v>34</x:v>
      </x:c>
      <x:c r="B19" s="3" t="s">
        <x:v>10</x:v>
      </x:c>
      <x:c r="C19" s="79" t="s">
        <x:v>13</x:v>
      </x:c>
      <x:c r="D19" s="3" t="s">
        <x:v>23</x:v>
      </x:c>
      <x:c r="E19" s="3" t="s">
        <x:v>24</x:v>
      </x:c>
    </x:row>
    <x:row r="20" spans="1:5" ht="71.1" customHeight="1" x14ac:dyDescent="0.25">
      <x:c r="A20" s="3" t="s">
        <x:v>35</x:v>
      </x:c>
      <x:c r="B20" s="3" t="s">
        <x:v>10</x:v>
      </x:c>
      <x:c r="C20" s="3" t="s">
        <x:v>13</x:v>
      </x:c>
      <x:c r="D20" s="79" t="s">
        <x:v>23</x:v>
      </x:c>
      <x:c r="E20" s="3" t="s">
        <x:v>24</x:v>
      </x:c>
    </x:row>
    <x:row r="21" spans="1:5" ht="71.1" customHeight="1" x14ac:dyDescent="0.25">
      <x:c r="A21" s="3" t="s">
        <x:v>36</x:v>
      </x:c>
      <x:c r="B21" s="3" t="s">
        <x:v>10</x:v>
      </x:c>
      <x:c r="C21" s="79" t="s">
        <x:v>13</x:v>
      </x:c>
      <x:c r="D21" s="3" t="s">
        <x:v>37</x:v>
      </x:c>
      <x:c r="E21" s="3" t="s">
        <x:v>24</x:v>
      </x:c>
    </x:row>
    <x:row r="22" spans="1:5" ht="71.1" customHeight="1" x14ac:dyDescent="0.25">
      <x:c r="A22" s="3" t="s">
        <x:v>38</x:v>
      </x:c>
      <x:c r="B22" s="3" t="s">
        <x:v>10</x:v>
      </x:c>
      <x:c r="C22" s="3" t="s">
        <x:v>13</x:v>
      </x:c>
      <x:c r="D22" s="79" t="s">
        <x:v>37</x:v>
      </x:c>
      <x:c r="E22" s="3" t="s">
        <x:v>24</x:v>
      </x:c>
    </x:row>
    <x:row r="23" spans="1:5" ht="71.1" customHeight="1" x14ac:dyDescent="0.25">
      <x:c r="A23" s="3" t="s">
        <x:v>39</x:v>
      </x:c>
      <x:c r="B23" s="3" t="s">
        <x:v>10</x:v>
      </x:c>
      <x:c r="C23" s="79" t="s">
        <x:v>13</x:v>
      </x:c>
      <x:c r="D23" s="3" t="s">
        <x:v>37</x:v>
      </x:c>
      <x:c r="E23" s="3" t="s">
        <x:v>24</x:v>
      </x:c>
    </x:row>
    <x:row r="24" spans="1:5" ht="71.1" customHeight="1" x14ac:dyDescent="0.25">
      <x:c r="A24" s="3" t="s">
        <x:v>40</x:v>
      </x:c>
      <x:c r="B24" s="3" t="s">
        <x:v>10</x:v>
      </x:c>
      <x:c r="C24" s="3" t="s">
        <x:v>41</x:v>
      </x:c>
      <x:c r="D24" s="79" t="s">
        <x:v>14</x:v>
      </x:c>
      <x:c r="E24" s="3"/>
    </x:row>
    <x:row r="25" spans="1:5" ht="71.1" customHeight="1" x14ac:dyDescent="0.25">
      <x:c r="A25" s="3" t="s">
        <x:v>42</x:v>
      </x:c>
      <x:c r="B25" s="3" t="s">
        <x:v>10</x:v>
      </x:c>
      <x:c r="C25" s="79" t="s">
        <x:v>41</x:v>
      </x:c>
      <x:c r="D25" s="3" t="s">
        <x:v>43</x:v>
      </x:c>
      <x:c r="E25" s="3"/>
    </x:row>
    <x:row r="26" spans="1:5" ht="71.1" customHeight="1" x14ac:dyDescent="0.25">
      <x:c r="A26" s="3" t="s">
        <x:v>44</x:v>
      </x:c>
      <x:c r="B26" s="3" t="s">
        <x:v>10</x:v>
      </x:c>
      <x:c r="C26" s="3" t="s">
        <x:v>41</x:v>
      </x:c>
      <x:c r="D26" s="79" t="s">
        <x:v>23</x:v>
      </x:c>
      <x:c r="E26" s="3" t="s">
        <x:v>17</x:v>
      </x:c>
    </x:row>
    <x:row r="27" spans="1:5" ht="71.1" customHeight="1" x14ac:dyDescent="0.25">
      <x:c r="A27" s="3" t="s">
        <x:v>45</x:v>
      </x:c>
      <x:c r="B27" s="3" t="s">
        <x:v>10</x:v>
      </x:c>
      <x:c r="C27" s="79" t="s">
        <x:v>41</x:v>
      </x:c>
      <x:c r="D27" s="3" t="s">
        <x:v>23</x:v>
      </x:c>
      <x:c r="E27" s="3" t="s">
        <x:v>17</x:v>
      </x:c>
    </x:row>
    <x:row r="28" spans="1:5" ht="71.1" customHeight="1" x14ac:dyDescent="0.25">
      <x:c r="A28" s="3" t="s">
        <x:v>46</x:v>
      </x:c>
      <x:c r="B28" s="3" t="s">
        <x:v>10</x:v>
      </x:c>
      <x:c r="C28" s="3" t="s">
        <x:v>41</x:v>
      </x:c>
      <x:c r="D28" s="79" t="s">
        <x:v>37</x:v>
      </x:c>
      <x:c r="E28" s="3" t="s">
        <x:v>17</x:v>
      </x:c>
    </x:row>
    <x:row r="29" spans="1:5" ht="71.1" customHeight="1" x14ac:dyDescent="0.25">
      <x:c r="A29" s="3" t="s">
        <x:v>47</x:v>
      </x:c>
      <x:c r="B29" s="3" t="s">
        <x:v>10</x:v>
      </x:c>
      <x:c r="C29" s="79" t="s">
        <x:v>41</x:v>
      </x:c>
      <x:c r="D29" s="3" t="s">
        <x:v>37</x:v>
      </x:c>
      <x:c r="E29" s="3" t="s">
        <x:v>17</x:v>
      </x:c>
    </x:row>
    <x:row r="30" spans="1:5" ht="71.1" customHeight="1" x14ac:dyDescent="0.25">
      <x:c r="A30" s="3" t="s">
        <x:v>48</x:v>
      </x:c>
      <x:c r="B30" s="3" t="s">
        <x:v>10</x:v>
      </x:c>
      <x:c r="C30" s="3" t="s">
        <x:v>41</x:v>
      </x:c>
      <x:c r="D30" s="79" t="s">
        <x:v>37</x:v>
      </x:c>
      <x:c r="E30" s="3" t="s">
        <x:v>17</x:v>
      </x:c>
    </x:row>
    <x:row r="31" spans="1:5" ht="71.1" customHeight="1" x14ac:dyDescent="0.25">
      <x:c r="A31" s="3" t="s">
        <x:v>49</x:v>
      </x:c>
      <x:c r="B31" s="3" t="s">
        <x:v>10</x:v>
      </x:c>
      <x:c r="C31" s="79" t="s">
        <x:v>41</x:v>
      </x:c>
      <x:c r="D31" s="3" t="s">
        <x:v>37</x:v>
      </x:c>
      <x:c r="E31" s="3" t="s">
        <x:v>17</x:v>
      </x:c>
    </x:row>
    <x:row r="32" spans="1:5" ht="71.1" customHeight="1" x14ac:dyDescent="0.25">
      <x:c r="A32" s="3" t="s">
        <x:v>50</x:v>
      </x:c>
      <x:c r="B32" s="3" t="s">
        <x:v>10</x:v>
      </x:c>
      <x:c r="C32" s="3" t="s">
        <x:v>41</x:v>
      </x:c>
      <x:c r="D32" s="79" t="s">
        <x:v>37</x:v>
      </x:c>
      <x:c r="E32" s="3" t="s">
        <x:v>17</x:v>
      </x:c>
    </x:row>
    <x:row r="33" spans="1:5" ht="71.1" customHeight="1" x14ac:dyDescent="0.25">
      <x:c r="A33" s="3" t="s">
        <x:v>51</x:v>
      </x:c>
      <x:c r="B33" s="3" t="s">
        <x:v>10</x:v>
      </x:c>
      <x:c r="C33" s="79" t="s">
        <x:v>41</x:v>
      </x:c>
      <x:c r="D33" s="3" t="s">
        <x:v>23</x:v>
      </x:c>
      <x:c r="E33" s="3" t="s">
        <x:v>17</x:v>
      </x:c>
    </x:row>
    <x:row r="34" spans="1:5" ht="71.1" customHeight="1" x14ac:dyDescent="0.25">
      <x:c r="A34" s="3" t="s">
        <x:v>52</x:v>
      </x:c>
      <x:c r="B34" s="3" t="s">
        <x:v>10</x:v>
      </x:c>
      <x:c r="C34" s="3" t="s">
        <x:v>41</x:v>
      </x:c>
      <x:c r="D34" s="79" t="s">
        <x:v>23</x:v>
      </x:c>
      <x:c r="E34" s="3" t="s">
        <x:v>17</x:v>
      </x:c>
    </x:row>
    <x:row r="35" spans="1:5" ht="71.1" customHeight="1" x14ac:dyDescent="0.25">
      <x:c r="A35" s="3" t="s">
        <x:v>53</x:v>
      </x:c>
      <x:c r="B35" s="3" t="s">
        <x:v>10</x:v>
      </x:c>
      <x:c r="C35" s="79" t="s">
        <x:v>41</x:v>
      </x:c>
      <x:c r="D35" s="3" t="s">
        <x:v>23</x:v>
      </x:c>
      <x:c r="E35" s="3" t="s">
        <x:v>17</x:v>
      </x:c>
    </x:row>
    <x:row r="36" spans="1:5" ht="71.1" customHeight="1" x14ac:dyDescent="0.25">
      <x:c r="A36" s="3" t="s">
        <x:v>54</x:v>
      </x:c>
      <x:c r="B36" s="3" t="s">
        <x:v>10</x:v>
      </x:c>
      <x:c r="C36" s="3" t="s">
        <x:v>41</x:v>
      </x:c>
      <x:c r="D36" s="79" t="s">
        <x:v>23</x:v>
      </x:c>
      <x:c r="E36" s="3" t="s">
        <x:v>17</x:v>
      </x:c>
    </x:row>
    <x:row r="37" spans="1:5" ht="71.1" customHeight="1" x14ac:dyDescent="0.25">
      <x:c r="A37" s="3" t="s">
        <x:v>55</x:v>
      </x:c>
      <x:c r="B37" s="3" t="s">
        <x:v>10</x:v>
      </x:c>
      <x:c r="C37" s="79" t="s">
        <x:v>41</x:v>
      </x:c>
      <x:c r="D37" s="3" t="s">
        <x:v>23</x:v>
      </x:c>
      <x:c r="E37" s="3" t="s">
        <x:v>17</x:v>
      </x:c>
    </x:row>
    <x:row r="38" spans="1:5" ht="71.1" customHeight="1" x14ac:dyDescent="0.25">
      <x:c r="A38" s="3" t="s">
        <x:v>56</x:v>
      </x:c>
      <x:c r="B38" s="3" t="s">
        <x:v>10</x:v>
      </x:c>
      <x:c r="C38" s="3" t="s">
        <x:v>41</x:v>
      </x:c>
      <x:c r="D38" s="79" t="s">
        <x:v>23</x:v>
      </x:c>
      <x:c r="E38" s="3" t="s">
        <x:v>17</x:v>
      </x:c>
    </x:row>
    <x:row r="39" spans="1:5" ht="71.1" customHeight="1" x14ac:dyDescent="0.25">
      <x:c r="A39" s="3" t="s">
        <x:v>57</x:v>
      </x:c>
      <x:c r="B39" s="3" t="s">
        <x:v>10</x:v>
      </x:c>
      <x:c r="C39" s="79" t="s">
        <x:v>41</x:v>
      </x:c>
      <x:c r="D39" s="3" t="s">
        <x:v>23</x:v>
      </x:c>
      <x:c r="E39" s="3" t="s">
        <x:v>17</x:v>
      </x:c>
    </x:row>
    <x:row r="40" spans="1:5" ht="71.1" customHeight="1" x14ac:dyDescent="0.25">
      <x:c r="A40" s="3" t="s">
        <x:v>58</x:v>
      </x:c>
      <x:c r="B40" s="3" t="s">
        <x:v>10</x:v>
      </x:c>
      <x:c r="C40" s="3" t="s">
        <x:v>41</x:v>
      </x:c>
      <x:c r="D40" s="79" t="s">
        <x:v>23</x:v>
      </x:c>
      <x:c r="E40" s="3" t="s">
        <x:v>17</x:v>
      </x:c>
    </x:row>
    <x:row r="41" spans="1:5" ht="71.1" customHeight="1" x14ac:dyDescent="0.25">
      <x:c r="A41" s="3" t="s">
        <x:v>59</x:v>
      </x:c>
      <x:c r="B41" s="3" t="s">
        <x:v>10</x:v>
      </x:c>
      <x:c r="C41" s="79" t="s">
        <x:v>41</x:v>
      </x:c>
      <x:c r="D41" s="3" t="s">
        <x:v>16</x:v>
      </x:c>
      <x:c r="E41" s="3" t="s">
        <x:v>60</x:v>
      </x:c>
    </x:row>
    <x:row r="42" spans="1:5" ht="71.1" customHeight="1" x14ac:dyDescent="0.25">
      <x:c r="A42" s="3" t="s">
        <x:v>61</x:v>
      </x:c>
      <x:c r="B42" s="3" t="s">
        <x:v>10</x:v>
      </x:c>
      <x:c r="C42" s="3" t="s">
        <x:v>41</x:v>
      </x:c>
      <x:c r="D42" s="79" t="s">
        <x:v>16</x:v>
      </x:c>
      <x:c r="E42" s="3" t="s">
        <x:v>60</x:v>
      </x:c>
    </x:row>
    <x:row r="43" spans="1:5" ht="71.1" customHeight="1" x14ac:dyDescent="0.25">
      <x:c r="A43" s="3" t="s">
        <x:v>62</x:v>
      </x:c>
      <x:c r="B43" s="3" t="s">
        <x:v>10</x:v>
      </x:c>
      <x:c r="C43" s="79" t="s">
        <x:v>41</x:v>
      </x:c>
      <x:c r="D43" s="3" t="s">
        <x:v>16</x:v>
      </x:c>
      <x:c r="E43" s="3" t="s">
        <x:v>60</x:v>
      </x:c>
    </x:row>
    <x:row r="44" spans="1:5" ht="71.1" customHeight="1" x14ac:dyDescent="0.25">
      <x:c r="A44" s="3" t="s">
        <x:v>63</x:v>
      </x:c>
      <x:c r="B44" s="3" t="s">
        <x:v>10</x:v>
      </x:c>
      <x:c r="C44" s="3" t="s">
        <x:v>41</x:v>
      </x:c>
      <x:c r="D44" s="79" t="s">
        <x:v>16</x:v>
      </x:c>
      <x:c r="E44" s="3" t="s">
        <x:v>60</x:v>
      </x:c>
    </x:row>
    <x:row r="45" spans="1:5" ht="71.1" customHeight="1" x14ac:dyDescent="0.25">
      <x:c r="A45" s="3" t="s">
        <x:v>64</x:v>
      </x:c>
      <x:c r="B45" s="3" t="s">
        <x:v>10</x:v>
      </x:c>
      <x:c r="C45" s="79" t="s">
        <x:v>41</x:v>
      </x:c>
      <x:c r="D45" s="3" t="s">
        <x:v>21</x:v>
      </x:c>
      <x:c r="E45" s="3" t="s">
        <x:v>60</x:v>
      </x:c>
    </x:row>
    <x:row r="46" spans="1:5" ht="71.1" customHeight="1" x14ac:dyDescent="0.25">
      <x:c r="A46" s="3" t="s">
        <x:v>65</x:v>
      </x:c>
      <x:c r="B46" s="3" t="s">
        <x:v>10</x:v>
      </x:c>
      <x:c r="C46" s="3" t="s">
        <x:v>41</x:v>
      </x:c>
      <x:c r="D46" s="79" t="s">
        <x:v>23</x:v>
      </x:c>
      <x:c r="E46" s="3" t="s">
        <x:v>66</x:v>
      </x:c>
    </x:row>
    <x:row r="47" spans="1:5" ht="71.1" customHeight="1" x14ac:dyDescent="0.25">
      <x:c r="A47" s="3" t="s">
        <x:v>67</x:v>
      </x:c>
      <x:c r="B47" s="3" t="s">
        <x:v>10</x:v>
      </x:c>
      <x:c r="C47" s="79" t="s">
        <x:v>41</x:v>
      </x:c>
      <x:c r="D47" s="3" t="s">
        <x:v>23</x:v>
      </x:c>
      <x:c r="E47" s="3" t="s">
        <x:v>66</x:v>
      </x:c>
    </x:row>
    <x:row r="48" spans="1:5" ht="71.1" customHeight="1" x14ac:dyDescent="0.25">
      <x:c r="A48" s="3" t="s">
        <x:v>68</x:v>
      </x:c>
      <x:c r="B48" s="3" t="s">
        <x:v>10</x:v>
      </x:c>
      <x:c r="C48" s="3" t="s">
        <x:v>41</x:v>
      </x:c>
      <x:c r="D48" s="79" t="s">
        <x:v>23</x:v>
      </x:c>
      <x:c r="E48" s="3" t="s">
        <x:v>66</x:v>
      </x:c>
    </x:row>
    <x:row r="49" spans="1:5" ht="71.1" customHeight="1" x14ac:dyDescent="0.25">
      <x:c r="A49" s="3" t="s">
        <x:v>69</x:v>
      </x:c>
      <x:c r="B49" s="3" t="s">
        <x:v>10</x:v>
      </x:c>
      <x:c r="C49" s="79" t="s">
        <x:v>41</x:v>
      </x:c>
      <x:c r="D49" s="3" t="s">
        <x:v>23</x:v>
      </x:c>
      <x:c r="E49" s="3" t="s">
        <x:v>66</x:v>
      </x:c>
    </x:row>
    <x:row r="50" spans="1:5" ht="71.1" customHeight="1" x14ac:dyDescent="0.25">
      <x:c r="A50" s="3" t="s">
        <x:v>70</x:v>
      </x:c>
      <x:c r="B50" s="3" t="s">
        <x:v>10</x:v>
      </x:c>
      <x:c r="C50" s="3" t="s">
        <x:v>41</x:v>
      </x:c>
      <x:c r="D50" s="79" t="s">
        <x:v>23</x:v>
      </x:c>
      <x:c r="E50" s="3" t="s">
        <x:v>66</x:v>
      </x:c>
    </x:row>
    <x:row r="51" spans="1:5" ht="71.1" customHeight="1" x14ac:dyDescent="0.25">
      <x:c r="A51" s="3" t="s">
        <x:v>71</x:v>
      </x:c>
      <x:c r="B51" s="3" t="s">
        <x:v>10</x:v>
      </x:c>
      <x:c r="C51" s="79" t="s">
        <x:v>41</x:v>
      </x:c>
      <x:c r="D51" s="3" t="s">
        <x:v>23</x:v>
      </x:c>
      <x:c r="E51" s="3" t="s">
        <x:v>66</x:v>
      </x:c>
    </x:row>
    <x:row r="52" spans="1:5" ht="71.1" customHeight="1" x14ac:dyDescent="0.25">
      <x:c r="A52" s="3" t="s">
        <x:v>72</x:v>
      </x:c>
      <x:c r="B52" s="3" t="s">
        <x:v>10</x:v>
      </x:c>
      <x:c r="C52" s="3" t="s">
        <x:v>41</x:v>
      </x:c>
      <x:c r="D52" s="79" t="s">
        <x:v>23</x:v>
      </x:c>
      <x:c r="E52" s="3" t="s">
        <x:v>66</x:v>
      </x:c>
    </x:row>
    <x:row r="53" spans="1:5" ht="71.1" customHeight="1" x14ac:dyDescent="0.25">
      <x:c r="A53" s="3" t="s">
        <x:v>73</x:v>
      </x:c>
      <x:c r="B53" s="3" t="s">
        <x:v>10</x:v>
      </x:c>
      <x:c r="C53" s="79" t="s">
        <x:v>41</x:v>
      </x:c>
      <x:c r="D53" s="3" t="s">
        <x:v>23</x:v>
      </x:c>
      <x:c r="E53" s="3" t="s">
        <x:v>66</x:v>
      </x:c>
    </x:row>
    <x:row r="54" spans="1:5" ht="71.1" customHeight="1" x14ac:dyDescent="0.25">
      <x:c r="A54" s="3" t="s">
        <x:v>74</x:v>
      </x:c>
      <x:c r="B54" s="3" t="s">
        <x:v>10</x:v>
      </x:c>
      <x:c r="C54" s="3" t="s">
        <x:v>41</x:v>
      </x:c>
      <x:c r="D54" s="79" t="s">
        <x:v>37</x:v>
      </x:c>
      <x:c r="E54" s="3" t="s">
        <x:v>66</x:v>
      </x:c>
    </x:row>
    <x:row r="55" spans="1:5" ht="71.1" customHeight="1" x14ac:dyDescent="0.25">
      <x:c r="A55" s="3" t="s">
        <x:v>75</x:v>
      </x:c>
      <x:c r="B55" s="3" t="s">
        <x:v>10</x:v>
      </x:c>
      <x:c r="C55" s="79" t="s">
        <x:v>41</x:v>
      </x:c>
      <x:c r="D55" s="3" t="s">
        <x:v>37</x:v>
      </x:c>
      <x:c r="E55" s="3" t="s">
        <x:v>66</x:v>
      </x:c>
    </x:row>
    <x:row r="56" spans="1:5" ht="71.1" customHeight="1" x14ac:dyDescent="0.25">
      <x:c r="A56" s="3" t="s">
        <x:v>76</x:v>
      </x:c>
      <x:c r="B56" s="3" t="s">
        <x:v>10</x:v>
      </x:c>
      <x:c r="C56" s="3" t="s">
        <x:v>41</x:v>
      </x:c>
      <x:c r="D56" s="79" t="s">
        <x:v>23</x:v>
      </x:c>
      <x:c r="E56" s="3" t="s">
        <x:v>17</x:v>
      </x:c>
    </x:row>
    <x:row r="57" spans="1:5" ht="71.1" customHeight="1" x14ac:dyDescent="0.25">
      <x:c r="A57" s="3" t="s">
        <x:v>77</x:v>
      </x:c>
      <x:c r="B57" s="3" t="s">
        <x:v>10</x:v>
      </x:c>
      <x:c r="C57" s="79" t="s">
        <x:v>41</x:v>
      </x:c>
      <x:c r="D57" s="3" t="s">
        <x:v>23</x:v>
      </x:c>
      <x:c r="E57" s="3" t="s">
        <x:v>17</x:v>
      </x:c>
    </x:row>
    <x:row r="58" spans="1:5" ht="71.1" customHeight="1" x14ac:dyDescent="0.25">
      <x:c r="A58" s="3" t="s">
        <x:v>78</x:v>
      </x:c>
      <x:c r="B58" s="3" t="s">
        <x:v>10</x:v>
      </x:c>
      <x:c r="C58" s="3" t="s">
        <x:v>41</x:v>
      </x:c>
      <x:c r="D58" s="79" t="s">
        <x:v>23</x:v>
      </x:c>
      <x:c r="E58" s="3" t="s">
        <x:v>17</x:v>
      </x:c>
    </x:row>
    <x:row r="59" spans="1:5" ht="71.1" customHeight="1" x14ac:dyDescent="0.25">
      <x:c r="A59" s="3" t="s">
        <x:v>79</x:v>
      </x:c>
      <x:c r="B59" s="3" t="s">
        <x:v>10</x:v>
      </x:c>
      <x:c r="C59" s="79" t="s">
        <x:v>41</x:v>
      </x:c>
      <x:c r="D59" s="3" t="s">
        <x:v>23</x:v>
      </x:c>
      <x:c r="E59" s="3" t="s">
        <x:v>17</x:v>
      </x:c>
    </x:row>
    <x:row r="60" spans="1:5" ht="71.1" customHeight="1" x14ac:dyDescent="0.25">
      <x:c r="A60" s="3" t="s">
        <x:v>80</x:v>
      </x:c>
      <x:c r="B60" s="3" t="s">
        <x:v>10</x:v>
      </x:c>
      <x:c r="C60" s="3" t="s">
        <x:v>41</x:v>
      </x:c>
      <x:c r="D60" s="79" t="s">
        <x:v>23</x:v>
      </x:c>
      <x:c r="E60" s="3" t="s">
        <x:v>17</x:v>
      </x:c>
    </x:row>
    <x:row r="61" spans="1:5" ht="71.1" customHeight="1" x14ac:dyDescent="0.25">
      <x:c r="A61" s="3" t="s">
        <x:v>81</x:v>
      </x:c>
      <x:c r="B61" s="3" t="s">
        <x:v>10</x:v>
      </x:c>
      <x:c r="C61" s="79" t="s">
        <x:v>41</x:v>
      </x:c>
      <x:c r="D61" s="3" t="s">
        <x:v>23</x:v>
      </x:c>
      <x:c r="E61" s="3" t="s">
        <x:v>17</x:v>
      </x:c>
    </x:row>
    <x:row r="62" spans="1:5" ht="71.1" customHeight="1" x14ac:dyDescent="0.25">
      <x:c r="A62" s="3" t="s">
        <x:v>82</x:v>
      </x:c>
      <x:c r="B62" s="3" t="s">
        <x:v>10</x:v>
      </x:c>
      <x:c r="C62" s="3" t="s">
        <x:v>41</x:v>
      </x:c>
      <x:c r="D62" s="79" t="s">
        <x:v>37</x:v>
      </x:c>
      <x:c r="E62" s="3" t="s">
        <x:v>17</x:v>
      </x:c>
    </x:row>
    <x:row r="63" spans="1:5" ht="71.1" customHeight="1" x14ac:dyDescent="0.25">
      <x:c r="A63" s="3" t="s">
        <x:v>83</x:v>
      </x:c>
      <x:c r="B63" s="3" t="s">
        <x:v>10</x:v>
      </x:c>
      <x:c r="C63" s="79" t="s">
        <x:v>41</x:v>
      </x:c>
      <x:c r="D63" s="3" t="s">
        <x:v>23</x:v>
      </x:c>
      <x:c r="E63" s="3" t="s">
        <x:v>66</x:v>
      </x:c>
    </x:row>
    <x:row r="64" spans="1:5" ht="71.1" customHeight="1" x14ac:dyDescent="0.25">
      <x:c r="A64" s="3" t="s">
        <x:v>84</x:v>
      </x:c>
      <x:c r="B64" s="3" t="s">
        <x:v>10</x:v>
      </x:c>
      <x:c r="C64" s="3" t="s">
        <x:v>41</x:v>
      </x:c>
      <x:c r="D64" s="79" t="s">
        <x:v>23</x:v>
      </x:c>
      <x:c r="E64" s="3" t="s">
        <x:v>66</x:v>
      </x:c>
    </x:row>
    <x:row r="65" spans="1:5" ht="71.1" customHeight="1" x14ac:dyDescent="0.25">
      <x:c r="A65" s="3" t="s">
        <x:v>85</x:v>
      </x:c>
      <x:c r="B65" s="3" t="s">
        <x:v>10</x:v>
      </x:c>
      <x:c r="C65" s="79" t="s">
        <x:v>41</x:v>
      </x:c>
      <x:c r="D65" s="3" t="s">
        <x:v>23</x:v>
      </x:c>
      <x:c r="E65" s="3" t="s">
        <x:v>66</x:v>
      </x:c>
    </x:row>
    <x:row r="66" spans="1:5" ht="71.1" customHeight="1" x14ac:dyDescent="0.25">
      <x:c r="A66" s="3" t="s">
        <x:v>86</x:v>
      </x:c>
      <x:c r="B66" s="3" t="s">
        <x:v>10</x:v>
      </x:c>
      <x:c r="C66" s="3" t="s">
        <x:v>41</x:v>
      </x:c>
      <x:c r="D66" s="79" t="s">
        <x:v>23</x:v>
      </x:c>
      <x:c r="E66" s="3" t="s">
        <x:v>66</x:v>
      </x:c>
    </x:row>
    <x:row r="67" spans="1:5" ht="71.1" customHeight="1" x14ac:dyDescent="0.25">
      <x:c r="A67" s="3" t="s">
        <x:v>87</x:v>
      </x:c>
      <x:c r="B67" s="3" t="s">
        <x:v>10</x:v>
      </x:c>
      <x:c r="C67" s="79" t="s">
        <x:v>41</x:v>
      </x:c>
      <x:c r="D67" s="3" t="s">
        <x:v>37</x:v>
      </x:c>
      <x:c r="E67" s="3" t="s">
        <x:v>66</x:v>
      </x:c>
    </x:row>
    <x:row r="68" spans="1:5" ht="71.1" customHeight="1" x14ac:dyDescent="0.25">
      <x:c r="A68" s="3" t="s">
        <x:v>88</x:v>
      </x:c>
      <x:c r="B68" s="3" t="s">
        <x:v>10</x:v>
      </x:c>
      <x:c r="C68" s="3" t="s">
        <x:v>89</x:v>
      </x:c>
      <x:c r="D68" s="79" t="s">
        <x:v>14</x:v>
      </x:c>
      <x:c r="E68" s="3"/>
    </x:row>
    <x:row r="69" spans="1:5" ht="71.1" customHeight="1" x14ac:dyDescent="0.25">
      <x:c r="A69" s="3" t="s">
        <x:v>90</x:v>
      </x:c>
      <x:c r="B69" s="3" t="s">
        <x:v>10</x:v>
      </x:c>
      <x:c r="C69" s="79" t="s">
        <x:v>89</x:v>
      </x:c>
      <x:c r="D69" s="3" t="s">
        <x:v>43</x:v>
      </x:c>
      <x:c r="E69" s="3"/>
    </x:row>
    <x:row r="70" spans="1:5" ht="71.1" customHeight="1" x14ac:dyDescent="0.25">
      <x:c r="A70" s="3" t="s">
        <x:v>91</x:v>
      </x:c>
      <x:c r="B70" s="3" t="s">
        <x:v>10</x:v>
      </x:c>
      <x:c r="C70" s="3" t="s">
        <x:v>89</x:v>
      </x:c>
      <x:c r="D70" s="79" t="s">
        <x:v>16</x:v>
      </x:c>
      <x:c r="E70" s="3" t="s">
        <x:v>17</x:v>
      </x:c>
    </x:row>
    <x:row r="71" spans="1:5" ht="71.1" customHeight="1" x14ac:dyDescent="0.25">
      <x:c r="A71" s="3" t="s">
        <x:v>92</x:v>
      </x:c>
      <x:c r="B71" s="3" t="s">
        <x:v>10</x:v>
      </x:c>
      <x:c r="C71" s="79" t="s">
        <x:v>89</x:v>
      </x:c>
      <x:c r="D71" s="3" t="s">
        <x:v>16</x:v>
      </x:c>
      <x:c r="E71" s="3" t="s">
        <x:v>17</x:v>
      </x:c>
    </x:row>
    <x:row r="72" spans="1:5" ht="71.1" customHeight="1" x14ac:dyDescent="0.25">
      <x:c r="A72" s="3" t="s">
        <x:v>93</x:v>
      </x:c>
      <x:c r="B72" s="3" t="s">
        <x:v>10</x:v>
      </x:c>
      <x:c r="C72" s="3" t="s">
        <x:v>89</x:v>
      </x:c>
      <x:c r="D72" s="79" t="s">
        <x:v>16</x:v>
      </x:c>
      <x:c r="E72" s="3" t="s">
        <x:v>17</x:v>
      </x:c>
    </x:row>
    <x:row r="73" spans="1:5" ht="71.1" customHeight="1" x14ac:dyDescent="0.25">
      <x:c r="A73" s="3" t="s">
        <x:v>94</x:v>
      </x:c>
      <x:c r="B73" s="3" t="s">
        <x:v>10</x:v>
      </x:c>
      <x:c r="C73" s="79" t="s">
        <x:v>89</x:v>
      </x:c>
      <x:c r="D73" s="3" t="s">
        <x:v>16</x:v>
      </x:c>
      <x:c r="E73" s="3" t="s">
        <x:v>17</x:v>
      </x:c>
    </x:row>
    <x:row r="74" spans="1:5" ht="71.1" customHeight="1" x14ac:dyDescent="0.25">
      <x:c r="A74" s="3" t="s">
        <x:v>95</x:v>
      </x:c>
      <x:c r="B74" s="3" t="s">
        <x:v>10</x:v>
      </x:c>
      <x:c r="C74" s="3" t="s">
        <x:v>89</x:v>
      </x:c>
      <x:c r="D74" s="79" t="s">
        <x:v>21</x:v>
      </x:c>
      <x:c r="E74" s="3" t="s">
        <x:v>17</x:v>
      </x:c>
    </x:row>
    <x:row r="75" spans="1:5" ht="71.1" customHeight="1" x14ac:dyDescent="0.25">
      <x:c r="A75" s="3" t="s">
        <x:v>96</x:v>
      </x:c>
      <x:c r="B75" s="3" t="s">
        <x:v>10</x:v>
      </x:c>
      <x:c r="C75" s="79" t="s">
        <x:v>89</x:v>
      </x:c>
      <x:c r="D75" s="3" t="s">
        <x:v>23</x:v>
      </x:c>
      <x:c r="E75" s="3" t="s">
        <x:v>24</x:v>
      </x:c>
    </x:row>
    <x:row r="76" spans="1:5" ht="71.1" customHeight="1" x14ac:dyDescent="0.25">
      <x:c r="A76" s="3" t="s">
        <x:v>97</x:v>
      </x:c>
      <x:c r="B76" s="3" t="s">
        <x:v>10</x:v>
      </x:c>
      <x:c r="C76" s="3" t="s">
        <x:v>89</x:v>
      </x:c>
      <x:c r="D76" s="79" t="s">
        <x:v>23</x:v>
      </x:c>
      <x:c r="E76" s="3" t="s">
        <x:v>24</x:v>
      </x:c>
    </x:row>
    <x:row r="77" spans="1:5" ht="71.1" customHeight="1" x14ac:dyDescent="0.25">
      <x:c r="A77" s="3" t="s">
        <x:v>98</x:v>
      </x:c>
      <x:c r="B77" s="3" t="s">
        <x:v>10</x:v>
      </x:c>
      <x:c r="C77" s="79" t="s">
        <x:v>89</x:v>
      </x:c>
      <x:c r="D77" s="3" t="s">
        <x:v>23</x:v>
      </x:c>
      <x:c r="E77" s="3" t="s">
        <x:v>24</x:v>
      </x:c>
    </x:row>
    <x:row r="78" spans="1:5" ht="71.1" customHeight="1" x14ac:dyDescent="0.25">
      <x:c r="A78" s="3" t="s">
        <x:v>99</x:v>
      </x:c>
      <x:c r="B78" s="3" t="s">
        <x:v>10</x:v>
      </x:c>
      <x:c r="C78" s="3" t="s">
        <x:v>89</x:v>
      </x:c>
      <x:c r="D78" s="79" t="s">
        <x:v>23</x:v>
      </x:c>
      <x:c r="E78" s="3" t="s">
        <x:v>24</x:v>
      </x:c>
    </x:row>
    <x:row r="79" spans="1:5" ht="71.1" customHeight="1" x14ac:dyDescent="0.25">
      <x:c r="A79" s="3" t="s">
        <x:v>100</x:v>
      </x:c>
      <x:c r="B79" s="3" t="s">
        <x:v>10</x:v>
      </x:c>
      <x:c r="C79" s="79" t="s">
        <x:v>89</x:v>
      </x:c>
      <x:c r="D79" s="3" t="s">
        <x:v>23</x:v>
      </x:c>
      <x:c r="E79" s="3" t="s">
        <x:v>24</x:v>
      </x:c>
    </x:row>
    <x:row r="80" spans="1:5" ht="71.1" customHeight="1" x14ac:dyDescent="0.25">
      <x:c r="A80" s="3" t="s">
        <x:v>101</x:v>
      </x:c>
      <x:c r="B80" s="3" t="s">
        <x:v>10</x:v>
      </x:c>
      <x:c r="C80" s="3" t="s">
        <x:v>89</x:v>
      </x:c>
      <x:c r="D80" s="79" t="s">
        <x:v>23</x:v>
      </x:c>
      <x:c r="E80" s="3" t="s">
        <x:v>24</x:v>
      </x:c>
    </x:row>
    <x:row r="81" spans="1:5" ht="71.1" customHeight="1" x14ac:dyDescent="0.25">
      <x:c r="A81" s="3" t="s">
        <x:v>102</x:v>
      </x:c>
      <x:c r="B81" s="3" t="s">
        <x:v>10</x:v>
      </x:c>
      <x:c r="C81" s="79" t="s">
        <x:v>89</x:v>
      </x:c>
      <x:c r="D81" s="3" t="s">
        <x:v>23</x:v>
      </x:c>
      <x:c r="E81" s="3" t="s">
        <x:v>24</x:v>
      </x:c>
    </x:row>
    <x:row r="82" spans="1:5" ht="71.1" customHeight="1" x14ac:dyDescent="0.25">
      <x:c r="A82" s="3" t="s">
        <x:v>103</x:v>
      </x:c>
      <x:c r="B82" s="3" t="s">
        <x:v>10</x:v>
      </x:c>
      <x:c r="C82" s="3" t="s">
        <x:v>89</x:v>
      </x:c>
      <x:c r="D82" s="79" t="s">
        <x:v>23</x:v>
      </x:c>
      <x:c r="E82" s="3" t="s">
        <x:v>24</x:v>
      </x:c>
    </x:row>
    <x:row r="83" spans="1:5" ht="71.1" customHeight="1" x14ac:dyDescent="0.25">
      <x:c r="A83" s="3" t="s">
        <x:v>104</x:v>
      </x:c>
      <x:c r="B83" s="3" t="s">
        <x:v>10</x:v>
      </x:c>
      <x:c r="C83" s="79" t="s">
        <x:v>89</x:v>
      </x:c>
      <x:c r="D83" s="3" t="s">
        <x:v>23</x:v>
      </x:c>
      <x:c r="E83" s="3" t="s">
        <x:v>24</x:v>
      </x:c>
    </x:row>
    <x:row r="84" spans="1:5" ht="71.1" customHeight="1" x14ac:dyDescent="0.25">
      <x:c r="A84" s="3" t="s">
        <x:v>105</x:v>
      </x:c>
      <x:c r="B84" s="3" t="s">
        <x:v>10</x:v>
      </x:c>
      <x:c r="C84" s="3" t="s">
        <x:v>89</x:v>
      </x:c>
      <x:c r="D84" s="79" t="s">
        <x:v>23</x:v>
      </x:c>
      <x:c r="E84" s="3" t="s">
        <x:v>24</x:v>
      </x:c>
    </x:row>
    <x:row r="85" spans="1:5" ht="71.1" customHeight="1" x14ac:dyDescent="0.25">
      <x:c r="A85" s="3" t="s">
        <x:v>106</x:v>
      </x:c>
      <x:c r="B85" s="3" t="s">
        <x:v>10</x:v>
      </x:c>
      <x:c r="C85" s="79" t="s">
        <x:v>89</x:v>
      </x:c>
      <x:c r="D85" s="3" t="s">
        <x:v>23</x:v>
      </x:c>
      <x:c r="E85" s="3" t="s">
        <x:v>24</x:v>
      </x:c>
    </x:row>
    <x:row r="86" spans="1:5" ht="71.1" customHeight="1" x14ac:dyDescent="0.25">
      <x:c r="A86" s="3" t="s">
        <x:v>107</x:v>
      </x:c>
      <x:c r="B86" s="3" t="s">
        <x:v>10</x:v>
      </x:c>
      <x:c r="C86" s="3" t="s">
        <x:v>89</x:v>
      </x:c>
      <x:c r="D86" s="79" t="s">
        <x:v>23</x:v>
      </x:c>
      <x:c r="E86" s="3" t="s">
        <x:v>24</x:v>
      </x:c>
    </x:row>
    <x:row r="87" spans="1:5" ht="71.1" customHeight="1" x14ac:dyDescent="0.25">
      <x:c r="A87" s="3" t="s">
        <x:v>108</x:v>
      </x:c>
      <x:c r="B87" s="3" t="s">
        <x:v>10</x:v>
      </x:c>
      <x:c r="C87" s="79" t="s">
        <x:v>89</x:v>
      </x:c>
      <x:c r="D87" s="3" t="s">
        <x:v>37</x:v>
      </x:c>
      <x:c r="E87" s="3" t="s">
        <x:v>24</x:v>
      </x:c>
    </x:row>
    <x:row r="88" spans="1:5" ht="71.1" customHeight="1" x14ac:dyDescent="0.25">
      <x:c r="A88" s="3" t="s">
        <x:v>109</x:v>
      </x:c>
      <x:c r="B88" s="3" t="s">
        <x:v>10</x:v>
      </x:c>
      <x:c r="C88" s="3" t="s">
        <x:v>89</x:v>
      </x:c>
      <x:c r="D88" s="79" t="s">
        <x:v>37</x:v>
      </x:c>
      <x:c r="E88" s="3" t="s">
        <x:v>24</x:v>
      </x:c>
    </x:row>
    <x:row r="89" spans="1:5" ht="71.1" customHeight="1" x14ac:dyDescent="0.25">
      <x:c r="A89" s="3" t="s">
        <x:v>110</x:v>
      </x:c>
      <x:c r="B89" s="3" t="s">
        <x:v>10</x:v>
      </x:c>
      <x:c r="C89" s="79" t="s">
        <x:v>89</x:v>
      </x:c>
      <x:c r="D89" s="3" t="s">
        <x:v>37</x:v>
      </x:c>
      <x:c r="E89" s="3" t="s">
        <x:v>24</x:v>
      </x:c>
    </x:row>
    <x:row r="90" spans="1:5" ht="71.1" customHeight="1" x14ac:dyDescent="0.25">
      <x:c r="A90" s="3" t="s">
        <x:v>111</x:v>
      </x:c>
      <x:c r="B90" s="3" t="s">
        <x:v>10</x:v>
      </x:c>
      <x:c r="C90" s="3" t="s">
        <x:v>89</x:v>
      </x:c>
      <x:c r="D90" s="79" t="s">
        <x:v>37</x:v>
      </x:c>
      <x:c r="E90" s="3" t="s">
        <x:v>24</x:v>
      </x:c>
    </x:row>
    <x:row r="91" spans="1:5" ht="71.1" customHeight="1" x14ac:dyDescent="0.25">
      <x:c r="A91" s="3" t="s">
        <x:v>112</x:v>
      </x:c>
      <x:c r="B91" s="3" t="s">
        <x:v>10</x:v>
      </x:c>
      <x:c r="C91" s="79" t="s">
        <x:v>89</x:v>
      </x:c>
      <x:c r="D91" s="3" t="s">
        <x:v>23</x:v>
      </x:c>
      <x:c r="E91" s="3" t="s">
        <x:v>24</x:v>
      </x:c>
    </x:row>
    <x:row r="92" spans="1:5" ht="71.1" customHeight="1" x14ac:dyDescent="0.25">
      <x:c r="A92" s="3" t="s">
        <x:v>113</x:v>
      </x:c>
      <x:c r="B92" s="3" t="s">
        <x:v>10</x:v>
      </x:c>
      <x:c r="C92" s="3" t="s">
        <x:v>89</x:v>
      </x:c>
      <x:c r="D92" s="79" t="s">
        <x:v>23</x:v>
      </x:c>
      <x:c r="E92" s="3" t="s">
        <x:v>24</x:v>
      </x:c>
    </x:row>
    <x:row r="93" spans="1:5" ht="71.1" customHeight="1" x14ac:dyDescent="0.25">
      <x:c r="A93" s="3" t="s">
        <x:v>114</x:v>
      </x:c>
      <x:c r="B93" s="3" t="s">
        <x:v>10</x:v>
      </x:c>
      <x:c r="C93" s="79" t="s">
        <x:v>89</x:v>
      </x:c>
      <x:c r="D93" s="3" t="s">
        <x:v>23</x:v>
      </x:c>
      <x:c r="E93" s="3" t="s">
        <x:v>24</x:v>
      </x:c>
    </x:row>
    <x:row r="94" spans="1:5" ht="71.1" customHeight="1" x14ac:dyDescent="0.25">
      <x:c r="A94" s="3" t="s">
        <x:v>115</x:v>
      </x:c>
      <x:c r="B94" s="3" t="s">
        <x:v>10</x:v>
      </x:c>
      <x:c r="C94" s="3" t="s">
        <x:v>89</x:v>
      </x:c>
      <x:c r="D94" s="79" t="s">
        <x:v>23</x:v>
      </x:c>
      <x:c r="E94" s="3" t="s">
        <x:v>24</x:v>
      </x:c>
    </x:row>
    <x:row r="95" spans="1:5" ht="71.1" customHeight="1" x14ac:dyDescent="0.25">
      <x:c r="A95" s="3" t="s">
        <x:v>116</x:v>
      </x:c>
      <x:c r="B95" s="3" t="s">
        <x:v>10</x:v>
      </x:c>
      <x:c r="C95" s="79" t="s">
        <x:v>89</x:v>
      </x:c>
      <x:c r="D95" s="3" t="s">
        <x:v>37</x:v>
      </x:c>
      <x:c r="E95" s="3" t="s">
        <x:v>24</x:v>
      </x:c>
    </x:row>
    <x:row r="96" spans="1:5" ht="71.1" customHeight="1" x14ac:dyDescent="0.25">
      <x:c r="A96" s="3" t="s">
        <x:v>117</x:v>
      </x:c>
      <x:c r="B96" s="3" t="s">
        <x:v>10</x:v>
      </x:c>
      <x:c r="C96" s="3" t="s">
        <x:v>89</x:v>
      </x:c>
      <x:c r="D96" s="79" t="s">
        <x:v>23</x:v>
      </x:c>
      <x:c r="E96" s="3" t="s">
        <x:v>24</x:v>
      </x:c>
    </x:row>
    <x:row r="97" spans="1:5" ht="71.1" customHeight="1" x14ac:dyDescent="0.25">
      <x:c r="A97" s="3" t="s">
        <x:v>118</x:v>
      </x:c>
      <x:c r="B97" s="3" t="s">
        <x:v>10</x:v>
      </x:c>
      <x:c r="C97" s="79" t="s">
        <x:v>89</x:v>
      </x:c>
      <x:c r="D97" s="3" t="s">
        <x:v>23</x:v>
      </x:c>
      <x:c r="E97" s="3" t="s">
        <x:v>24</x:v>
      </x:c>
    </x:row>
    <x:row r="98" spans="1:5" ht="71.1" customHeight="1" x14ac:dyDescent="0.25">
      <x:c r="A98" s="3" t="s">
        <x:v>119</x:v>
      </x:c>
      <x:c r="B98" s="3" t="s">
        <x:v>10</x:v>
      </x:c>
      <x:c r="C98" s="3" t="s">
        <x:v>89</x:v>
      </x:c>
      <x:c r="D98" s="79" t="s">
        <x:v>23</x:v>
      </x:c>
      <x:c r="E98" s="3" t="s">
        <x:v>24</x:v>
      </x:c>
    </x:row>
    <x:row r="99" spans="1:5" ht="71.1" customHeight="1" x14ac:dyDescent="0.25">
      <x:c r="A99" s="3" t="s">
        <x:v>120</x:v>
      </x:c>
      <x:c r="B99" s="3" t="s">
        <x:v>10</x:v>
      </x:c>
      <x:c r="C99" s="79" t="s">
        <x:v>89</x:v>
      </x:c>
      <x:c r="D99" s="3" t="s">
        <x:v>23</x:v>
      </x:c>
      <x:c r="E99" s="3" t="s">
        <x:v>24</x:v>
      </x:c>
    </x:row>
    <x:row r="100" spans="1:5" ht="71.1" customHeight="1" x14ac:dyDescent="0.25">
      <x:c r="A100" s="3" t="s">
        <x:v>121</x:v>
      </x:c>
      <x:c r="B100" s="3" t="s">
        <x:v>10</x:v>
      </x:c>
      <x:c r="C100" s="3" t="s">
        <x:v>89</x:v>
      </x:c>
      <x:c r="D100" s="79" t="s">
        <x:v>23</x:v>
      </x:c>
      <x:c r="E100" s="3" t="s">
        <x:v>24</x:v>
      </x:c>
    </x:row>
    <x:row r="101" spans="1:5" ht="71.1" customHeight="1" x14ac:dyDescent="0.25">
      <x:c r="A101" s="3" t="s">
        <x:v>122</x:v>
      </x:c>
      <x:c r="B101" s="3" t="s">
        <x:v>10</x:v>
      </x:c>
      <x:c r="C101" s="79" t="s">
        <x:v>89</x:v>
      </x:c>
      <x:c r="D101" s="3" t="s">
        <x:v>23</x:v>
      </x:c>
      <x:c r="E101" s="3" t="s">
        <x:v>24</x:v>
      </x:c>
    </x:row>
    <x:row r="102" spans="1:5" ht="71.1" customHeight="1" x14ac:dyDescent="0.25">
      <x:c r="A102" s="3" t="s">
        <x:v>123</x:v>
      </x:c>
      <x:c r="B102" s="3" t="s">
        <x:v>10</x:v>
      </x:c>
      <x:c r="C102" s="3" t="s">
        <x:v>89</x:v>
      </x:c>
      <x:c r="D102" s="79" t="s">
        <x:v>23</x:v>
      </x:c>
      <x:c r="E102" s="3" t="s">
        <x:v>24</x:v>
      </x:c>
    </x:row>
    <x:row r="103" spans="1:5" ht="71.1" customHeight="1" x14ac:dyDescent="0.25">
      <x:c r="A103" s="3" t="s">
        <x:v>124</x:v>
      </x:c>
      <x:c r="B103" s="3" t="s">
        <x:v>10</x:v>
      </x:c>
      <x:c r="C103" s="79" t="s">
        <x:v>89</x:v>
      </x:c>
      <x:c r="D103" s="3" t="s">
        <x:v>23</x:v>
      </x:c>
      <x:c r="E103" s="3" t="s">
        <x:v>24</x:v>
      </x:c>
    </x:row>
    <x:row r="104" spans="1:5" ht="71.1" customHeight="1" x14ac:dyDescent="0.25">
      <x:c r="A104" s="3" t="s">
        <x:v>125</x:v>
      </x:c>
      <x:c r="B104" s="3" t="s">
        <x:v>10</x:v>
      </x:c>
      <x:c r="C104" s="3" t="s">
        <x:v>89</x:v>
      </x:c>
      <x:c r="D104" s="79" t="s">
        <x:v>23</x:v>
      </x:c>
      <x:c r="E104" s="3" t="s">
        <x:v>24</x:v>
      </x:c>
    </x:row>
    <x:row r="105" spans="1:5" ht="71.1" customHeight="1" x14ac:dyDescent="0.25">
      <x:c r="A105" s="3" t="s">
        <x:v>126</x:v>
      </x:c>
      <x:c r="B105" s="3" t="s">
        <x:v>10</x:v>
      </x:c>
      <x:c r="C105" s="79" t="s">
        <x:v>89</x:v>
      </x:c>
      <x:c r="D105" s="3" t="s">
        <x:v>23</x:v>
      </x:c>
      <x:c r="E105" s="3" t="s">
        <x:v>24</x:v>
      </x:c>
    </x:row>
    <x:row r="106" spans="1:5" ht="71.1" customHeight="1" x14ac:dyDescent="0.25">
      <x:c r="A106" s="3" t="s">
        <x:v>127</x:v>
      </x:c>
      <x:c r="B106" s="3" t="s">
        <x:v>10</x:v>
      </x:c>
      <x:c r="C106" s="3" t="s">
        <x:v>89</x:v>
      </x:c>
      <x:c r="D106" s="79" t="s">
        <x:v>23</x:v>
      </x:c>
      <x:c r="E106" s="3" t="s">
        <x:v>24</x:v>
      </x:c>
    </x:row>
    <x:row r="107" spans="1:5" ht="71.1" customHeight="1" x14ac:dyDescent="0.25">
      <x:c r="A107" s="3" t="s">
        <x:v>128</x:v>
      </x:c>
      <x:c r="B107" s="3" t="s">
        <x:v>10</x:v>
      </x:c>
      <x:c r="C107" s="79" t="s">
        <x:v>89</x:v>
      </x:c>
      <x:c r="D107" s="3" t="s">
        <x:v>23</x:v>
      </x:c>
      <x:c r="E107" s="3" t="s">
        <x:v>24</x:v>
      </x:c>
    </x:row>
    <x:row r="108" spans="1:5" ht="71.1" customHeight="1" x14ac:dyDescent="0.25">
      <x:c r="A108" s="3" t="s">
        <x:v>129</x:v>
      </x:c>
      <x:c r="B108" s="3" t="s">
        <x:v>10</x:v>
      </x:c>
      <x:c r="C108" s="3" t="s">
        <x:v>89</x:v>
      </x:c>
      <x:c r="D108" s="79" t="s">
        <x:v>23</x:v>
      </x:c>
      <x:c r="E108" s="3" t="s">
        <x:v>24</x:v>
      </x:c>
    </x:row>
    <x:row r="109" spans="1:5" ht="71.1" customHeight="1" x14ac:dyDescent="0.25">
      <x:c r="A109" s="3" t="s">
        <x:v>130</x:v>
      </x:c>
      <x:c r="B109" s="3" t="s">
        <x:v>10</x:v>
      </x:c>
      <x:c r="C109" s="79" t="s">
        <x:v>89</x:v>
      </x:c>
      <x:c r="D109" s="3" t="s">
        <x:v>23</x:v>
      </x:c>
      <x:c r="E109" s="3" t="s">
        <x:v>24</x:v>
      </x:c>
    </x:row>
    <x:row r="110" spans="1:5" ht="71.1" customHeight="1" x14ac:dyDescent="0.25">
      <x:c r="A110" s="3" t="s">
        <x:v>131</x:v>
      </x:c>
      <x:c r="B110" s="3" t="s">
        <x:v>10</x:v>
      </x:c>
      <x:c r="C110" s="3" t="s">
        <x:v>89</x:v>
      </x:c>
      <x:c r="D110" s="79" t="s">
        <x:v>23</x:v>
      </x:c>
      <x:c r="E110" s="3" t="s">
        <x:v>24</x:v>
      </x:c>
    </x:row>
    <x:row r="111" spans="1:5" ht="71.1" customHeight="1" x14ac:dyDescent="0.25">
      <x:c r="A111" s="3" t="s">
        <x:v>132</x:v>
      </x:c>
      <x:c r="B111" s="3" t="s">
        <x:v>10</x:v>
      </x:c>
      <x:c r="C111" s="79" t="s">
        <x:v>89</x:v>
      </x:c>
      <x:c r="D111" s="3" t="s">
        <x:v>23</x:v>
      </x:c>
      <x:c r="E111" s="3" t="s">
        <x:v>24</x:v>
      </x:c>
    </x:row>
    <x:row r="112" spans="1:5" ht="71.1" customHeight="1" x14ac:dyDescent="0.25">
      <x:c r="A112" s="3" t="s">
        <x:v>133</x:v>
      </x:c>
      <x:c r="B112" s="3" t="s">
        <x:v>10</x:v>
      </x:c>
      <x:c r="C112" s="3" t="s">
        <x:v>89</x:v>
      </x:c>
      <x:c r="D112" s="79" t="s">
        <x:v>37</x:v>
      </x:c>
      <x:c r="E112" s="3" t="s">
        <x:v>24</x:v>
      </x:c>
    </x:row>
    <x:row r="113" spans="1:5" ht="71.1" customHeight="1" x14ac:dyDescent="0.25">
      <x:c r="A113" s="3" t="s">
        <x:v>134</x:v>
      </x:c>
      <x:c r="B113" s="3" t="s">
        <x:v>10</x:v>
      </x:c>
      <x:c r="C113" s="79" t="s">
        <x:v>89</x:v>
      </x:c>
      <x:c r="D113" s="3" t="s">
        <x:v>37</x:v>
      </x:c>
      <x:c r="E113" s="3" t="s">
        <x:v>24</x:v>
      </x:c>
    </x:row>
    <x:row r="114" spans="1:5" ht="71.1" customHeight="1" x14ac:dyDescent="0.25">
      <x:c r="A114" s="3" t="s">
        <x:v>135</x:v>
      </x:c>
      <x:c r="B114" s="3" t="s">
        <x:v>10</x:v>
      </x:c>
      <x:c r="C114" s="3" t="s">
        <x:v>89</x:v>
      </x:c>
      <x:c r="D114" s="79" t="s">
        <x:v>37</x:v>
      </x:c>
      <x:c r="E114" s="3" t="s">
        <x:v>24</x:v>
      </x:c>
    </x:row>
    <x:row r="115" spans="1:5" ht="71.1" customHeight="1" x14ac:dyDescent="0.25">
      <x:c r="A115" s="3" t="s">
        <x:v>136</x:v>
      </x:c>
      <x:c r="B115" s="3" t="s">
        <x:v>10</x:v>
      </x:c>
      <x:c r="C115" s="79" t="s">
        <x:v>137</x:v>
      </x:c>
      <x:c r="D115" s="3" t="s">
        <x:v>14</x:v>
      </x:c>
      <x:c r="E115" s="3"/>
    </x:row>
    <x:row r="116" spans="1:5" ht="71.1" customHeight="1" x14ac:dyDescent="0.25">
      <x:c r="A116" s="3" t="s">
        <x:v>138</x:v>
      </x:c>
      <x:c r="B116" s="3" t="s">
        <x:v>10</x:v>
      </x:c>
      <x:c r="C116" s="3" t="s">
        <x:v>137</x:v>
      </x:c>
      <x:c r="D116" s="79" t="s">
        <x:v>16</x:v>
      </x:c>
      <x:c r="E116" s="3" t="s">
        <x:v>17</x:v>
      </x:c>
    </x:row>
    <x:row r="117" spans="1:5" ht="71.1" customHeight="1" x14ac:dyDescent="0.25">
      <x:c r="A117" s="3" t="s">
        <x:v>139</x:v>
      </x:c>
      <x:c r="B117" s="3" t="s">
        <x:v>10</x:v>
      </x:c>
      <x:c r="C117" s="79" t="s">
        <x:v>137</x:v>
      </x:c>
      <x:c r="D117" s="3" t="s">
        <x:v>16</x:v>
      </x:c>
      <x:c r="E117" s="3" t="s">
        <x:v>17</x:v>
      </x:c>
    </x:row>
    <x:row r="118" spans="1:5" ht="71.1" customHeight="1" x14ac:dyDescent="0.25">
      <x:c r="A118" s="3" t="s">
        <x:v>140</x:v>
      </x:c>
      <x:c r="B118" s="3" t="s">
        <x:v>10</x:v>
      </x:c>
      <x:c r="C118" s="3" t="s">
        <x:v>137</x:v>
      </x:c>
      <x:c r="D118" s="79" t="s">
        <x:v>16</x:v>
      </x:c>
      <x:c r="E118" s="3" t="s">
        <x:v>17</x:v>
      </x:c>
    </x:row>
    <x:row r="119" spans="1:5" ht="71.1" customHeight="1" x14ac:dyDescent="0.25">
      <x:c r="A119" s="3" t="s">
        <x:v>141</x:v>
      </x:c>
      <x:c r="B119" s="3" t="s">
        <x:v>10</x:v>
      </x:c>
      <x:c r="C119" s="79" t="s">
        <x:v>137</x:v>
      </x:c>
      <x:c r="D119" s="3" t="s">
        <x:v>16</x:v>
      </x:c>
      <x:c r="E119" s="3" t="s">
        <x:v>17</x:v>
      </x:c>
    </x:row>
    <x:row r="120" spans="1:5" ht="71.1" customHeight="1" x14ac:dyDescent="0.25">
      <x:c r="A120" s="3" t="s">
        <x:v>142</x:v>
      </x:c>
      <x:c r="B120" s="3" t="s">
        <x:v>10</x:v>
      </x:c>
      <x:c r="C120" s="3" t="s">
        <x:v>137</x:v>
      </x:c>
      <x:c r="D120" s="79" t="s">
        <x:v>21</x:v>
      </x:c>
      <x:c r="E120" s="3" t="s">
        <x:v>17</x:v>
      </x:c>
    </x:row>
    <x:row r="121" spans="1:5" ht="71.1" customHeight="1" x14ac:dyDescent="0.25">
      <x:c r="A121" s="3" t="s">
        <x:v>143</x:v>
      </x:c>
      <x:c r="B121" s="3" t="s">
        <x:v>10</x:v>
      </x:c>
      <x:c r="C121" s="79" t="s">
        <x:v>137</x:v>
      </x:c>
      <x:c r="D121" s="3" t="s">
        <x:v>23</x:v>
      </x:c>
      <x:c r="E121" s="3" t="s">
        <x:v>24</x:v>
      </x:c>
    </x:row>
    <x:row r="122" spans="1:5" ht="71.1" customHeight="1" x14ac:dyDescent="0.25">
      <x:c r="A122" s="3" t="s">
        <x:v>144</x:v>
      </x:c>
      <x:c r="B122" s="3" t="s">
        <x:v>10</x:v>
      </x:c>
      <x:c r="C122" s="3" t="s">
        <x:v>137</x:v>
      </x:c>
      <x:c r="D122" s="79" t="s">
        <x:v>23</x:v>
      </x:c>
      <x:c r="E122" s="3" t="s">
        <x:v>24</x:v>
      </x:c>
    </x:row>
    <x:row r="123" spans="1:5" ht="71.1" customHeight="1" x14ac:dyDescent="0.25">
      <x:c r="A123" s="3" t="s">
        <x:v>145</x:v>
      </x:c>
      <x:c r="B123" s="3" t="s">
        <x:v>10</x:v>
      </x:c>
      <x:c r="C123" s="79" t="s">
        <x:v>137</x:v>
      </x:c>
      <x:c r="D123" s="3" t="s">
        <x:v>23</x:v>
      </x:c>
      <x:c r="E123" s="3" t="s">
        <x:v>24</x:v>
      </x:c>
    </x:row>
    <x:row r="124" spans="1:5" ht="71.1" customHeight="1" x14ac:dyDescent="0.25">
      <x:c r="A124" s="3" t="s">
        <x:v>146</x:v>
      </x:c>
      <x:c r="B124" s="3" t="s">
        <x:v>10</x:v>
      </x:c>
      <x:c r="C124" s="3" t="s">
        <x:v>137</x:v>
      </x:c>
      <x:c r="D124" s="79" t="s">
        <x:v>23</x:v>
      </x:c>
      <x:c r="E124" s="3" t="s">
        <x:v>24</x:v>
      </x:c>
    </x:row>
    <x:row r="125" spans="1:5" ht="71.1" customHeight="1" x14ac:dyDescent="0.25">
      <x:c r="A125" s="3" t="s">
        <x:v>147</x:v>
      </x:c>
      <x:c r="B125" s="3" t="s">
        <x:v>10</x:v>
      </x:c>
      <x:c r="C125" s="79" t="s">
        <x:v>137</x:v>
      </x:c>
      <x:c r="D125" s="3" t="s">
        <x:v>23</x:v>
      </x:c>
      <x:c r="E125" s="3" t="s">
        <x:v>24</x:v>
      </x:c>
    </x:row>
    <x:row r="126" spans="1:5" ht="71.1" customHeight="1" x14ac:dyDescent="0.25">
      <x:c r="A126" s="3" t="s">
        <x:v>148</x:v>
      </x:c>
      <x:c r="B126" s="3" t="s">
        <x:v>10</x:v>
      </x:c>
      <x:c r="C126" s="3" t="s">
        <x:v>137</x:v>
      </x:c>
      <x:c r="D126" s="79" t="s">
        <x:v>23</x:v>
      </x:c>
      <x:c r="E126" s="3" t="s">
        <x:v>24</x:v>
      </x:c>
    </x:row>
    <x:row r="127" spans="1:5" ht="81.95" customHeight="1" x14ac:dyDescent="0.25">
      <x:c r="A127" s="3" t="s">
        <x:v>149</x:v>
      </x:c>
      <x:c r="B127" s="3" t="s">
        <x:v>10</x:v>
      </x:c>
      <x:c r="C127" s="79" t="s">
        <x:v>137</x:v>
      </x:c>
      <x:c r="D127" s="3" t="s">
        <x:v>23</x:v>
      </x:c>
      <x:c r="E127" s="3" t="s">
        <x:v>24</x:v>
      </x:c>
    </x:row>
    <x:row r="128" spans="1:5" ht="81.95" customHeight="1" x14ac:dyDescent="0.25">
      <x:c r="A128" s="3" t="s">
        <x:v>150</x:v>
      </x:c>
      <x:c r="B128" s="3" t="s">
        <x:v>10</x:v>
      </x:c>
      <x:c r="C128" s="3" t="s">
        <x:v>137</x:v>
      </x:c>
      <x:c r="D128" s="79" t="s">
        <x:v>23</x:v>
      </x:c>
      <x:c r="E128" s="3" t="s">
        <x:v>24</x:v>
      </x:c>
    </x:row>
    <x:row r="129" spans="1:5" ht="81.95" customHeight="1" x14ac:dyDescent="0.25">
      <x:c r="A129" s="3" t="s">
        <x:v>151</x:v>
      </x:c>
      <x:c r="B129" s="3" t="s">
        <x:v>10</x:v>
      </x:c>
      <x:c r="C129" s="79" t="s">
        <x:v>137</x:v>
      </x:c>
      <x:c r="D129" s="3" t="s">
        <x:v>23</x:v>
      </x:c>
      <x:c r="E129" s="3" t="s">
        <x:v>24</x:v>
      </x:c>
    </x:row>
    <x:row r="130" spans="1:5" ht="81.95" customHeight="1" x14ac:dyDescent="0.25">
      <x:c r="A130" s="3" t="s">
        <x:v>152</x:v>
      </x:c>
      <x:c r="B130" s="3" t="s">
        <x:v>10</x:v>
      </x:c>
      <x:c r="C130" s="3" t="s">
        <x:v>137</x:v>
      </x:c>
      <x:c r="D130" s="79" t="s">
        <x:v>23</x:v>
      </x:c>
      <x:c r="E130" s="3" t="s">
        <x:v>24</x:v>
      </x:c>
    </x:row>
    <x:row r="131" spans="1:5" ht="81.95" customHeight="1" x14ac:dyDescent="0.25">
      <x:c r="A131" s="3" t="s">
        <x:v>153</x:v>
      </x:c>
      <x:c r="B131" s="3" t="s">
        <x:v>10</x:v>
      </x:c>
      <x:c r="C131" s="79" t="s">
        <x:v>137</x:v>
      </x:c>
      <x:c r="D131" s="3" t="s">
        <x:v>23</x:v>
      </x:c>
      <x:c r="E131" s="3" t="s">
        <x:v>24</x:v>
      </x:c>
    </x:row>
    <x:row r="132" spans="1:5" ht="81.95" customHeight="1" x14ac:dyDescent="0.25">
      <x:c r="A132" s="3" t="s">
        <x:v>154</x:v>
      </x:c>
      <x:c r="B132" s="3" t="s">
        <x:v>10</x:v>
      </x:c>
      <x:c r="C132" s="3" t="s">
        <x:v>137</x:v>
      </x:c>
      <x:c r="D132" s="79" t="s">
        <x:v>23</x:v>
      </x:c>
      <x:c r="E132" s="3" t="s">
        <x:v>24</x:v>
      </x:c>
    </x:row>
    <x:row r="133" spans="1:5" ht="81.95" customHeight="1" x14ac:dyDescent="0.25">
      <x:c r="A133" s="3" t="s">
        <x:v>155</x:v>
      </x:c>
      <x:c r="B133" s="3" t="s">
        <x:v>10</x:v>
      </x:c>
      <x:c r="C133" s="79" t="s">
        <x:v>137</x:v>
      </x:c>
      <x:c r="D133" s="3" t="s">
        <x:v>23</x:v>
      </x:c>
      <x:c r="E133" s="3" t="s">
        <x:v>24</x:v>
      </x:c>
    </x:row>
    <x:row r="134" spans="1:5" ht="81.95" customHeight="1" x14ac:dyDescent="0.25">
      <x:c r="A134" s="3" t="s">
        <x:v>156</x:v>
      </x:c>
      <x:c r="B134" s="3" t="s">
        <x:v>10</x:v>
      </x:c>
      <x:c r="C134" s="3" t="s">
        <x:v>137</x:v>
      </x:c>
      <x:c r="D134" s="79" t="s">
        <x:v>23</x:v>
      </x:c>
      <x:c r="E134" s="3" t="s">
        <x:v>24</x:v>
      </x:c>
    </x:row>
    <x:row r="135" spans="1:5" ht="71.1" customHeight="1" x14ac:dyDescent="0.25">
      <x:c r="A135" s="3" t="s">
        <x:v>157</x:v>
      </x:c>
      <x:c r="B135" s="3" t="s">
        <x:v>10</x:v>
      </x:c>
      <x:c r="C135" s="79" t="s">
        <x:v>137</x:v>
      </x:c>
      <x:c r="D135" s="3" t="s">
        <x:v>23</x:v>
      </x:c>
      <x:c r="E135" s="3" t="s">
        <x:v>24</x:v>
      </x:c>
    </x:row>
    <x:row r="136" spans="1:5" ht="81.95" customHeight="1" x14ac:dyDescent="0.25">
      <x:c r="A136" s="3" t="s">
        <x:v>158</x:v>
      </x:c>
      <x:c r="B136" s="3" t="s">
        <x:v>10</x:v>
      </x:c>
      <x:c r="C136" s="3" t="s">
        <x:v>137</x:v>
      </x:c>
      <x:c r="D136" s="79" t="s">
        <x:v>23</x:v>
      </x:c>
      <x:c r="E136" s="3" t="s">
        <x:v>24</x:v>
      </x:c>
    </x:row>
    <x:row r="137" spans="1:5" ht="81.95" customHeight="1" x14ac:dyDescent="0.25">
      <x:c r="A137" s="3" t="s">
        <x:v>159</x:v>
      </x:c>
      <x:c r="B137" s="3" t="s">
        <x:v>10</x:v>
      </x:c>
      <x:c r="C137" s="79" t="s">
        <x:v>137</x:v>
      </x:c>
      <x:c r="D137" s="3" t="s">
        <x:v>37</x:v>
      </x:c>
      <x:c r="E137" s="3" t="s">
        <x:v>24</x:v>
      </x:c>
    </x:row>
    <x:row r="138" spans="1:5" ht="81.95" customHeight="1" x14ac:dyDescent="0.25">
      <x:c r="A138" s="3" t="s">
        <x:v>160</x:v>
      </x:c>
      <x:c r="B138" s="3" t="s">
        <x:v>10</x:v>
      </x:c>
      <x:c r="C138" s="3" t="s">
        <x:v>137</x:v>
      </x:c>
      <x:c r="D138" s="79" t="s">
        <x:v>37</x:v>
      </x:c>
      <x:c r="E138" s="3" t="s">
        <x:v>24</x:v>
      </x:c>
    </x:row>
    <x:row r="139" spans="1:5" ht="71.1" customHeight="1" x14ac:dyDescent="0.25">
      <x:c r="A139" s="3" t="s">
        <x:v>161</x:v>
      </x:c>
      <x:c r="B139" s="3" t="s">
        <x:v>10</x:v>
      </x:c>
      <x:c r="C139" s="79" t="s">
        <x:v>137</x:v>
      </x:c>
      <x:c r="D139" s="3" t="s">
        <x:v>37</x:v>
      </x:c>
      <x:c r="E139" s="3" t="s">
        <x:v>24</x:v>
      </x:c>
    </x:row>
    <x:row r="140" spans="1:5" ht="71.1" customHeight="1" x14ac:dyDescent="0.25">
      <x:c r="A140" s="3" t="s">
        <x:v>162</x:v>
      </x:c>
      <x:c r="B140" s="3" t="s">
        <x:v>10</x:v>
      </x:c>
      <x:c r="C140" s="3"/>
      <x:c r="D140" s="79" t="s">
        <x:v>11</x:v>
      </x:c>
      <x:c r="E140" s="3"/>
    </x:row>
    <x:row r="141" spans="1:5" ht="71.1" customHeight="1" x14ac:dyDescent="0.25">
      <x:c r="A141" s="3" t="s">
        <x:v>163</x:v>
      </x:c>
      <x:c r="B141" s="3" t="s">
        <x:v>10</x:v>
      </x:c>
      <x:c r="C141" s="79" t="s">
        <x:v>164</x:v>
      </x:c>
      <x:c r="D141" s="3" t="s">
        <x:v>14</x:v>
      </x:c>
      <x:c r="E141" s="3"/>
    </x:row>
    <x:row r="142" spans="1:5" ht="71.1" customHeight="1" x14ac:dyDescent="0.25">
      <x:c r="A142" s="3" t="s">
        <x:v>165</x:v>
      </x:c>
      <x:c r="B142" s="3" t="s">
        <x:v>10</x:v>
      </x:c>
      <x:c r="C142" s="3" t="s">
        <x:v>164</x:v>
      </x:c>
      <x:c r="D142" s="79" t="s">
        <x:v>14</x:v>
      </x:c>
      <x:c r="E142" s="3"/>
    </x:row>
    <x:row r="143" spans="1:5" ht="71.1" customHeight="1" x14ac:dyDescent="0.25">
      <x:c r="A143" s="3" t="s">
        <x:v>166</x:v>
      </x:c>
      <x:c r="B143" s="3" t="s">
        <x:v>10</x:v>
      </x:c>
      <x:c r="C143" s="79" t="s">
        <x:v>164</x:v>
      </x:c>
      <x:c r="D143" s="3" t="s">
        <x:v>16</x:v>
      </x:c>
      <x:c r="E143" s="3" t="s">
        <x:v>17</x:v>
      </x:c>
    </x:row>
    <x:row r="144" spans="1:5" ht="71.1" customHeight="1" x14ac:dyDescent="0.25">
      <x:c r="A144" s="3" t="s">
        <x:v>167</x:v>
      </x:c>
      <x:c r="B144" s="3" t="s">
        <x:v>10</x:v>
      </x:c>
      <x:c r="C144" s="3" t="s">
        <x:v>164</x:v>
      </x:c>
      <x:c r="D144" s="79" t="s">
        <x:v>16</x:v>
      </x:c>
      <x:c r="E144" s="3" t="s">
        <x:v>17</x:v>
      </x:c>
    </x:row>
    <x:row r="145" spans="1:5" ht="71.1" customHeight="1" x14ac:dyDescent="0.25">
      <x:c r="A145" s="3" t="s">
        <x:v>168</x:v>
      </x:c>
      <x:c r="B145" s="3" t="s">
        <x:v>10</x:v>
      </x:c>
      <x:c r="C145" s="79" t="s">
        <x:v>164</x:v>
      </x:c>
      <x:c r="D145" s="3" t="s">
        <x:v>16</x:v>
      </x:c>
      <x:c r="E145" s="3" t="s">
        <x:v>17</x:v>
      </x:c>
    </x:row>
    <x:row r="146" spans="1:5" ht="71.1" customHeight="1" x14ac:dyDescent="0.25">
      <x:c r="A146" s="3" t="s">
        <x:v>169</x:v>
      </x:c>
      <x:c r="B146" s="3" t="s">
        <x:v>10</x:v>
      </x:c>
      <x:c r="C146" s="3" t="s">
        <x:v>164</x:v>
      </x:c>
      <x:c r="D146" s="79" t="s">
        <x:v>16</x:v>
      </x:c>
      <x:c r="E146" s="3" t="s">
        <x:v>17</x:v>
      </x:c>
    </x:row>
    <x:row r="147" spans="1:5" ht="71.1" customHeight="1" x14ac:dyDescent="0.25">
      <x:c r="A147" s="3" t="s">
        <x:v>170</x:v>
      </x:c>
      <x:c r="B147" s="3" t="s">
        <x:v>10</x:v>
      </x:c>
      <x:c r="C147" s="79" t="s">
        <x:v>164</x:v>
      </x:c>
      <x:c r="D147" s="3" t="s">
        <x:v>23</x:v>
      </x:c>
      <x:c r="E147" s="3" t="s">
        <x:v>24</x:v>
      </x:c>
    </x:row>
    <x:row r="148" spans="1:5" ht="71.1" customHeight="1" x14ac:dyDescent="0.25">
      <x:c r="A148" s="3" t="s">
        <x:v>171</x:v>
      </x:c>
      <x:c r="B148" s="3" t="s">
        <x:v>10</x:v>
      </x:c>
      <x:c r="C148" s="3" t="s">
        <x:v>164</x:v>
      </x:c>
      <x:c r="D148" s="79" t="s">
        <x:v>23</x:v>
      </x:c>
      <x:c r="E148" s="3" t="s">
        <x:v>24</x:v>
      </x:c>
    </x:row>
    <x:row r="149" spans="1:5" ht="71.1" customHeight="1" x14ac:dyDescent="0.25">
      <x:c r="A149" s="3" t="s">
        <x:v>172</x:v>
      </x:c>
      <x:c r="B149" s="3" t="s">
        <x:v>10</x:v>
      </x:c>
      <x:c r="C149" s="79" t="s">
        <x:v>164</x:v>
      </x:c>
      <x:c r="D149" s="3" t="s">
        <x:v>23</x:v>
      </x:c>
      <x:c r="E149" s="3" t="s">
        <x:v>24</x:v>
      </x:c>
    </x:row>
    <x:row r="150" spans="1:5" ht="71.1" customHeight="1" x14ac:dyDescent="0.25">
      <x:c r="A150" s="3" t="s">
        <x:v>173</x:v>
      </x:c>
      <x:c r="B150" s="3" t="s">
        <x:v>10</x:v>
      </x:c>
      <x:c r="C150" s="3" t="s">
        <x:v>164</x:v>
      </x:c>
      <x:c r="D150" s="79" t="s">
        <x:v>23</x:v>
      </x:c>
      <x:c r="E150" s="3" t="s">
        <x:v>24</x:v>
      </x:c>
    </x:row>
    <x:row r="151" spans="1:5" ht="71.1" customHeight="1" x14ac:dyDescent="0.25">
      <x:c r="A151" s="3" t="s">
        <x:v>174</x:v>
      </x:c>
      <x:c r="B151" s="3" t="s">
        <x:v>10</x:v>
      </x:c>
      <x:c r="C151" s="79" t="s">
        <x:v>164</x:v>
      </x:c>
      <x:c r="D151" s="3" t="s">
        <x:v>23</x:v>
      </x:c>
      <x:c r="E151" s="3" t="s">
        <x:v>24</x:v>
      </x:c>
    </x:row>
    <x:row r="152" spans="1:5" ht="71.1" customHeight="1" x14ac:dyDescent="0.25">
      <x:c r="A152" s="3" t="s">
        <x:v>175</x:v>
      </x:c>
      <x:c r="B152" s="3" t="s">
        <x:v>10</x:v>
      </x:c>
      <x:c r="C152" s="3" t="s">
        <x:v>164</x:v>
      </x:c>
      <x:c r="D152" s="79" t="s">
        <x:v>23</x:v>
      </x:c>
      <x:c r="E152" s="3" t="s">
        <x:v>24</x:v>
      </x:c>
    </x:row>
    <x:row r="153" spans="1:5" ht="71.1" customHeight="1" x14ac:dyDescent="0.25">
      <x:c r="A153" s="3" t="s">
        <x:v>176</x:v>
      </x:c>
      <x:c r="B153" s="3" t="s">
        <x:v>10</x:v>
      </x:c>
      <x:c r="C153" s="79" t="s">
        <x:v>164</x:v>
      </x:c>
      <x:c r="D153" s="3" t="s">
        <x:v>23</x:v>
      </x:c>
      <x:c r="E153" s="3" t="s">
        <x:v>24</x:v>
      </x:c>
    </x:row>
    <x:row r="154" spans="1:5" ht="71.1" customHeight="1" x14ac:dyDescent="0.25">
      <x:c r="A154" s="3" t="s">
        <x:v>177</x:v>
      </x:c>
      <x:c r="B154" s="3" t="s">
        <x:v>10</x:v>
      </x:c>
      <x:c r="C154" s="3" t="s">
        <x:v>164</x:v>
      </x:c>
      <x:c r="D154" s="79" t="s">
        <x:v>23</x:v>
      </x:c>
      <x:c r="E154" s="3" t="s">
        <x:v>24</x:v>
      </x:c>
    </x:row>
    <x:row r="155" spans="1:5" ht="71.1" customHeight="1" x14ac:dyDescent="0.25">
      <x:c r="A155" s="3" t="s">
        <x:v>178</x:v>
      </x:c>
      <x:c r="B155" s="3" t="s">
        <x:v>10</x:v>
      </x:c>
      <x:c r="C155" s="79" t="s">
        <x:v>164</x:v>
      </x:c>
      <x:c r="D155" s="3" t="s">
        <x:v>23</x:v>
      </x:c>
      <x:c r="E155" s="3" t="s">
        <x:v>24</x:v>
      </x:c>
    </x:row>
    <x:row r="156" spans="1:5" ht="71.1" customHeight="1" x14ac:dyDescent="0.25">
      <x:c r="A156" s="3" t="s">
        <x:v>179</x:v>
      </x:c>
      <x:c r="B156" s="3" t="s">
        <x:v>10</x:v>
      </x:c>
      <x:c r="C156" s="3" t="s">
        <x:v>164</x:v>
      </x:c>
      <x:c r="D156" s="79" t="s">
        <x:v>23</x:v>
      </x:c>
      <x:c r="E156" s="3" t="s">
        <x:v>24</x:v>
      </x:c>
    </x:row>
    <x:row r="157" spans="1:5" ht="71.1" customHeight="1" x14ac:dyDescent="0.25">
      <x:c r="A157" s="3" t="s">
        <x:v>180</x:v>
      </x:c>
      <x:c r="B157" s="3" t="s">
        <x:v>10</x:v>
      </x:c>
      <x:c r="C157" s="79" t="s">
        <x:v>164</x:v>
      </x:c>
      <x:c r="D157" s="3" t="s">
        <x:v>23</x:v>
      </x:c>
      <x:c r="E157" s="3" t="s">
        <x:v>24</x:v>
      </x:c>
    </x:row>
    <x:row r="158" spans="1:5" ht="71.1" customHeight="1" x14ac:dyDescent="0.25">
      <x:c r="A158" s="3" t="s">
        <x:v>181</x:v>
      </x:c>
      <x:c r="B158" s="3" t="s">
        <x:v>10</x:v>
      </x:c>
      <x:c r="C158" s="3" t="s">
        <x:v>164</x:v>
      </x:c>
      <x:c r="D158" s="79" t="s">
        <x:v>23</x:v>
      </x:c>
      <x:c r="E158" s="3" t="s">
        <x:v>24</x:v>
      </x:c>
    </x:row>
    <x:row r="159" spans="1:5" ht="71.1" customHeight="1" x14ac:dyDescent="0.25">
      <x:c r="A159" s="3" t="s">
        <x:v>182</x:v>
      </x:c>
      <x:c r="B159" s="3" t="s">
        <x:v>10</x:v>
      </x:c>
      <x:c r="C159" s="79" t="s">
        <x:v>164</x:v>
      </x:c>
      <x:c r="D159" s="3" t="s">
        <x:v>183</x:v>
      </x:c>
      <x:c r="E159" s="3" t="s">
        <x:v>17</x:v>
      </x:c>
    </x:row>
    <x:row r="160" spans="1:5" ht="71.1" customHeight="1" x14ac:dyDescent="0.25">
      <x:c r="A160" s="3" t="s">
        <x:v>184</x:v>
      </x:c>
      <x:c r="B160" s="3" t="s">
        <x:v>10</x:v>
      </x:c>
      <x:c r="C160" s="3" t="s">
        <x:v>164</x:v>
      </x:c>
      <x:c r="D160" s="79" t="s">
        <x:v>183</x:v>
      </x:c>
      <x:c r="E160" s="3" t="s">
        <x:v>17</x:v>
      </x:c>
    </x:row>
    <x:row r="161" spans="1:5" ht="71.1" customHeight="1" x14ac:dyDescent="0.25">
      <x:c r="A161" s="3" t="s">
        <x:v>185</x:v>
      </x:c>
      <x:c r="B161" s="3" t="s">
        <x:v>10</x:v>
      </x:c>
      <x:c r="C161" s="79" t="s">
        <x:v>164</x:v>
      </x:c>
      <x:c r="D161" s="3" t="s">
        <x:v>183</x:v>
      </x:c>
      <x:c r="E161" s="3" t="s">
        <x:v>17</x:v>
      </x:c>
    </x:row>
    <x:row r="162" spans="1:5" ht="71.1" customHeight="1" x14ac:dyDescent="0.25">
      <x:c r="A162" s="3" t="s">
        <x:v>186</x:v>
      </x:c>
      <x:c r="B162" s="3" t="s">
        <x:v>10</x:v>
      </x:c>
      <x:c r="C162" s="3" t="s">
        <x:v>164</x:v>
      </x:c>
      <x:c r="D162" s="79" t="s">
        <x:v>183</x:v>
      </x:c>
      <x:c r="E162" s="3" t="s">
        <x:v>17</x:v>
      </x:c>
    </x:row>
    <x:row r="163" spans="1:5" ht="71.1" customHeight="1" x14ac:dyDescent="0.25">
      <x:c r="A163" s="3" t="s">
        <x:v>187</x:v>
      </x:c>
      <x:c r="B163" s="3" t="s">
        <x:v>10</x:v>
      </x:c>
      <x:c r="C163" s="79" t="s">
        <x:v>164</x:v>
      </x:c>
      <x:c r="D163" s="3" t="s">
        <x:v>37</x:v>
      </x:c>
      <x:c r="E163" s="3" t="s">
        <x:v>24</x:v>
      </x:c>
    </x:row>
    <x:row r="164" spans="1:5" ht="71.1" customHeight="1" x14ac:dyDescent="0.25">
      <x:c r="A164" s="3" t="s">
        <x:v>188</x:v>
      </x:c>
      <x:c r="B164" s="3" t="s">
        <x:v>10</x:v>
      </x:c>
      <x:c r="C164" s="3" t="s">
        <x:v>164</x:v>
      </x:c>
      <x:c r="D164" s="79" t="s">
        <x:v>37</x:v>
      </x:c>
      <x:c r="E164" s="3" t="s">
        <x:v>24</x:v>
      </x:c>
    </x:row>
    <x:row r="165" spans="1:5" ht="71.1" customHeight="1" x14ac:dyDescent="0.25">
      <x:c r="A165" s="3" t="s">
        <x:v>189</x:v>
      </x:c>
      <x:c r="B165" s="3" t="s">
        <x:v>10</x:v>
      </x:c>
      <x:c r="C165" s="79" t="s">
        <x:v>164</x:v>
      </x:c>
      <x:c r="D165" s="3" t="s">
        <x:v>37</x:v>
      </x:c>
      <x:c r="E165" s="3" t="s">
        <x:v>24</x:v>
      </x:c>
    </x:row>
    <x:row r="166" spans="1:5" ht="71.1" customHeight="1" x14ac:dyDescent="0.25">
      <x:c r="A166" s="3" t="s">
        <x:v>190</x:v>
      </x:c>
      <x:c r="B166" s="3" t="s">
        <x:v>10</x:v>
      </x:c>
      <x:c r="C166" s="3" t="s">
        <x:v>164</x:v>
      </x:c>
      <x:c r="D166" s="79" t="s">
        <x:v>191</x:v>
      </x:c>
      <x:c r="E166" s="3" t="s">
        <x:v>17</x:v>
      </x:c>
    </x:row>
    <x:row r="167" spans="1:5" ht="71.1" customHeight="1" x14ac:dyDescent="0.25">
      <x:c r="A167" s="3" t="s">
        <x:v>192</x:v>
      </x:c>
      <x:c r="B167" s="3" t="s">
        <x:v>10</x:v>
      </x:c>
      <x:c r="C167" s="79" t="s">
        <x:v>193</x:v>
      </x:c>
      <x:c r="D167" s="3" t="s">
        <x:v>14</x:v>
      </x:c>
      <x:c r="E167" s="3"/>
    </x:row>
    <x:row r="168" spans="1:5" ht="71.1" customHeight="1" x14ac:dyDescent="0.25">
      <x:c r="A168" s="3" t="s">
        <x:v>194</x:v>
      </x:c>
      <x:c r="B168" s="3" t="s">
        <x:v>10</x:v>
      </x:c>
      <x:c r="C168" s="3" t="s">
        <x:v>193</x:v>
      </x:c>
      <x:c r="D168" s="79" t="s">
        <x:v>183</x:v>
      </x:c>
      <x:c r="E168" s="3" t="s">
        <x:v>17</x:v>
      </x:c>
    </x:row>
    <x:row r="169" spans="1:5" ht="71.1" customHeight="1" x14ac:dyDescent="0.25">
      <x:c r="A169" s="3" t="s">
        <x:v>195</x:v>
      </x:c>
      <x:c r="B169" s="3" t="s">
        <x:v>10</x:v>
      </x:c>
      <x:c r="C169" s="79" t="s">
        <x:v>193</x:v>
      </x:c>
      <x:c r="D169" s="3" t="s">
        <x:v>183</x:v>
      </x:c>
      <x:c r="E169" s="3" t="s">
        <x:v>17</x:v>
      </x:c>
    </x:row>
    <x:row r="170" spans="1:5" ht="71.1" customHeight="1" x14ac:dyDescent="0.25">
      <x:c r="A170" s="3" t="s">
        <x:v>196</x:v>
      </x:c>
      <x:c r="B170" s="3" t="s">
        <x:v>10</x:v>
      </x:c>
      <x:c r="C170" s="3" t="s">
        <x:v>193</x:v>
      </x:c>
      <x:c r="D170" s="79" t="s">
        <x:v>183</x:v>
      </x:c>
      <x:c r="E170" s="3" t="s">
        <x:v>17</x:v>
      </x:c>
    </x:row>
    <x:row r="171" spans="1:5" ht="71.1" customHeight="1" x14ac:dyDescent="0.25">
      <x:c r="A171" s="3" t="s">
        <x:v>197</x:v>
      </x:c>
      <x:c r="B171" s="3" t="s">
        <x:v>10</x:v>
      </x:c>
      <x:c r="C171" s="79" t="s">
        <x:v>193</x:v>
      </x:c>
      <x:c r="D171" s="3" t="s">
        <x:v>183</x:v>
      </x:c>
      <x:c r="E171" s="3" t="s">
        <x:v>17</x:v>
      </x:c>
    </x:row>
    <x:row r="172" spans="1:5" ht="71.1" customHeight="1" x14ac:dyDescent="0.25">
      <x:c r="A172" s="3" t="s">
        <x:v>198</x:v>
      </x:c>
      <x:c r="B172" s="3" t="s">
        <x:v>10</x:v>
      </x:c>
      <x:c r="C172" s="3" t="s">
        <x:v>193</x:v>
      </x:c>
      <x:c r="D172" s="79" t="s">
        <x:v>191</x:v>
      </x:c>
      <x:c r="E172" s="3" t="s">
        <x:v>17</x:v>
      </x:c>
    </x:row>
    <x:row r="173" spans="1:5" ht="71.1" customHeight="1" x14ac:dyDescent="0.25">
      <x:c r="A173" s="3" t="s">
        <x:v>199</x:v>
      </x:c>
      <x:c r="B173" s="3" t="s">
        <x:v>10</x:v>
      </x:c>
      <x:c r="C173" s="79" t="s">
        <x:v>193</x:v>
      </x:c>
      <x:c r="D173" s="3" t="s">
        <x:v>16</x:v>
      </x:c>
      <x:c r="E173" s="3" t="s">
        <x:v>66</x:v>
      </x:c>
    </x:row>
    <x:row r="174" spans="1:5" ht="71.1" customHeight="1" x14ac:dyDescent="0.25">
      <x:c r="A174" s="3" t="s">
        <x:v>200</x:v>
      </x:c>
      <x:c r="B174" s="3" t="s">
        <x:v>10</x:v>
      </x:c>
      <x:c r="C174" s="3" t="s">
        <x:v>193</x:v>
      </x:c>
      <x:c r="D174" s="79" t="s">
        <x:v>16</x:v>
      </x:c>
      <x:c r="E174" s="3" t="s">
        <x:v>66</x:v>
      </x:c>
    </x:row>
    <x:row r="175" spans="1:5" ht="71.1" customHeight="1" x14ac:dyDescent="0.25">
      <x:c r="A175" s="3" t="s">
        <x:v>201</x:v>
      </x:c>
      <x:c r="B175" s="3" t="s">
        <x:v>10</x:v>
      </x:c>
      <x:c r="C175" s="79" t="s">
        <x:v>193</x:v>
      </x:c>
      <x:c r="D175" s="3" t="s">
        <x:v>16</x:v>
      </x:c>
      <x:c r="E175" s="3" t="s">
        <x:v>66</x:v>
      </x:c>
    </x:row>
    <x:row r="176" spans="1:5" ht="71.1" customHeight="1" x14ac:dyDescent="0.25">
      <x:c r="A176" s="3" t="s">
        <x:v>202</x:v>
      </x:c>
      <x:c r="B176" s="3" t="s">
        <x:v>10</x:v>
      </x:c>
      <x:c r="C176" s="3" t="s">
        <x:v>193</x:v>
      </x:c>
      <x:c r="D176" s="79" t="s">
        <x:v>16</x:v>
      </x:c>
      <x:c r="E176" s="3" t="s">
        <x:v>66</x:v>
      </x:c>
    </x:row>
    <x:row r="177" spans="1:5" ht="71.1" customHeight="1" x14ac:dyDescent="0.25">
      <x:c r="A177" s="3" t="s">
        <x:v>203</x:v>
      </x:c>
      <x:c r="B177" s="3" t="s">
        <x:v>10</x:v>
      </x:c>
      <x:c r="C177" s="79" t="s">
        <x:v>193</x:v>
      </x:c>
      <x:c r="D177" s="3" t="s">
        <x:v>23</x:v>
      </x:c>
      <x:c r="E177" s="3" t="s">
        <x:v>17</x:v>
      </x:c>
    </x:row>
    <x:row r="178" spans="1:5" ht="71.1" customHeight="1" x14ac:dyDescent="0.25">
      <x:c r="A178" s="3" t="s">
        <x:v>204</x:v>
      </x:c>
      <x:c r="B178" s="3" t="s">
        <x:v>10</x:v>
      </x:c>
      <x:c r="C178" s="3" t="s">
        <x:v>193</x:v>
      </x:c>
      <x:c r="D178" s="79" t="s">
        <x:v>23</x:v>
      </x:c>
      <x:c r="E178" s="3" t="s">
        <x:v>17</x:v>
      </x:c>
    </x:row>
    <x:row r="179" spans="1:5" ht="71.1" customHeight="1" x14ac:dyDescent="0.25">
      <x:c r="A179" s="3" t="s">
        <x:v>205</x:v>
      </x:c>
      <x:c r="B179" s="3" t="s">
        <x:v>10</x:v>
      </x:c>
      <x:c r="C179" s="79" t="s">
        <x:v>193</x:v>
      </x:c>
      <x:c r="D179" s="3" t="s">
        <x:v>23</x:v>
      </x:c>
      <x:c r="E179" s="3" t="s">
        <x:v>17</x:v>
      </x:c>
    </x:row>
    <x:row r="180" spans="1:5" ht="71.1" customHeight="1" x14ac:dyDescent="0.25">
      <x:c r="A180" s="3" t="s">
        <x:v>206</x:v>
      </x:c>
      <x:c r="B180" s="3" t="s">
        <x:v>10</x:v>
      </x:c>
      <x:c r="C180" s="3" t="s">
        <x:v>193</x:v>
      </x:c>
      <x:c r="D180" s="79" t="s">
        <x:v>23</x:v>
      </x:c>
      <x:c r="E180" s="3" t="s">
        <x:v>17</x:v>
      </x:c>
    </x:row>
    <x:row r="181" spans="1:5" ht="71.1" customHeight="1" x14ac:dyDescent="0.25">
      <x:c r="A181" s="3" t="s">
        <x:v>207</x:v>
      </x:c>
      <x:c r="B181" s="3" t="s">
        <x:v>10</x:v>
      </x:c>
      <x:c r="C181" s="79" t="s">
        <x:v>193</x:v>
      </x:c>
      <x:c r="D181" s="3" t="s">
        <x:v>23</x:v>
      </x:c>
      <x:c r="E181" s="3" t="s">
        <x:v>17</x:v>
      </x:c>
    </x:row>
    <x:row r="182" spans="1:5" ht="71.1" customHeight="1" x14ac:dyDescent="0.25">
      <x:c r="A182" s="3" t="s">
        <x:v>208</x:v>
      </x:c>
      <x:c r="B182" s="3" t="s">
        <x:v>10</x:v>
      </x:c>
      <x:c r="C182" s="3" t="s">
        <x:v>193</x:v>
      </x:c>
      <x:c r="D182" s="79" t="s">
        <x:v>23</x:v>
      </x:c>
      <x:c r="E182" s="3" t="s">
        <x:v>17</x:v>
      </x:c>
    </x:row>
    <x:row r="183" spans="1:5" ht="71.1" customHeight="1" x14ac:dyDescent="0.25">
      <x:c r="A183" s="3" t="s">
        <x:v>209</x:v>
      </x:c>
      <x:c r="B183" s="3" t="s">
        <x:v>10</x:v>
      </x:c>
      <x:c r="C183" s="79" t="s">
        <x:v>193</x:v>
      </x:c>
      <x:c r="D183" s="3" t="s">
        <x:v>23</x:v>
      </x:c>
      <x:c r="E183" s="3" t="s">
        <x:v>17</x:v>
      </x:c>
    </x:row>
    <x:row r="184" spans="1:5" ht="71.1" customHeight="1" x14ac:dyDescent="0.25">
      <x:c r="A184" s="3" t="s">
        <x:v>210</x:v>
      </x:c>
      <x:c r="B184" s="3" t="s">
        <x:v>10</x:v>
      </x:c>
      <x:c r="C184" s="3" t="s">
        <x:v>193</x:v>
      </x:c>
      <x:c r="D184" s="79" t="s">
        <x:v>21</x:v>
      </x:c>
      <x:c r="E184" s="3" t="s">
        <x:v>66</x:v>
      </x:c>
    </x:row>
    <x:row r="185" spans="1:5" ht="71.1" customHeight="1" x14ac:dyDescent="0.25">
      <x:c r="A185" s="3" t="s">
        <x:v>211</x:v>
      </x:c>
      <x:c r="B185" s="3" t="s">
        <x:v>10</x:v>
      </x:c>
      <x:c r="C185" s="79" t="s">
        <x:v>193</x:v>
      </x:c>
      <x:c r="D185" s="3" t="s">
        <x:v>37</x:v>
      </x:c>
      <x:c r="E185" s="3" t="s">
        <x:v>17</x:v>
      </x:c>
    </x:row>
    <x:row r="186" spans="1:5" ht="71.1" customHeight="1" x14ac:dyDescent="0.25">
      <x:c r="A186" s="3" t="s">
        <x:v>212</x:v>
      </x:c>
      <x:c r="B186" s="3" t="s">
        <x:v>10</x:v>
      </x:c>
      <x:c r="C186" s="3" t="s">
        <x:v>193</x:v>
      </x:c>
      <x:c r="D186" s="79" t="s">
        <x:v>37</x:v>
      </x:c>
      <x:c r="E186" s="3" t="s">
        <x:v>17</x:v>
      </x:c>
    </x:row>
    <x:row r="187" spans="1:5" ht="71.1" customHeight="1" x14ac:dyDescent="0.25">
      <x:c r="A187" s="3" t="s">
        <x:v>213</x:v>
      </x:c>
      <x:c r="B187" s="3" t="s">
        <x:v>10</x:v>
      </x:c>
      <x:c r="C187" s="79" t="s">
        <x:v>193</x:v>
      </x:c>
      <x:c r="D187" s="3" t="s">
        <x:v>37</x:v>
      </x:c>
      <x:c r="E187" s="3" t="s">
        <x:v>17</x:v>
      </x:c>
    </x:row>
    <x:row r="188" spans="1:5" ht="71.1" customHeight="1" x14ac:dyDescent="0.25">
      <x:c r="A188" s="3" t="s">
        <x:v>214</x:v>
      </x:c>
      <x:c r="B188" s="3" t="s">
        <x:v>10</x:v>
      </x:c>
      <x:c r="C188" s="3" t="s">
        <x:v>215</x:v>
      </x:c>
      <x:c r="D188" s="79" t="s">
        <x:v>14</x:v>
      </x:c>
      <x:c r="E188" s="3"/>
    </x:row>
    <x:row r="189" spans="1:5" ht="71.1" customHeight="1" x14ac:dyDescent="0.25">
      <x:c r="A189" s="3" t="s">
        <x:v>216</x:v>
      </x:c>
      <x:c r="B189" s="3" t="s">
        <x:v>10</x:v>
      </x:c>
      <x:c r="C189" s="79" t="s">
        <x:v>215</x:v>
      </x:c>
      <x:c r="D189" s="3" t="s">
        <x:v>14</x:v>
      </x:c>
      <x:c r="E189" s="3"/>
    </x:row>
    <x:row r="190" spans="1:5" ht="71.1" customHeight="1" x14ac:dyDescent="0.25">
      <x:c r="A190" s="3" t="s">
        <x:v>217</x:v>
      </x:c>
      <x:c r="B190" s="3" t="s">
        <x:v>10</x:v>
      </x:c>
      <x:c r="C190" s="3" t="s">
        <x:v>215</x:v>
      </x:c>
      <x:c r="D190" s="79" t="s">
        <x:v>16</x:v>
      </x:c>
      <x:c r="E190" s="3" t="s">
        <x:v>66</x:v>
      </x:c>
    </x:row>
    <x:row r="191" spans="1:5" ht="71.1" customHeight="1" x14ac:dyDescent="0.25">
      <x:c r="A191" s="3" t="s">
        <x:v>218</x:v>
      </x:c>
      <x:c r="B191" s="3" t="s">
        <x:v>10</x:v>
      </x:c>
      <x:c r="C191" s="79" t="s">
        <x:v>215</x:v>
      </x:c>
      <x:c r="D191" s="3" t="s">
        <x:v>16</x:v>
      </x:c>
      <x:c r="E191" s="3" t="s">
        <x:v>66</x:v>
      </x:c>
    </x:row>
    <x:row r="192" spans="1:5" ht="71.1" customHeight="1" x14ac:dyDescent="0.25">
      <x:c r="A192" s="3" t="s">
        <x:v>219</x:v>
      </x:c>
      <x:c r="B192" s="3" t="s">
        <x:v>10</x:v>
      </x:c>
      <x:c r="C192" s="3" t="s">
        <x:v>215</x:v>
      </x:c>
      <x:c r="D192" s="79" t="s">
        <x:v>16</x:v>
      </x:c>
      <x:c r="E192" s="3" t="s">
        <x:v>66</x:v>
      </x:c>
    </x:row>
    <x:row r="193" spans="1:5" ht="71.1" customHeight="1" x14ac:dyDescent="0.25">
      <x:c r="A193" s="3" t="s">
        <x:v>220</x:v>
      </x:c>
      <x:c r="B193" s="3" t="s">
        <x:v>10</x:v>
      </x:c>
      <x:c r="C193" s="79" t="s">
        <x:v>215</x:v>
      </x:c>
      <x:c r="D193" s="3" t="s">
        <x:v>16</x:v>
      </x:c>
      <x:c r="E193" s="3" t="s">
        <x:v>66</x:v>
      </x:c>
    </x:row>
    <x:row r="194" spans="1:5" ht="71.1" customHeight="1" x14ac:dyDescent="0.25">
      <x:c r="A194" s="3" t="s">
        <x:v>221</x:v>
      </x:c>
      <x:c r="B194" s="3" t="s">
        <x:v>10</x:v>
      </x:c>
      <x:c r="C194" s="3" t="s">
        <x:v>215</x:v>
      </x:c>
      <x:c r="D194" s="79" t="s">
        <x:v>23</x:v>
      </x:c>
      <x:c r="E194" s="3" t="s">
        <x:v>17</x:v>
      </x:c>
    </x:row>
    <x:row r="195" spans="1:5" ht="71.1" customHeight="1" x14ac:dyDescent="0.25">
      <x:c r="A195" s="3" t="s">
        <x:v>222</x:v>
      </x:c>
      <x:c r="B195" s="3" t="s">
        <x:v>10</x:v>
      </x:c>
      <x:c r="C195" s="79" t="s">
        <x:v>215</x:v>
      </x:c>
      <x:c r="D195" s="3" t="s">
        <x:v>23</x:v>
      </x:c>
      <x:c r="E195" s="3" t="s">
        <x:v>17</x:v>
      </x:c>
    </x:row>
    <x:row r="196" spans="1:5" ht="71.1" customHeight="1" x14ac:dyDescent="0.25">
      <x:c r="A196" s="3" t="s">
        <x:v>223</x:v>
      </x:c>
      <x:c r="B196" s="3" t="s">
        <x:v>10</x:v>
      </x:c>
      <x:c r="C196" s="3" t="s">
        <x:v>215</x:v>
      </x:c>
      <x:c r="D196" s="79" t="s">
        <x:v>23</x:v>
      </x:c>
      <x:c r="E196" s="3" t="s">
        <x:v>17</x:v>
      </x:c>
    </x:row>
    <x:row r="197" spans="1:5" ht="71.1" customHeight="1" x14ac:dyDescent="0.25">
      <x:c r="A197" s="3" t="s">
        <x:v>224</x:v>
      </x:c>
      <x:c r="B197" s="3" t="s">
        <x:v>10</x:v>
      </x:c>
      <x:c r="C197" s="79" t="s">
        <x:v>215</x:v>
      </x:c>
      <x:c r="D197" s="3" t="s">
        <x:v>23</x:v>
      </x:c>
      <x:c r="E197" s="3" t="s">
        <x:v>17</x:v>
      </x:c>
    </x:row>
    <x:row r="198" spans="1:5" ht="71.1" customHeight="1" x14ac:dyDescent="0.25">
      <x:c r="A198" s="3" t="s">
        <x:v>225</x:v>
      </x:c>
      <x:c r="B198" s="3" t="s">
        <x:v>10</x:v>
      </x:c>
      <x:c r="C198" s="3" t="s">
        <x:v>215</x:v>
      </x:c>
      <x:c r="D198" s="79" t="s">
        <x:v>23</x:v>
      </x:c>
      <x:c r="E198" s="3" t="s">
        <x:v>17</x:v>
      </x:c>
    </x:row>
    <x:row r="199" spans="1:5" ht="71.1" customHeight="1" x14ac:dyDescent="0.25">
      <x:c r="A199" s="3" t="s">
        <x:v>226</x:v>
      </x:c>
      <x:c r="B199" s="3" t="s">
        <x:v>10</x:v>
      </x:c>
      <x:c r="C199" s="79" t="s">
        <x:v>215</x:v>
      </x:c>
      <x:c r="D199" s="3" t="s">
        <x:v>23</x:v>
      </x:c>
      <x:c r="E199" s="3" t="s">
        <x:v>17</x:v>
      </x:c>
    </x:row>
    <x:row r="200" spans="1:5" ht="71.1" customHeight="1" x14ac:dyDescent="0.25">
      <x:c r="A200" s="3" t="s">
        <x:v>227</x:v>
      </x:c>
      <x:c r="B200" s="3" t="s">
        <x:v>10</x:v>
      </x:c>
      <x:c r="C200" s="3" t="s">
        <x:v>215</x:v>
      </x:c>
      <x:c r="D200" s="79" t="s">
        <x:v>23</x:v>
      </x:c>
      <x:c r="E200" s="3" t="s">
        <x:v>17</x:v>
      </x:c>
    </x:row>
    <x:row r="201" spans="1:5" ht="71.1" customHeight="1" x14ac:dyDescent="0.25">
      <x:c r="A201" s="3" t="s">
        <x:v>228</x:v>
      </x:c>
      <x:c r="B201" s="3" t="s">
        <x:v>10</x:v>
      </x:c>
      <x:c r="C201" s="79" t="s">
        <x:v>215</x:v>
      </x:c>
      <x:c r="D201" s="3" t="s">
        <x:v>23</x:v>
      </x:c>
      <x:c r="E201" s="3" t="s">
        <x:v>17</x:v>
      </x:c>
    </x:row>
    <x:row r="202" spans="1:5" ht="71.1" customHeight="1" x14ac:dyDescent="0.25">
      <x:c r="A202" s="3" t="s">
        <x:v>229</x:v>
      </x:c>
      <x:c r="B202" s="3" t="s">
        <x:v>10</x:v>
      </x:c>
      <x:c r="C202" s="3" t="s">
        <x:v>215</x:v>
      </x:c>
      <x:c r="D202" s="79" t="s">
        <x:v>23</x:v>
      </x:c>
      <x:c r="E202" s="3" t="s">
        <x:v>17</x:v>
      </x:c>
    </x:row>
    <x:row r="203" spans="1:5" ht="71.1" customHeight="1" x14ac:dyDescent="0.25">
      <x:c r="A203" s="3" t="s">
        <x:v>230</x:v>
      </x:c>
      <x:c r="B203" s="3" t="s">
        <x:v>10</x:v>
      </x:c>
      <x:c r="C203" s="79" t="s">
        <x:v>215</x:v>
      </x:c>
      <x:c r="D203" s="3" t="s">
        <x:v>23</x:v>
      </x:c>
      <x:c r="E203" s="3" t="s">
        <x:v>17</x:v>
      </x:c>
    </x:row>
    <x:row r="204" spans="1:5" ht="71.1" customHeight="1" x14ac:dyDescent="0.25">
      <x:c r="A204" s="3" t="s">
        <x:v>231</x:v>
      </x:c>
      <x:c r="B204" s="3" t="s">
        <x:v>10</x:v>
      </x:c>
      <x:c r="C204" s="3" t="s">
        <x:v>215</x:v>
      </x:c>
      <x:c r="D204" s="79" t="s">
        <x:v>23</x:v>
      </x:c>
      <x:c r="E204" s="3" t="s">
        <x:v>17</x:v>
      </x:c>
    </x:row>
    <x:row r="205" spans="1:5" ht="71.1" customHeight="1" x14ac:dyDescent="0.25">
      <x:c r="A205" s="3" t="s">
        <x:v>232</x:v>
      </x:c>
      <x:c r="B205" s="3" t="s">
        <x:v>10</x:v>
      </x:c>
      <x:c r="C205" s="79" t="s">
        <x:v>215</x:v>
      </x:c>
      <x:c r="D205" s="3" t="s">
        <x:v>233</x:v>
      </x:c>
      <x:c r="E205" s="3" t="s">
        <x:v>17</x:v>
      </x:c>
    </x:row>
    <x:row r="206" spans="1:5" ht="47.1" customHeight="1" x14ac:dyDescent="0.25">
      <x:c r="A206" s="3" t="s">
        <x:v>234</x:v>
      </x:c>
      <x:c r="B206" s="3" t="s">
        <x:v>10</x:v>
      </x:c>
      <x:c r="C206" s="3" t="s">
        <x:v>215</x:v>
      </x:c>
      <x:c r="D206" s="79" t="s">
        <x:v>233</x:v>
      </x:c>
      <x:c r="E206" s="3" t="s">
        <x:v>17</x:v>
      </x:c>
    </x:row>
    <x:row r="207" spans="1:5" ht="47.1" customHeight="1" x14ac:dyDescent="0.25">
      <x:c r="A207" s="3" t="s">
        <x:v>235</x:v>
      </x:c>
      <x:c r="B207" s="3" t="s">
        <x:v>10</x:v>
      </x:c>
      <x:c r="C207" s="79" t="s">
        <x:v>215</x:v>
      </x:c>
      <x:c r="D207" s="3" t="s">
        <x:v>233</x:v>
      </x:c>
      <x:c r="E207" s="3" t="s">
        <x:v>17</x:v>
      </x:c>
    </x:row>
    <x:row r="208" spans="1:5" ht="47.1" customHeight="1" x14ac:dyDescent="0.25">
      <x:c r="A208" s="3" t="s">
        <x:v>236</x:v>
      </x:c>
      <x:c r="B208" s="3" t="s">
        <x:v>10</x:v>
      </x:c>
      <x:c r="C208" s="3" t="s">
        <x:v>215</x:v>
      </x:c>
      <x:c r="D208" s="79" t="s">
        <x:v>233</x:v>
      </x:c>
      <x:c r="E208" s="3" t="s">
        <x:v>17</x:v>
      </x:c>
    </x:row>
    <x:row r="209" spans="1:5" ht="81.95" customHeight="1" x14ac:dyDescent="0.25">
      <x:c r="A209" s="3" t="s">
        <x:v>237</x:v>
      </x:c>
      <x:c r="B209" s="3" t="s">
        <x:v>10</x:v>
      </x:c>
      <x:c r="C209" s="79" t="s">
        <x:v>215</x:v>
      </x:c>
      <x:c r="D209" s="3" t="s">
        <x:v>233</x:v>
      </x:c>
      <x:c r="E209" s="3" t="s">
        <x:v>17</x:v>
      </x:c>
    </x:row>
    <x:row r="210" spans="1:5" ht="47.1" customHeight="1" x14ac:dyDescent="0.25">
      <x:c r="A210" s="3" t="s">
        <x:v>238</x:v>
      </x:c>
      <x:c r="B210" s="3" t="s">
        <x:v>10</x:v>
      </x:c>
      <x:c r="C210" s="3" t="s">
        <x:v>215</x:v>
      </x:c>
      <x:c r="D210" s="79" t="s">
        <x:v>233</x:v>
      </x:c>
      <x:c r="E210" s="3" t="s">
        <x:v>17</x:v>
      </x:c>
    </x:row>
    <x:row r="211" spans="1:5" ht="47.1" customHeight="1" x14ac:dyDescent="0.25">
      <x:c r="A211" s="3" t="s">
        <x:v>239</x:v>
      </x:c>
      <x:c r="B211" s="3" t="s">
        <x:v>10</x:v>
      </x:c>
      <x:c r="C211" s="79" t="s">
        <x:v>215</x:v>
      </x:c>
      <x:c r="D211" s="3" t="s">
        <x:v>233</x:v>
      </x:c>
      <x:c r="E211" s="3" t="s">
        <x:v>17</x:v>
      </x:c>
    </x:row>
    <x:row r="212" spans="1:5" ht="47.1" customHeight="1" x14ac:dyDescent="0.25">
      <x:c r="A212" s="3" t="s">
        <x:v>240</x:v>
      </x:c>
      <x:c r="B212" s="3" t="s">
        <x:v>10</x:v>
      </x:c>
      <x:c r="C212" s="3" t="s">
        <x:v>215</x:v>
      </x:c>
      <x:c r="D212" s="79" t="s">
        <x:v>233</x:v>
      </x:c>
      <x:c r="E212" s="3" t="s">
        <x:v>17</x:v>
      </x:c>
    </x:row>
    <x:row r="213" spans="1:5" ht="47.1" customHeight="1" x14ac:dyDescent="0.25">
      <x:c r="A213" s="3" t="s">
        <x:v>241</x:v>
      </x:c>
      <x:c r="B213" s="3" t="s">
        <x:v>10</x:v>
      </x:c>
      <x:c r="C213" s="79" t="s">
        <x:v>215</x:v>
      </x:c>
      <x:c r="D213" s="3" t="s">
        <x:v>21</x:v>
      </x:c>
      <x:c r="E213" s="3" t="s">
        <x:v>66</x:v>
      </x:c>
    </x:row>
    <x:row r="214" spans="1:5" ht="47.1" customHeight="1" x14ac:dyDescent="0.25">
      <x:c r="A214" s="3" t="s">
        <x:v>242</x:v>
      </x:c>
      <x:c r="B214" s="3" t="s">
        <x:v>10</x:v>
      </x:c>
      <x:c r="C214" s="3" t="s">
        <x:v>215</x:v>
      </x:c>
      <x:c r="D214" s="79" t="s">
        <x:v>243</x:v>
      </x:c>
      <x:c r="E214" s="3" t="s">
        <x:v>17</x:v>
      </x:c>
    </x:row>
    <x:row r="215" spans="1:5" ht="47.1" customHeight="1" x14ac:dyDescent="0.25">
      <x:c r="A215" s="3" t="s">
        <x:v>244</x:v>
      </x:c>
      <x:c r="B215" s="3" t="s">
        <x:v>10</x:v>
      </x:c>
      <x:c r="C215" s="79" t="s">
        <x:v>215</x:v>
      </x:c>
      <x:c r="D215" s="3" t="s">
        <x:v>243</x:v>
      </x:c>
      <x:c r="E215" s="3" t="s">
        <x:v>17</x:v>
      </x:c>
    </x:row>
    <x:row r="216" spans="1:5" ht="47.1" customHeight="1" x14ac:dyDescent="0.25">
      <x:c r="A216" s="3" t="s">
        <x:v>245</x:v>
      </x:c>
      <x:c r="B216" s="3" t="s">
        <x:v>10</x:v>
      </x:c>
      <x:c r="C216" s="3" t="s">
        <x:v>215</x:v>
      </x:c>
      <x:c r="D216" s="79" t="s">
        <x:v>37</x:v>
      </x:c>
      <x:c r="E216" s="3" t="s">
        <x:v>17</x:v>
      </x:c>
    </x:row>
    <x:row r="217" spans="1:5" ht="47.1" customHeight="1" x14ac:dyDescent="0.25">
      <x:c r="A217" s="3" t="s">
        <x:v>246</x:v>
      </x:c>
      <x:c r="B217" s="3" t="s">
        <x:v>10</x:v>
      </x:c>
      <x:c r="C217" s="79" t="s">
        <x:v>215</x:v>
      </x:c>
      <x:c r="D217" s="3" t="s">
        <x:v>37</x:v>
      </x:c>
      <x:c r="E217" s="3" t="s">
        <x:v>17</x:v>
      </x:c>
    </x:row>
    <x:row r="218" spans="1:5" ht="47.1" customHeight="1" x14ac:dyDescent="0.25">
      <x:c r="A218" s="3" t="s">
        <x:v>247</x:v>
      </x:c>
      <x:c r="B218" s="3" t="s">
        <x:v>10</x:v>
      </x:c>
      <x:c r="C218" s="3" t="s">
        <x:v>215</x:v>
      </x:c>
      <x:c r="D218" s="79" t="s">
        <x:v>37</x:v>
      </x:c>
      <x:c r="E218" s="3" t="s">
        <x:v>17</x:v>
      </x:c>
    </x:row>
    <x:row r="219" spans="1:5" ht="47.1" customHeight="1" x14ac:dyDescent="0.25">
      <x:c r="A219" s="3" t="s">
        <x:v>248</x:v>
      </x:c>
      <x:c r="B219" s="3" t="s">
        <x:v>10</x:v>
      </x:c>
      <x:c r="C219" s="79" t="s">
        <x:v>215</x:v>
      </x:c>
      <x:c r="D219" s="3" t="s">
        <x:v>37</x:v>
      </x:c>
      <x:c r="E219" s="3" t="s">
        <x:v>17</x:v>
      </x:c>
    </x:row>
    <x:row r="220" spans="1:5" ht="47.1" customHeight="1" x14ac:dyDescent="0.25">
      <x:c r="A220" s="3" t="s">
        <x:v>249</x:v>
      </x:c>
      <x:c r="B220" s="3" t="s">
        <x:v>10</x:v>
      </x:c>
      <x:c r="C220" s="3" t="s">
        <x:v>250</x:v>
      </x:c>
      <x:c r="D220" s="79" t="s">
        <x:v>14</x:v>
      </x:c>
      <x:c r="E220" s="3"/>
    </x:row>
    <x:row r="221" spans="1:5" ht="47.1" customHeight="1" x14ac:dyDescent="0.25">
      <x:c r="A221" s="3" t="s">
        <x:v>251</x:v>
      </x:c>
      <x:c r="B221" s="3" t="s">
        <x:v>10</x:v>
      </x:c>
      <x:c r="C221" s="79" t="s">
        <x:v>250</x:v>
      </x:c>
      <x:c r="D221" s="3" t="s">
        <x:v>183</x:v>
      </x:c>
      <x:c r="E221" s="3" t="s">
        <x:v>17</x:v>
      </x:c>
    </x:row>
    <x:row r="222" spans="1:5" ht="47.1" customHeight="1" x14ac:dyDescent="0.25">
      <x:c r="A222" s="3" t="s">
        <x:v>252</x:v>
      </x:c>
      <x:c r="B222" s="3" t="s">
        <x:v>10</x:v>
      </x:c>
      <x:c r="C222" s="3" t="s">
        <x:v>250</x:v>
      </x:c>
      <x:c r="D222" s="79" t="s">
        <x:v>183</x:v>
      </x:c>
      <x:c r="E222" s="3" t="s">
        <x:v>17</x:v>
      </x:c>
    </x:row>
    <x:row r="223" spans="1:5" ht="47.1" customHeight="1" x14ac:dyDescent="0.25">
      <x:c r="A223" s="3" t="s">
        <x:v>253</x:v>
      </x:c>
      <x:c r="B223" s="3" t="s">
        <x:v>10</x:v>
      </x:c>
      <x:c r="C223" s="79" t="s">
        <x:v>250</x:v>
      </x:c>
      <x:c r="D223" s="3" t="s">
        <x:v>183</x:v>
      </x:c>
      <x:c r="E223" s="3" t="s">
        <x:v>17</x:v>
      </x:c>
    </x:row>
    <x:row r="224" spans="1:5" ht="47.1" customHeight="1" x14ac:dyDescent="0.25">
      <x:c r="A224" s="3" t="s">
        <x:v>254</x:v>
      </x:c>
      <x:c r="B224" s="3" t="s">
        <x:v>10</x:v>
      </x:c>
      <x:c r="C224" s="3" t="s">
        <x:v>250</x:v>
      </x:c>
      <x:c r="D224" s="79" t="s">
        <x:v>183</x:v>
      </x:c>
      <x:c r="E224" s="3" t="s">
        <x:v>17</x:v>
      </x:c>
    </x:row>
    <x:row r="225" spans="1:5" ht="47.1" customHeight="1" x14ac:dyDescent="0.25">
      <x:c r="A225" s="3" t="s">
        <x:v>255</x:v>
      </x:c>
      <x:c r="B225" s="3" t="s">
        <x:v>10</x:v>
      </x:c>
      <x:c r="C225" s="79" t="s">
        <x:v>250</x:v>
      </x:c>
      <x:c r="D225" s="3" t="s">
        <x:v>191</x:v>
      </x:c>
      <x:c r="E225" s="3" t="s">
        <x:v>17</x:v>
      </x:c>
    </x:row>
    <x:row r="226" spans="1:5" ht="47.1" customHeight="1" x14ac:dyDescent="0.25">
      <x:c r="A226" s="3" t="s">
        <x:v>256</x:v>
      </x:c>
      <x:c r="B226" s="3" t="s">
        <x:v>10</x:v>
      </x:c>
      <x:c r="C226" s="3" t="s">
        <x:v>250</x:v>
      </x:c>
      <x:c r="D226" s="79" t="s">
        <x:v>16</x:v>
      </x:c>
      <x:c r="E226" s="3" t="s">
        <x:v>66</x:v>
      </x:c>
    </x:row>
    <x:row r="227" spans="1:5" ht="47.1" customHeight="1" x14ac:dyDescent="0.25">
      <x:c r="A227" s="3" t="s">
        <x:v>257</x:v>
      </x:c>
      <x:c r="B227" s="3" t="s">
        <x:v>10</x:v>
      </x:c>
      <x:c r="C227" s="79" t="s">
        <x:v>250</x:v>
      </x:c>
      <x:c r="D227" s="3" t="s">
        <x:v>16</x:v>
      </x:c>
      <x:c r="E227" s="3" t="s">
        <x:v>66</x:v>
      </x:c>
    </x:row>
    <x:row r="228" spans="1:5" ht="47.1" customHeight="1" x14ac:dyDescent="0.25">
      <x:c r="A228" s="3" t="s">
        <x:v>258</x:v>
      </x:c>
      <x:c r="B228" s="3" t="s">
        <x:v>10</x:v>
      </x:c>
      <x:c r="C228" s="3" t="s">
        <x:v>250</x:v>
      </x:c>
      <x:c r="D228" s="79" t="s">
        <x:v>16</x:v>
      </x:c>
      <x:c r="E228" s="3" t="s">
        <x:v>66</x:v>
      </x:c>
    </x:row>
    <x:row r="229" spans="1:5" ht="47.1" customHeight="1" x14ac:dyDescent="0.25">
      <x:c r="A229" s="3" t="s">
        <x:v>259</x:v>
      </x:c>
      <x:c r="B229" s="3" t="s">
        <x:v>10</x:v>
      </x:c>
      <x:c r="C229" s="79" t="s">
        <x:v>250</x:v>
      </x:c>
      <x:c r="D229" s="3" t="s">
        <x:v>16</x:v>
      </x:c>
      <x:c r="E229" s="3" t="s">
        <x:v>66</x:v>
      </x:c>
    </x:row>
    <x:row r="230" spans="1:5" ht="47.1" customHeight="1" x14ac:dyDescent="0.25">
      <x:c r="A230" s="3" t="s">
        <x:v>260</x:v>
      </x:c>
      <x:c r="B230" s="3" t="s">
        <x:v>10</x:v>
      </x:c>
      <x:c r="C230" s="3" t="s">
        <x:v>250</x:v>
      </x:c>
      <x:c r="D230" s="79" t="s">
        <x:v>23</x:v>
      </x:c>
      <x:c r="E230" s="3" t="s">
        <x:v>17</x:v>
      </x:c>
    </x:row>
    <x:row r="231" spans="1:5" ht="47.1" customHeight="1" x14ac:dyDescent="0.25">
      <x:c r="A231" s="3" t="s">
        <x:v>261</x:v>
      </x:c>
      <x:c r="B231" s="3" t="s">
        <x:v>10</x:v>
      </x:c>
      <x:c r="C231" s="79" t="s">
        <x:v>250</x:v>
      </x:c>
      <x:c r="D231" s="3" t="s">
        <x:v>23</x:v>
      </x:c>
      <x:c r="E231" s="3" t="s">
        <x:v>17</x:v>
      </x:c>
    </x:row>
    <x:row r="232" spans="1:5" ht="47.1" customHeight="1" x14ac:dyDescent="0.25">
      <x:c r="A232" s="3" t="s">
        <x:v>262</x:v>
      </x:c>
      <x:c r="B232" s="3" t="s">
        <x:v>10</x:v>
      </x:c>
      <x:c r="C232" s="3" t="s">
        <x:v>250</x:v>
      </x:c>
      <x:c r="D232" s="79" t="s">
        <x:v>23</x:v>
      </x:c>
      <x:c r="E232" s="3" t="s">
        <x:v>17</x:v>
      </x:c>
    </x:row>
    <x:row r="233" spans="1:5" ht="47.1" customHeight="1" x14ac:dyDescent="0.25">
      <x:c r="A233" s="3" t="s">
        <x:v>263</x:v>
      </x:c>
      <x:c r="B233" s="3" t="s">
        <x:v>10</x:v>
      </x:c>
      <x:c r="C233" s="79" t="s">
        <x:v>250</x:v>
      </x:c>
      <x:c r="D233" s="3" t="s">
        <x:v>23</x:v>
      </x:c>
      <x:c r="E233" s="3" t="s">
        <x:v>17</x:v>
      </x:c>
    </x:row>
    <x:row r="234" spans="1:5" ht="47.1" customHeight="1" x14ac:dyDescent="0.25">
      <x:c r="A234" s="3" t="s">
        <x:v>264</x:v>
      </x:c>
      <x:c r="B234" s="3" t="s">
        <x:v>10</x:v>
      </x:c>
      <x:c r="C234" s="3" t="s">
        <x:v>250</x:v>
      </x:c>
      <x:c r="D234" s="79" t="s">
        <x:v>23</x:v>
      </x:c>
      <x:c r="E234" s="3" t="s">
        <x:v>17</x:v>
      </x:c>
    </x:row>
    <x:row r="235" spans="1:5" ht="47.1" customHeight="1" x14ac:dyDescent="0.25">
      <x:c r="A235" s="3" t="s">
        <x:v>265</x:v>
      </x:c>
      <x:c r="B235" s="3" t="s">
        <x:v>10</x:v>
      </x:c>
      <x:c r="C235" s="79" t="s">
        <x:v>250</x:v>
      </x:c>
      <x:c r="D235" s="3" t="s">
        <x:v>23</x:v>
      </x:c>
      <x:c r="E235" s="3" t="s">
        <x:v>17</x:v>
      </x:c>
    </x:row>
    <x:row r="236" spans="1:5" ht="47.1" customHeight="1" x14ac:dyDescent="0.25">
      <x:c r="A236" s="3" t="s">
        <x:v>266</x:v>
      </x:c>
      <x:c r="B236" s="3" t="s">
        <x:v>10</x:v>
      </x:c>
      <x:c r="C236" s="3" t="s">
        <x:v>250</x:v>
      </x:c>
      <x:c r="D236" s="79" t="s">
        <x:v>23</x:v>
      </x:c>
      <x:c r="E236" s="3" t="s">
        <x:v>17</x:v>
      </x:c>
    </x:row>
    <x:row r="237" spans="1:5" ht="47.1" customHeight="1" x14ac:dyDescent="0.25">
      <x:c r="A237" s="3" t="s">
        <x:v>267</x:v>
      </x:c>
      <x:c r="B237" s="3" t="s">
        <x:v>10</x:v>
      </x:c>
      <x:c r="C237" s="79" t="s">
        <x:v>250</x:v>
      </x:c>
      <x:c r="D237" s="3" t="s">
        <x:v>23</x:v>
      </x:c>
      <x:c r="E237" s="3" t="s">
        <x:v>17</x:v>
      </x:c>
    </x:row>
    <x:row r="238" spans="1:5" ht="47.1" customHeight="1" x14ac:dyDescent="0.25">
      <x:c r="A238" s="3" t="s">
        <x:v>268</x:v>
      </x:c>
      <x:c r="B238" s="3" t="s">
        <x:v>10</x:v>
      </x:c>
      <x:c r="C238" s="3" t="s">
        <x:v>250</x:v>
      </x:c>
      <x:c r="D238" s="79" t="s">
        <x:v>23</x:v>
      </x:c>
      <x:c r="E238" s="3" t="s">
        <x:v>17</x:v>
      </x:c>
    </x:row>
    <x:row r="239" spans="1:5" ht="47.1" customHeight="1" x14ac:dyDescent="0.25">
      <x:c r="A239" s="3" t="s">
        <x:v>269</x:v>
      </x:c>
      <x:c r="B239" s="3" t="s">
        <x:v>10</x:v>
      </x:c>
      <x:c r="C239" s="79" t="s">
        <x:v>250</x:v>
      </x:c>
      <x:c r="D239" s="3" t="s">
        <x:v>23</x:v>
      </x:c>
      <x:c r="E239" s="3" t="s">
        <x:v>17</x:v>
      </x:c>
    </x:row>
    <x:row r="240" spans="1:5" ht="47.1" customHeight="1" x14ac:dyDescent="0.25">
      <x:c r="A240" s="3" t="s">
        <x:v>270</x:v>
      </x:c>
      <x:c r="B240" s="3" t="s">
        <x:v>10</x:v>
      </x:c>
      <x:c r="C240" s="3" t="s">
        <x:v>250</x:v>
      </x:c>
      <x:c r="D240" s="79" t="s">
        <x:v>23</x:v>
      </x:c>
      <x:c r="E240" s="3" t="s">
        <x:v>17</x:v>
      </x:c>
    </x:row>
    <x:row r="241" spans="1:5" ht="47.1" customHeight="1" x14ac:dyDescent="0.25">
      <x:c r="A241" s="3" t="s">
        <x:v>271</x:v>
      </x:c>
      <x:c r="B241" s="3" t="s">
        <x:v>10</x:v>
      </x:c>
      <x:c r="C241" s="79" t="s">
        <x:v>250</x:v>
      </x:c>
      <x:c r="D241" s="3" t="s">
        <x:v>23</x:v>
      </x:c>
      <x:c r="E241" s="3" t="s">
        <x:v>17</x:v>
      </x:c>
    </x:row>
    <x:row r="242" spans="1:5" ht="47.1" customHeight="1" x14ac:dyDescent="0.25">
      <x:c r="A242" s="3" t="s">
        <x:v>272</x:v>
      </x:c>
      <x:c r="B242" s="3" t="s">
        <x:v>10</x:v>
      </x:c>
      <x:c r="C242" s="3" t="s">
        <x:v>250</x:v>
      </x:c>
      <x:c r="D242" s="79" t="s">
        <x:v>23</x:v>
      </x:c>
      <x:c r="E242" s="3" t="s">
        <x:v>17</x:v>
      </x:c>
    </x:row>
    <x:row r="243" spans="1:5" ht="47.1" customHeight="1" x14ac:dyDescent="0.25">
      <x:c r="A243" s="3" t="s">
        <x:v>273</x:v>
      </x:c>
      <x:c r="B243" s="3" t="s">
        <x:v>10</x:v>
      </x:c>
      <x:c r="C243" s="79" t="s">
        <x:v>250</x:v>
      </x:c>
      <x:c r="D243" s="3" t="s">
        <x:v>23</x:v>
      </x:c>
      <x:c r="E243" s="3" t="s">
        <x:v>17</x:v>
      </x:c>
    </x:row>
    <x:row r="244" spans="1:5" ht="47.1" customHeight="1" x14ac:dyDescent="0.25">
      <x:c r="A244" s="3" t="s">
        <x:v>274</x:v>
      </x:c>
      <x:c r="B244" s="3" t="s">
        <x:v>10</x:v>
      </x:c>
      <x:c r="C244" s="3" t="s">
        <x:v>250</x:v>
      </x:c>
      <x:c r="D244" s="79" t="s">
        <x:v>23</x:v>
      </x:c>
      <x:c r="E244" s="3" t="s">
        <x:v>17</x:v>
      </x:c>
    </x:row>
    <x:row r="245" spans="1:5" ht="47.1" customHeight="1" x14ac:dyDescent="0.25">
      <x:c r="A245" s="3" t="s">
        <x:v>275</x:v>
      </x:c>
      <x:c r="B245" s="3" t="s">
        <x:v>10</x:v>
      </x:c>
      <x:c r="C245" s="79" t="s">
        <x:v>250</x:v>
      </x:c>
      <x:c r="D245" s="3" t="s">
        <x:v>23</x:v>
      </x:c>
      <x:c r="E245" s="3" t="s">
        <x:v>17</x:v>
      </x:c>
    </x:row>
    <x:row r="246" spans="1:5" ht="47.1" customHeight="1" x14ac:dyDescent="0.25">
      <x:c r="A246" s="3" t="s">
        <x:v>276</x:v>
      </x:c>
      <x:c r="B246" s="3" t="s">
        <x:v>10</x:v>
      </x:c>
      <x:c r="C246" s="3" t="s">
        <x:v>250</x:v>
      </x:c>
      <x:c r="D246" s="79" t="s">
        <x:v>21</x:v>
      </x:c>
      <x:c r="E246" s="3" t="s">
        <x:v>66</x:v>
      </x:c>
    </x:row>
    <x:row r="247" spans="1:5" ht="47.1" customHeight="1" x14ac:dyDescent="0.25">
      <x:c r="A247" s="3" t="s">
        <x:v>277</x:v>
      </x:c>
      <x:c r="B247" s="3" t="s">
        <x:v>10</x:v>
      </x:c>
      <x:c r="C247" s="79" t="s">
        <x:v>250</x:v>
      </x:c>
      <x:c r="D247" s="3" t="s">
        <x:v>37</x:v>
      </x:c>
      <x:c r="E247" s="3" t="s">
        <x:v>17</x:v>
      </x:c>
    </x:row>
    <x:row r="248" spans="1:5" ht="47.1" customHeight="1" x14ac:dyDescent="0.25">
      <x:c r="A248" s="3" t="s">
        <x:v>278</x:v>
      </x:c>
      <x:c r="B248" s="3" t="s">
        <x:v>10</x:v>
      </x:c>
      <x:c r="C248" s="3" t="s">
        <x:v>250</x:v>
      </x:c>
      <x:c r="D248" s="79" t="s">
        <x:v>37</x:v>
      </x:c>
      <x:c r="E248" s="3" t="s">
        <x:v>17</x:v>
      </x:c>
    </x:row>
    <x:row r="249" spans="1:5" ht="47.1" customHeight="1" x14ac:dyDescent="0.25">
      <x:c r="A249" s="3" t="s">
        <x:v>279</x:v>
      </x:c>
      <x:c r="B249" s="3" t="s">
        <x:v>10</x:v>
      </x:c>
      <x:c r="C249" s="79" t="s">
        <x:v>250</x:v>
      </x:c>
      <x:c r="D249" s="3" t="s">
        <x:v>37</x:v>
      </x:c>
      <x:c r="E249" s="3" t="s">
        <x:v>17</x:v>
      </x:c>
    </x:row>
    <x:row r="250" spans="1:5" ht="47.1" customHeight="1" x14ac:dyDescent="0.25">
      <x:c r="A250" s="3" t="s">
        <x:v>280</x:v>
      </x:c>
      <x:c r="B250" s="3" t="s">
        <x:v>10</x:v>
      </x:c>
      <x:c r="C250" s="3" t="s">
        <x:v>250</x:v>
      </x:c>
      <x:c r="D250" s="79" t="s">
        <x:v>37</x:v>
      </x:c>
      <x:c r="E250" s="3" t="s">
        <x:v>17</x:v>
      </x:c>
    </x:row>
    <x:row r="251" spans="1:5" ht="47.1" customHeight="1" x14ac:dyDescent="0.25">
      <x:c r="A251" s="3" t="s">
        <x:v>281</x:v>
      </x:c>
      <x:c r="B251" s="3" t="s">
        <x:v>10</x:v>
      </x:c>
      <x:c r="C251" s="79" t="s">
        <x:v>250</x:v>
      </x:c>
      <x:c r="D251" s="3" t="s">
        <x:v>37</x:v>
      </x:c>
      <x:c r="E251" s="3" t="s">
        <x:v>17</x:v>
      </x:c>
    </x:row>
    <x:row r="252" spans="1:5" ht="47.1" customHeight="1" x14ac:dyDescent="0.25">
      <x:c r="A252" s="3" t="s">
        <x:v>282</x:v>
      </x:c>
      <x:c r="B252" s="3" t="s">
        <x:v>10</x:v>
      </x:c>
      <x:c r="C252" s="3" t="s">
        <x:v>250</x:v>
      </x:c>
      <x:c r="D252" s="79" t="s">
        <x:v>37</x:v>
      </x:c>
      <x:c r="E252" s="3" t="s">
        <x:v>17</x:v>
      </x:c>
    </x:row>
    <x:row r="253" spans="1:5" ht="47.1" customHeight="1" x14ac:dyDescent="0.25">
      <x:c r="A253" s="3" t="s">
        <x:v>283</x:v>
      </x:c>
      <x:c r="B253" s="3" t="s">
        <x:v>10</x:v>
      </x:c>
      <x:c r="C253" s="79" t="s">
        <x:v>250</x:v>
      </x:c>
      <x:c r="D253" s="3" t="s">
        <x:v>23</x:v>
      </x:c>
      <x:c r="E253" s="3" t="s">
        <x:v>24</x:v>
      </x:c>
    </x:row>
    <x:row r="254" spans="1:5" ht="47.1" customHeight="1" x14ac:dyDescent="0.25">
      <x:c r="A254" s="3" t="s">
        <x:v>284</x:v>
      </x:c>
      <x:c r="B254" s="3" t="s">
        <x:v>10</x:v>
      </x:c>
      <x:c r="C254" s="3" t="s">
        <x:v>250</x:v>
      </x:c>
      <x:c r="D254" s="79" t="s">
        <x:v>23</x:v>
      </x:c>
      <x:c r="E254" s="3" t="s">
        <x:v>24</x:v>
      </x:c>
    </x:row>
    <x:row r="255" spans="1:5" ht="47.1" customHeight="1" x14ac:dyDescent="0.25">
      <x:c r="A255" s="3" t="s">
        <x:v>285</x:v>
      </x:c>
      <x:c r="B255" s="3" t="s">
        <x:v>10</x:v>
      </x:c>
      <x:c r="C255" s="79" t="s">
        <x:v>250</x:v>
      </x:c>
      <x:c r="D255" s="3" t="s">
        <x:v>23</x:v>
      </x:c>
      <x:c r="E255" s="3" t="s">
        <x:v>24</x:v>
      </x:c>
    </x:row>
    <x:row r="256" spans="1:5" ht="47.1" customHeight="1" x14ac:dyDescent="0.25">
      <x:c r="A256" s="3" t="s">
        <x:v>286</x:v>
      </x:c>
      <x:c r="B256" s="3" t="s">
        <x:v>10</x:v>
      </x:c>
      <x:c r="C256" s="3" t="s">
        <x:v>250</x:v>
      </x:c>
      <x:c r="D256" s="79" t="s">
        <x:v>37</x:v>
      </x:c>
      <x:c r="E256" s="3" t="s">
        <x:v>24</x:v>
      </x:c>
    </x:row>
    <x:row r="257" spans="1:5" ht="47.1" customHeight="1" x14ac:dyDescent="0.25">
      <x:c r="A257" s="3" t="s">
        <x:v>287</x:v>
      </x:c>
      <x:c r="B257" s="3" t="s">
        <x:v>10</x:v>
      </x:c>
      <x:c r="C257" s="79" t="s">
        <x:v>250</x:v>
      </x:c>
      <x:c r="D257" s="3" t="s">
        <x:v>37</x:v>
      </x:c>
      <x:c r="E257" s="3" t="s">
        <x:v>17</x:v>
      </x:c>
    </x:row>
    <x:row r="258" spans="1:5" ht="47.1" customHeight="1" x14ac:dyDescent="0.25">
      <x:c r="A258" s="3" t="s">
        <x:v>288</x:v>
      </x:c>
      <x:c r="B258" s="3" t="s">
        <x:v>10</x:v>
      </x:c>
      <x:c r="C258" s="3" t="s">
        <x:v>250</x:v>
      </x:c>
      <x:c r="D258" s="79" t="s">
        <x:v>23</x:v>
      </x:c>
      <x:c r="E258" s="3" t="s">
        <x:v>17</x:v>
      </x:c>
    </x:row>
    <x:row r="259" spans="1:5" ht="47.1" customHeight="1" x14ac:dyDescent="0.25">
      <x:c r="A259" s="3" t="s">
        <x:v>289</x:v>
      </x:c>
      <x:c r="B259" s="3" t="s">
        <x:v>10</x:v>
      </x:c>
      <x:c r="C259" s="79" t="s">
        <x:v>250</x:v>
      </x:c>
      <x:c r="D259" s="3" t="s">
        <x:v>23</x:v>
      </x:c>
      <x:c r="E259" s="3" t="s">
        <x:v>17</x:v>
      </x:c>
    </x:row>
    <x:row r="260" spans="1:5" ht="81.95" customHeight="1" x14ac:dyDescent="0.25">
      <x:c r="A260" s="3" t="s">
        <x:v>290</x:v>
      </x:c>
      <x:c r="B260" s="3" t="s">
        <x:v>10</x:v>
      </x:c>
      <x:c r="C260" s="3" t="s">
        <x:v>250</x:v>
      </x:c>
      <x:c r="D260" s="79" t="s">
        <x:v>23</x:v>
      </x:c>
      <x:c r="E260" s="3" t="s">
        <x:v>17</x:v>
      </x:c>
    </x:row>
    <x:row r="261" spans="1:5" ht="81.95" customHeight="1" x14ac:dyDescent="0.25">
      <x:c r="A261" s="3" t="s">
        <x:v>291</x:v>
      </x:c>
      <x:c r="B261" s="3" t="s">
        <x:v>10</x:v>
      </x:c>
      <x:c r="C261" s="79" t="s">
        <x:v>250</x:v>
      </x:c>
      <x:c r="D261" s="3" t="s">
        <x:v>23</x:v>
      </x:c>
      <x:c r="E261" s="3" t="s">
        <x:v>17</x:v>
      </x:c>
    </x:row>
    <x:row r="262" spans="1:5" ht="81.95" customHeight="1" x14ac:dyDescent="0.25">
      <x:c r="A262" s="3" t="s">
        <x:v>292</x:v>
      </x:c>
      <x:c r="B262" s="3" t="s">
        <x:v>10</x:v>
      </x:c>
      <x:c r="C262" s="3" t="s">
        <x:v>250</x:v>
      </x:c>
      <x:c r="D262" s="79" t="s">
        <x:v>23</x:v>
      </x:c>
      <x:c r="E262" s="3" t="s">
        <x:v>24</x:v>
      </x:c>
    </x:row>
    <x:row r="263" spans="1:5" ht="81.95" customHeight="1" x14ac:dyDescent="0.25">
      <x:c r="A263" s="3" t="s">
        <x:v>293</x:v>
      </x:c>
      <x:c r="B263" s="3" t="s">
        <x:v>294</x:v>
      </x:c>
      <x:c r="C263" s="79"/>
      <x:c r="D263" s="3" t="s">
        <x:v>295</x:v>
      </x:c>
      <x:c r="E263" s="3"/>
    </x:row>
    <x:row r="264" spans="1:5" ht="81.95" customHeight="1" x14ac:dyDescent="0.25">
      <x:c r="A264" s="3" t="s">
        <x:v>296</x:v>
      </x:c>
      <x:c r="B264" s="3" t="s">
        <x:v>294</x:v>
      </x:c>
      <x:c r="C264" s="3"/>
      <x:c r="D264" s="79" t="s">
        <x:v>43</x:v>
      </x:c>
      <x:c r="E264" s="3"/>
    </x:row>
    <x:row r="265" spans="1:5" ht="81.95" customHeight="1" x14ac:dyDescent="0.25">
      <x:c r="A265" s="3" t="s">
        <x:v>297</x:v>
      </x:c>
      <x:c r="B265" s="3" t="s">
        <x:v>294</x:v>
      </x:c>
      <x:c r="C265" s="79"/>
      <x:c r="D265" s="3" t="s">
        <x:v>43</x:v>
      </x:c>
      <x:c r="E265" s="3"/>
    </x:row>
    <x:row r="266" spans="1:5" ht="81.95" customHeight="1" x14ac:dyDescent="0.25">
      <x:c r="A266" s="3" t="s">
        <x:v>298</x:v>
      </x:c>
      <x:c r="B266" s="3" t="s">
        <x:v>294</x:v>
      </x:c>
      <x:c r="C266" s="3"/>
      <x:c r="D266" s="79" t="s">
        <x:v>183</x:v>
      </x:c>
      <x:c r="E266" s="3" t="s">
        <x:v>24</x:v>
      </x:c>
    </x:row>
    <x:row r="267" spans="1:5" ht="81.95" customHeight="1" x14ac:dyDescent="0.25">
      <x:c r="A267" s="3" t="s">
        <x:v>299</x:v>
      </x:c>
      <x:c r="B267" s="3" t="s">
        <x:v>294</x:v>
      </x:c>
      <x:c r="C267" s="79"/>
      <x:c r="D267" s="3" t="s">
        <x:v>183</x:v>
      </x:c>
      <x:c r="E267" s="3" t="s">
        <x:v>24</x:v>
      </x:c>
    </x:row>
    <x:row r="268" spans="1:5" ht="81.95" customHeight="1" x14ac:dyDescent="0.25">
      <x:c r="A268" s="3" t="s">
        <x:v>300</x:v>
      </x:c>
      <x:c r="B268" s="3" t="s">
        <x:v>294</x:v>
      </x:c>
      <x:c r="C268" s="3"/>
      <x:c r="D268" s="79" t="s">
        <x:v>183</x:v>
      </x:c>
      <x:c r="E268" s="3" t="s">
        <x:v>24</x:v>
      </x:c>
    </x:row>
    <x:row r="269" spans="1:5" ht="81.95" customHeight="1" x14ac:dyDescent="0.25">
      <x:c r="A269" s="3" t="s">
        <x:v>301</x:v>
      </x:c>
      <x:c r="B269" s="3" t="s">
        <x:v>294</x:v>
      </x:c>
      <x:c r="C269" s="79"/>
      <x:c r="D269" s="3" t="s">
        <x:v>183</x:v>
      </x:c>
      <x:c r="E269" s="3" t="s">
        <x:v>24</x:v>
      </x:c>
    </x:row>
    <x:row r="270" spans="1:5" ht="81.95" customHeight="1" x14ac:dyDescent="0.25">
      <x:c r="A270" s="3" t="s">
        <x:v>302</x:v>
      </x:c>
      <x:c r="B270" s="3" t="s">
        <x:v>294</x:v>
      </x:c>
      <x:c r="C270" s="3"/>
      <x:c r="D270" s="79" t="s">
        <x:v>183</x:v>
      </x:c>
      <x:c r="E270" s="3" t="s">
        <x:v>24</x:v>
      </x:c>
    </x:row>
    <x:row r="271" spans="1:5" ht="81.95" customHeight="1" x14ac:dyDescent="0.25">
      <x:c r="A271" s="3" t="s">
        <x:v>303</x:v>
      </x:c>
      <x:c r="B271" s="3" t="s">
        <x:v>294</x:v>
      </x:c>
      <x:c r="C271" s="79"/>
      <x:c r="D271" s="3" t="s">
        <x:v>183</x:v>
      </x:c>
      <x:c r="E271" s="3" t="s">
        <x:v>24</x:v>
      </x:c>
    </x:row>
    <x:row r="272" spans="1:5" ht="81.95" customHeight="1" x14ac:dyDescent="0.25">
      <x:c r="A272" s="3" t="s">
        <x:v>304</x:v>
      </x:c>
      <x:c r="B272" s="3" t="s">
        <x:v>294</x:v>
      </x:c>
      <x:c r="C272" s="3"/>
      <x:c r="D272" s="79" t="s">
        <x:v>191</x:v>
      </x:c>
      <x:c r="E272" s="3" t="s">
        <x:v>24</x:v>
      </x:c>
    </x:row>
    <x:row r="273" spans="1:5" ht="81.95" customHeight="1" x14ac:dyDescent="0.25">
      <x:c r="A273" s="3" t="s">
        <x:v>305</x:v>
      </x:c>
      <x:c r="B273" s="3" t="s">
        <x:v>294</x:v>
      </x:c>
      <x:c r="C273" s="79"/>
      <x:c r="D273" s="3" t="s">
        <x:v>191</x:v>
      </x:c>
      <x:c r="E273" s="3" t="s">
        <x:v>24</x:v>
      </x:c>
    </x:row>
    <x:row r="274" spans="1:5" ht="81.95" customHeight="1" x14ac:dyDescent="0.25">
      <x:c r="A274" s="3" t="s">
        <x:v>306</x:v>
      </x:c>
      <x:c r="B274" s="3" t="s">
        <x:v>294</x:v>
      </x:c>
      <x:c r="C274" s="3"/>
      <x:c r="D274" s="79" t="s">
        <x:v>191</x:v>
      </x:c>
      <x:c r="E274" s="3" t="s">
        <x:v>24</x:v>
      </x:c>
    </x:row>
    <x:row r="275" spans="1:5" ht="81.95" customHeight="1" x14ac:dyDescent="0.25">
      <x:c r="A275" s="3" t="s">
        <x:v>307</x:v>
      </x:c>
      <x:c r="B275" s="3" t="s">
        <x:v>294</x:v>
      </x:c>
      <x:c r="C275" s="79"/>
      <x:c r="D275" s="3" t="s">
        <x:v>183</x:v>
      </x:c>
      <x:c r="E275" s="3" t="s">
        <x:v>17</x:v>
      </x:c>
    </x:row>
    <x:row r="276" spans="1:5" ht="81.95" customHeight="1" x14ac:dyDescent="0.25">
      <x:c r="A276" s="3" t="s">
        <x:v>308</x:v>
      </x:c>
      <x:c r="B276" s="3" t="s">
        <x:v>294</x:v>
      </x:c>
      <x:c r="C276" s="3"/>
      <x:c r="D276" s="79" t="s">
        <x:v>183</x:v>
      </x:c>
      <x:c r="E276" s="3" t="s">
        <x:v>17</x:v>
      </x:c>
    </x:row>
    <x:row r="277" spans="1:5" ht="81.95" customHeight="1" x14ac:dyDescent="0.25">
      <x:c r="A277" s="3" t="s">
        <x:v>309</x:v>
      </x:c>
      <x:c r="B277" s="3" t="s">
        <x:v>294</x:v>
      </x:c>
      <x:c r="C277" s="79"/>
      <x:c r="D277" s="3" t="s">
        <x:v>183</x:v>
      </x:c>
      <x:c r="E277" s="3" t="s">
        <x:v>17</x:v>
      </x:c>
    </x:row>
    <x:row r="278" spans="1:5" ht="81.95" customHeight="1" x14ac:dyDescent="0.25">
      <x:c r="A278" s="3" t="s">
        <x:v>310</x:v>
      </x:c>
      <x:c r="B278" s="3" t="s">
        <x:v>294</x:v>
      </x:c>
      <x:c r="C278" s="3"/>
      <x:c r="D278" s="79" t="s">
        <x:v>183</x:v>
      </x:c>
      <x:c r="E278" s="3" t="s">
        <x:v>17</x:v>
      </x:c>
    </x:row>
    <x:row r="279" spans="1:5" ht="81.95" customHeight="1" x14ac:dyDescent="0.25">
      <x:c r="A279" s="3" t="s">
        <x:v>311</x:v>
      </x:c>
      <x:c r="B279" s="3" t="s">
        <x:v>294</x:v>
      </x:c>
      <x:c r="C279" s="79"/>
      <x:c r="D279" s="3" t="s">
        <x:v>191</x:v>
      </x:c>
      <x:c r="E279" s="3" t="s">
        <x:v>17</x:v>
      </x:c>
    </x:row>
    <x:row r="280" spans="1:5" ht="81.95" customHeight="1" x14ac:dyDescent="0.25">
      <x:c r="A280" s="3" t="s">
        <x:v>312</x:v>
      </x:c>
      <x:c r="B280" s="3" t="s">
        <x:v>294</x:v>
      </x:c>
      <x:c r="C280" s="3"/>
      <x:c r="D280" s="79" t="s">
        <x:v>183</x:v>
      </x:c>
      <x:c r="E280" s="3" t="s">
        <x:v>24</x:v>
      </x:c>
    </x:row>
    <x:row r="281" spans="1:5" ht="81.95" customHeight="1" x14ac:dyDescent="0.25">
      <x:c r="A281" s="3" t="s">
        <x:v>313</x:v>
      </x:c>
      <x:c r="B281" s="3" t="s">
        <x:v>294</x:v>
      </x:c>
      <x:c r="C281" s="79"/>
      <x:c r="D281" s="3" t="s">
        <x:v>183</x:v>
      </x:c>
      <x:c r="E281" s="3" t="s">
        <x:v>24</x:v>
      </x:c>
    </x:row>
    <x:row r="282" spans="1:5" ht="81.95" customHeight="1" x14ac:dyDescent="0.25">
      <x:c r="A282" s="3" t="s">
        <x:v>314</x:v>
      </x:c>
      <x:c r="B282" s="3" t="s">
        <x:v>294</x:v>
      </x:c>
      <x:c r="C282" s="3"/>
      <x:c r="D282" s="79" t="s">
        <x:v>183</x:v>
      </x:c>
      <x:c r="E282" s="3" t="s">
        <x:v>24</x:v>
      </x:c>
    </x:row>
    <x:row r="283" spans="1:5" ht="81.95" customHeight="1" x14ac:dyDescent="0.25">
      <x:c r="A283" s="3" t="s">
        <x:v>315</x:v>
      </x:c>
      <x:c r="B283" s="3" t="s">
        <x:v>294</x:v>
      </x:c>
      <x:c r="C283" s="79"/>
      <x:c r="D283" s="3" t="s">
        <x:v>183</x:v>
      </x:c>
      <x:c r="E283" s="3" t="s">
        <x:v>24</x:v>
      </x:c>
    </x:row>
    <x:row r="284" spans="1:5" ht="81.95" customHeight="1" x14ac:dyDescent="0.25">
      <x:c r="A284" s="3" t="s">
        <x:v>316</x:v>
      </x:c>
      <x:c r="B284" s="3" t="s">
        <x:v>294</x:v>
      </x:c>
      <x:c r="C284" s="3"/>
      <x:c r="D284" s="79" t="s">
        <x:v>191</x:v>
      </x:c>
      <x:c r="E284" s="3" t="s">
        <x:v>24</x:v>
      </x:c>
    </x:row>
    <x:row r="285" spans="1:5" ht="81.95" customHeight="1" x14ac:dyDescent="0.25">
      <x:c r="A285" s="3" t="s">
        <x:v>317</x:v>
      </x:c>
      <x:c r="B285" s="3" t="s">
        <x:v>294</x:v>
      </x:c>
      <x:c r="C285" s="79"/>
      <x:c r="D285" s="3" t="s">
        <x:v>16</x:v>
      </x:c>
      <x:c r="E285" s="3" t="s">
        <x:v>60</x:v>
      </x:c>
    </x:row>
    <x:row r="286" spans="1:5" ht="81.95" customHeight="1" x14ac:dyDescent="0.25">
      <x:c r="A286" s="3" t="s">
        <x:v>318</x:v>
      </x:c>
      <x:c r="B286" s="3" t="s">
        <x:v>294</x:v>
      </x:c>
      <x:c r="C286" s="3"/>
      <x:c r="D286" s="79" t="s">
        <x:v>23</x:v>
      </x:c>
      <x:c r="E286" s="3" t="s">
        <x:v>66</x:v>
      </x:c>
    </x:row>
    <x:row r="287" spans="1:5" ht="81.95" customHeight="1" x14ac:dyDescent="0.25">
      <x:c r="A287" s="3" t="s">
        <x:v>319</x:v>
      </x:c>
      <x:c r="B287" s="3" t="s">
        <x:v>294</x:v>
      </x:c>
      <x:c r="C287" s="79"/>
      <x:c r="D287" s="3" t="s">
        <x:v>16</x:v>
      </x:c>
      <x:c r="E287" s="3" t="s">
        <x:v>60</x:v>
      </x:c>
    </x:row>
    <x:row r="288" spans="1:5" ht="81.95" customHeight="1" x14ac:dyDescent="0.25">
      <x:c r="A288" s="3" t="s">
        <x:v>320</x:v>
      </x:c>
      <x:c r="B288" s="3" t="s">
        <x:v>294</x:v>
      </x:c>
      <x:c r="C288" s="3"/>
      <x:c r="D288" s="79" t="s">
        <x:v>16</x:v>
      </x:c>
      <x:c r="E288" s="3" t="s">
        <x:v>60</x:v>
      </x:c>
    </x:row>
    <x:row r="289" spans="1:5" ht="81.95" customHeight="1" x14ac:dyDescent="0.25">
      <x:c r="A289" s="3" t="s">
        <x:v>321</x:v>
      </x:c>
      <x:c r="B289" s="3" t="s">
        <x:v>294</x:v>
      </x:c>
      <x:c r="C289" s="79"/>
      <x:c r="D289" s="3" t="s">
        <x:v>23</x:v>
      </x:c>
      <x:c r="E289" s="3" t="s">
        <x:v>66</x:v>
      </x:c>
    </x:row>
    <x:row r="290" spans="1:5" ht="81.95" customHeight="1" x14ac:dyDescent="0.25">
      <x:c r="A290" s="3" t="s">
        <x:v>322</x:v>
      </x:c>
      <x:c r="B290" s="3" t="s">
        <x:v>294</x:v>
      </x:c>
      <x:c r="C290" s="3"/>
      <x:c r="D290" s="79" t="s">
        <x:v>23</x:v>
      </x:c>
      <x:c r="E290" s="3" t="s">
        <x:v>66</x:v>
      </x:c>
    </x:row>
    <x:row r="291" spans="1:5" ht="81.95" customHeight="1" x14ac:dyDescent="0.25">
      <x:c r="A291" s="3" t="s">
        <x:v>323</x:v>
      </x:c>
      <x:c r="B291" s="3" t="s">
        <x:v>294</x:v>
      </x:c>
      <x:c r="C291" s="79"/>
      <x:c r="D291" s="3" t="s">
        <x:v>16</x:v>
      </x:c>
      <x:c r="E291" s="3" t="s">
        <x:v>60</x:v>
      </x:c>
    </x:row>
    <x:row r="292" spans="1:5" ht="81.95" customHeight="1" x14ac:dyDescent="0.25">
      <x:c r="A292" s="3" t="s">
        <x:v>324</x:v>
      </x:c>
      <x:c r="B292" s="3" t="s">
        <x:v>294</x:v>
      </x:c>
      <x:c r="C292" s="3"/>
      <x:c r="D292" s="79" t="s">
        <x:v>23</x:v>
      </x:c>
      <x:c r="E292" s="3" t="s">
        <x:v>66</x:v>
      </x:c>
    </x:row>
    <x:row r="293" spans="1:5" ht="81.95" customHeight="1" x14ac:dyDescent="0.25">
      <x:c r="A293" s="3" t="s">
        <x:v>325</x:v>
      </x:c>
      <x:c r="B293" s="3" t="s">
        <x:v>294</x:v>
      </x:c>
      <x:c r="C293" s="79"/>
      <x:c r="D293" s="3" t="s">
        <x:v>23</x:v>
      </x:c>
      <x:c r="E293" s="3" t="s">
        <x:v>66</x:v>
      </x:c>
    </x:row>
    <x:row r="294" spans="1:5" ht="81.95" customHeight="1" x14ac:dyDescent="0.25">
      <x:c r="A294" s="3" t="s">
        <x:v>326</x:v>
      </x:c>
      <x:c r="B294" s="3" t="s">
        <x:v>294</x:v>
      </x:c>
      <x:c r="C294" s="3"/>
      <x:c r="D294" s="79" t="s">
        <x:v>23</x:v>
      </x:c>
      <x:c r="E294" s="3" t="s">
        <x:v>66</x:v>
      </x:c>
    </x:row>
    <x:row r="295" spans="1:5" ht="81.95" customHeight="1" x14ac:dyDescent="0.25">
      <x:c r="A295" s="3" t="s">
        <x:v>327</x:v>
      </x:c>
      <x:c r="B295" s="3" t="s">
        <x:v>294</x:v>
      </x:c>
      <x:c r="C295" s="79"/>
      <x:c r="D295" s="3" t="s">
        <x:v>23</x:v>
      </x:c>
      <x:c r="E295" s="3" t="s">
        <x:v>66</x:v>
      </x:c>
    </x:row>
    <x:row r="296" spans="1:5" ht="81.95" customHeight="1" x14ac:dyDescent="0.25">
      <x:c r="A296" s="3" t="s">
        <x:v>328</x:v>
      </x:c>
      <x:c r="B296" s="3" t="s">
        <x:v>294</x:v>
      </x:c>
      <x:c r="C296" s="3"/>
      <x:c r="D296" s="79" t="s">
        <x:v>23</x:v>
      </x:c>
      <x:c r="E296" s="3" t="s">
        <x:v>66</x:v>
      </x:c>
    </x:row>
    <x:row r="297" spans="1:5" ht="81.95" customHeight="1" x14ac:dyDescent="0.25">
      <x:c r="A297" s="3" t="s">
        <x:v>329</x:v>
      </x:c>
      <x:c r="B297" s="3" t="s">
        <x:v>294</x:v>
      </x:c>
      <x:c r="C297" s="79"/>
      <x:c r="D297" s="3" t="s">
        <x:v>23</x:v>
      </x:c>
      <x:c r="E297" s="3" t="s">
        <x:v>66</x:v>
      </x:c>
    </x:row>
    <x:row r="298" spans="1:5" ht="47.1" customHeight="1" x14ac:dyDescent="0.25">
      <x:c r="A298" s="3" t="s">
        <x:v>330</x:v>
      </x:c>
      <x:c r="B298" s="3" t="s">
        <x:v>294</x:v>
      </x:c>
      <x:c r="C298" s="3"/>
      <x:c r="D298" s="79" t="s">
        <x:v>23</x:v>
      </x:c>
      <x:c r="E298" s="3" t="s">
        <x:v>66</x:v>
      </x:c>
    </x:row>
    <x:row r="299" spans="1:5" ht="47.1" customHeight="1" x14ac:dyDescent="0.25">
      <x:c r="A299" s="3" t="s">
        <x:v>331</x:v>
      </x:c>
      <x:c r="B299" s="3" t="s">
        <x:v>294</x:v>
      </x:c>
      <x:c r="C299" s="79"/>
      <x:c r="D299" s="3" t="s">
        <x:v>23</x:v>
      </x:c>
      <x:c r="E299" s="3" t="s">
        <x:v>66</x:v>
      </x:c>
    </x:row>
    <x:row r="300" spans="1:5" ht="47.1" customHeight="1" x14ac:dyDescent="0.25">
      <x:c r="A300" s="3" t="s">
        <x:v>332</x:v>
      </x:c>
      <x:c r="B300" s="3" t="s">
        <x:v>294</x:v>
      </x:c>
      <x:c r="C300" s="3"/>
      <x:c r="D300" s="79" t="s">
        <x:v>23</x:v>
      </x:c>
      <x:c r="E300" s="3" t="s">
        <x:v>66</x:v>
      </x:c>
    </x:row>
    <x:row r="301" spans="1:5" ht="47.1" customHeight="1" x14ac:dyDescent="0.25">
      <x:c r="A301" s="3" t="s">
        <x:v>333</x:v>
      </x:c>
      <x:c r="B301" s="3" t="s">
        <x:v>294</x:v>
      </x:c>
      <x:c r="C301" s="79"/>
      <x:c r="D301" s="3" t="s">
        <x:v>23</x:v>
      </x:c>
      <x:c r="E301" s="3" t="s">
        <x:v>66</x:v>
      </x:c>
    </x:row>
    <x:row r="302" spans="1:5" ht="47.1" customHeight="1" x14ac:dyDescent="0.25">
      <x:c r="A302" s="3" t="s">
        <x:v>334</x:v>
      </x:c>
      <x:c r="B302" s="3" t="s">
        <x:v>294</x:v>
      </x:c>
      <x:c r="C302" s="3"/>
      <x:c r="D302" s="79" t="s">
        <x:v>23</x:v>
      </x:c>
      <x:c r="E302" s="3" t="s">
        <x:v>66</x:v>
      </x:c>
    </x:row>
    <x:row r="303" spans="1:5" ht="47.1" customHeight="1" x14ac:dyDescent="0.25">
      <x:c r="A303" s="3" t="s">
        <x:v>335</x:v>
      </x:c>
      <x:c r="B303" s="3" t="s">
        <x:v>294</x:v>
      </x:c>
      <x:c r="C303" s="79"/>
      <x:c r="D303" s="3" t="s">
        <x:v>23</x:v>
      </x:c>
      <x:c r="E303" s="3" t="s">
        <x:v>66</x:v>
      </x:c>
    </x:row>
    <x:row r="304" spans="1:5" ht="47.1" customHeight="1" x14ac:dyDescent="0.25">
      <x:c r="A304" s="3" t="s">
        <x:v>336</x:v>
      </x:c>
      <x:c r="B304" s="3" t="s">
        <x:v>294</x:v>
      </x:c>
      <x:c r="C304" s="3"/>
      <x:c r="D304" s="79" t="s">
        <x:v>23</x:v>
      </x:c>
      <x:c r="E304" s="3" t="s">
        <x:v>66</x:v>
      </x:c>
    </x:row>
    <x:row r="305" spans="1:5" ht="47.1" customHeight="1" x14ac:dyDescent="0.25">
      <x:c r="A305" s="3" t="s">
        <x:v>337</x:v>
      </x:c>
      <x:c r="B305" s="3" t="s">
        <x:v>294</x:v>
      </x:c>
      <x:c r="C305" s="79"/>
      <x:c r="D305" s="3" t="s">
        <x:v>37</x:v>
      </x:c>
      <x:c r="E305" s="3" t="s">
        <x:v>66</x:v>
      </x:c>
    </x:row>
    <x:row r="306" spans="1:5" ht="47.1" customHeight="1" x14ac:dyDescent="0.25">
      <x:c r="A306" s="3" t="s">
        <x:v>338</x:v>
      </x:c>
      <x:c r="B306" s="3" t="s">
        <x:v>294</x:v>
      </x:c>
      <x:c r="C306" s="3"/>
      <x:c r="D306" s="79" t="s">
        <x:v>37</x:v>
      </x:c>
      <x:c r="E306" s="3" t="s">
        <x:v>66</x:v>
      </x:c>
    </x:row>
    <x:row r="307" spans="1:5" ht="47.1" customHeight="1" x14ac:dyDescent="0.25">
      <x:c r="A307" s="3" t="s">
        <x:v>339</x:v>
      </x:c>
      <x:c r="B307" s="3" t="s">
        <x:v>294</x:v>
      </x:c>
      <x:c r="C307" s="79"/>
      <x:c r="D307" s="3" t="s">
        <x:v>37</x:v>
      </x:c>
      <x:c r="E307" s="3" t="s">
        <x:v>66</x:v>
      </x:c>
    </x:row>
    <x:row r="308" spans="1:5" ht="117.95" customHeight="1" x14ac:dyDescent="0.25">
      <x:c r="A308" s="3" t="s">
        <x:v>340</x:v>
      </x:c>
      <x:c r="B308" s="3" t="s">
        <x:v>294</x:v>
      </x:c>
      <x:c r="C308" s="3"/>
      <x:c r="D308" s="79" t="s">
        <x:v>37</x:v>
      </x:c>
      <x:c r="E308" s="3" t="s">
        <x:v>66</x:v>
      </x:c>
    </x:row>
    <x:row r="309" spans="1:5" ht="59.1" customHeight="1" x14ac:dyDescent="0.25">
      <x:c r="A309" s="3" t="s">
        <x:v>341</x:v>
      </x:c>
      <x:c r="B309" s="3" t="s">
        <x:v>294</x:v>
      </x:c>
      <x:c r="C309" s="79"/>
      <x:c r="D309" s="3" t="s">
        <x:v>23</x:v>
      </x:c>
      <x:c r="E309" s="3" t="s">
        <x:v>17</x:v>
      </x:c>
    </x:row>
    <x:row r="310" spans="1:5" ht="117.95" customHeight="1" x14ac:dyDescent="0.25">
      <x:c r="A310" s="3" t="s">
        <x:v>342</x:v>
      </x:c>
      <x:c r="B310" s="3" t="s">
        <x:v>294</x:v>
      </x:c>
      <x:c r="C310" s="3"/>
      <x:c r="D310" s="79" t="s">
        <x:v>23</x:v>
      </x:c>
      <x:c r="E310" s="3" t="s">
        <x:v>17</x:v>
      </x:c>
    </x:row>
    <x:row r="311" spans="1:5" ht="47.1" customHeight="1" x14ac:dyDescent="0.25">
      <x:c r="A311" s="3" t="s">
        <x:v>343</x:v>
      </x:c>
      <x:c r="B311" s="3" t="s">
        <x:v>294</x:v>
      </x:c>
      <x:c r="C311" s="79"/>
      <x:c r="D311" s="3" t="s">
        <x:v>23</x:v>
      </x:c>
      <x:c r="E311" s="3" t="s">
        <x:v>17</x:v>
      </x:c>
    </x:row>
    <x:row r="312" spans="1:5" ht="47.1" customHeight="1" x14ac:dyDescent="0.25">
      <x:c r="A312" s="3" t="s">
        <x:v>344</x:v>
      </x:c>
      <x:c r="B312" s="3" t="s">
        <x:v>294</x:v>
      </x:c>
      <x:c r="C312" s="3"/>
      <x:c r="D312" s="79" t="s">
        <x:v>23</x:v>
      </x:c>
      <x:c r="E312" s="3" t="s">
        <x:v>17</x:v>
      </x:c>
    </x:row>
    <x:row r="313" spans="1:5" ht="93.95" customHeight="1" x14ac:dyDescent="0.25">
      <x:c r="A313" s="3" t="s">
        <x:v>345</x:v>
      </x:c>
      <x:c r="B313" s="3" t="s">
        <x:v>294</x:v>
      </x:c>
      <x:c r="C313" s="79"/>
      <x:c r="D313" s="3" t="s">
        <x:v>23</x:v>
      </x:c>
      <x:c r="E313" s="3" t="s">
        <x:v>17</x:v>
      </x:c>
    </x:row>
    <x:row r="314" spans="1:5" ht="93.95" customHeight="1" x14ac:dyDescent="0.25">
      <x:c r="A314" s="3" t="s">
        <x:v>346</x:v>
      </x:c>
      <x:c r="B314" s="3" t="s">
        <x:v>294</x:v>
      </x:c>
      <x:c r="C314" s="3"/>
      <x:c r="D314" s="79" t="s">
        <x:v>23</x:v>
      </x:c>
      <x:c r="E314" s="3" t="s">
        <x:v>17</x:v>
      </x:c>
    </x:row>
    <x:row r="315" spans="1:5" ht="93.95" customHeight="1" x14ac:dyDescent="0.25">
      <x:c r="A315" s="3" t="s">
        <x:v>347</x:v>
      </x:c>
      <x:c r="B315" s="3" t="s">
        <x:v>294</x:v>
      </x:c>
      <x:c r="C315" s="79"/>
      <x:c r="D315" s="3" t="s">
        <x:v>23</x:v>
      </x:c>
      <x:c r="E315" s="3" t="s">
        <x:v>17</x:v>
      </x:c>
    </x:row>
    <x:row r="316" spans="1:5" ht="93.95" customHeight="1" x14ac:dyDescent="0.25">
      <x:c r="A316" s="3" t="s">
        <x:v>348</x:v>
      </x:c>
      <x:c r="B316" s="3" t="s">
        <x:v>294</x:v>
      </x:c>
      <x:c r="C316" s="3"/>
      <x:c r="D316" s="79" t="s">
        <x:v>23</x:v>
      </x:c>
      <x:c r="E316" s="3" t="s">
        <x:v>17</x:v>
      </x:c>
    </x:row>
    <x:row r="317" spans="1:5" ht="93.95" customHeight="1" x14ac:dyDescent="0.25">
      <x:c r="A317" s="3" t="s">
        <x:v>349</x:v>
      </x:c>
      <x:c r="B317" s="3" t="s">
        <x:v>294</x:v>
      </x:c>
      <x:c r="C317" s="79"/>
      <x:c r="D317" s="3" t="s">
        <x:v>23</x:v>
      </x:c>
      <x:c r="E317" s="3" t="s">
        <x:v>17</x:v>
      </x:c>
    </x:row>
    <x:row r="318" spans="1:5" ht="93.95" customHeight="1" x14ac:dyDescent="0.25">
      <x:c r="A318" s="3" t="s">
        <x:v>350</x:v>
      </x:c>
      <x:c r="B318" s="3" t="s">
        <x:v>294</x:v>
      </x:c>
      <x:c r="C318" s="3"/>
      <x:c r="D318" s="79" t="s">
        <x:v>23</x:v>
      </x:c>
      <x:c r="E318" s="3" t="s">
        <x:v>17</x:v>
      </x:c>
    </x:row>
    <x:row r="319" spans="1:5" ht="93.95" customHeight="1" x14ac:dyDescent="0.25">
      <x:c r="A319" s="3" t="s">
        <x:v>351</x:v>
      </x:c>
      <x:c r="B319" s="3" t="s">
        <x:v>294</x:v>
      </x:c>
      <x:c r="C319" s="79"/>
      <x:c r="D319" s="3" t="s">
        <x:v>23</x:v>
      </x:c>
      <x:c r="E319" s="3" t="s">
        <x:v>17</x:v>
      </x:c>
    </x:row>
    <x:row r="320" spans="1:5" ht="93.95" customHeight="1" x14ac:dyDescent="0.25">
      <x:c r="A320" s="3" t="s">
        <x:v>352</x:v>
      </x:c>
      <x:c r="B320" s="3" t="s">
        <x:v>294</x:v>
      </x:c>
      <x:c r="C320" s="3"/>
      <x:c r="D320" s="79" t="s">
        <x:v>23</x:v>
      </x:c>
      <x:c r="E320" s="3" t="s">
        <x:v>17</x:v>
      </x:c>
    </x:row>
    <x:row r="321" spans="1:5" ht="93.95" customHeight="1" x14ac:dyDescent="0.25">
      <x:c r="A321" s="3" t="s">
        <x:v>353</x:v>
      </x:c>
      <x:c r="B321" s="3" t="s">
        <x:v>294</x:v>
      </x:c>
      <x:c r="C321" s="79"/>
      <x:c r="D321" s="3" t="s">
        <x:v>23</x:v>
      </x:c>
      <x:c r="E321" s="3" t="s">
        <x:v>17</x:v>
      </x:c>
    </x:row>
    <x:row r="322" spans="1:5" ht="93.95" customHeight="1" x14ac:dyDescent="0.25">
      <x:c r="A322" s="3" t="s">
        <x:v>354</x:v>
      </x:c>
      <x:c r="B322" s="3" t="s">
        <x:v>294</x:v>
      </x:c>
      <x:c r="C322" s="3"/>
      <x:c r="D322" s="79" t="s">
        <x:v>23</x:v>
      </x:c>
      <x:c r="E322" s="3" t="s">
        <x:v>17</x:v>
      </x:c>
    </x:row>
    <x:row r="323" spans="1:5" ht="93.95" customHeight="1" x14ac:dyDescent="0.25">
      <x:c r="A323" s="3" t="s">
        <x:v>355</x:v>
      </x:c>
      <x:c r="B323" s="3" t="s">
        <x:v>294</x:v>
      </x:c>
      <x:c r="C323" s="79"/>
      <x:c r="D323" s="3" t="s">
        <x:v>23</x:v>
      </x:c>
      <x:c r="E323" s="3" t="s">
        <x:v>17</x:v>
      </x:c>
    </x:row>
    <x:row r="324" spans="1:5" ht="93.95" customHeight="1" x14ac:dyDescent="0.25">
      <x:c r="A324" s="3" t="s">
        <x:v>356</x:v>
      </x:c>
      <x:c r="B324" s="3" t="s">
        <x:v>294</x:v>
      </x:c>
      <x:c r="C324" s="3"/>
      <x:c r="D324" s="79" t="s">
        <x:v>23</x:v>
      </x:c>
      <x:c r="E324" s="3" t="s">
        <x:v>17</x:v>
      </x:c>
    </x:row>
    <x:row r="325" spans="1:5" ht="93.95" customHeight="1" x14ac:dyDescent="0.25">
      <x:c r="A325" s="3" t="s">
        <x:v>357</x:v>
      </x:c>
      <x:c r="B325" s="3" t="s">
        <x:v>294</x:v>
      </x:c>
      <x:c r="C325" s="79"/>
      <x:c r="D325" s="3" t="s">
        <x:v>23</x:v>
      </x:c>
      <x:c r="E325" s="3" t="s">
        <x:v>17</x:v>
      </x:c>
    </x:row>
    <x:row r="326" spans="1:5" ht="93.95" customHeight="1" x14ac:dyDescent="0.25">
      <x:c r="A326" s="3" t="s">
        <x:v>358</x:v>
      </x:c>
      <x:c r="B326" s="3" t="s">
        <x:v>294</x:v>
      </x:c>
      <x:c r="C326" s="3"/>
      <x:c r="D326" s="79" t="s">
        <x:v>23</x:v>
      </x:c>
      <x:c r="E326" s="3" t="s">
        <x:v>17</x:v>
      </x:c>
    </x:row>
    <x:row r="327" spans="1:5" ht="93.95" customHeight="1" x14ac:dyDescent="0.25">
      <x:c r="A327" s="3" t="s">
        <x:v>359</x:v>
      </x:c>
      <x:c r="B327" s="3" t="s">
        <x:v>294</x:v>
      </x:c>
      <x:c r="C327" s="79"/>
      <x:c r="D327" s="3" t="s">
        <x:v>23</x:v>
      </x:c>
      <x:c r="E327" s="3" t="s">
        <x:v>17</x:v>
      </x:c>
    </x:row>
    <x:row r="328" spans="1:5" ht="93.95" customHeight="1" x14ac:dyDescent="0.25">
      <x:c r="A328" s="3" t="s">
        <x:v>360</x:v>
      </x:c>
      <x:c r="B328" s="3" t="s">
        <x:v>294</x:v>
      </x:c>
      <x:c r="C328" s="3"/>
      <x:c r="D328" s="79" t="s">
        <x:v>23</x:v>
      </x:c>
      <x:c r="E328" s="3" t="s">
        <x:v>17</x:v>
      </x:c>
    </x:row>
    <x:row r="329" spans="1:5" ht="93.95" customHeight="1" x14ac:dyDescent="0.25">
      <x:c r="A329" s="3" t="s">
        <x:v>361</x:v>
      </x:c>
      <x:c r="B329" s="3" t="s">
        <x:v>294</x:v>
      </x:c>
      <x:c r="C329" s="79"/>
      <x:c r="D329" s="3" t="s">
        <x:v>23</x:v>
      </x:c>
      <x:c r="E329" s="3" t="s">
        <x:v>17</x:v>
      </x:c>
    </x:row>
    <x:row r="330" spans="1:5" ht="93.95" customHeight="1" x14ac:dyDescent="0.25">
      <x:c r="A330" s="3" t="s">
        <x:v>362</x:v>
      </x:c>
      <x:c r="B330" s="3" t="s">
        <x:v>294</x:v>
      </x:c>
      <x:c r="C330" s="3"/>
      <x:c r="D330" s="79" t="s">
        <x:v>23</x:v>
      </x:c>
      <x:c r="E330" s="3" t="s">
        <x:v>17</x:v>
      </x:c>
    </x:row>
    <x:row r="331" spans="1:5" ht="93.95" customHeight="1" x14ac:dyDescent="0.25">
      <x:c r="A331" s="3" t="s">
        <x:v>363</x:v>
      </x:c>
      <x:c r="B331" s="3" t="s">
        <x:v>294</x:v>
      </x:c>
      <x:c r="C331" s="79"/>
      <x:c r="D331" s="3" t="s">
        <x:v>23</x:v>
      </x:c>
      <x:c r="E331" s="3" t="s">
        <x:v>17</x:v>
      </x:c>
    </x:row>
    <x:row r="332" spans="1:5" ht="93.95" customHeight="1" x14ac:dyDescent="0.25">
      <x:c r="A332" s="3" t="s">
        <x:v>364</x:v>
      </x:c>
      <x:c r="B332" s="3" t="s">
        <x:v>294</x:v>
      </x:c>
      <x:c r="C332" s="3"/>
      <x:c r="D332" s="79" t="s">
        <x:v>23</x:v>
      </x:c>
      <x:c r="E332" s="3" t="s">
        <x:v>17</x:v>
      </x:c>
    </x:row>
    <x:row r="333" spans="1:5" ht="93.95" customHeight="1" x14ac:dyDescent="0.25">
      <x:c r="A333" s="3" t="s">
        <x:v>365</x:v>
      </x:c>
      <x:c r="B333" s="3" t="s">
        <x:v>294</x:v>
      </x:c>
      <x:c r="C333" s="79"/>
      <x:c r="D333" s="3" t="s">
        <x:v>23</x:v>
      </x:c>
      <x:c r="E333" s="3" t="s">
        <x:v>17</x:v>
      </x:c>
    </x:row>
    <x:row r="334" spans="1:5" ht="93.95" customHeight="1" x14ac:dyDescent="0.25">
      <x:c r="A334" s="3" t="s">
        <x:v>366</x:v>
      </x:c>
      <x:c r="B334" s="3" t="s">
        <x:v>294</x:v>
      </x:c>
      <x:c r="C334" s="3"/>
      <x:c r="D334" s="79" t="s">
        <x:v>23</x:v>
      </x:c>
      <x:c r="E334" s="3" t="s">
        <x:v>17</x:v>
      </x:c>
    </x:row>
    <x:row r="335" spans="1:5" ht="93.95" customHeight="1" x14ac:dyDescent="0.25">
      <x:c r="A335" s="3" t="s">
        <x:v>367</x:v>
      </x:c>
      <x:c r="B335" s="3" t="s">
        <x:v>294</x:v>
      </x:c>
      <x:c r="C335" s="79"/>
      <x:c r="D335" s="3" t="s">
        <x:v>23</x:v>
      </x:c>
      <x:c r="E335" s="3" t="s">
        <x:v>17</x:v>
      </x:c>
    </x:row>
    <x:row r="336" spans="1:5" ht="93.95" customHeight="1" x14ac:dyDescent="0.25">
      <x:c r="A336" s="3" t="s">
        <x:v>368</x:v>
      </x:c>
      <x:c r="B336" s="3" t="s">
        <x:v>294</x:v>
      </x:c>
      <x:c r="C336" s="3"/>
      <x:c r="D336" s="79" t="s">
        <x:v>23</x:v>
      </x:c>
      <x:c r="E336" s="3" t="s">
        <x:v>17</x:v>
      </x:c>
    </x:row>
    <x:row r="337" spans="1:5" ht="93.95" customHeight="1" x14ac:dyDescent="0.25">
      <x:c r="A337" s="3" t="s">
        <x:v>369</x:v>
      </x:c>
      <x:c r="B337" s="3" t="s">
        <x:v>294</x:v>
      </x:c>
      <x:c r="C337" s="79"/>
      <x:c r="D337" s="3" t="s">
        <x:v>23</x:v>
      </x:c>
      <x:c r="E337" s="3" t="s">
        <x:v>17</x:v>
      </x:c>
    </x:row>
    <x:row r="338" spans="1:5" ht="93.95" customHeight="1" x14ac:dyDescent="0.25">
      <x:c r="A338" s="3" t="s">
        <x:v>370</x:v>
      </x:c>
      <x:c r="B338" s="3" t="s">
        <x:v>294</x:v>
      </x:c>
      <x:c r="C338" s="3"/>
      <x:c r="D338" s="79" t="s">
        <x:v>23</x:v>
      </x:c>
      <x:c r="E338" s="3" t="s">
        <x:v>17</x:v>
      </x:c>
    </x:row>
    <x:row r="339" spans="1:5" ht="93.95" customHeight="1" x14ac:dyDescent="0.25">
      <x:c r="A339" s="3" t="s">
        <x:v>371</x:v>
      </x:c>
      <x:c r="B339" s="3" t="s">
        <x:v>294</x:v>
      </x:c>
      <x:c r="C339" s="79"/>
      <x:c r="D339" s="3" t="s">
        <x:v>37</x:v>
      </x:c>
      <x:c r="E339" s="3" t="s">
        <x:v>17</x:v>
      </x:c>
    </x:row>
    <x:row r="340" spans="1:5" ht="93.95" customHeight="1" x14ac:dyDescent="0.25">
      <x:c r="A340" s="3" t="s">
        <x:v>372</x:v>
      </x:c>
      <x:c r="B340" s="3" t="s">
        <x:v>294</x:v>
      </x:c>
      <x:c r="C340" s="3"/>
      <x:c r="D340" s="79" t="s">
        <x:v>37</x:v>
      </x:c>
      <x:c r="E340" s="3" t="s">
        <x:v>17</x:v>
      </x:c>
    </x:row>
    <x:row r="341" spans="1:5" ht="93.95" customHeight="1" x14ac:dyDescent="0.25">
      <x:c r="A341" s="3" t="s">
        <x:v>373</x:v>
      </x:c>
      <x:c r="B341" s="3" t="s">
        <x:v>294</x:v>
      </x:c>
      <x:c r="C341" s="79"/>
      <x:c r="D341" s="3" t="s">
        <x:v>37</x:v>
      </x:c>
      <x:c r="E341" s="3" t="s">
        <x:v>17</x:v>
      </x:c>
    </x:row>
    <x:row r="342" spans="1:5" ht="93.95" customHeight="1" x14ac:dyDescent="0.25">
      <x:c r="A342" s="3" t="s">
        <x:v>374</x:v>
      </x:c>
      <x:c r="B342" s="3" t="s">
        <x:v>294</x:v>
      </x:c>
      <x:c r="C342" s="3"/>
      <x:c r="D342" s="79" t="s">
        <x:v>37</x:v>
      </x:c>
      <x:c r="E342" s="3" t="s">
        <x:v>17</x:v>
      </x:c>
    </x:row>
    <x:row r="343" spans="1:5" ht="93.95" customHeight="1" x14ac:dyDescent="0.25">
      <x:c r="A343" s="3" t="s">
        <x:v>375</x:v>
      </x:c>
      <x:c r="B343" s="3" t="s">
        <x:v>294</x:v>
      </x:c>
      <x:c r="C343" s="79"/>
      <x:c r="D343" s="3" t="s">
        <x:v>37</x:v>
      </x:c>
      <x:c r="E343" s="3" t="s">
        <x:v>17</x:v>
      </x:c>
    </x:row>
    <x:row r="344" spans="1:5" ht="93.95" customHeight="1" x14ac:dyDescent="0.25">
      <x:c r="A344" s="3" t="s">
        <x:v>376</x:v>
      </x:c>
      <x:c r="B344" s="3" t="s">
        <x:v>294</x:v>
      </x:c>
      <x:c r="C344" s="3"/>
      <x:c r="D344" s="79" t="s">
        <x:v>37</x:v>
      </x:c>
      <x:c r="E344" s="3" t="s">
        <x:v>17</x:v>
      </x:c>
    </x:row>
    <x:row r="345" spans="1:5" ht="93.95" customHeight="1" x14ac:dyDescent="0.25">
      <x:c r="A345" s="3" t="s">
        <x:v>377</x:v>
      </x:c>
      <x:c r="B345" s="3" t="s">
        <x:v>294</x:v>
      </x:c>
      <x:c r="C345" s="79"/>
      <x:c r="D345" s="3" t="s">
        <x:v>37</x:v>
      </x:c>
      <x:c r="E345" s="3" t="s">
        <x:v>17</x:v>
      </x:c>
    </x:row>
    <x:row r="346" spans="1:5" ht="93.95" customHeight="1" x14ac:dyDescent="0.25">
      <x:c r="A346" s="3" t="s">
        <x:v>378</x:v>
      </x:c>
      <x:c r="B346" s="3" t="s">
        <x:v>294</x:v>
      </x:c>
      <x:c r="C346" s="3"/>
      <x:c r="D346" s="79" t="s">
        <x:v>37</x:v>
      </x:c>
      <x:c r="E346" s="3" t="s">
        <x:v>17</x:v>
      </x:c>
    </x:row>
    <x:row r="347" spans="1:5" ht="93.95" customHeight="1" x14ac:dyDescent="0.25">
      <x:c r="A347" s="3" t="s">
        <x:v>379</x:v>
      </x:c>
      <x:c r="B347" s="3" t="s">
        <x:v>294</x:v>
      </x:c>
      <x:c r="C347" s="79"/>
      <x:c r="D347" s="3" t="s">
        <x:v>37</x:v>
      </x:c>
      <x:c r="E347" s="3" t="s">
        <x:v>17</x:v>
      </x:c>
    </x:row>
    <x:row r="348" spans="1:5" ht="93.95" customHeight="1" x14ac:dyDescent="0.25">
      <x:c r="A348" s="3" t="s">
        <x:v>380</x:v>
      </x:c>
      <x:c r="B348" s="3" t="s">
        <x:v>294</x:v>
      </x:c>
      <x:c r="C348" s="3"/>
      <x:c r="D348" s="79" t="s">
        <x:v>23</x:v>
      </x:c>
      <x:c r="E348" s="3" t="s">
        <x:v>17</x:v>
      </x:c>
    </x:row>
    <x:row r="349" spans="1:5" ht="93.95" customHeight="1" x14ac:dyDescent="0.25">
      <x:c r="A349" s="3" t="s">
        <x:v>381</x:v>
      </x:c>
      <x:c r="B349" s="3" t="s">
        <x:v>294</x:v>
      </x:c>
      <x:c r="C349" s="79"/>
      <x:c r="D349" s="3" t="s">
        <x:v>23</x:v>
      </x:c>
      <x:c r="E349" s="3" t="s">
        <x:v>17</x:v>
      </x:c>
    </x:row>
    <x:row r="350" spans="1:5" ht="93.95" customHeight="1" x14ac:dyDescent="0.25">
      <x:c r="A350" s="3" t="s">
        <x:v>382</x:v>
      </x:c>
      <x:c r="B350" s="3" t="s">
        <x:v>294</x:v>
      </x:c>
      <x:c r="C350" s="3"/>
      <x:c r="D350" s="79" t="s">
        <x:v>23</x:v>
      </x:c>
      <x:c r="E350" s="3" t="s">
        <x:v>17</x:v>
      </x:c>
    </x:row>
    <x:row r="351" spans="1:5" ht="93.95" customHeight="1" x14ac:dyDescent="0.25">
      <x:c r="A351" s="3" t="s">
        <x:v>383</x:v>
      </x:c>
      <x:c r="B351" s="3" t="s">
        <x:v>294</x:v>
      </x:c>
      <x:c r="C351" s="79"/>
      <x:c r="D351" s="3" t="s">
        <x:v>23</x:v>
      </x:c>
      <x:c r="E351" s="3" t="s">
        <x:v>17</x:v>
      </x:c>
    </x:row>
    <x:row r="352" spans="1:5" ht="93.95" customHeight="1" x14ac:dyDescent="0.25">
      <x:c r="A352" s="3" t="s">
        <x:v>384</x:v>
      </x:c>
      <x:c r="B352" s="3" t="s">
        <x:v>294</x:v>
      </x:c>
      <x:c r="C352" s="3"/>
      <x:c r="D352" s="79" t="s">
        <x:v>37</x:v>
      </x:c>
      <x:c r="E352" s="3" t="s">
        <x:v>17</x:v>
      </x:c>
    </x:row>
    <x:row r="353" spans="1:5" ht="93.95" customHeight="1" x14ac:dyDescent="0.25">
      <x:c r="A353" s="3" t="s">
        <x:v>385</x:v>
      </x:c>
      <x:c r="B353" s="3" t="s">
        <x:v>294</x:v>
      </x:c>
      <x:c r="C353" s="79"/>
      <x:c r="D353" s="3" t="s">
        <x:v>23</x:v>
      </x:c>
      <x:c r="E353" s="3" t="s">
        <x:v>66</x:v>
      </x:c>
    </x:row>
    <x:row r="354" spans="1:5" ht="93.95" customHeight="1" x14ac:dyDescent="0.25">
      <x:c r="A354" s="3" t="s">
        <x:v>386</x:v>
      </x:c>
      <x:c r="B354" s="3" t="s">
        <x:v>294</x:v>
      </x:c>
      <x:c r="C354" s="3"/>
      <x:c r="D354" s="79" t="s">
        <x:v>23</x:v>
      </x:c>
      <x:c r="E354" s="3" t="s">
        <x:v>66</x:v>
      </x:c>
    </x:row>
    <x:row r="355" spans="1:5" ht="93.95" customHeight="1" x14ac:dyDescent="0.25">
      <x:c r="A355" s="3" t="s">
        <x:v>387</x:v>
      </x:c>
      <x:c r="B355" s="3" t="s">
        <x:v>294</x:v>
      </x:c>
      <x:c r="C355" s="79"/>
      <x:c r="D355" s="3" t="s">
        <x:v>23</x:v>
      </x:c>
      <x:c r="E355" s="3" t="s">
        <x:v>66</x:v>
      </x:c>
    </x:row>
    <x:row r="356" spans="1:5" ht="93.95" customHeight="1" x14ac:dyDescent="0.25">
      <x:c r="A356" s="3" t="s">
        <x:v>388</x:v>
      </x:c>
      <x:c r="B356" s="3" t="s">
        <x:v>294</x:v>
      </x:c>
      <x:c r="C356" s="3"/>
      <x:c r="D356" s="79" t="s">
        <x:v>23</x:v>
      </x:c>
      <x:c r="E356" s="3" t="s">
        <x:v>66</x:v>
      </x:c>
    </x:row>
    <x:row r="357" spans="1:5" ht="93.95" customHeight="1" x14ac:dyDescent="0.25">
      <x:c r="A357" s="3" t="s">
        <x:v>389</x:v>
      </x:c>
      <x:c r="B357" s="3" t="s">
        <x:v>294</x:v>
      </x:c>
      <x:c r="C357" s="79"/>
      <x:c r="D357" s="3" t="s">
        <x:v>23</x:v>
      </x:c>
      <x:c r="E357" s="3" t="s">
        <x:v>66</x:v>
      </x:c>
    </x:row>
    <x:row r="358" spans="1:5" ht="93.95" customHeight="1" x14ac:dyDescent="0.25">
      <x:c r="A358" s="3" t="s">
        <x:v>390</x:v>
      </x:c>
      <x:c r="B358" s="3" t="s">
        <x:v>294</x:v>
      </x:c>
      <x:c r="C358" s="3"/>
      <x:c r="D358" s="79" t="s">
        <x:v>23</x:v>
      </x:c>
      <x:c r="E358" s="3" t="s">
        <x:v>66</x:v>
      </x:c>
    </x:row>
    <x:row r="359" spans="1:5" ht="93.95" customHeight="1" x14ac:dyDescent="0.25">
      <x:c r="A359" s="3" t="s">
        <x:v>391</x:v>
      </x:c>
      <x:c r="B359" s="3" t="s">
        <x:v>294</x:v>
      </x:c>
      <x:c r="C359" s="79"/>
      <x:c r="D359" s="3" t="s">
        <x:v>23</x:v>
      </x:c>
      <x:c r="E359" s="3" t="s">
        <x:v>66</x:v>
      </x:c>
    </x:row>
    <x:row r="360" spans="1:5" ht="93.95" customHeight="1" x14ac:dyDescent="0.25">
      <x:c r="A360" s="3" t="s">
        <x:v>392</x:v>
      </x:c>
      <x:c r="B360" s="3" t="s">
        <x:v>294</x:v>
      </x:c>
      <x:c r="C360" s="3"/>
      <x:c r="D360" s="79" t="s">
        <x:v>23</x:v>
      </x:c>
      <x:c r="E360" s="3" t="s">
        <x:v>66</x:v>
      </x:c>
    </x:row>
    <x:row r="361" spans="1:5" ht="93.95" customHeight="1" x14ac:dyDescent="0.25">
      <x:c r="A361" s="3" t="s">
        <x:v>393</x:v>
      </x:c>
      <x:c r="B361" s="3" t="s">
        <x:v>294</x:v>
      </x:c>
      <x:c r="C361" s="79"/>
      <x:c r="D361" s="3" t="s">
        <x:v>37</x:v>
      </x:c>
      <x:c r="E361" s="3" t="s">
        <x:v>66</x:v>
      </x:c>
    </x:row>
    <x:row r="362" spans="1:5" ht="93.95" customHeight="1" x14ac:dyDescent="0.25">
      <x:c r="A362" s="3" t="s">
        <x:v>394</x:v>
      </x:c>
      <x:c r="B362" s="3" t="s">
        <x:v>294</x:v>
      </x:c>
      <x:c r="C362" s="3"/>
      <x:c r="D362" s="79" t="s">
        <x:v>37</x:v>
      </x:c>
      <x:c r="E362" s="3" t="s">
        <x:v>66</x:v>
      </x:c>
    </x:row>
    <x:row r="363" spans="1:5" ht="105.95" customHeight="1" x14ac:dyDescent="0.25">
      <x:c r="A363" s="3" t="s">
        <x:v>395</x:v>
      </x:c>
      <x:c r="B363" s="3" t="s">
        <x:v>396</x:v>
      </x:c>
      <x:c r="C363" s="79"/>
      <x:c r="D363" s="3" t="s">
        <x:v>11</x:v>
      </x:c>
      <x:c r="E363" s="3"/>
    </x:row>
    <x:row r="364" spans="1:5" ht="59.1" customHeight="1" x14ac:dyDescent="0.25">
      <x:c r="A364" s="3" t="s">
        <x:v>397</x:v>
      </x:c>
      <x:c r="B364" s="3" t="s">
        <x:v>396</x:v>
      </x:c>
      <x:c r="C364" s="3" t="s">
        <x:v>398</x:v>
      </x:c>
      <x:c r="D364" s="79" t="s">
        <x:v>399</x:v>
      </x:c>
      <x:c r="E364" s="3"/>
    </x:row>
    <x:row r="365" spans="1:5" ht="81.95" customHeight="1" x14ac:dyDescent="0.25">
      <x:c r="A365" s="3" t="s">
        <x:v>400</x:v>
      </x:c>
      <x:c r="B365" s="3" t="s">
        <x:v>396</x:v>
      </x:c>
      <x:c r="C365" s="79" t="s">
        <x:v>398</x:v>
      </x:c>
      <x:c r="D365" s="3" t="s">
        <x:v>401</x:v>
      </x:c>
      <x:c r="E365" s="3" t="s">
        <x:v>17</x:v>
      </x:c>
    </x:row>
    <x:row r="366" spans="1:5" ht="81.95" customHeight="1" x14ac:dyDescent="0.25">
      <x:c r="A366" s="3" t="s">
        <x:v>402</x:v>
      </x:c>
      <x:c r="B366" s="3" t="s">
        <x:v>396</x:v>
      </x:c>
      <x:c r="C366" s="3" t="s">
        <x:v>398</x:v>
      </x:c>
      <x:c r="D366" s="79" t="s">
        <x:v>403</x:v>
      </x:c>
      <x:c r="E366" s="3" t="s">
        <x:v>24</x:v>
      </x:c>
    </x:row>
    <x:row r="367" spans="1:5" ht="81.95" customHeight="1" x14ac:dyDescent="0.25">
      <x:c r="A367" s="3" t="s">
        <x:v>404</x:v>
      </x:c>
      <x:c r="B367" s="3" t="s">
        <x:v>396</x:v>
      </x:c>
      <x:c r="C367" s="79" t="s">
        <x:v>398</x:v>
      </x:c>
      <x:c r="D367" s="3" t="s">
        <x:v>401</x:v>
      </x:c>
      <x:c r="E367" s="3" t="s">
        <x:v>17</x:v>
      </x:c>
    </x:row>
    <x:row r="368" spans="1:5" ht="81.95" customHeight="1" x14ac:dyDescent="0.25">
      <x:c r="A368" s="3" t="s">
        <x:v>405</x:v>
      </x:c>
      <x:c r="B368" s="3" t="s">
        <x:v>396</x:v>
      </x:c>
      <x:c r="C368" s="3" t="s">
        <x:v>398</x:v>
      </x:c>
      <x:c r="D368" s="79" t="s">
        <x:v>406</x:v>
      </x:c>
      <x:c r="E368" s="3" t="s">
        <x:v>17</x:v>
      </x:c>
    </x:row>
    <x:row r="369" spans="1:5" ht="81.95" customHeight="1" x14ac:dyDescent="0.25">
      <x:c r="A369" s="3" t="s">
        <x:v>407</x:v>
      </x:c>
      <x:c r="B369" s="3" t="s">
        <x:v>396</x:v>
      </x:c>
      <x:c r="C369" s="79" t="s">
        <x:v>398</x:v>
      </x:c>
      <x:c r="D369" s="3" t="s">
        <x:v>408</x:v>
      </x:c>
      <x:c r="E369" s="3" t="s">
        <x:v>24</x:v>
      </x:c>
    </x:row>
    <x:row r="370" spans="1:5" ht="81.95" customHeight="1" x14ac:dyDescent="0.25">
      <x:c r="A370" s="3" t="s">
        <x:v>409</x:v>
      </x:c>
      <x:c r="B370" s="3" t="s">
        <x:v>396</x:v>
      </x:c>
      <x:c r="C370" s="3" t="s">
        <x:v>398</x:v>
      </x:c>
      <x:c r="D370" s="79" t="s">
        <x:v>408</x:v>
      </x:c>
      <x:c r="E370" s="3" t="s">
        <x:v>24</x:v>
      </x:c>
    </x:row>
    <x:row r="371" spans="1:5" ht="81.95" customHeight="1" x14ac:dyDescent="0.25">
      <x:c r="A371" s="3" t="s">
        <x:v>410</x:v>
      </x:c>
      <x:c r="B371" s="3" t="s">
        <x:v>396</x:v>
      </x:c>
      <x:c r="C371" s="79" t="s">
        <x:v>398</x:v>
      </x:c>
      <x:c r="D371" s="3" t="s">
        <x:v>408</x:v>
      </x:c>
      <x:c r="E371" s="3" t="s">
        <x:v>24</x:v>
      </x:c>
    </x:row>
    <x:row r="372" spans="1:5" ht="81.95" customHeight="1" x14ac:dyDescent="0.25">
      <x:c r="A372" s="3" t="s">
        <x:v>411</x:v>
      </x:c>
      <x:c r="B372" s="3" t="s">
        <x:v>396</x:v>
      </x:c>
      <x:c r="C372" s="3" t="s">
        <x:v>398</x:v>
      </x:c>
      <x:c r="D372" s="79" t="s">
        <x:v>408</x:v>
      </x:c>
      <x:c r="E372" s="3" t="s">
        <x:v>24</x:v>
      </x:c>
    </x:row>
    <x:row r="373" spans="1:5" ht="81.95" customHeight="1" x14ac:dyDescent="0.25">
      <x:c r="A373" s="3" t="s">
        <x:v>412</x:v>
      </x:c>
      <x:c r="B373" s="3" t="s">
        <x:v>396</x:v>
      </x:c>
      <x:c r="C373" s="79" t="s">
        <x:v>398</x:v>
      </x:c>
      <x:c r="D373" s="3" t="s">
        <x:v>408</x:v>
      </x:c>
      <x:c r="E373" s="3" t="s">
        <x:v>24</x:v>
      </x:c>
    </x:row>
    <x:row r="374" spans="1:5" ht="81.95" customHeight="1" x14ac:dyDescent="0.25">
      <x:c r="A374" s="3" t="s">
        <x:v>413</x:v>
      </x:c>
      <x:c r="B374" s="3" t="s">
        <x:v>396</x:v>
      </x:c>
      <x:c r="C374" s="3" t="s">
        <x:v>398</x:v>
      </x:c>
      <x:c r="D374" s="79" t="s">
        <x:v>408</x:v>
      </x:c>
      <x:c r="E374" s="3" t="s">
        <x:v>24</x:v>
      </x:c>
    </x:row>
    <x:row r="375" spans="1:5" ht="71.1" customHeight="1" x14ac:dyDescent="0.25">
      <x:c r="A375" s="3" t="s">
        <x:v>414</x:v>
      </x:c>
      <x:c r="B375" s="3" t="s">
        <x:v>396</x:v>
      </x:c>
      <x:c r="C375" s="79" t="s">
        <x:v>398</x:v>
      </x:c>
      <x:c r="D375" s="3" t="s">
        <x:v>408</x:v>
      </x:c>
      <x:c r="E375" s="3" t="s">
        <x:v>24</x:v>
      </x:c>
    </x:row>
    <x:row r="376" spans="1:5" ht="71.1" customHeight="1" x14ac:dyDescent="0.25">
      <x:c r="A376" s="3" t="s">
        <x:v>415</x:v>
      </x:c>
      <x:c r="B376" s="3" t="s">
        <x:v>396</x:v>
      </x:c>
      <x:c r="C376" s="3" t="s">
        <x:v>398</x:v>
      </x:c>
      <x:c r="D376" s="79" t="s">
        <x:v>401</x:v>
      </x:c>
      <x:c r="E376" s="3" t="s">
        <x:v>17</x:v>
      </x:c>
    </x:row>
    <x:row r="377" spans="1:5" ht="71.1" customHeight="1" x14ac:dyDescent="0.25">
      <x:c r="A377" s="3" t="s">
        <x:v>416</x:v>
      </x:c>
      <x:c r="B377" s="3" t="s">
        <x:v>396</x:v>
      </x:c>
      <x:c r="C377" s="79" t="s">
        <x:v>398</x:v>
      </x:c>
      <x:c r="D377" s="3" t="s">
        <x:v>408</x:v>
      </x:c>
      <x:c r="E377" s="3" t="s">
        <x:v>24</x:v>
      </x:c>
    </x:row>
    <x:row r="378" spans="1:5" ht="71.1" customHeight="1" x14ac:dyDescent="0.25">
      <x:c r="A378" s="3" t="s">
        <x:v>417</x:v>
      </x:c>
      <x:c r="B378" s="3" t="s">
        <x:v>396</x:v>
      </x:c>
      <x:c r="C378" s="3" t="s">
        <x:v>398</x:v>
      </x:c>
      <x:c r="D378" s="79" t="s">
        <x:v>418</x:v>
      </x:c>
      <x:c r="E378" s="3" t="s">
        <x:v>17</x:v>
      </x:c>
    </x:row>
    <x:row r="379" spans="1:5" ht="47.1" customHeight="1" x14ac:dyDescent="0.25">
      <x:c r="A379" s="3" t="s">
        <x:v>419</x:v>
      </x:c>
      <x:c r="B379" s="3" t="s">
        <x:v>396</x:v>
      </x:c>
      <x:c r="C379" s="79" t="s">
        <x:v>398</x:v>
      </x:c>
      <x:c r="D379" s="3" t="s">
        <x:v>420</x:v>
      </x:c>
      <x:c r="E379" s="3" t="s">
        <x:v>17</x:v>
      </x:c>
    </x:row>
    <x:row r="380" spans="1:5" ht="47.1" customHeight="1" x14ac:dyDescent="0.25">
      <x:c r="A380" s="3" t="s">
        <x:v>421</x:v>
      </x:c>
      <x:c r="B380" s="3" t="s">
        <x:v>396</x:v>
      </x:c>
      <x:c r="C380" s="3" t="s">
        <x:v>398</x:v>
      </x:c>
      <x:c r="D380" s="79" t="s">
        <x:v>408</x:v>
      </x:c>
      <x:c r="E380" s="3" t="s">
        <x:v>24</x:v>
      </x:c>
    </x:row>
    <x:row r="381" spans="1:5" ht="47.1" customHeight="1" x14ac:dyDescent="0.25">
      <x:c r="A381" s="3" t="s">
        <x:v>422</x:v>
      </x:c>
      <x:c r="B381" s="3" t="s">
        <x:v>396</x:v>
      </x:c>
      <x:c r="C381" s="79" t="s">
        <x:v>398</x:v>
      </x:c>
      <x:c r="D381" s="3" t="s">
        <x:v>420</x:v>
      </x:c>
      <x:c r="E381" s="3" t="s">
        <x:v>17</x:v>
      </x:c>
    </x:row>
    <x:row r="382" spans="1:5" ht="81.95" customHeight="1" x14ac:dyDescent="0.25">
      <x:c r="A382" s="3" t="s">
        <x:v>423</x:v>
      </x:c>
      <x:c r="B382" s="3" t="s">
        <x:v>396</x:v>
      </x:c>
      <x:c r="C382" s="3" t="s">
        <x:v>398</x:v>
      </x:c>
      <x:c r="D382" s="79" t="s">
        <x:v>420</x:v>
      </x:c>
      <x:c r="E382" s="3" t="s">
        <x:v>17</x:v>
      </x:c>
    </x:row>
    <x:row r="383" spans="1:5" ht="81.95" customHeight="1" x14ac:dyDescent="0.25">
      <x:c r="A383" s="3" t="s">
        <x:v>424</x:v>
      </x:c>
      <x:c r="B383" s="3" t="s">
        <x:v>396</x:v>
      </x:c>
      <x:c r="C383" s="79" t="s">
        <x:v>398</x:v>
      </x:c>
      <x:c r="D383" s="3" t="s">
        <x:v>408</x:v>
      </x:c>
      <x:c r="E383" s="3" t="s">
        <x:v>24</x:v>
      </x:c>
    </x:row>
    <x:row r="384" spans="1:5" ht="81.95" customHeight="1" x14ac:dyDescent="0.25">
      <x:c r="A384" s="3" t="s">
        <x:v>425</x:v>
      </x:c>
      <x:c r="B384" s="3" t="s">
        <x:v>396</x:v>
      </x:c>
      <x:c r="C384" s="3" t="s">
        <x:v>398</x:v>
      </x:c>
      <x:c r="D384" s="79" t="s">
        <x:v>426</x:v>
      </x:c>
      <x:c r="E384" s="3" t="s">
        <x:v>24</x:v>
      </x:c>
    </x:row>
    <x:row r="385" spans="1:5" ht="81.95" customHeight="1" x14ac:dyDescent="0.25">
      <x:c r="A385" s="3" t="s">
        <x:v>427</x:v>
      </x:c>
      <x:c r="B385" s="3" t="s">
        <x:v>396</x:v>
      </x:c>
      <x:c r="C385" s="79" t="s">
        <x:v>398</x:v>
      </x:c>
      <x:c r="D385" s="3" t="s">
        <x:v>408</x:v>
      </x:c>
      <x:c r="E385" s="3" t="s">
        <x:v>24</x:v>
      </x:c>
    </x:row>
    <x:row r="386" spans="1:5" ht="81.95" customHeight="1" x14ac:dyDescent="0.25">
      <x:c r="A386" s="3" t="s">
        <x:v>428</x:v>
      </x:c>
      <x:c r="B386" s="3" t="s">
        <x:v>396</x:v>
      </x:c>
      <x:c r="C386" s="3" t="s">
        <x:v>398</x:v>
      </x:c>
      <x:c r="D386" s="79" t="s">
        <x:v>408</x:v>
      </x:c>
      <x:c r="E386" s="3" t="s">
        <x:v>24</x:v>
      </x:c>
    </x:row>
    <x:row r="387" spans="1:5" ht="81.95" customHeight="1" x14ac:dyDescent="0.25">
      <x:c r="A387" s="3" t="s">
        <x:v>429</x:v>
      </x:c>
      <x:c r="B387" s="3" t="s">
        <x:v>396</x:v>
      </x:c>
      <x:c r="C387" s="79" t="s">
        <x:v>398</x:v>
      </x:c>
      <x:c r="D387" s="3" t="s">
        <x:v>420</x:v>
      </x:c>
      <x:c r="E387" s="3" t="s">
        <x:v>17</x:v>
      </x:c>
    </x:row>
    <x:row r="388" spans="1:5" ht="81.95" customHeight="1" x14ac:dyDescent="0.25">
      <x:c r="A388" s="3" t="s">
        <x:v>430</x:v>
      </x:c>
      <x:c r="B388" s="3" t="s">
        <x:v>396</x:v>
      </x:c>
      <x:c r="C388" s="3" t="s">
        <x:v>398</x:v>
      </x:c>
      <x:c r="D388" s="79" t="s">
        <x:v>431</x:v>
      </x:c>
      <x:c r="E388" s="3" t="s">
        <x:v>24</x:v>
      </x:c>
    </x:row>
    <x:row r="389" spans="1:5" ht="81.95" customHeight="1" x14ac:dyDescent="0.25">
      <x:c r="A389" s="3" t="s">
        <x:v>432</x:v>
      </x:c>
      <x:c r="B389" s="3" t="s">
        <x:v>396</x:v>
      </x:c>
      <x:c r="C389" s="79" t="s">
        <x:v>398</x:v>
      </x:c>
      <x:c r="D389" s="3" t="s">
        <x:v>431</x:v>
      </x:c>
      <x:c r="E389" s="3" t="s">
        <x:v>24</x:v>
      </x:c>
    </x:row>
    <x:row r="390" spans="1:5" ht="81.95" customHeight="1" x14ac:dyDescent="0.25">
      <x:c r="A390" s="3" t="s">
        <x:v>433</x:v>
      </x:c>
      <x:c r="B390" s="3" t="s">
        <x:v>396</x:v>
      </x:c>
      <x:c r="C390" s="3" t="s">
        <x:v>398</x:v>
      </x:c>
      <x:c r="D390" s="79" t="s">
        <x:v>403</x:v>
      </x:c>
      <x:c r="E390" s="3" t="s">
        <x:v>24</x:v>
      </x:c>
    </x:row>
    <x:row r="391" spans="1:5" ht="81.95" customHeight="1" x14ac:dyDescent="0.25">
      <x:c r="A391" s="3" t="s">
        <x:v>434</x:v>
      </x:c>
      <x:c r="B391" s="3" t="s">
        <x:v>396</x:v>
      </x:c>
      <x:c r="C391" s="79" t="s">
        <x:v>398</x:v>
      </x:c>
      <x:c r="D391" s="3" t="s">
        <x:v>403</x:v>
      </x:c>
      <x:c r="E391" s="3" t="s">
        <x:v>24</x:v>
      </x:c>
    </x:row>
    <x:row r="392" spans="1:5" ht="81.95" customHeight="1" x14ac:dyDescent="0.25">
      <x:c r="A392" s="3" t="s">
        <x:v>435</x:v>
      </x:c>
      <x:c r="B392" s="3" t="s">
        <x:v>396</x:v>
      </x:c>
      <x:c r="C392" s="3" t="s">
        <x:v>398</x:v>
      </x:c>
      <x:c r="D392" s="79" t="s">
        <x:v>403</x:v>
      </x:c>
      <x:c r="E392" s="3" t="s">
        <x:v>24</x:v>
      </x:c>
    </x:row>
    <x:row r="393" spans="1:5" ht="81.95" customHeight="1" x14ac:dyDescent="0.25">
      <x:c r="A393" s="3" t="s">
        <x:v>436</x:v>
      </x:c>
      <x:c r="B393" s="3" t="s">
        <x:v>396</x:v>
      </x:c>
      <x:c r="C393" s="79" t="s">
        <x:v>398</x:v>
      </x:c>
      <x:c r="D393" s="3" t="s">
        <x:v>403</x:v>
      </x:c>
      <x:c r="E393" s="3" t="s">
        <x:v>24</x:v>
      </x:c>
    </x:row>
    <x:row r="394" spans="1:5" ht="81.95" customHeight="1" x14ac:dyDescent="0.25">
      <x:c r="A394" s="3" t="s">
        <x:v>437</x:v>
      </x:c>
      <x:c r="B394" s="3" t="s">
        <x:v>396</x:v>
      </x:c>
      <x:c r="C394" s="3" t="s">
        <x:v>398</x:v>
      </x:c>
      <x:c r="D394" s="79" t="s">
        <x:v>403</x:v>
      </x:c>
      <x:c r="E394" s="3" t="s">
        <x:v>24</x:v>
      </x:c>
    </x:row>
    <x:row r="395" spans="1:5" ht="81.95" customHeight="1" x14ac:dyDescent="0.25">
      <x:c r="A395" s="3" t="s">
        <x:v>438</x:v>
      </x:c>
      <x:c r="B395" s="3" t="s">
        <x:v>396</x:v>
      </x:c>
      <x:c r="C395" s="79" t="s">
        <x:v>398</x:v>
      </x:c>
      <x:c r="D395" s="3" t="s">
        <x:v>408</x:v>
      </x:c>
      <x:c r="E395" s="3" t="s">
        <x:v>24</x:v>
      </x:c>
    </x:row>
    <x:row r="396" spans="1:5" ht="81.95" customHeight="1" x14ac:dyDescent="0.25">
      <x:c r="A396" s="3" t="s">
        <x:v>439</x:v>
      </x:c>
      <x:c r="B396" s="3" t="s">
        <x:v>396</x:v>
      </x:c>
      <x:c r="C396" s="3" t="s">
        <x:v>398</x:v>
      </x:c>
      <x:c r="D396" s="79" t="s">
        <x:v>408</x:v>
      </x:c>
      <x:c r="E396" s="3" t="s">
        <x:v>24</x:v>
      </x:c>
    </x:row>
    <x:row r="397" spans="1:5" ht="81.95" customHeight="1" x14ac:dyDescent="0.25">
      <x:c r="A397" s="3" t="s">
        <x:v>440</x:v>
      </x:c>
      <x:c r="B397" s="3" t="s">
        <x:v>396</x:v>
      </x:c>
      <x:c r="C397" s="79" t="s">
        <x:v>398</x:v>
      </x:c>
      <x:c r="D397" s="3" t="s">
        <x:v>408</x:v>
      </x:c>
      <x:c r="E397" s="3" t="s">
        <x:v>24</x:v>
      </x:c>
    </x:row>
    <x:row r="398" spans="1:5" ht="81.95" customHeight="1" x14ac:dyDescent="0.25">
      <x:c r="A398" s="3" t="s">
        <x:v>441</x:v>
      </x:c>
      <x:c r="B398" s="3" t="s">
        <x:v>396</x:v>
      </x:c>
      <x:c r="C398" s="3" t="s">
        <x:v>398</x:v>
      </x:c>
      <x:c r="D398" s="79" t="s">
        <x:v>408</x:v>
      </x:c>
      <x:c r="E398" s="3" t="s">
        <x:v>24</x:v>
      </x:c>
    </x:row>
    <x:row r="399" spans="1:5" ht="81.95" customHeight="1" x14ac:dyDescent="0.25">
      <x:c r="A399" s="3" t="s">
        <x:v>442</x:v>
      </x:c>
      <x:c r="B399" s="3" t="s">
        <x:v>396</x:v>
      </x:c>
      <x:c r="C399" s="79" t="s">
        <x:v>398</x:v>
      </x:c>
      <x:c r="D399" s="3" t="s">
        <x:v>403</x:v>
      </x:c>
      <x:c r="E399" s="3" t="s">
        <x:v>24</x:v>
      </x:c>
    </x:row>
    <x:row r="400" spans="1:5" ht="81.95" customHeight="1" x14ac:dyDescent="0.25">
      <x:c r="A400" s="3" t="s">
        <x:v>443</x:v>
      </x:c>
      <x:c r="B400" s="3" t="s">
        <x:v>396</x:v>
      </x:c>
      <x:c r="C400" s="3" t="s">
        <x:v>398</x:v>
      </x:c>
      <x:c r="D400" s="79" t="s">
        <x:v>408</x:v>
      </x:c>
      <x:c r="E400" s="3" t="s">
        <x:v>24</x:v>
      </x:c>
    </x:row>
    <x:row r="401" spans="1:5" ht="81.95" customHeight="1" x14ac:dyDescent="0.25">
      <x:c r="A401" s="3" t="s">
        <x:v>444</x:v>
      </x:c>
      <x:c r="B401" s="3" t="s">
        <x:v>396</x:v>
      </x:c>
      <x:c r="C401" s="79" t="s">
        <x:v>398</x:v>
      </x:c>
      <x:c r="D401" s="3" t="s">
        <x:v>408</x:v>
      </x:c>
      <x:c r="E401" s="3" t="s">
        <x:v>24</x:v>
      </x:c>
    </x:row>
    <x:row r="402" spans="1:5" ht="81.95" customHeight="1" x14ac:dyDescent="0.25">
      <x:c r="A402" s="3" t="s">
        <x:v>445</x:v>
      </x:c>
      <x:c r="B402" s="3" t="s">
        <x:v>396</x:v>
      </x:c>
      <x:c r="C402" s="3" t="s">
        <x:v>398</x:v>
      </x:c>
      <x:c r="D402" s="79" t="s">
        <x:v>408</x:v>
      </x:c>
      <x:c r="E402" s="3" t="s">
        <x:v>24</x:v>
      </x:c>
    </x:row>
    <x:row r="403" spans="1:5" ht="81.95" customHeight="1" x14ac:dyDescent="0.25">
      <x:c r="A403" s="3" t="s">
        <x:v>446</x:v>
      </x:c>
      <x:c r="B403" s="3" t="s">
        <x:v>396</x:v>
      </x:c>
      <x:c r="C403" s="79" t="s">
        <x:v>398</x:v>
      </x:c>
      <x:c r="D403" s="3" t="s">
        <x:v>408</x:v>
      </x:c>
      <x:c r="E403" s="3" t="s">
        <x:v>24</x:v>
      </x:c>
    </x:row>
    <x:row r="404" spans="1:5" ht="81.95" customHeight="1" x14ac:dyDescent="0.25">
      <x:c r="A404" s="3" t="s">
        <x:v>447</x:v>
      </x:c>
      <x:c r="B404" s="3" t="s">
        <x:v>396</x:v>
      </x:c>
      <x:c r="C404" s="3" t="s">
        <x:v>398</x:v>
      </x:c>
      <x:c r="D404" s="79" t="s">
        <x:v>403</x:v>
      </x:c>
      <x:c r="E404" s="3" t="s">
        <x:v>24</x:v>
      </x:c>
    </x:row>
    <x:row r="405" spans="1:5" ht="81.95" customHeight="1" x14ac:dyDescent="0.25">
      <x:c r="A405" s="3" t="s">
        <x:v>448</x:v>
      </x:c>
      <x:c r="B405" s="3" t="s">
        <x:v>396</x:v>
      </x:c>
      <x:c r="C405" s="79" t="s">
        <x:v>398</x:v>
      </x:c>
      <x:c r="D405" s="3" t="s">
        <x:v>403</x:v>
      </x:c>
      <x:c r="E405" s="3" t="s">
        <x:v>24</x:v>
      </x:c>
    </x:row>
    <x:row r="406" spans="1:5" ht="81.95" customHeight="1" x14ac:dyDescent="0.25">
      <x:c r="A406" s="3" t="s">
        <x:v>449</x:v>
      </x:c>
      <x:c r="B406" s="3" t="s">
        <x:v>396</x:v>
      </x:c>
      <x:c r="C406" s="3" t="s">
        <x:v>398</x:v>
      </x:c>
      <x:c r="D406" s="79" t="s">
        <x:v>403</x:v>
      </x:c>
      <x:c r="E406" s="3" t="s">
        <x:v>24</x:v>
      </x:c>
    </x:row>
    <x:row r="407" spans="1:5" ht="81.95" customHeight="1" x14ac:dyDescent="0.25">
      <x:c r="A407" s="3" t="s">
        <x:v>450</x:v>
      </x:c>
      <x:c r="B407" s="3" t="s">
        <x:v>396</x:v>
      </x:c>
      <x:c r="C407" s="79" t="s">
        <x:v>398</x:v>
      </x:c>
      <x:c r="D407" s="3" t="s">
        <x:v>426</x:v>
      </x:c>
      <x:c r="E407" s="3" t="s">
        <x:v>24</x:v>
      </x:c>
    </x:row>
    <x:row r="408" spans="1:5" ht="81.95" customHeight="1" x14ac:dyDescent="0.25">
      <x:c r="A408" s="3" t="s">
        <x:v>451</x:v>
      </x:c>
      <x:c r="B408" s="3" t="s">
        <x:v>396</x:v>
      </x:c>
      <x:c r="C408" s="3" t="s">
        <x:v>398</x:v>
      </x:c>
      <x:c r="D408" s="79" t="s">
        <x:v>403</x:v>
      </x:c>
      <x:c r="E408" s="3" t="s">
        <x:v>24</x:v>
      </x:c>
    </x:row>
    <x:row r="409" spans="1:5" ht="81.95" customHeight="1" x14ac:dyDescent="0.25">
      <x:c r="A409" s="3" t="s">
        <x:v>452</x:v>
      </x:c>
      <x:c r="B409" s="3" t="s">
        <x:v>396</x:v>
      </x:c>
      <x:c r="C409" s="79" t="s">
        <x:v>398</x:v>
      </x:c>
      <x:c r="D409" s="3" t="s">
        <x:v>426</x:v>
      </x:c>
      <x:c r="E409" s="3" t="s">
        <x:v>24</x:v>
      </x:c>
    </x:row>
    <x:row r="410" spans="1:5" ht="81.95" customHeight="1" x14ac:dyDescent="0.25">
      <x:c r="A410" s="3" t="s">
        <x:v>453</x:v>
      </x:c>
      <x:c r="B410" s="3" t="s">
        <x:v>396</x:v>
      </x:c>
      <x:c r="C410" s="3" t="s">
        <x:v>454</x:v>
      </x:c>
      <x:c r="D410" s="79" t="s">
        <x:v>399</x:v>
      </x:c>
      <x:c r="E410" s="3"/>
    </x:row>
    <x:row r="411" spans="1:5" ht="81.95" customHeight="1" x14ac:dyDescent="0.25">
      <x:c r="A411" s="3" t="s">
        <x:v>455</x:v>
      </x:c>
      <x:c r="B411" s="3" t="s">
        <x:v>396</x:v>
      </x:c>
      <x:c r="C411" s="79"/>
      <x:c r="D411" s="3" t="s">
        <x:v>11</x:v>
      </x:c>
      <x:c r="E411" s="3"/>
    </x:row>
    <x:row r="412" spans="1:5" ht="81.95" customHeight="1" x14ac:dyDescent="0.25">
      <x:c r="A412" s="3" t="s">
        <x:v>456</x:v>
      </x:c>
      <x:c r="B412" s="3" t="s">
        <x:v>396</x:v>
      </x:c>
      <x:c r="C412" s="3"/>
      <x:c r="D412" s="79" t="s">
        <x:v>457</x:v>
      </x:c>
      <x:c r="E412" s="3"/>
    </x:row>
    <x:row r="413" spans="1:5" ht="93.95" customHeight="1" x14ac:dyDescent="0.25">
      <x:c r="A413" s="3" t="s">
        <x:v>458</x:v>
      </x:c>
      <x:c r="B413" s="3" t="s">
        <x:v>396</x:v>
      </x:c>
      <x:c r="C413" s="79"/>
      <x:c r="D413" s="3" t="s">
        <x:v>459</x:v>
      </x:c>
      <x:c r="E413" s="3" t="s">
        <x:v>17</x:v>
      </x:c>
    </x:row>
    <x:row r="414" spans="1:5" ht="93.95" customHeight="1" x14ac:dyDescent="0.25">
      <x:c r="A414" s="3" t="s">
        <x:v>460</x:v>
      </x:c>
      <x:c r="B414" s="3" t="s">
        <x:v>396</x:v>
      </x:c>
      <x:c r="C414" s="3"/>
      <x:c r="D414" s="79" t="s">
        <x:v>461</x:v>
      </x:c>
      <x:c r="E414" s="3" t="s">
        <x:v>24</x:v>
      </x:c>
    </x:row>
    <x:row r="415" spans="1:5" ht="81.95" customHeight="1" x14ac:dyDescent="0.25">
      <x:c r="A415" s="3" t="s">
        <x:v>462</x:v>
      </x:c>
      <x:c r="B415" s="3" t="s">
        <x:v>396</x:v>
      </x:c>
      <x:c r="C415" s="79"/>
      <x:c r="D415" s="3" t="s">
        <x:v>459</x:v>
      </x:c>
      <x:c r="E415" s="3" t="s">
        <x:v>17</x:v>
      </x:c>
    </x:row>
    <x:row r="416" spans="1:5" ht="81.95" customHeight="1" x14ac:dyDescent="0.25">
      <x:c r="A416" s="3" t="s">
        <x:v>463</x:v>
      </x:c>
      <x:c r="B416" s="3" t="s">
        <x:v>396</x:v>
      </x:c>
      <x:c r="C416" s="3"/>
      <x:c r="D416" s="79" t="s">
        <x:v>459</x:v>
      </x:c>
      <x:c r="E416" s="3" t="s">
        <x:v>17</x:v>
      </x:c>
    </x:row>
    <x:row r="417" spans="1:5" ht="81.95" customHeight="1" x14ac:dyDescent="0.25">
      <x:c r="A417" s="3" t="s">
        <x:v>464</x:v>
      </x:c>
      <x:c r="B417" s="3" t="s">
        <x:v>396</x:v>
      </x:c>
      <x:c r="C417" s="79"/>
      <x:c r="D417" s="3" t="s">
        <x:v>461</x:v>
      </x:c>
      <x:c r="E417" s="3" t="s">
        <x:v>24</x:v>
      </x:c>
    </x:row>
    <x:row r="418" spans="1:5" ht="81.95" customHeight="1" x14ac:dyDescent="0.25">
      <x:c r="A418" s="3" t="s">
        <x:v>465</x:v>
      </x:c>
      <x:c r="B418" s="3" t="s">
        <x:v>396</x:v>
      </x:c>
      <x:c r="C418" s="3"/>
      <x:c r="D418" s="79" t="s">
        <x:v>461</x:v>
      </x:c>
      <x:c r="E418" s="3" t="s">
        <x:v>24</x:v>
      </x:c>
    </x:row>
    <x:row r="419" spans="1:5" ht="81.95" customHeight="1" x14ac:dyDescent="0.25">
      <x:c r="A419" s="3" t="s">
        <x:v>466</x:v>
      </x:c>
      <x:c r="B419" s="3" t="s">
        <x:v>396</x:v>
      </x:c>
      <x:c r="C419" s="79"/>
      <x:c r="D419" s="3" t="s">
        <x:v>459</x:v>
      </x:c>
      <x:c r="E419" s="3" t="s">
        <x:v>17</x:v>
      </x:c>
    </x:row>
    <x:row r="420" spans="1:5" ht="81.95" customHeight="1" x14ac:dyDescent="0.25">
      <x:c r="A420" s="3" t="s">
        <x:v>467</x:v>
      </x:c>
      <x:c r="B420" s="3" t="s">
        <x:v>396</x:v>
      </x:c>
      <x:c r="C420" s="3"/>
      <x:c r="D420" s="79" t="s">
        <x:v>461</x:v>
      </x:c>
      <x:c r="E420" s="3" t="s">
        <x:v>24</x:v>
      </x:c>
    </x:row>
    <x:row r="421" spans="1:5" ht="81.95" customHeight="1" x14ac:dyDescent="0.25">
      <x:c r="A421" s="3" t="s">
        <x:v>468</x:v>
      </x:c>
      <x:c r="B421" s="3" t="s">
        <x:v>396</x:v>
      </x:c>
      <x:c r="C421" s="79"/>
      <x:c r="D421" s="3" t="s">
        <x:v>461</x:v>
      </x:c>
      <x:c r="E421" s="3" t="s">
        <x:v>24</x:v>
      </x:c>
    </x:row>
    <x:row r="422" spans="1:5" ht="81.95" customHeight="1" x14ac:dyDescent="0.25">
      <x:c r="A422" s="3" t="s">
        <x:v>469</x:v>
      </x:c>
      <x:c r="B422" s="3" t="s">
        <x:v>396</x:v>
      </x:c>
      <x:c r="C422" s="3"/>
      <x:c r="D422" s="79" t="s">
        <x:v>461</x:v>
      </x:c>
      <x:c r="E422" s="3" t="s">
        <x:v>24</x:v>
      </x:c>
    </x:row>
    <x:row r="423" spans="1:5" ht="81.95" customHeight="1" x14ac:dyDescent="0.25">
      <x:c r="A423" s="3" t="s">
        <x:v>470</x:v>
      </x:c>
      <x:c r="B423" s="3" t="s">
        <x:v>396</x:v>
      </x:c>
      <x:c r="C423" s="79"/>
      <x:c r="D423" s="3" t="s">
        <x:v>461</x:v>
      </x:c>
      <x:c r="E423" s="3" t="s">
        <x:v>24</x:v>
      </x:c>
    </x:row>
    <x:row r="424" spans="1:5" ht="81.95" customHeight="1" x14ac:dyDescent="0.25">
      <x:c r="A424" s="3" t="s">
        <x:v>471</x:v>
      </x:c>
      <x:c r="B424" s="3" t="s">
        <x:v>396</x:v>
      </x:c>
      <x:c r="C424" s="3"/>
      <x:c r="D424" s="79" t="s">
        <x:v>461</x:v>
      </x:c>
      <x:c r="E424" s="3" t="s">
        <x:v>24</x:v>
      </x:c>
    </x:row>
    <x:row r="425" spans="1:5" ht="81.95" customHeight="1" x14ac:dyDescent="0.25">
      <x:c r="A425" s="3" t="s">
        <x:v>472</x:v>
      </x:c>
      <x:c r="B425" s="3" t="s">
        <x:v>396</x:v>
      </x:c>
      <x:c r="C425" s="79"/>
      <x:c r="D425" s="3" t="s">
        <x:v>461</x:v>
      </x:c>
      <x:c r="E425" s="3" t="s">
        <x:v>24</x:v>
      </x:c>
    </x:row>
    <x:row r="426" spans="1:5" ht="81.95" customHeight="1" x14ac:dyDescent="0.25">
      <x:c r="A426" s="3" t="s">
        <x:v>473</x:v>
      </x:c>
      <x:c r="B426" s="3" t="s">
        <x:v>396</x:v>
      </x:c>
      <x:c r="C426" s="3"/>
      <x:c r="D426" s="79" t="s">
        <x:v>461</x:v>
      </x:c>
      <x:c r="E426" s="3" t="s">
        <x:v>24</x:v>
      </x:c>
    </x:row>
    <x:row r="427" spans="1:5" ht="81.95" customHeight="1" x14ac:dyDescent="0.25">
      <x:c r="A427" s="3" t="s">
        <x:v>474</x:v>
      </x:c>
      <x:c r="B427" s="3" t="s">
        <x:v>396</x:v>
      </x:c>
      <x:c r="C427" s="79"/>
      <x:c r="D427" s="3" t="s">
        <x:v>461</x:v>
      </x:c>
      <x:c r="E427" s="3" t="s">
        <x:v>24</x:v>
      </x:c>
    </x:row>
    <x:row r="428" spans="1:5" ht="81.95" customHeight="1" x14ac:dyDescent="0.25">
      <x:c r="A428" s="3" t="s">
        <x:v>475</x:v>
      </x:c>
      <x:c r="B428" s="3" t="s">
        <x:v>396</x:v>
      </x:c>
      <x:c r="C428" s="3"/>
      <x:c r="D428" s="79" t="s">
        <x:v>461</x:v>
      </x:c>
      <x:c r="E428" s="3" t="s">
        <x:v>24</x:v>
      </x:c>
    </x:row>
    <x:row r="429" spans="1:5" ht="71.1" customHeight="1" x14ac:dyDescent="0.25">
      <x:c r="A429" s="3" t="s">
        <x:v>476</x:v>
      </x:c>
      <x:c r="B429" s="3" t="s">
        <x:v>396</x:v>
      </x:c>
      <x:c r="C429" s="79"/>
      <x:c r="D429" s="3" t="s">
        <x:v>461</x:v>
      </x:c>
      <x:c r="E429" s="3" t="s">
        <x:v>24</x:v>
      </x:c>
    </x:row>
    <x:row r="430" spans="1:5" ht="71.1" customHeight="1" x14ac:dyDescent="0.25">
      <x:c r="A430" s="3" t="s">
        <x:v>477</x:v>
      </x:c>
      <x:c r="B430" s="3" t="s">
        <x:v>396</x:v>
      </x:c>
      <x:c r="C430" s="3"/>
      <x:c r="D430" s="79" t="s">
        <x:v>461</x:v>
      </x:c>
      <x:c r="E430" s="3" t="s">
        <x:v>24</x:v>
      </x:c>
    </x:row>
    <x:row r="431" spans="1:5" ht="71.1" customHeight="1" x14ac:dyDescent="0.25">
      <x:c r="A431" s="3" t="s">
        <x:v>478</x:v>
      </x:c>
      <x:c r="B431" s="3" t="s">
        <x:v>396</x:v>
      </x:c>
      <x:c r="C431" s="79"/>
      <x:c r="D431" s="3" t="s">
        <x:v>461</x:v>
      </x:c>
      <x:c r="E431" s="3" t="s">
        <x:v>24</x:v>
      </x:c>
    </x:row>
    <x:row r="432" spans="1:5" ht="71.1" customHeight="1" x14ac:dyDescent="0.25">
      <x:c r="A432" s="3" t="s">
        <x:v>479</x:v>
      </x:c>
      <x:c r="B432" s="3" t="s">
        <x:v>396</x:v>
      </x:c>
      <x:c r="C432" s="3"/>
      <x:c r="D432" s="79" t="s">
        <x:v>480</x:v>
      </x:c>
      <x:c r="E432" s="3" t="s">
        <x:v>24</x:v>
      </x:c>
    </x:row>
    <x:row r="433" spans="1:5" ht="47.1" customHeight="1" x14ac:dyDescent="0.25">
      <x:c r="A433" s="3" t="s">
        <x:v>481</x:v>
      </x:c>
      <x:c r="B433" s="3" t="s">
        <x:v>396</x:v>
      </x:c>
      <x:c r="C433" s="79"/>
      <x:c r="D433" s="3" t="s">
        <x:v>480</x:v>
      </x:c>
      <x:c r="E433" s="3" t="s">
        <x:v>24</x:v>
      </x:c>
    </x:row>
    <x:row r="434" spans="1:5" ht="47.1" customHeight="1" x14ac:dyDescent="0.25">
      <x:c r="A434" s="3" t="s">
        <x:v>482</x:v>
      </x:c>
      <x:c r="B434" s="3" t="s">
        <x:v>396</x:v>
      </x:c>
      <x:c r="C434" s="3"/>
      <x:c r="D434" s="79" t="s">
        <x:v>480</x:v>
      </x:c>
      <x:c r="E434" s="3" t="s">
        <x:v>24</x:v>
      </x:c>
    </x:row>
    <x:row r="435" spans="1:5" ht="71.1" customHeight="1" x14ac:dyDescent="0.25">
      <x:c r="A435" s="3" t="s">
        <x:v>483</x:v>
      </x:c>
      <x:c r="B435" s="3" t="s">
        <x:v>396</x:v>
      </x:c>
      <x:c r="C435" s="79"/>
      <x:c r="D435" s="3" t="s">
        <x:v>461</x:v>
      </x:c>
      <x:c r="E435" s="3" t="s">
        <x:v>484</x:v>
      </x:c>
    </x:row>
    <x:row r="436" spans="1:5" ht="47.1" customHeight="1" x14ac:dyDescent="0.25">
      <x:c r="A436" s="3" t="s">
        <x:v>485</x:v>
      </x:c>
      <x:c r="B436" s="3" t="s">
        <x:v>396</x:v>
      </x:c>
      <x:c r="C436" s="3"/>
      <x:c r="D436" s="79" t="s">
        <x:v>461</x:v>
      </x:c>
      <x:c r="E436" s="3" t="s">
        <x:v>484</x:v>
      </x:c>
    </x:row>
    <x:row r="437" spans="1:5" ht="47.1" customHeight="1" x14ac:dyDescent="0.25">
      <x:c r="A437" s="3" t="s">
        <x:v>486</x:v>
      </x:c>
      <x:c r="B437" s="3" t="s">
        <x:v>396</x:v>
      </x:c>
      <x:c r="C437" s="79"/>
      <x:c r="D437" s="3" t="s">
        <x:v>461</x:v>
      </x:c>
      <x:c r="E437" s="3" t="s">
        <x:v>484</x:v>
      </x:c>
    </x:row>
    <x:row r="438" spans="1:5" ht="81.95" customHeight="1" x14ac:dyDescent="0.25">
      <x:c r="A438" s="3" t="s">
        <x:v>487</x:v>
      </x:c>
      <x:c r="B438" s="3" t="s">
        <x:v>396</x:v>
      </x:c>
      <x:c r="C438" s="3"/>
      <x:c r="D438" s="79" t="s">
        <x:v>461</x:v>
      </x:c>
      <x:c r="E438" s="3" t="s">
        <x:v>484</x:v>
      </x:c>
    </x:row>
    <x:row r="439" spans="1:5" ht="81.95" customHeight="1" x14ac:dyDescent="0.25">
      <x:c r="A439" s="3" t="s">
        <x:v>488</x:v>
      </x:c>
      <x:c r="B439" s="3" t="s">
        <x:v>396</x:v>
      </x:c>
      <x:c r="C439" s="79"/>
      <x:c r="D439" s="3" t="s">
        <x:v>461</x:v>
      </x:c>
      <x:c r="E439" s="3" t="s">
        <x:v>484</x:v>
      </x:c>
    </x:row>
    <x:row r="440" spans="1:5" ht="81.95" customHeight="1" x14ac:dyDescent="0.25">
      <x:c r="A440" s="3" t="s">
        <x:v>489</x:v>
      </x:c>
      <x:c r="B440" s="3" t="s">
        <x:v>396</x:v>
      </x:c>
      <x:c r="C440" s="3"/>
      <x:c r="D440" s="79" t="s">
        <x:v>461</x:v>
      </x:c>
      <x:c r="E440" s="3" t="s">
        <x:v>484</x:v>
      </x:c>
    </x:row>
    <x:row r="441" spans="1:5" ht="81.95" customHeight="1" x14ac:dyDescent="0.25">
      <x:c r="A441" s="3" t="s">
        <x:v>490</x:v>
      </x:c>
      <x:c r="B441" s="3" t="s">
        <x:v>396</x:v>
      </x:c>
      <x:c r="C441" s="79"/>
      <x:c r="D441" s="3" t="s">
        <x:v>461</x:v>
      </x:c>
      <x:c r="E441" s="3" t="s">
        <x:v>484</x:v>
      </x:c>
    </x:row>
    <x:row r="442" spans="1:5" ht="47.1" customHeight="1" x14ac:dyDescent="0.25">
      <x:c r="A442" s="3" t="s">
        <x:v>491</x:v>
      </x:c>
      <x:c r="B442" s="3" t="s">
        <x:v>396</x:v>
      </x:c>
      <x:c r="C442" s="3"/>
      <x:c r="D442" s="79" t="s">
        <x:v>461</x:v>
      </x:c>
      <x:c r="E442" s="3" t="s">
        <x:v>484</x:v>
      </x:c>
    </x:row>
    <x:row r="443" spans="1:5" ht="47.1" customHeight="1" x14ac:dyDescent="0.25">
      <x:c r="A443" s="3" t="s">
        <x:v>492</x:v>
      </x:c>
      <x:c r="B443" s="3" t="s">
        <x:v>396</x:v>
      </x:c>
      <x:c r="C443" s="79"/>
      <x:c r="D443" s="3" t="s">
        <x:v>461</x:v>
      </x:c>
      <x:c r="E443" s="3" t="s">
        <x:v>484</x:v>
      </x:c>
    </x:row>
    <x:row r="444" spans="1:5" ht="117.95" customHeight="1" x14ac:dyDescent="0.25">
      <x:c r="A444" s="3" t="s">
        <x:v>493</x:v>
      </x:c>
      <x:c r="B444" s="3" t="s">
        <x:v>396</x:v>
      </x:c>
      <x:c r="C444" s="3"/>
      <x:c r="D444" s="79" t="s">
        <x:v>480</x:v>
      </x:c>
      <x:c r="E444" s="3" t="s">
        <x:v>484</x:v>
      </x:c>
    </x:row>
    <x:row r="445" spans="1:5" ht="47.1" customHeight="1" x14ac:dyDescent="0.25">
      <x:c r="A445" s="3" t="s">
        <x:v>494</x:v>
      </x:c>
      <x:c r="B445" s="3" t="s">
        <x:v>396</x:v>
      </x:c>
      <x:c r="C445" s="79"/>
      <x:c r="D445" s="3" t="s">
        <x:v>480</x:v>
      </x:c>
      <x:c r="E445" s="3" t="s">
        <x:v>484</x:v>
      </x:c>
    </x:row>
    <x:row r="446" spans="1:5" ht="47.1" customHeight="1" x14ac:dyDescent="0.25">
      <x:c r="A446" s="3" t="s">
        <x:v>495</x:v>
      </x:c>
      <x:c r="B446" s="3" t="s">
        <x:v>396</x:v>
      </x:c>
      <x:c r="C446" s="3"/>
      <x:c r="D446" s="79" t="s">
        <x:v>496</x:v>
      </x:c>
      <x:c r="E446" s="3" t="s">
        <x:v>24</x:v>
      </x:c>
    </x:row>
    <x:row r="447" spans="1:5" ht="47.1" customHeight="1" x14ac:dyDescent="0.25">
      <x:c r="A447" s="3" t="s">
        <x:v>497</x:v>
      </x:c>
      <x:c r="B447" s="3" t="s">
        <x:v>396</x:v>
      </x:c>
      <x:c r="C447" s="79"/>
      <x:c r="D447" s="3" t="s">
        <x:v>480</x:v>
      </x:c>
      <x:c r="E447" s="3" t="s">
        <x:v>24</x:v>
      </x:c>
    </x:row>
    <x:row r="448" spans="1:5" ht="47.1" customHeight="1" x14ac:dyDescent="0.25">
      <x:c r="A448" s="3" t="s">
        <x:v>498</x:v>
      </x:c>
      <x:c r="B448" s="3" t="s">
        <x:v>396</x:v>
      </x:c>
      <x:c r="C448" s="3"/>
      <x:c r="D448" s="79" t="s">
        <x:v>461</x:v>
      </x:c>
      <x:c r="E448" s="3" t="s">
        <x:v>484</x:v>
      </x:c>
    </x:row>
    <x:row r="449" spans="1:5" ht="47.1" customHeight="1" x14ac:dyDescent="0.25">
      <x:c r="A449" s="3" t="s">
        <x:v>499</x:v>
      </x:c>
      <x:c r="B449" s="3" t="s">
        <x:v>396</x:v>
      </x:c>
      <x:c r="C449" s="79"/>
      <x:c r="D449" s="3" t="s">
        <x:v>461</x:v>
      </x:c>
      <x:c r="E449" s="3" t="s">
        <x:v>484</x:v>
      </x:c>
    </x:row>
    <x:row r="450" spans="1:5" ht="47.1" customHeight="1" x14ac:dyDescent="0.25">
      <x:c r="A450" s="3" t="s">
        <x:v>500</x:v>
      </x:c>
      <x:c r="B450" s="3" t="s">
        <x:v>396</x:v>
      </x:c>
      <x:c r="C450" s="3"/>
      <x:c r="D450" s="79" t="s">
        <x:v>461</x:v>
      </x:c>
      <x:c r="E450" s="3" t="s">
        <x:v>484</x:v>
      </x:c>
    </x:row>
    <x:row r="451" spans="1:5" ht="47.1" customHeight="1" x14ac:dyDescent="0.25">
      <x:c r="A451" s="3" t="s">
        <x:v>501</x:v>
      </x:c>
      <x:c r="B451" s="3" t="s">
        <x:v>396</x:v>
      </x:c>
      <x:c r="C451" s="79"/>
      <x:c r="D451" s="3" t="s">
        <x:v>461</x:v>
      </x:c>
      <x:c r="E451" s="3" t="s">
        <x:v>484</x:v>
      </x:c>
    </x:row>
    <x:row r="452" spans="1:5" ht="47.1" customHeight="1" x14ac:dyDescent="0.25">
      <x:c r="A452" s="3" t="s">
        <x:v>502</x:v>
      </x:c>
      <x:c r="B452" s="3" t="s">
        <x:v>396</x:v>
      </x:c>
      <x:c r="C452" s="3"/>
      <x:c r="D452" s="79" t="s">
        <x:v>461</x:v>
      </x:c>
      <x:c r="E452" s="3" t="s">
        <x:v>484</x:v>
      </x:c>
    </x:row>
    <x:row r="453" spans="1:5" ht="47.1" customHeight="1" x14ac:dyDescent="0.25">
      <x:c r="A453" s="3" t="s">
        <x:v>503</x:v>
      </x:c>
      <x:c r="B453" s="3" t="s">
        <x:v>396</x:v>
      </x:c>
      <x:c r="C453" s="79"/>
      <x:c r="D453" s="3" t="s">
        <x:v>461</x:v>
      </x:c>
      <x:c r="E453" s="3" t="s">
        <x:v>484</x:v>
      </x:c>
    </x:row>
    <x:row r="454" spans="1:5" ht="105.95" customHeight="1" x14ac:dyDescent="0.25">
      <x:c r="A454" s="3" t="s">
        <x:v>504</x:v>
      </x:c>
      <x:c r="B454" s="3" t="s">
        <x:v>396</x:v>
      </x:c>
      <x:c r="C454" s="3"/>
      <x:c r="D454" s="79" t="s">
        <x:v>461</x:v>
      </x:c>
      <x:c r="E454" s="3" t="s">
        <x:v>484</x:v>
      </x:c>
    </x:row>
    <x:row r="455" spans="1:5" ht="105.95" customHeight="1" x14ac:dyDescent="0.25">
      <x:c r="A455" s="3" t="s">
        <x:v>505</x:v>
      </x:c>
      <x:c r="B455" s="3" t="s">
        <x:v>396</x:v>
      </x:c>
      <x:c r="C455" s="79"/>
      <x:c r="D455" s="3" t="s">
        <x:v>461</x:v>
      </x:c>
      <x:c r="E455" s="3" t="s">
        <x:v>484</x:v>
      </x:c>
    </x:row>
    <x:row r="456" spans="1:5" ht="105.95" customHeight="1" x14ac:dyDescent="0.25">
      <x:c r="A456" s="3" t="s">
        <x:v>506</x:v>
      </x:c>
      <x:c r="B456" s="3" t="s">
        <x:v>396</x:v>
      </x:c>
      <x:c r="C456" s="3"/>
      <x:c r="D456" s="79" t="s">
        <x:v>461</x:v>
      </x:c>
      <x:c r="E456" s="3" t="s">
        <x:v>484</x:v>
      </x:c>
    </x:row>
    <x:row r="457" spans="1:5" ht="105.95" customHeight="1" x14ac:dyDescent="0.25">
      <x:c r="A457" s="3" t="s">
        <x:v>507</x:v>
      </x:c>
      <x:c r="B457" s="3" t="s">
        <x:v>396</x:v>
      </x:c>
      <x:c r="C457" s="79"/>
      <x:c r="D457" s="3" t="s">
        <x:v>461</x:v>
      </x:c>
      <x:c r="E457" s="3" t="s">
        <x:v>484</x:v>
      </x:c>
    </x:row>
    <x:row r="458" spans="1:5" ht="105.95" customHeight="1" x14ac:dyDescent="0.25">
      <x:c r="A458" s="3" t="s">
        <x:v>508</x:v>
      </x:c>
      <x:c r="B458" s="3" t="s">
        <x:v>396</x:v>
      </x:c>
      <x:c r="C458" s="3"/>
      <x:c r="D458" s="79" t="s">
        <x:v>480</x:v>
      </x:c>
      <x:c r="E458" s="3" t="s">
        <x:v>484</x:v>
      </x:c>
    </x:row>
    <x:row r="459" spans="1:5" ht="105.95" customHeight="1" x14ac:dyDescent="0.25">
      <x:c r="A459" s="3" t="s">
        <x:v>509</x:v>
      </x:c>
      <x:c r="B459" s="3" t="s">
        <x:v>396</x:v>
      </x:c>
      <x:c r="C459" s="79"/>
      <x:c r="D459" s="3" t="s">
        <x:v>510</x:v>
      </x:c>
      <x:c r="E459" s="3" t="s">
        <x:v>17</x:v>
      </x:c>
    </x:row>
    <x:row r="460" spans="1:5" ht="105.95" customHeight="1" x14ac:dyDescent="0.25">
      <x:c r="A460" s="3" t="s">
        <x:v>511</x:v>
      </x:c>
      <x:c r="B460" s="3" t="s">
        <x:v>396</x:v>
      </x:c>
      <x:c r="C460" s="3"/>
      <x:c r="D460" s="79" t="s">
        <x:v>461</x:v>
      </x:c>
      <x:c r="E460" s="3" t="s">
        <x:v>24</x:v>
      </x:c>
    </x:row>
    <x:row r="461" spans="1:5" ht="105.95" customHeight="1" x14ac:dyDescent="0.25">
      <x:c r="A461" s="3" t="s">
        <x:v>512</x:v>
      </x:c>
      <x:c r="B461" s="3" t="s">
        <x:v>396</x:v>
      </x:c>
      <x:c r="C461" s="79"/>
      <x:c r="D461" s="3" t="s">
        <x:v>461</x:v>
      </x:c>
      <x:c r="E461" s="3" t="s">
        <x:v>484</x:v>
      </x:c>
    </x:row>
    <x:row r="462" spans="1:5" ht="93.95" customHeight="1" x14ac:dyDescent="0.25">
      <x:c r="A462" s="3" t="s">
        <x:v>513</x:v>
      </x:c>
      <x:c r="B462" s="3" t="s">
        <x:v>396</x:v>
      </x:c>
      <x:c r="C462" s="3"/>
      <x:c r="D462" s="79" t="s">
        <x:v>461</x:v>
      </x:c>
      <x:c r="E462" s="3" t="s">
        <x:v>484</x:v>
      </x:c>
    </x:row>
    <x:row r="463" spans="1:5" ht="81.95" customHeight="1" x14ac:dyDescent="0.25">
      <x:c r="A463" s="556" t="s">
        <x:v>514</x:v>
      </x:c>
      <x:c r="B463" s="3" t="s">
        <x:v>515</x:v>
      </x:c>
      <x:c r="C463" s="79"/>
      <x:c r="D463" s="3" t="s">
        <x:v>11</x:v>
      </x:c>
      <x:c r="E463" s="3"/>
    </x:row>
    <x:row r="464" spans="1:5" ht="81.95" customHeight="1" x14ac:dyDescent="0.25">
      <x:c r="A464" s="3" t="s">
        <x:v>516</x:v>
      </x:c>
      <x:c r="B464" s="3" t="s">
        <x:v>515</x:v>
      </x:c>
      <x:c r="C464" s="3" t="s">
        <x:v>517</x:v>
      </x:c>
      <x:c r="D464" s="79" t="s">
        <x:v>43</x:v>
      </x:c>
      <x:c r="E464" s="3"/>
    </x:row>
    <x:row r="465" spans="1:5" ht="81.95" customHeight="1" x14ac:dyDescent="0.25">
      <x:c r="A465" s="3" t="s">
        <x:v>518</x:v>
      </x:c>
      <x:c r="B465" s="3" t="s">
        <x:v>515</x:v>
      </x:c>
      <x:c r="C465" s="79" t="s">
        <x:v>517</x:v>
      </x:c>
      <x:c r="D465" s="3" t="s">
        <x:v>14</x:v>
      </x:c>
      <x:c r="E465" s="3"/>
    </x:row>
    <x:row r="466" spans="1:5" ht="81.95" customHeight="1" x14ac:dyDescent="0.25">
      <x:c r="A466" s="3" t="s">
        <x:v>519</x:v>
      </x:c>
      <x:c r="B466" s="3" t="s">
        <x:v>515</x:v>
      </x:c>
      <x:c r="C466" s="3" t="s">
        <x:v>517</x:v>
      </x:c>
      <x:c r="D466" s="79" t="s">
        <x:v>43</x:v>
      </x:c>
      <x:c r="E466" s="3"/>
    </x:row>
    <x:row r="467" spans="1:5" ht="81.95" customHeight="1" x14ac:dyDescent="0.25">
      <x:c r="A467" s="3" t="s">
        <x:v>520</x:v>
      </x:c>
      <x:c r="B467" s="3" t="s">
        <x:v>515</x:v>
      </x:c>
      <x:c r="C467" s="79" t="s">
        <x:v>517</x:v>
      </x:c>
      <x:c r="D467" s="3" t="s">
        <x:v>23</x:v>
      </x:c>
      <x:c r="E467" s="3" t="s">
        <x:v>17</x:v>
      </x:c>
    </x:row>
    <x:row r="468" spans="1:5" ht="81.95" customHeight="1" x14ac:dyDescent="0.25">
      <x:c r="A468" s="3" t="s">
        <x:v>521</x:v>
      </x:c>
      <x:c r="B468" s="3" t="s">
        <x:v>515</x:v>
      </x:c>
      <x:c r="C468" s="3" t="s">
        <x:v>517</x:v>
      </x:c>
      <x:c r="D468" s="79" t="s">
        <x:v>183</x:v>
      </x:c>
      <x:c r="E468" s="3" t="s">
        <x:v>17</x:v>
      </x:c>
    </x:row>
    <x:row r="469" spans="1:5" ht="81.95" customHeight="1" x14ac:dyDescent="0.25">
      <x:c r="A469" s="3" t="s">
        <x:v>522</x:v>
      </x:c>
      <x:c r="B469" s="3" t="s">
        <x:v>515</x:v>
      </x:c>
      <x:c r="C469" s="79" t="s">
        <x:v>517</x:v>
      </x:c>
      <x:c r="D469" s="3" t="s">
        <x:v>183</x:v>
      </x:c>
      <x:c r="E469" s="3" t="s">
        <x:v>17</x:v>
      </x:c>
    </x:row>
    <x:row r="470" spans="1:5" ht="81.95" customHeight="1" x14ac:dyDescent="0.25">
      <x:c r="A470" s="3" t="s">
        <x:v>523</x:v>
      </x:c>
      <x:c r="B470" s="3" t="s">
        <x:v>515</x:v>
      </x:c>
      <x:c r="C470" s="3" t="s">
        <x:v>517</x:v>
      </x:c>
      <x:c r="D470" s="79" t="s">
        <x:v>183</x:v>
      </x:c>
      <x:c r="E470" s="3" t="s">
        <x:v>17</x:v>
      </x:c>
    </x:row>
    <x:row r="471" spans="1:5" ht="81.95" customHeight="1" x14ac:dyDescent="0.25">
      <x:c r="A471" s="3" t="s">
        <x:v>524</x:v>
      </x:c>
      <x:c r="B471" s="3" t="s">
        <x:v>515</x:v>
      </x:c>
      <x:c r="C471" s="79" t="s">
        <x:v>517</x:v>
      </x:c>
      <x:c r="D471" s="3" t="s">
        <x:v>183</x:v>
      </x:c>
      <x:c r="E471" s="3" t="s">
        <x:v>17</x:v>
      </x:c>
    </x:row>
    <x:row r="472" spans="1:5" ht="81.95" customHeight="1" x14ac:dyDescent="0.25">
      <x:c r="A472" s="3" t="s">
        <x:v>525</x:v>
      </x:c>
      <x:c r="B472" s="3" t="s">
        <x:v>515</x:v>
      </x:c>
      <x:c r="C472" s="3" t="s">
        <x:v>517</x:v>
      </x:c>
      <x:c r="D472" s="79" t="s">
        <x:v>183</x:v>
      </x:c>
      <x:c r="E472" s="3" t="s">
        <x:v>17</x:v>
      </x:c>
    </x:row>
    <x:row r="473" spans="1:5" ht="81.95" customHeight="1" x14ac:dyDescent="0.25">
      <x:c r="A473" s="3" t="s">
        <x:v>526</x:v>
      </x:c>
      <x:c r="B473" s="3" t="s">
        <x:v>515</x:v>
      </x:c>
      <x:c r="C473" s="79" t="s">
        <x:v>517</x:v>
      </x:c>
      <x:c r="D473" s="3" t="s">
        <x:v>191</x:v>
      </x:c>
      <x:c r="E473" s="3" t="s">
        <x:v>17</x:v>
      </x:c>
    </x:row>
    <x:row r="474" spans="1:5" ht="81.95" customHeight="1" x14ac:dyDescent="0.25">
      <x:c r="A474" s="3" t="s">
        <x:v>527</x:v>
      </x:c>
      <x:c r="B474" s="3" t="s">
        <x:v>515</x:v>
      </x:c>
      <x:c r="C474" s="3" t="s">
        <x:v>517</x:v>
      </x:c>
      <x:c r="D474" s="79" t="s">
        <x:v>183</x:v>
      </x:c>
      <x:c r="E474" s="3" t="s">
        <x:v>24</x:v>
      </x:c>
    </x:row>
    <x:row r="475" spans="1:5" ht="81.95" customHeight="1" x14ac:dyDescent="0.25">
      <x:c r="A475" s="3" t="s">
        <x:v>528</x:v>
      </x:c>
      <x:c r="B475" s="3" t="s">
        <x:v>515</x:v>
      </x:c>
      <x:c r="C475" s="79" t="s">
        <x:v>517</x:v>
      </x:c>
      <x:c r="D475" s="3" t="s">
        <x:v>183</x:v>
      </x:c>
      <x:c r="E475" s="3" t="s">
        <x:v>24</x:v>
      </x:c>
    </x:row>
    <x:row r="476" spans="1:5" ht="81.95" customHeight="1" x14ac:dyDescent="0.25">
      <x:c r="A476" s="3" t="s">
        <x:v>529</x:v>
      </x:c>
      <x:c r="B476" s="3" t="s">
        <x:v>515</x:v>
      </x:c>
      <x:c r="C476" s="3" t="s">
        <x:v>517</x:v>
      </x:c>
      <x:c r="D476" s="79" t="s">
        <x:v>183</x:v>
      </x:c>
      <x:c r="E476" s="3" t="s">
        <x:v>24</x:v>
      </x:c>
    </x:row>
    <x:row r="477" spans="1:5" ht="81.95" customHeight="1" x14ac:dyDescent="0.25">
      <x:c r="A477" s="3" t="s">
        <x:v>530</x:v>
      </x:c>
      <x:c r="B477" s="3" t="s">
        <x:v>515</x:v>
      </x:c>
      <x:c r="C477" s="79" t="s">
        <x:v>517</x:v>
      </x:c>
      <x:c r="D477" s="3" t="s">
        <x:v>183</x:v>
      </x:c>
      <x:c r="E477" s="3" t="s">
        <x:v>24</x:v>
      </x:c>
    </x:row>
    <x:row r="478" spans="1:5" ht="81.95" customHeight="1" x14ac:dyDescent="0.25">
      <x:c r="A478" s="3" t="s">
        <x:v>531</x:v>
      </x:c>
      <x:c r="B478" s="3" t="s">
        <x:v>515</x:v>
      </x:c>
      <x:c r="C478" s="3" t="s">
        <x:v>517</x:v>
      </x:c>
      <x:c r="D478" s="79" t="s">
        <x:v>183</x:v>
      </x:c>
      <x:c r="E478" s="3" t="s">
        <x:v>24</x:v>
      </x:c>
    </x:row>
    <x:row r="479" spans="1:5" ht="81.95" customHeight="1" x14ac:dyDescent="0.25">
      <x:c r="A479" s="3" t="s">
        <x:v>532</x:v>
      </x:c>
      <x:c r="B479" s="3" t="s">
        <x:v>515</x:v>
      </x:c>
      <x:c r="C479" s="79" t="s">
        <x:v>517</x:v>
      </x:c>
      <x:c r="D479" s="3" t="s">
        <x:v>183</x:v>
      </x:c>
      <x:c r="E479" s="3" t="s">
        <x:v>24</x:v>
      </x:c>
    </x:row>
    <x:row r="480" spans="1:5" ht="81.95" customHeight="1" x14ac:dyDescent="0.25">
      <x:c r="A480" s="3" t="s">
        <x:v>533</x:v>
      </x:c>
      <x:c r="B480" s="3" t="s">
        <x:v>515</x:v>
      </x:c>
      <x:c r="C480" s="3" t="s">
        <x:v>517</x:v>
      </x:c>
      <x:c r="D480" s="79" t="s">
        <x:v>183</x:v>
      </x:c>
      <x:c r="E480" s="3" t="s">
        <x:v>24</x:v>
      </x:c>
    </x:row>
    <x:row r="481" spans="1:5" ht="81.95" customHeight="1" x14ac:dyDescent="0.25">
      <x:c r="A481" s="3" t="s">
        <x:v>534</x:v>
      </x:c>
      <x:c r="B481" s="3" t="s">
        <x:v>515</x:v>
      </x:c>
      <x:c r="C481" s="79" t="s">
        <x:v>517</x:v>
      </x:c>
      <x:c r="D481" s="3" t="s">
        <x:v>183</x:v>
      </x:c>
      <x:c r="E481" s="3" t="s">
        <x:v>24</x:v>
      </x:c>
    </x:row>
    <x:row r="482" spans="1:5" ht="81.95" customHeight="1" x14ac:dyDescent="0.25">
      <x:c r="A482" s="3" t="s">
        <x:v>535</x:v>
      </x:c>
      <x:c r="B482" s="3" t="s">
        <x:v>515</x:v>
      </x:c>
      <x:c r="C482" s="3" t="s">
        <x:v>517</x:v>
      </x:c>
      <x:c r="D482" s="79" t="s">
        <x:v>183</x:v>
      </x:c>
      <x:c r="E482" s="3" t="s">
        <x:v>24</x:v>
      </x:c>
    </x:row>
    <x:row r="483" spans="1:5" ht="81.95" customHeight="1" x14ac:dyDescent="0.25">
      <x:c r="A483" s="3" t="s">
        <x:v>536</x:v>
      </x:c>
      <x:c r="B483" s="3" t="s">
        <x:v>515</x:v>
      </x:c>
      <x:c r="C483" s="79" t="s">
        <x:v>517</x:v>
      </x:c>
      <x:c r="D483" s="3" t="s">
        <x:v>183</x:v>
      </x:c>
      <x:c r="E483" s="3" t="s">
        <x:v>24</x:v>
      </x:c>
    </x:row>
    <x:row r="484" spans="1:5" ht="81.95" customHeight="1" x14ac:dyDescent="0.25">
      <x:c r="A484" s="3" t="s">
        <x:v>537</x:v>
      </x:c>
      <x:c r="B484" s="3" t="s">
        <x:v>515</x:v>
      </x:c>
      <x:c r="C484" s="3" t="s">
        <x:v>517</x:v>
      </x:c>
      <x:c r="D484" s="79" t="s">
        <x:v>191</x:v>
      </x:c>
      <x:c r="E484" s="3" t="s">
        <x:v>24</x:v>
      </x:c>
    </x:row>
    <x:row r="485" spans="1:5" ht="81.95" customHeight="1" x14ac:dyDescent="0.25">
      <x:c r="A485" s="3" t="s">
        <x:v>538</x:v>
      </x:c>
      <x:c r="B485" s="3" t="s">
        <x:v>515</x:v>
      </x:c>
      <x:c r="C485" s="79" t="s">
        <x:v>517</x:v>
      </x:c>
      <x:c r="D485" s="3" t="s">
        <x:v>191</x:v>
      </x:c>
      <x:c r="E485" s="3" t="s">
        <x:v>24</x:v>
      </x:c>
    </x:row>
    <x:row r="486" spans="1:5" ht="81.95" customHeight="1" x14ac:dyDescent="0.25">
      <x:c r="A486" s="3" t="s">
        <x:v>539</x:v>
      </x:c>
      <x:c r="B486" s="3" t="s">
        <x:v>515</x:v>
      </x:c>
      <x:c r="C486" s="3" t="s">
        <x:v>517</x:v>
      </x:c>
      <x:c r="D486" s="79" t="s">
        <x:v>16</x:v>
      </x:c>
      <x:c r="E486" s="3" t="s">
        <x:v>60</x:v>
      </x:c>
    </x:row>
    <x:row r="487" spans="1:5" ht="81.95" customHeight="1" x14ac:dyDescent="0.25">
      <x:c r="A487" s="3" t="s">
        <x:v>540</x:v>
      </x:c>
      <x:c r="B487" s="3" t="s">
        <x:v>515</x:v>
      </x:c>
      <x:c r="C487" s="79" t="s">
        <x:v>517</x:v>
      </x:c>
      <x:c r="D487" s="3" t="s">
        <x:v>16</x:v>
      </x:c>
      <x:c r="E487" s="3" t="s">
        <x:v>60</x:v>
      </x:c>
    </x:row>
    <x:row r="488" spans="1:5" ht="81.95" customHeight="1" x14ac:dyDescent="0.25">
      <x:c r="A488" s="3" t="s">
        <x:v>541</x:v>
      </x:c>
      <x:c r="B488" s="3" t="s">
        <x:v>515</x:v>
      </x:c>
      <x:c r="C488" s="3" t="s">
        <x:v>517</x:v>
      </x:c>
      <x:c r="D488" s="79" t="s">
        <x:v>16</x:v>
      </x:c>
      <x:c r="E488" s="3" t="s">
        <x:v>60</x:v>
      </x:c>
    </x:row>
    <x:row r="489" spans="1:5" ht="81.95" customHeight="1" x14ac:dyDescent="0.25">
      <x:c r="A489" s="3" t="s">
        <x:v>542</x:v>
      </x:c>
      <x:c r="B489" s="3" t="s">
        <x:v>515</x:v>
      </x:c>
      <x:c r="C489" s="79" t="s">
        <x:v>517</x:v>
      </x:c>
      <x:c r="D489" s="3" t="s">
        <x:v>16</x:v>
      </x:c>
      <x:c r="E489" s="3" t="s">
        <x:v>60</x:v>
      </x:c>
    </x:row>
    <x:row r="490" spans="1:5" ht="81.95" customHeight="1" x14ac:dyDescent="0.25">
      <x:c r="A490" s="3" t="s">
        <x:v>543</x:v>
      </x:c>
      <x:c r="B490" s="3" t="s">
        <x:v>515</x:v>
      </x:c>
      <x:c r="C490" s="3" t="s">
        <x:v>517</x:v>
      </x:c>
      <x:c r="D490" s="79" t="s">
        <x:v>16</x:v>
      </x:c>
      <x:c r="E490" s="3" t="s">
        <x:v>60</x:v>
      </x:c>
    </x:row>
    <x:row r="491" spans="1:5" ht="81.95" customHeight="1" x14ac:dyDescent="0.25">
      <x:c r="A491" s="3" t="s">
        <x:v>544</x:v>
      </x:c>
      <x:c r="B491" s="3" t="s">
        <x:v>515</x:v>
      </x:c>
      <x:c r="C491" s="79" t="s">
        <x:v>517</x:v>
      </x:c>
      <x:c r="D491" s="3" t="s">
        <x:v>21</x:v>
      </x:c>
      <x:c r="E491" s="3" t="s">
        <x:v>60</x:v>
      </x:c>
    </x:row>
    <x:row r="492" spans="1:5" ht="81.95" customHeight="1" x14ac:dyDescent="0.25">
      <x:c r="A492" s="3" t="s">
        <x:v>545</x:v>
      </x:c>
      <x:c r="B492" s="3" t="s">
        <x:v>515</x:v>
      </x:c>
      <x:c r="C492" s="3" t="s">
        <x:v>517</x:v>
      </x:c>
      <x:c r="D492" s="79" t="s">
        <x:v>21</x:v>
      </x:c>
      <x:c r="E492" s="3" t="s">
        <x:v>60</x:v>
      </x:c>
    </x:row>
    <x:row r="493" spans="1:5" ht="81.95" customHeight="1" x14ac:dyDescent="0.25">
      <x:c r="A493" s="3" t="s">
        <x:v>546</x:v>
      </x:c>
      <x:c r="B493" s="3" t="s">
        <x:v>515</x:v>
      </x:c>
      <x:c r="C493" s="79" t="s">
        <x:v>517</x:v>
      </x:c>
      <x:c r="D493" s="3" t="s">
        <x:v>23</x:v>
      </x:c>
      <x:c r="E493" s="3" t="s">
        <x:v>66</x:v>
      </x:c>
    </x:row>
    <x:row r="494" spans="1:5" ht="81.95" customHeight="1" x14ac:dyDescent="0.25">
      <x:c r="A494" s="3" t="s">
        <x:v>547</x:v>
      </x:c>
      <x:c r="B494" s="3" t="s">
        <x:v>515</x:v>
      </x:c>
      <x:c r="C494" s="3" t="s">
        <x:v>517</x:v>
      </x:c>
      <x:c r="D494" s="79" t="s">
        <x:v>23</x:v>
      </x:c>
      <x:c r="E494" s="3" t="s">
        <x:v>66</x:v>
      </x:c>
    </x:row>
    <x:row r="495" spans="1:5" ht="81.95" customHeight="1" x14ac:dyDescent="0.25">
      <x:c r="A495" s="3" t="s">
        <x:v>548</x:v>
      </x:c>
      <x:c r="B495" s="3" t="s">
        <x:v>515</x:v>
      </x:c>
      <x:c r="C495" s="79" t="s">
        <x:v>517</x:v>
      </x:c>
      <x:c r="D495" s="3" t="s">
        <x:v>23</x:v>
      </x:c>
      <x:c r="E495" s="3" t="s">
        <x:v>66</x:v>
      </x:c>
    </x:row>
    <x:row r="496" spans="1:5" ht="81.95" customHeight="1" x14ac:dyDescent="0.25">
      <x:c r="A496" s="3" t="s">
        <x:v>549</x:v>
      </x:c>
      <x:c r="B496" s="3" t="s">
        <x:v>515</x:v>
      </x:c>
      <x:c r="C496" s="3" t="s">
        <x:v>517</x:v>
      </x:c>
      <x:c r="D496" s="79" t="s">
        <x:v>23</x:v>
      </x:c>
      <x:c r="E496" s="3" t="s">
        <x:v>66</x:v>
      </x:c>
    </x:row>
    <x:row r="497" spans="1:5" ht="81.95" customHeight="1" x14ac:dyDescent="0.25">
      <x:c r="A497" s="3" t="s">
        <x:v>550</x:v>
      </x:c>
      <x:c r="B497" s="3" t="s">
        <x:v>515</x:v>
      </x:c>
      <x:c r="C497" s="79" t="s">
        <x:v>517</x:v>
      </x:c>
      <x:c r="D497" s="3" t="s">
        <x:v>23</x:v>
      </x:c>
      <x:c r="E497" s="3" t="s">
        <x:v>66</x:v>
      </x:c>
    </x:row>
    <x:row r="498" spans="1:5" ht="81.95" customHeight="1" x14ac:dyDescent="0.25">
      <x:c r="A498" s="3" t="s">
        <x:v>551</x:v>
      </x:c>
      <x:c r="B498" s="3" t="s">
        <x:v>515</x:v>
      </x:c>
      <x:c r="C498" s="3" t="s">
        <x:v>517</x:v>
      </x:c>
      <x:c r="D498" s="79" t="s">
        <x:v>23</x:v>
      </x:c>
      <x:c r="E498" s="3" t="s">
        <x:v>66</x:v>
      </x:c>
    </x:row>
    <x:row r="499" spans="1:5" ht="81.95" customHeight="1" x14ac:dyDescent="0.25">
      <x:c r="A499" s="3" t="s">
        <x:v>552</x:v>
      </x:c>
      <x:c r="B499" s="3" t="s">
        <x:v>515</x:v>
      </x:c>
      <x:c r="C499" s="79" t="s">
        <x:v>517</x:v>
      </x:c>
      <x:c r="D499" s="3" t="s">
        <x:v>23</x:v>
      </x:c>
      <x:c r="E499" s="3" t="s">
        <x:v>66</x:v>
      </x:c>
    </x:row>
    <x:row r="500" spans="1:5" ht="81.95" customHeight="1" x14ac:dyDescent="0.25">
      <x:c r="A500" s="3" t="s">
        <x:v>553</x:v>
      </x:c>
      <x:c r="B500" s="3" t="s">
        <x:v>515</x:v>
      </x:c>
      <x:c r="C500" s="3" t="s">
        <x:v>517</x:v>
      </x:c>
      <x:c r="D500" s="79" t="s">
        <x:v>23</x:v>
      </x:c>
      <x:c r="E500" s="3" t="s">
        <x:v>66</x:v>
      </x:c>
    </x:row>
    <x:row r="501" spans="1:5" ht="93.95" customHeight="1" x14ac:dyDescent="0.25">
      <x:c r="A501" s="3" t="s">
        <x:v>554</x:v>
      </x:c>
      <x:c r="B501" s="3" t="s">
        <x:v>515</x:v>
      </x:c>
      <x:c r="C501" s="79" t="s">
        <x:v>517</x:v>
      </x:c>
      <x:c r="D501" s="3" t="s">
        <x:v>23</x:v>
      </x:c>
      <x:c r="E501" s="3" t="s">
        <x:v>66</x:v>
      </x:c>
    </x:row>
    <x:row r="502" spans="1:5" ht="93.95" customHeight="1" x14ac:dyDescent="0.25">
      <x:c r="A502" s="3" t="s">
        <x:v>555</x:v>
      </x:c>
      <x:c r="B502" s="3" t="s">
        <x:v>515</x:v>
      </x:c>
      <x:c r="C502" s="3" t="s">
        <x:v>517</x:v>
      </x:c>
      <x:c r="D502" s="79" t="s">
        <x:v>23</x:v>
      </x:c>
      <x:c r="E502" s="3" t="s">
        <x:v>66</x:v>
      </x:c>
    </x:row>
    <x:row r="503" spans="1:5" ht="93.95" customHeight="1" x14ac:dyDescent="0.25">
      <x:c r="A503" s="3" t="s">
        <x:v>556</x:v>
      </x:c>
      <x:c r="B503" s="3" t="s">
        <x:v>515</x:v>
      </x:c>
      <x:c r="C503" s="79" t="s">
        <x:v>517</x:v>
      </x:c>
      <x:c r="D503" s="3" t="s">
        <x:v>23</x:v>
      </x:c>
      <x:c r="E503" s="3" t="s">
        <x:v>66</x:v>
      </x:c>
    </x:row>
    <x:row r="504" spans="1:5" ht="93.95" customHeight="1" x14ac:dyDescent="0.25">
      <x:c r="A504" s="3" t="s">
        <x:v>557</x:v>
      </x:c>
      <x:c r="B504" s="3" t="s">
        <x:v>515</x:v>
      </x:c>
      <x:c r="C504" s="3" t="s">
        <x:v>517</x:v>
      </x:c>
      <x:c r="D504" s="79" t="s">
        <x:v>23</x:v>
      </x:c>
      <x:c r="E504" s="3" t="s">
        <x:v>66</x:v>
      </x:c>
    </x:row>
    <x:row r="505" spans="1:5" ht="93.95" customHeight="1" x14ac:dyDescent="0.25">
      <x:c r="A505" s="3" t="s">
        <x:v>558</x:v>
      </x:c>
      <x:c r="B505" s="3" t="s">
        <x:v>515</x:v>
      </x:c>
      <x:c r="C505" s="79" t="s">
        <x:v>517</x:v>
      </x:c>
      <x:c r="D505" s="3" t="s">
        <x:v>23</x:v>
      </x:c>
      <x:c r="E505" s="3" t="s">
        <x:v>66</x:v>
      </x:c>
    </x:row>
    <x:row r="506" spans="1:5" ht="93.95" customHeight="1" x14ac:dyDescent="0.25">
      <x:c r="A506" s="3" t="s">
        <x:v>559</x:v>
      </x:c>
      <x:c r="B506" s="3" t="s">
        <x:v>515</x:v>
      </x:c>
      <x:c r="C506" s="3" t="s">
        <x:v>517</x:v>
      </x:c>
      <x:c r="D506" s="79" t="s">
        <x:v>37</x:v>
      </x:c>
      <x:c r="E506" s="3" t="s">
        <x:v>66</x:v>
      </x:c>
    </x:row>
    <x:row r="507" spans="1:5" ht="93.95" customHeight="1" x14ac:dyDescent="0.25">
      <x:c r="A507" s="3" t="s">
        <x:v>560</x:v>
      </x:c>
      <x:c r="B507" s="3" t="s">
        <x:v>515</x:v>
      </x:c>
      <x:c r="C507" s="79" t="s">
        <x:v>517</x:v>
      </x:c>
      <x:c r="D507" s="3" t="s">
        <x:v>37</x:v>
      </x:c>
      <x:c r="E507" s="3" t="s">
        <x:v>66</x:v>
      </x:c>
    </x:row>
    <x:row r="508" spans="1:5" ht="93.95" customHeight="1" x14ac:dyDescent="0.25">
      <x:c r="A508" s="3" t="s">
        <x:v>561</x:v>
      </x:c>
      <x:c r="B508" s="3" t="s">
        <x:v>515</x:v>
      </x:c>
      <x:c r="C508" s="3" t="s">
        <x:v>517</x:v>
      </x:c>
      <x:c r="D508" s="79" t="s">
        <x:v>37</x:v>
      </x:c>
      <x:c r="E508" s="3" t="s">
        <x:v>66</x:v>
      </x:c>
    </x:row>
    <x:row r="509" spans="1:5" ht="93.95" customHeight="1" x14ac:dyDescent="0.25">
      <x:c r="A509" s="3" t="s">
        <x:v>562</x:v>
      </x:c>
      <x:c r="B509" s="3" t="s">
        <x:v>515</x:v>
      </x:c>
      <x:c r="C509" s="79" t="s">
        <x:v>517</x:v>
      </x:c>
      <x:c r="D509" s="3" t="s">
        <x:v>23</x:v>
      </x:c>
      <x:c r="E509" s="3" t="s">
        <x:v>17</x:v>
      </x:c>
    </x:row>
    <x:row r="510" spans="1:5" ht="93.95" customHeight="1" x14ac:dyDescent="0.25">
      <x:c r="A510" s="3" t="s">
        <x:v>563</x:v>
      </x:c>
      <x:c r="B510" s="3" t="s">
        <x:v>515</x:v>
      </x:c>
      <x:c r="C510" s="3" t="s">
        <x:v>517</x:v>
      </x:c>
      <x:c r="D510" s="79" t="s">
        <x:v>23</x:v>
      </x:c>
      <x:c r="E510" s="3" t="s">
        <x:v>17</x:v>
      </x:c>
    </x:row>
    <x:row r="511" spans="1:5" ht="93.95" customHeight="1" x14ac:dyDescent="0.25">
      <x:c r="A511" s="3" t="s">
        <x:v>564</x:v>
      </x:c>
      <x:c r="B511" s="3" t="s">
        <x:v>515</x:v>
      </x:c>
      <x:c r="C511" s="79" t="s">
        <x:v>517</x:v>
      </x:c>
      <x:c r="D511" s="3" t="s">
        <x:v>23</x:v>
      </x:c>
      <x:c r="E511" s="3" t="s">
        <x:v>17</x:v>
      </x:c>
    </x:row>
    <x:row r="512" spans="1:5" ht="93.95" customHeight="1" x14ac:dyDescent="0.25">
      <x:c r="A512" s="3" t="s">
        <x:v>565</x:v>
      </x:c>
      <x:c r="B512" s="3" t="s">
        <x:v>515</x:v>
      </x:c>
      <x:c r="C512" s="3" t="s">
        <x:v>517</x:v>
      </x:c>
      <x:c r="D512" s="79" t="s">
        <x:v>23</x:v>
      </x:c>
      <x:c r="E512" s="3" t="s">
        <x:v>17</x:v>
      </x:c>
    </x:row>
    <x:row r="513" spans="1:5" ht="93.95" customHeight="1" x14ac:dyDescent="0.25">
      <x:c r="A513" s="3" t="s">
        <x:v>566</x:v>
      </x:c>
      <x:c r="B513" s="3" t="s">
        <x:v>515</x:v>
      </x:c>
      <x:c r="C513" s="79" t="s">
        <x:v>517</x:v>
      </x:c>
      <x:c r="D513" s="3" t="s">
        <x:v>23</x:v>
      </x:c>
      <x:c r="E513" s="3" t="s">
        <x:v>17</x:v>
      </x:c>
    </x:row>
    <x:row r="514" spans="1:5" ht="93.95" customHeight="1" x14ac:dyDescent="0.25">
      <x:c r="A514" s="3" t="s">
        <x:v>567</x:v>
      </x:c>
      <x:c r="B514" s="3" t="s">
        <x:v>515</x:v>
      </x:c>
      <x:c r="C514" s="3" t="s">
        <x:v>517</x:v>
      </x:c>
      <x:c r="D514" s="79" t="s">
        <x:v>23</x:v>
      </x:c>
      <x:c r="E514" s="3" t="s">
        <x:v>17</x:v>
      </x:c>
    </x:row>
    <x:row r="515" spans="1:5" ht="93.95" customHeight="1" x14ac:dyDescent="0.25">
      <x:c r="A515" s="3" t="s">
        <x:v>568</x:v>
      </x:c>
      <x:c r="B515" s="3" t="s">
        <x:v>515</x:v>
      </x:c>
      <x:c r="C515" s="79" t="s">
        <x:v>517</x:v>
      </x:c>
      <x:c r="D515" s="3" t="s">
        <x:v>23</x:v>
      </x:c>
      <x:c r="E515" s="3" t="s">
        <x:v>17</x:v>
      </x:c>
    </x:row>
    <x:row r="516" spans="1:5" ht="93.95" customHeight="1" x14ac:dyDescent="0.25">
      <x:c r="A516" s="3" t="s">
        <x:v>569</x:v>
      </x:c>
      <x:c r="B516" s="3" t="s">
        <x:v>515</x:v>
      </x:c>
      <x:c r="C516" s="3" t="s">
        <x:v>517</x:v>
      </x:c>
      <x:c r="D516" s="79" t="s">
        <x:v>23</x:v>
      </x:c>
      <x:c r="E516" s="3" t="s">
        <x:v>17</x:v>
      </x:c>
    </x:row>
    <x:row r="517" spans="1:5" ht="93.95" customHeight="1" x14ac:dyDescent="0.25">
      <x:c r="A517" s="3" t="s">
        <x:v>570</x:v>
      </x:c>
      <x:c r="B517" s="3" t="s">
        <x:v>515</x:v>
      </x:c>
      <x:c r="C517" s="79" t="s">
        <x:v>517</x:v>
      </x:c>
      <x:c r="D517" s="3" t="s">
        <x:v>23</x:v>
      </x:c>
      <x:c r="E517" s="3" t="s">
        <x:v>17</x:v>
      </x:c>
    </x:row>
    <x:row r="518" spans="1:5" ht="93.95" customHeight="1" x14ac:dyDescent="0.25">
      <x:c r="A518" s="3" t="s">
        <x:v>571</x:v>
      </x:c>
      <x:c r="B518" s="3" t="s">
        <x:v>515</x:v>
      </x:c>
      <x:c r="C518" s="3" t="s">
        <x:v>517</x:v>
      </x:c>
      <x:c r="D518" s="79" t="s">
        <x:v>23</x:v>
      </x:c>
      <x:c r="E518" s="3" t="s">
        <x:v>17</x:v>
      </x:c>
    </x:row>
    <x:row r="519" spans="1:5" ht="93.95" customHeight="1" x14ac:dyDescent="0.25">
      <x:c r="A519" s="3" t="s">
        <x:v>572</x:v>
      </x:c>
      <x:c r="B519" s="3" t="s">
        <x:v>515</x:v>
      </x:c>
      <x:c r="C519" s="79" t="s">
        <x:v>517</x:v>
      </x:c>
      <x:c r="D519" s="3" t="s">
        <x:v>23</x:v>
      </x:c>
      <x:c r="E519" s="3" t="s">
        <x:v>17</x:v>
      </x:c>
    </x:row>
    <x:row r="520" spans="1:5" ht="93.95" customHeight="1" x14ac:dyDescent="0.25">
      <x:c r="A520" s="3" t="s">
        <x:v>573</x:v>
      </x:c>
      <x:c r="B520" s="3" t="s">
        <x:v>515</x:v>
      </x:c>
      <x:c r="C520" s="3" t="s">
        <x:v>517</x:v>
      </x:c>
      <x:c r="D520" s="79" t="s">
        <x:v>23</x:v>
      </x:c>
      <x:c r="E520" s="3" t="s">
        <x:v>17</x:v>
      </x:c>
    </x:row>
    <x:row r="521" spans="1:5" ht="93.95" customHeight="1" x14ac:dyDescent="0.25">
      <x:c r="A521" s="3" t="s">
        <x:v>574</x:v>
      </x:c>
      <x:c r="B521" s="3" t="s">
        <x:v>515</x:v>
      </x:c>
      <x:c r="C521" s="79" t="s">
        <x:v>517</x:v>
      </x:c>
      <x:c r="D521" s="3" t="s">
        <x:v>23</x:v>
      </x:c>
      <x:c r="E521" s="3" t="s">
        <x:v>17</x:v>
      </x:c>
    </x:row>
    <x:row r="522" spans="1:5" ht="47.1" customHeight="1" x14ac:dyDescent="0.25">
      <x:c r="A522" s="3" t="s">
        <x:v>575</x:v>
      </x:c>
      <x:c r="B522" s="3" t="s">
        <x:v>515</x:v>
      </x:c>
      <x:c r="C522" s="3" t="s">
        <x:v>517</x:v>
      </x:c>
      <x:c r="D522" s="79" t="s">
        <x:v>23</x:v>
      </x:c>
      <x:c r="E522" s="3" t="s">
        <x:v>17</x:v>
      </x:c>
    </x:row>
    <x:row r="523" spans="1:5" ht="47.1" customHeight="1" x14ac:dyDescent="0.25">
      <x:c r="A523" s="3" t="s">
        <x:v>576</x:v>
      </x:c>
      <x:c r="B523" s="3" t="s">
        <x:v>515</x:v>
      </x:c>
      <x:c r="C523" s="79" t="s">
        <x:v>517</x:v>
      </x:c>
      <x:c r="D523" s="3" t="s">
        <x:v>23</x:v>
      </x:c>
      <x:c r="E523" s="3" t="s">
        <x:v>17</x:v>
      </x:c>
    </x:row>
    <x:row r="524" spans="1:5" ht="47.1" customHeight="1" x14ac:dyDescent="0.25">
      <x:c r="A524" s="3" t="s">
        <x:v>577</x:v>
      </x:c>
      <x:c r="B524" s="3" t="s">
        <x:v>515</x:v>
      </x:c>
      <x:c r="C524" s="3" t="s">
        <x:v>517</x:v>
      </x:c>
      <x:c r="D524" s="79" t="s">
        <x:v>23</x:v>
      </x:c>
      <x:c r="E524" s="3" t="s">
        <x:v>17</x:v>
      </x:c>
    </x:row>
    <x:row r="525" spans="1:5" ht="47.1" customHeight="1" x14ac:dyDescent="0.25">
      <x:c r="A525" s="3" t="s">
        <x:v>578</x:v>
      </x:c>
      <x:c r="B525" s="3" t="s">
        <x:v>515</x:v>
      </x:c>
      <x:c r="C525" s="79" t="s">
        <x:v>517</x:v>
      </x:c>
      <x:c r="D525" s="3" t="s">
        <x:v>23</x:v>
      </x:c>
      <x:c r="E525" s="3" t="s">
        <x:v>66</x:v>
      </x:c>
    </x:row>
    <x:row r="526" spans="1:5" ht="59.1" customHeight="1" x14ac:dyDescent="0.25">
      <x:c r="A526" s="3" t="s">
        <x:v>579</x:v>
      </x:c>
      <x:c r="B526" s="3" t="s">
        <x:v>515</x:v>
      </x:c>
      <x:c r="C526" s="3" t="s">
        <x:v>517</x:v>
      </x:c>
      <x:c r="D526" s="79" t="s">
        <x:v>23</x:v>
      </x:c>
      <x:c r="E526" s="3" t="s">
        <x:v>17</x:v>
      </x:c>
    </x:row>
    <x:row r="527" spans="1:5" ht="59.1" customHeight="1" x14ac:dyDescent="0.25">
      <x:c r="A527" s="3" t="s">
        <x:v>580</x:v>
      </x:c>
      <x:c r="B527" s="3" t="s">
        <x:v>515</x:v>
      </x:c>
      <x:c r="C527" s="79" t="s">
        <x:v>517</x:v>
      </x:c>
      <x:c r="D527" s="3" t="s">
        <x:v>23</x:v>
      </x:c>
      <x:c r="E527" s="3" t="s">
        <x:v>17</x:v>
      </x:c>
    </x:row>
    <x:row r="528" spans="1:5" ht="59.1" customHeight="1" x14ac:dyDescent="0.25">
      <x:c r="A528" s="3" t="s">
        <x:v>581</x:v>
      </x:c>
      <x:c r="B528" s="3" t="s">
        <x:v>515</x:v>
      </x:c>
      <x:c r="C528" s="3" t="s">
        <x:v>517</x:v>
      </x:c>
      <x:c r="D528" s="79" t="s">
        <x:v>23</x:v>
      </x:c>
      <x:c r="E528" s="3" t="s">
        <x:v>17</x:v>
      </x:c>
    </x:row>
    <x:row r="529" spans="1:5" ht="59.1" customHeight="1" x14ac:dyDescent="0.25">
      <x:c r="A529" s="3" t="s">
        <x:v>582</x:v>
      </x:c>
      <x:c r="B529" s="3" t="s">
        <x:v>515</x:v>
      </x:c>
      <x:c r="C529" s="79" t="s">
        <x:v>517</x:v>
      </x:c>
      <x:c r="D529" s="3" t="s">
        <x:v>23</x:v>
      </x:c>
      <x:c r="E529" s="3" t="s">
        <x:v>17</x:v>
      </x:c>
    </x:row>
    <x:row r="530" spans="1:5" ht="59.1" customHeight="1" x14ac:dyDescent="0.25">
      <x:c r="A530" s="3" t="s">
        <x:v>583</x:v>
      </x:c>
      <x:c r="B530" s="3" t="s">
        <x:v>515</x:v>
      </x:c>
      <x:c r="C530" s="3" t="s">
        <x:v>517</x:v>
      </x:c>
      <x:c r="D530" s="79" t="s">
        <x:v>23</x:v>
      </x:c>
      <x:c r="E530" s="3" t="s">
        <x:v>17</x:v>
      </x:c>
    </x:row>
    <x:row r="531" spans="1:5" ht="59.1" customHeight="1" x14ac:dyDescent="0.25">
      <x:c r="A531" s="3" t="s">
        <x:v>584</x:v>
      </x:c>
      <x:c r="B531" s="3" t="s">
        <x:v>515</x:v>
      </x:c>
      <x:c r="C531" s="79" t="s">
        <x:v>517</x:v>
      </x:c>
      <x:c r="D531" s="3" t="s">
        <x:v>23</x:v>
      </x:c>
      <x:c r="E531" s="3" t="s">
        <x:v>17</x:v>
      </x:c>
    </x:row>
    <x:row r="532" spans="1:5" ht="59.1" customHeight="1" x14ac:dyDescent="0.25">
      <x:c r="A532" s="3" t="s">
        <x:v>585</x:v>
      </x:c>
      <x:c r="B532" s="3" t="s">
        <x:v>515</x:v>
      </x:c>
      <x:c r="C532" s="3" t="s">
        <x:v>517</x:v>
      </x:c>
      <x:c r="D532" s="79" t="s">
        <x:v>23</x:v>
      </x:c>
      <x:c r="E532" s="3" t="s">
        <x:v>17</x:v>
      </x:c>
    </x:row>
    <x:row r="533" spans="1:5" ht="59.1" customHeight="1" x14ac:dyDescent="0.25">
      <x:c r="A533" s="3" t="s">
        <x:v>586</x:v>
      </x:c>
      <x:c r="B533" s="3" t="s">
        <x:v>515</x:v>
      </x:c>
      <x:c r="C533" s="79" t="s">
        <x:v>517</x:v>
      </x:c>
      <x:c r="D533" s="3" t="s">
        <x:v>23</x:v>
      </x:c>
      <x:c r="E533" s="3" t="s">
        <x:v>17</x:v>
      </x:c>
    </x:row>
    <x:row r="534" spans="1:5" ht="59.1" customHeight="1" x14ac:dyDescent="0.25">
      <x:c r="A534" s="3" t="s">
        <x:v>587</x:v>
      </x:c>
      <x:c r="B534" s="3" t="s">
        <x:v>515</x:v>
      </x:c>
      <x:c r="C534" s="3" t="s">
        <x:v>517</x:v>
      </x:c>
      <x:c r="D534" s="79" t="s">
        <x:v>23</x:v>
      </x:c>
      <x:c r="E534" s="3" t="s">
        <x:v>17</x:v>
      </x:c>
    </x:row>
    <x:row r="535" spans="1:5" ht="59.1" customHeight="1" x14ac:dyDescent="0.25">
      <x:c r="A535" s="3" t="s">
        <x:v>588</x:v>
      </x:c>
      <x:c r="B535" s="3" t="s">
        <x:v>515</x:v>
      </x:c>
      <x:c r="C535" s="79" t="s">
        <x:v>517</x:v>
      </x:c>
      <x:c r="D535" s="3" t="s">
        <x:v>23</x:v>
      </x:c>
      <x:c r="E535" s="3" t="s">
        <x:v>17</x:v>
      </x:c>
    </x:row>
    <x:row r="536" spans="1:5" ht="59.1" customHeight="1" x14ac:dyDescent="0.25">
      <x:c r="A536" s="3" t="s">
        <x:v>589</x:v>
      </x:c>
      <x:c r="B536" s="3" t="s">
        <x:v>515</x:v>
      </x:c>
      <x:c r="C536" s="3" t="s">
        <x:v>517</x:v>
      </x:c>
      <x:c r="D536" s="79" t="s">
        <x:v>23</x:v>
      </x:c>
      <x:c r="E536" s="3" t="s">
        <x:v>17</x:v>
      </x:c>
    </x:row>
    <x:row r="537" spans="1:5" ht="59.1" customHeight="1" x14ac:dyDescent="0.25">
      <x:c r="A537" s="3" t="s">
        <x:v>590</x:v>
      </x:c>
      <x:c r="B537" s="3" t="s">
        <x:v>515</x:v>
      </x:c>
      <x:c r="C537" s="79" t="s">
        <x:v>517</x:v>
      </x:c>
      <x:c r="D537" s="3" t="s">
        <x:v>23</x:v>
      </x:c>
      <x:c r="E537" s="3" t="s">
        <x:v>17</x:v>
      </x:c>
    </x:row>
    <x:row r="538" spans="1:5" ht="59.1" customHeight="1" x14ac:dyDescent="0.25">
      <x:c r="A538" s="3" t="s">
        <x:v>591</x:v>
      </x:c>
      <x:c r="B538" s="3" t="s">
        <x:v>515</x:v>
      </x:c>
      <x:c r="C538" s="3" t="s">
        <x:v>517</x:v>
      </x:c>
      <x:c r="D538" s="79" t="s">
        <x:v>23</x:v>
      </x:c>
      <x:c r="E538" s="3" t="s">
        <x:v>17</x:v>
      </x:c>
    </x:row>
    <x:row r="539" spans="1:5" ht="59.1" customHeight="1" x14ac:dyDescent="0.25">
      <x:c r="A539" s="3" t="s">
        <x:v>592</x:v>
      </x:c>
      <x:c r="B539" s="3" t="s">
        <x:v>515</x:v>
      </x:c>
      <x:c r="C539" s="79" t="s">
        <x:v>517</x:v>
      </x:c>
      <x:c r="D539" s="3" t="s">
        <x:v>23</x:v>
      </x:c>
      <x:c r="E539" s="3" t="s">
        <x:v>17</x:v>
      </x:c>
    </x:row>
    <x:row r="540" spans="1:5" ht="59.1" customHeight="1" x14ac:dyDescent="0.25">
      <x:c r="A540" s="3" t="s">
        <x:v>593</x:v>
      </x:c>
      <x:c r="B540" s="3" t="s">
        <x:v>515</x:v>
      </x:c>
      <x:c r="C540" s="3" t="s">
        <x:v>517</x:v>
      </x:c>
      <x:c r="D540" s="79" t="s">
        <x:v>23</x:v>
      </x:c>
      <x:c r="E540" s="3" t="s">
        <x:v>17</x:v>
      </x:c>
    </x:row>
    <x:row r="541" spans="1:5" ht="59.1" customHeight="1" x14ac:dyDescent="0.25">
      <x:c r="A541" s="3" t="s">
        <x:v>594</x:v>
      </x:c>
      <x:c r="B541" s="3" t="s">
        <x:v>515</x:v>
      </x:c>
      <x:c r="C541" s="79" t="s">
        <x:v>517</x:v>
      </x:c>
      <x:c r="D541" s="3" t="s">
        <x:v>23</x:v>
      </x:c>
      <x:c r="E541" s="3" t="s">
        <x:v>17</x:v>
      </x:c>
    </x:row>
    <x:row r="542" spans="1:5" ht="59.1" customHeight="1" x14ac:dyDescent="0.25">
      <x:c r="A542" s="3" t="s">
        <x:v>595</x:v>
      </x:c>
      <x:c r="B542" s="3" t="s">
        <x:v>515</x:v>
      </x:c>
      <x:c r="C542" s="3" t="s">
        <x:v>517</x:v>
      </x:c>
      <x:c r="D542" s="79" t="s">
        <x:v>23</x:v>
      </x:c>
      <x:c r="E542" s="3" t="s">
        <x:v>17</x:v>
      </x:c>
    </x:row>
    <x:row r="543" spans="1:5" ht="59.1" customHeight="1" x14ac:dyDescent="0.25">
      <x:c r="A543" s="3" t="s">
        <x:v>596</x:v>
      </x:c>
      <x:c r="B543" s="3" t="s">
        <x:v>515</x:v>
      </x:c>
      <x:c r="C543" s="79" t="s">
        <x:v>517</x:v>
      </x:c>
      <x:c r="D543" s="3" t="s">
        <x:v>23</x:v>
      </x:c>
      <x:c r="E543" s="3" t="s">
        <x:v>17</x:v>
      </x:c>
    </x:row>
    <x:row r="544" spans="1:5" ht="59.1" customHeight="1" x14ac:dyDescent="0.25">
      <x:c r="A544" s="3" t="s">
        <x:v>597</x:v>
      </x:c>
      <x:c r="B544" s="3" t="s">
        <x:v>515</x:v>
      </x:c>
      <x:c r="C544" s="3" t="s">
        <x:v>517</x:v>
      </x:c>
      <x:c r="D544" s="79" t="s">
        <x:v>23</x:v>
      </x:c>
      <x:c r="E544" s="3" t="s">
        <x:v>17</x:v>
      </x:c>
    </x:row>
    <x:row r="545" spans="1:5" ht="59.1" customHeight="1" x14ac:dyDescent="0.25">
      <x:c r="A545" s="3" t="s">
        <x:v>598</x:v>
      </x:c>
      <x:c r="B545" s="3" t="s">
        <x:v>515</x:v>
      </x:c>
      <x:c r="C545" s="79" t="s">
        <x:v>517</x:v>
      </x:c>
      <x:c r="D545" s="3" t="s">
        <x:v>23</x:v>
      </x:c>
      <x:c r="E545" s="3" t="s">
        <x:v>17</x:v>
      </x:c>
    </x:row>
    <x:row r="546" spans="1:5" ht="59.1" customHeight="1" x14ac:dyDescent="0.25">
      <x:c r="A546" s="3" t="s">
        <x:v>599</x:v>
      </x:c>
      <x:c r="B546" s="3" t="s">
        <x:v>515</x:v>
      </x:c>
      <x:c r="C546" s="3" t="s">
        <x:v>517</x:v>
      </x:c>
      <x:c r="D546" s="79" t="s">
        <x:v>23</x:v>
      </x:c>
      <x:c r="E546" s="3" t="s">
        <x:v>17</x:v>
      </x:c>
    </x:row>
    <x:row r="547" spans="1:5" ht="47.1" customHeight="1" x14ac:dyDescent="0.25">
      <x:c r="A547" s="3" t="s">
        <x:v>558</x:v>
      </x:c>
      <x:c r="B547" s="3" t="s">
        <x:v>515</x:v>
      </x:c>
      <x:c r="C547" s="79" t="s">
        <x:v>517</x:v>
      </x:c>
      <x:c r="D547" s="3" t="s">
        <x:v>23</x:v>
      </x:c>
      <x:c r="E547" s="3" t="s">
        <x:v>17</x:v>
      </x:c>
    </x:row>
    <x:row r="548" spans="1:5" ht="47.1" customHeight="1" x14ac:dyDescent="0.25">
      <x:c r="A548" s="3" t="s">
        <x:v>600</x:v>
      </x:c>
      <x:c r="B548" s="3" t="s">
        <x:v>515</x:v>
      </x:c>
      <x:c r="C548" s="3" t="s">
        <x:v>517</x:v>
      </x:c>
      <x:c r="D548" s="79" t="s">
        <x:v>37</x:v>
      </x:c>
      <x:c r="E548" s="3" t="s">
        <x:v>17</x:v>
      </x:c>
    </x:row>
    <x:row r="549" spans="1:5" ht="59.1" customHeight="1" x14ac:dyDescent="0.25">
      <x:c r="A549" s="3" t="s">
        <x:v>601</x:v>
      </x:c>
      <x:c r="B549" s="3" t="s">
        <x:v>515</x:v>
      </x:c>
      <x:c r="C549" s="79" t="s">
        <x:v>517</x:v>
      </x:c>
      <x:c r="D549" s="3" t="s">
        <x:v>37</x:v>
      </x:c>
      <x:c r="E549" s="3" t="s">
        <x:v>17</x:v>
      </x:c>
    </x:row>
    <x:row r="550" spans="1:5" ht="59.1" customHeight="1" x14ac:dyDescent="0.25">
      <x:c r="A550" s="3" t="s">
        <x:v>602</x:v>
      </x:c>
      <x:c r="B550" s="3" t="s">
        <x:v>515</x:v>
      </x:c>
      <x:c r="C550" s="3" t="s">
        <x:v>517</x:v>
      </x:c>
      <x:c r="D550" s="79" t="s">
        <x:v>37</x:v>
      </x:c>
      <x:c r="E550" s="3" t="s">
        <x:v>17</x:v>
      </x:c>
    </x:row>
    <x:row r="551" spans="1:5" ht="59.1" customHeight="1" x14ac:dyDescent="0.25">
      <x:c r="A551" s="3" t="s">
        <x:v>603</x:v>
      </x:c>
      <x:c r="B551" s="3" t="s">
        <x:v>515</x:v>
      </x:c>
      <x:c r="C551" s="79" t="s">
        <x:v>517</x:v>
      </x:c>
      <x:c r="D551" s="3" t="s">
        <x:v>37</x:v>
      </x:c>
      <x:c r="E551" s="3" t="s">
        <x:v>17</x:v>
      </x:c>
    </x:row>
    <x:row r="552" spans="1:5" ht="59.1" customHeight="1" x14ac:dyDescent="0.25">
      <x:c r="A552" s="3" t="s">
        <x:v>604</x:v>
      </x:c>
      <x:c r="B552" s="3" t="s">
        <x:v>515</x:v>
      </x:c>
      <x:c r="C552" s="3" t="s">
        <x:v>517</x:v>
      </x:c>
      <x:c r="D552" s="79" t="s">
        <x:v>37</x:v>
      </x:c>
      <x:c r="E552" s="3" t="s">
        <x:v>17</x:v>
      </x:c>
    </x:row>
    <x:row r="553" spans="1:5" ht="59.1" customHeight="1" x14ac:dyDescent="0.25">
      <x:c r="A553" s="3" t="s">
        <x:v>605</x:v>
      </x:c>
      <x:c r="B553" s="3" t="s">
        <x:v>515</x:v>
      </x:c>
      <x:c r="C553" s="79" t="s">
        <x:v>517</x:v>
      </x:c>
      <x:c r="D553" s="3" t="s">
        <x:v>37</x:v>
      </x:c>
      <x:c r="E553" s="3" t="s">
        <x:v>17</x:v>
      </x:c>
    </x:row>
    <x:row r="554" spans="1:5" ht="59.1" customHeight="1" x14ac:dyDescent="0.25">
      <x:c r="A554" s="3" t="s">
        <x:v>606</x:v>
      </x:c>
      <x:c r="B554" s="3" t="s">
        <x:v>515</x:v>
      </x:c>
      <x:c r="C554" s="3" t="s">
        <x:v>517</x:v>
      </x:c>
      <x:c r="D554" s="79" t="s">
        <x:v>37</x:v>
      </x:c>
      <x:c r="E554" s="3" t="s">
        <x:v>17</x:v>
      </x:c>
    </x:row>
    <x:row r="555" spans="1:5" ht="59.1" customHeight="1" x14ac:dyDescent="0.25">
      <x:c r="A555" s="3" t="s">
        <x:v>607</x:v>
      </x:c>
      <x:c r="B555" s="3" t="s">
        <x:v>515</x:v>
      </x:c>
      <x:c r="C555" s="79" t="s">
        <x:v>517</x:v>
      </x:c>
      <x:c r="D555" s="3" t="s">
        <x:v>37</x:v>
      </x:c>
      <x:c r="E555" s="3" t="s">
        <x:v>17</x:v>
      </x:c>
    </x:row>
    <x:row r="556" spans="1:5" ht="59.1" customHeight="1" x14ac:dyDescent="0.25">
      <x:c r="A556" s="3" t="s">
        <x:v>608</x:v>
      </x:c>
      <x:c r="B556" s="3" t="s">
        <x:v>515</x:v>
      </x:c>
      <x:c r="C556" s="3" t="s">
        <x:v>609</x:v>
      </x:c>
      <x:c r="D556" s="79" t="s">
        <x:v>14</x:v>
      </x:c>
      <x:c r="E556" s="3"/>
    </x:row>
    <x:row r="557" spans="1:5" ht="59.1" customHeight="1" x14ac:dyDescent="0.25">
      <x:c r="A557" s="3" t="s">
        <x:v>610</x:v>
      </x:c>
      <x:c r="B557" s="3" t="s">
        <x:v>515</x:v>
      </x:c>
      <x:c r="C557" s="79" t="s">
        <x:v>609</x:v>
      </x:c>
      <x:c r="D557" s="3" t="s">
        <x:v>16</x:v>
      </x:c>
      <x:c r="E557" s="3" t="s">
        <x:v>17</x:v>
      </x:c>
    </x:row>
    <x:row r="558" spans="1:5" ht="59.1" customHeight="1" x14ac:dyDescent="0.25">
      <x:c r="A558" s="3" t="s">
        <x:v>611</x:v>
      </x:c>
      <x:c r="B558" s="3" t="s">
        <x:v>515</x:v>
      </x:c>
      <x:c r="C558" s="3" t="s">
        <x:v>609</x:v>
      </x:c>
      <x:c r="D558" s="79" t="s">
        <x:v>16</x:v>
      </x:c>
      <x:c r="E558" s="3" t="s">
        <x:v>17</x:v>
      </x:c>
    </x:row>
    <x:row r="559" spans="1:5" ht="59.1" customHeight="1" x14ac:dyDescent="0.25">
      <x:c r="A559" s="3" t="s">
        <x:v>612</x:v>
      </x:c>
      <x:c r="B559" s="3" t="s">
        <x:v>515</x:v>
      </x:c>
      <x:c r="C559" s="79" t="s">
        <x:v>609</x:v>
      </x:c>
      <x:c r="D559" s="3" t="s">
        <x:v>16</x:v>
      </x:c>
      <x:c r="E559" s="3" t="s">
        <x:v>17</x:v>
      </x:c>
    </x:row>
    <x:row r="560" spans="1:5" ht="59.1" customHeight="1" x14ac:dyDescent="0.25">
      <x:c r="A560" s="3" t="s">
        <x:v>613</x:v>
      </x:c>
      <x:c r="B560" s="3" t="s">
        <x:v>515</x:v>
      </x:c>
      <x:c r="C560" s="3" t="s">
        <x:v>609</x:v>
      </x:c>
      <x:c r="D560" s="79" t="s">
        <x:v>16</x:v>
      </x:c>
      <x:c r="E560" s="3" t="s">
        <x:v>17</x:v>
      </x:c>
    </x:row>
    <x:row r="561" spans="1:5" ht="59.1" customHeight="1" x14ac:dyDescent="0.25">
      <x:c r="A561" s="3" t="s">
        <x:v>614</x:v>
      </x:c>
      <x:c r="B561" s="3" t="s">
        <x:v>515</x:v>
      </x:c>
      <x:c r="C561" s="79" t="s">
        <x:v>609</x:v>
      </x:c>
      <x:c r="D561" s="3" t="s">
        <x:v>23</x:v>
      </x:c>
      <x:c r="E561" s="3" t="s">
        <x:v>24</x:v>
      </x:c>
    </x:row>
    <x:row r="562" spans="1:5" ht="59.1" customHeight="1" x14ac:dyDescent="0.25">
      <x:c r="A562" s="3" t="s">
        <x:v>615</x:v>
      </x:c>
      <x:c r="B562" s="3" t="s">
        <x:v>515</x:v>
      </x:c>
      <x:c r="C562" s="3" t="s">
        <x:v>609</x:v>
      </x:c>
      <x:c r="D562" s="79" t="s">
        <x:v>23</x:v>
      </x:c>
      <x:c r="E562" s="3" t="s">
        <x:v>24</x:v>
      </x:c>
    </x:row>
    <x:row r="563" spans="1:5" ht="59.1" customHeight="1" x14ac:dyDescent="0.25">
      <x:c r="A563" s="3" t="s">
        <x:v>616</x:v>
      </x:c>
      <x:c r="B563" s="3" t="s">
        <x:v>515</x:v>
      </x:c>
      <x:c r="C563" s="79" t="s">
        <x:v>609</x:v>
      </x:c>
      <x:c r="D563" s="3" t="s">
        <x:v>23</x:v>
      </x:c>
      <x:c r="E563" s="3" t="s">
        <x:v>24</x:v>
      </x:c>
    </x:row>
    <x:row r="564" spans="1:5" ht="59.1" customHeight="1" x14ac:dyDescent="0.25">
      <x:c r="A564" s="3" t="s">
        <x:v>617</x:v>
      </x:c>
      <x:c r="B564" s="3" t="s">
        <x:v>515</x:v>
      </x:c>
      <x:c r="C564" s="3" t="s">
        <x:v>609</x:v>
      </x:c>
      <x:c r="D564" s="79" t="s">
        <x:v>23</x:v>
      </x:c>
      <x:c r="E564" s="3" t="s">
        <x:v>24</x:v>
      </x:c>
    </x:row>
    <x:row r="565" spans="1:5" ht="59.1" customHeight="1" x14ac:dyDescent="0.25">
      <x:c r="A565" s="3" t="s">
        <x:v>618</x:v>
      </x:c>
      <x:c r="B565" s="3" t="s">
        <x:v>515</x:v>
      </x:c>
      <x:c r="C565" s="79" t="s">
        <x:v>609</x:v>
      </x:c>
      <x:c r="D565" s="3" t="s">
        <x:v>23</x:v>
      </x:c>
      <x:c r="E565" s="3" t="s">
        <x:v>24</x:v>
      </x:c>
    </x:row>
    <x:row r="566" spans="1:5" ht="59.1" customHeight="1" x14ac:dyDescent="0.25">
      <x:c r="A566" s="3" t="s">
        <x:v>619</x:v>
      </x:c>
      <x:c r="B566" s="3" t="s">
        <x:v>515</x:v>
      </x:c>
      <x:c r="C566" s="3" t="s">
        <x:v>609</x:v>
      </x:c>
      <x:c r="D566" s="79" t="s">
        <x:v>23</x:v>
      </x:c>
      <x:c r="E566" s="3" t="s">
        <x:v>24</x:v>
      </x:c>
    </x:row>
    <x:row r="567" spans="1:5" ht="47.1" customHeight="1" x14ac:dyDescent="0.25">
      <x:c r="A567" s="3" t="s">
        <x:v>170</x:v>
      </x:c>
      <x:c r="B567" s="3" t="s">
        <x:v>515</x:v>
      </x:c>
      <x:c r="C567" s="79" t="s">
        <x:v>609</x:v>
      </x:c>
      <x:c r="D567" s="3" t="s">
        <x:v>23</x:v>
      </x:c>
      <x:c r="E567" s="3" t="s">
        <x:v>24</x:v>
      </x:c>
    </x:row>
    <x:row r="568" spans="1:5" ht="47.1" customHeight="1" x14ac:dyDescent="0.25">
      <x:c r="A568" s="3" t="s">
        <x:v>620</x:v>
      </x:c>
      <x:c r="B568" s="3" t="s">
        <x:v>515</x:v>
      </x:c>
      <x:c r="C568" s="3" t="s">
        <x:v>609</x:v>
      </x:c>
      <x:c r="D568" s="79" t="s">
        <x:v>183</x:v>
      </x:c>
      <x:c r="E568" s="3" t="s">
        <x:v>17</x:v>
      </x:c>
    </x:row>
    <x:row r="569" spans="1:5" ht="59.1" customHeight="1" x14ac:dyDescent="0.25">
      <x:c r="A569" s="3" t="s">
        <x:v>621</x:v>
      </x:c>
      <x:c r="B569" s="3" t="s">
        <x:v>515</x:v>
      </x:c>
      <x:c r="C569" s="79" t="s">
        <x:v>609</x:v>
      </x:c>
      <x:c r="D569" s="3" t="s">
        <x:v>183</x:v>
      </x:c>
      <x:c r="E569" s="3" t="s">
        <x:v>17</x:v>
      </x:c>
    </x:row>
    <x:row r="570" spans="1:5" ht="59.1" customHeight="1" x14ac:dyDescent="0.25">
      <x:c r="A570" s="3" t="s">
        <x:v>622</x:v>
      </x:c>
      <x:c r="B570" s="3" t="s">
        <x:v>515</x:v>
      </x:c>
      <x:c r="C570" s="3" t="s">
        <x:v>609</x:v>
      </x:c>
      <x:c r="D570" s="79" t="s">
        <x:v>183</x:v>
      </x:c>
      <x:c r="E570" s="3" t="s">
        <x:v>17</x:v>
      </x:c>
    </x:row>
    <x:row r="571" spans="1:5" ht="59.1" customHeight="1" x14ac:dyDescent="0.25">
      <x:c r="A571" s="3" t="s">
        <x:v>623</x:v>
      </x:c>
      <x:c r="B571" s="3" t="s">
        <x:v>515</x:v>
      </x:c>
      <x:c r="C571" s="79" t="s">
        <x:v>609</x:v>
      </x:c>
      <x:c r="D571" s="3" t="s">
        <x:v>183</x:v>
      </x:c>
      <x:c r="E571" s="3" t="s">
        <x:v>17</x:v>
      </x:c>
    </x:row>
    <x:row r="572" spans="1:5" ht="59.1" customHeight="1" x14ac:dyDescent="0.25">
      <x:c r="A572" s="3" t="s">
        <x:v>624</x:v>
      </x:c>
      <x:c r="B572" s="3" t="s">
        <x:v>515</x:v>
      </x:c>
      <x:c r="C572" s="3" t="s">
        <x:v>609</x:v>
      </x:c>
      <x:c r="D572" s="79" t="s">
        <x:v>21</x:v>
      </x:c>
      <x:c r="E572" s="3" t="s">
        <x:v>17</x:v>
      </x:c>
    </x:row>
    <x:row r="573" spans="1:5" ht="59.1" customHeight="1" x14ac:dyDescent="0.25">
      <x:c r="A573" s="3" t="s">
        <x:v>625</x:v>
      </x:c>
      <x:c r="B573" s="3" t="s">
        <x:v>515</x:v>
      </x:c>
      <x:c r="C573" s="79" t="s">
        <x:v>609</x:v>
      </x:c>
      <x:c r="D573" s="3" t="s">
        <x:v>37</x:v>
      </x:c>
      <x:c r="E573" s="3" t="s">
        <x:v>24</x:v>
      </x:c>
    </x:row>
    <x:row r="574" spans="1:5" ht="59.1" customHeight="1" x14ac:dyDescent="0.25">
      <x:c r="A574" s="3" t="s">
        <x:v>626</x:v>
      </x:c>
      <x:c r="B574" s="3" t="s">
        <x:v>515</x:v>
      </x:c>
      <x:c r="C574" s="3" t="s">
        <x:v>609</x:v>
      </x:c>
      <x:c r="D574" s="79" t="s">
        <x:v>37</x:v>
      </x:c>
      <x:c r="E574" s="3" t="s">
        <x:v>24</x:v>
      </x:c>
    </x:row>
    <x:row r="575" spans="1:5" ht="59.1" customHeight="1" x14ac:dyDescent="0.25">
      <x:c r="A575" s="3" t="s">
        <x:v>627</x:v>
      </x:c>
      <x:c r="B575" s="3" t="s">
        <x:v>515</x:v>
      </x:c>
      <x:c r="C575" s="79" t="s">
        <x:v>609</x:v>
      </x:c>
      <x:c r="D575" s="3" t="s">
        <x:v>191</x:v>
      </x:c>
      <x:c r="E575" s="3" t="s">
        <x:v>17</x:v>
      </x:c>
    </x:row>
    <x:row r="576" spans="1:5" ht="59.1" customHeight="1" x14ac:dyDescent="0.25">
      <x:c r="A576" s="3" t="s">
        <x:v>628</x:v>
      </x:c>
      <x:c r="B576" s="3" t="s">
        <x:v>515</x:v>
      </x:c>
      <x:c r="C576" s="3" t="s">
        <x:v>609</x:v>
      </x:c>
      <x:c r="D576" s="79" t="s">
        <x:v>37</x:v>
      </x:c>
      <x:c r="E576" s="3" t="s">
        <x:v>24</x:v>
      </x:c>
    </x:row>
    <x:row r="577" spans="1:5" ht="59.1" customHeight="1" x14ac:dyDescent="0.25">
      <x:c r="A577" s="556" t="s">
        <x:v>629</x:v>
      </x:c>
      <x:c r="B577" s="3" t="s">
        <x:v>515</x:v>
      </x:c>
      <x:c r="C577" s="79"/>
      <x:c r="D577" s="3" t="s">
        <x:v>11</x:v>
      </x:c>
      <x:c r="E577" s="3"/>
    </x:row>
    <x:row r="578" spans="1:5" ht="59.1" customHeight="1" x14ac:dyDescent="0.25">
      <x:c r="A578" s="3" t="s">
        <x:v>630</x:v>
      </x:c>
      <x:c r="B578" s="3" t="s">
        <x:v>515</x:v>
      </x:c>
      <x:c r="C578" s="3" t="s">
        <x:v>631</x:v>
      </x:c>
      <x:c r="D578" s="79" t="s">
        <x:v>14</x:v>
      </x:c>
      <x:c r="E578" s="3"/>
    </x:row>
    <x:row r="579" spans="1:5" ht="59.1" customHeight="1" x14ac:dyDescent="0.25">
      <x:c r="A579" s="3" t="s">
        <x:v>632</x:v>
      </x:c>
      <x:c r="B579" s="3" t="s">
        <x:v>515</x:v>
      </x:c>
      <x:c r="C579" s="79" t="s">
        <x:v>631</x:v>
      </x:c>
      <x:c r="D579" s="3" t="s">
        <x:v>16</x:v>
      </x:c>
      <x:c r="E579" s="3" t="s">
        <x:v>17</x:v>
      </x:c>
    </x:row>
    <x:row r="580" spans="1:5" ht="59.1" customHeight="1" x14ac:dyDescent="0.25">
      <x:c r="A580" s="3" t="s">
        <x:v>633</x:v>
      </x:c>
      <x:c r="B580" s="3" t="s">
        <x:v>515</x:v>
      </x:c>
      <x:c r="C580" s="3" t="s">
        <x:v>631</x:v>
      </x:c>
      <x:c r="D580" s="79" t="s">
        <x:v>16</x:v>
      </x:c>
      <x:c r="E580" s="3" t="s">
        <x:v>17</x:v>
      </x:c>
    </x:row>
    <x:row r="581" spans="1:5" ht="59.1" customHeight="1" x14ac:dyDescent="0.25">
      <x:c r="A581" s="3" t="s">
        <x:v>634</x:v>
      </x:c>
      <x:c r="B581" s="3" t="s">
        <x:v>515</x:v>
      </x:c>
      <x:c r="C581" s="79" t="s">
        <x:v>631</x:v>
      </x:c>
      <x:c r="D581" s="3" t="s">
        <x:v>16</x:v>
      </x:c>
      <x:c r="E581" s="3" t="s">
        <x:v>17</x:v>
      </x:c>
    </x:row>
    <x:row r="582" spans="1:5" ht="59.1" customHeight="1" x14ac:dyDescent="0.25">
      <x:c r="A582" s="3" t="s">
        <x:v>635</x:v>
      </x:c>
      <x:c r="B582" s="3" t="s">
        <x:v>515</x:v>
      </x:c>
      <x:c r="C582" s="3" t="s">
        <x:v>631</x:v>
      </x:c>
      <x:c r="D582" s="79" t="s">
        <x:v>16</x:v>
      </x:c>
      <x:c r="E582" s="3" t="s">
        <x:v>17</x:v>
      </x:c>
    </x:row>
    <x:row r="583" spans="1:5" ht="59.1" customHeight="1" x14ac:dyDescent="0.25">
      <x:c r="A583" s="3" t="s">
        <x:v>636</x:v>
      </x:c>
      <x:c r="B583" s="3" t="s">
        <x:v>515</x:v>
      </x:c>
      <x:c r="C583" s="79" t="s">
        <x:v>631</x:v>
      </x:c>
      <x:c r="D583" s="3" t="s">
        <x:v>21</x:v>
      </x:c>
      <x:c r="E583" s="3" t="s">
        <x:v>17</x:v>
      </x:c>
    </x:row>
    <x:row r="584" spans="1:5" ht="59.1" customHeight="1" x14ac:dyDescent="0.25">
      <x:c r="A584" s="3" t="s">
        <x:v>637</x:v>
      </x:c>
      <x:c r="B584" s="3" t="s">
        <x:v>515</x:v>
      </x:c>
      <x:c r="C584" s="3" t="s">
        <x:v>631</x:v>
      </x:c>
      <x:c r="D584" s="79" t="s">
        <x:v>23</x:v>
      </x:c>
      <x:c r="E584" s="3" t="s">
        <x:v>24</x:v>
      </x:c>
    </x:row>
    <x:row r="585" spans="1:5" ht="59.1" customHeight="1" x14ac:dyDescent="0.25">
      <x:c r="A585" s="3" t="s">
        <x:v>638</x:v>
      </x:c>
      <x:c r="B585" s="3" t="s">
        <x:v>515</x:v>
      </x:c>
      <x:c r="C585" s="79" t="s">
        <x:v>631</x:v>
      </x:c>
      <x:c r="D585" s="3" t="s">
        <x:v>23</x:v>
      </x:c>
      <x:c r="E585" s="3" t="s">
        <x:v>24</x:v>
      </x:c>
    </x:row>
    <x:row r="586" spans="1:5" ht="59.1" customHeight="1" x14ac:dyDescent="0.25">
      <x:c r="A586" s="3" t="s">
        <x:v>639</x:v>
      </x:c>
      <x:c r="B586" s="3" t="s">
        <x:v>515</x:v>
      </x:c>
      <x:c r="C586" s="3" t="s">
        <x:v>631</x:v>
      </x:c>
      <x:c r="D586" s="79" t="s">
        <x:v>23</x:v>
      </x:c>
      <x:c r="E586" s="3" t="s">
        <x:v>24</x:v>
      </x:c>
    </x:row>
    <x:row r="587" spans="1:5" ht="59.1" customHeight="1" x14ac:dyDescent="0.25">
      <x:c r="A587" s="3" t="s">
        <x:v>640</x:v>
      </x:c>
      <x:c r="B587" s="3" t="s">
        <x:v>515</x:v>
      </x:c>
      <x:c r="C587" s="79" t="s">
        <x:v>631</x:v>
      </x:c>
      <x:c r="D587" s="3" t="s">
        <x:v>23</x:v>
      </x:c>
      <x:c r="E587" s="3" t="s">
        <x:v>24</x:v>
      </x:c>
    </x:row>
    <x:row r="588" spans="1:5" ht="47.1" customHeight="1" x14ac:dyDescent="0.25">
      <x:c r="A588" s="3" t="s">
        <x:v>641</x:v>
      </x:c>
      <x:c r="B588" s="3" t="s">
        <x:v>515</x:v>
      </x:c>
      <x:c r="C588" s="3" t="s">
        <x:v>631</x:v>
      </x:c>
      <x:c r="D588" s="79" t="s">
        <x:v>23</x:v>
      </x:c>
      <x:c r="E588" s="3" t="s">
        <x:v>24</x:v>
      </x:c>
    </x:row>
    <x:row r="589" spans="1:5" ht="93.95" customHeight="1" x14ac:dyDescent="0.25">
      <x:c r="A589" s="3" t="s">
        <x:v>642</x:v>
      </x:c>
      <x:c r="B589" s="3" t="s">
        <x:v>515</x:v>
      </x:c>
      <x:c r="C589" s="79" t="s">
        <x:v>631</x:v>
      </x:c>
      <x:c r="D589" s="3" t="s">
        <x:v>23</x:v>
      </x:c>
      <x:c r="E589" s="3" t="s">
        <x:v>24</x:v>
      </x:c>
    </x:row>
    <x:row r="590" spans="1:5" ht="93.95" customHeight="1" x14ac:dyDescent="0.25">
      <x:c r="A590" s="3" t="s">
        <x:v>643</x:v>
      </x:c>
      <x:c r="B590" s="3" t="s">
        <x:v>515</x:v>
      </x:c>
      <x:c r="C590" s="3" t="s">
        <x:v>631</x:v>
      </x:c>
      <x:c r="D590" s="79" t="s">
        <x:v>23</x:v>
      </x:c>
      <x:c r="E590" s="3" t="s">
        <x:v>24</x:v>
      </x:c>
    </x:row>
    <x:row r="591" spans="1:5" ht="93.95" customHeight="1" x14ac:dyDescent="0.25">
      <x:c r="A591" s="3" t="s">
        <x:v>644</x:v>
      </x:c>
      <x:c r="B591" s="3" t="s">
        <x:v>515</x:v>
      </x:c>
      <x:c r="C591" s="79" t="s">
        <x:v>631</x:v>
      </x:c>
      <x:c r="D591" s="3" t="s">
        <x:v>23</x:v>
      </x:c>
      <x:c r="E591" s="3" t="s">
        <x:v>24</x:v>
      </x:c>
    </x:row>
    <x:row r="592" spans="1:5" ht="93.95" customHeight="1" x14ac:dyDescent="0.25">
      <x:c r="A592" s="3" t="s">
        <x:v>645</x:v>
      </x:c>
      <x:c r="B592" s="3" t="s">
        <x:v>515</x:v>
      </x:c>
      <x:c r="C592" s="3" t="s">
        <x:v>631</x:v>
      </x:c>
      <x:c r="D592" s="79" t="s">
        <x:v>23</x:v>
      </x:c>
      <x:c r="E592" s="3" t="s">
        <x:v>24</x:v>
      </x:c>
    </x:row>
    <x:row r="593" spans="1:5" ht="93.95" customHeight="1" x14ac:dyDescent="0.25">
      <x:c r="A593" s="3" t="s">
        <x:v>646</x:v>
      </x:c>
      <x:c r="B593" s="3" t="s">
        <x:v>515</x:v>
      </x:c>
      <x:c r="C593" s="79" t="s">
        <x:v>631</x:v>
      </x:c>
      <x:c r="D593" s="3" t="s">
        <x:v>23</x:v>
      </x:c>
      <x:c r="E593" s="3" t="s">
        <x:v>24</x:v>
      </x:c>
    </x:row>
    <x:row r="594" spans="1:5" ht="93.95" customHeight="1" x14ac:dyDescent="0.25">
      <x:c r="A594" s="3" t="s">
        <x:v>647</x:v>
      </x:c>
      <x:c r="B594" s="3" t="s">
        <x:v>515</x:v>
      </x:c>
      <x:c r="C594" s="3" t="s">
        <x:v>631</x:v>
      </x:c>
      <x:c r="D594" s="79" t="s">
        <x:v>37</x:v>
      </x:c>
      <x:c r="E594" s="3" t="s">
        <x:v>24</x:v>
      </x:c>
    </x:row>
    <x:row r="595" spans="1:5" ht="93.95" customHeight="1" x14ac:dyDescent="0.25">
      <x:c r="A595" s="3" t="s">
        <x:v>648</x:v>
      </x:c>
      <x:c r="B595" s="3" t="s">
        <x:v>515</x:v>
      </x:c>
      <x:c r="C595" s="79" t="s">
        <x:v>631</x:v>
      </x:c>
      <x:c r="D595" s="3" t="s">
        <x:v>23</x:v>
      </x:c>
      <x:c r="E595" s="3" t="s">
        <x:v>24</x:v>
      </x:c>
    </x:row>
    <x:row r="596" spans="1:5" ht="93.95" customHeight="1" x14ac:dyDescent="0.25">
      <x:c r="A596" s="3" t="s">
        <x:v>649</x:v>
      </x:c>
      <x:c r="B596" s="3" t="s">
        <x:v>515</x:v>
      </x:c>
      <x:c r="C596" s="3" t="s">
        <x:v>631</x:v>
      </x:c>
      <x:c r="D596" s="79" t="s">
        <x:v>23</x:v>
      </x:c>
      <x:c r="E596" s="3" t="s">
        <x:v>24</x:v>
      </x:c>
    </x:row>
    <x:row r="597" spans="1:5" ht="93.95" customHeight="1" x14ac:dyDescent="0.25">
      <x:c r="A597" s="3" t="s">
        <x:v>650</x:v>
      </x:c>
      <x:c r="B597" s="3" t="s">
        <x:v>515</x:v>
      </x:c>
      <x:c r="C597" s="79" t="s">
        <x:v>631</x:v>
      </x:c>
      <x:c r="D597" s="3" t="s">
        <x:v>37</x:v>
      </x:c>
      <x:c r="E597" s="3" t="s">
        <x:v>24</x:v>
      </x:c>
    </x:row>
    <x:row r="598" spans="1:5" ht="93.95" customHeight="1" x14ac:dyDescent="0.25">
      <x:c r="A598" s="3" t="s">
        <x:v>651</x:v>
      </x:c>
      <x:c r="B598" s="3" t="s">
        <x:v>515</x:v>
      </x:c>
      <x:c r="C598" s="3" t="s">
        <x:v>631</x:v>
      </x:c>
      <x:c r="D598" s="79" t="s">
        <x:v>37</x:v>
      </x:c>
      <x:c r="E598" s="3" t="s">
        <x:v>24</x:v>
      </x:c>
    </x:row>
    <x:row r="599" spans="1:5" ht="93.95" customHeight="1" x14ac:dyDescent="0.25">
      <x:c r="A599" s="3" t="s">
        <x:v>652</x:v>
      </x:c>
      <x:c r="B599" s="3" t="s">
        <x:v>515</x:v>
      </x:c>
      <x:c r="C599" s="79" t="s">
        <x:v>653</x:v>
      </x:c>
      <x:c r="D599" s="3" t="s">
        <x:v>14</x:v>
      </x:c>
      <x:c r="E599" s="3"/>
    </x:row>
    <x:row r="600" spans="1:5" ht="93.95" customHeight="1" x14ac:dyDescent="0.25">
      <x:c r="A600" s="3" t="s">
        <x:v>654</x:v>
      </x:c>
      <x:c r="B600" s="3" t="s">
        <x:v>515</x:v>
      </x:c>
      <x:c r="C600" s="3" t="s">
        <x:v>653</x:v>
      </x:c>
      <x:c r="D600" s="79" t="s">
        <x:v>16</x:v>
      </x:c>
      <x:c r="E600" s="3" t="s">
        <x:v>17</x:v>
      </x:c>
    </x:row>
    <x:row r="601" spans="1:5" ht="93.95" customHeight="1" x14ac:dyDescent="0.25">
      <x:c r="A601" s="3" t="s">
        <x:v>655</x:v>
      </x:c>
      <x:c r="B601" s="3" t="s">
        <x:v>515</x:v>
      </x:c>
      <x:c r="C601" s="79" t="s">
        <x:v>653</x:v>
      </x:c>
      <x:c r="D601" s="3" t="s">
        <x:v>16</x:v>
      </x:c>
      <x:c r="E601" s="3" t="s">
        <x:v>17</x:v>
      </x:c>
    </x:row>
    <x:row r="602" spans="1:5" ht="93.95" customHeight="1" x14ac:dyDescent="0.25">
      <x:c r="A602" s="3" t="s">
        <x:v>656</x:v>
      </x:c>
      <x:c r="B602" s="3" t="s">
        <x:v>515</x:v>
      </x:c>
      <x:c r="C602" s="3" t="s">
        <x:v>653</x:v>
      </x:c>
      <x:c r="D602" s="79" t="s">
        <x:v>16</x:v>
      </x:c>
      <x:c r="E602" s="3" t="s">
        <x:v>17</x:v>
      </x:c>
    </x:row>
    <x:row r="603" spans="1:5" ht="93.95" customHeight="1" x14ac:dyDescent="0.25">
      <x:c r="A603" s="3" t="s">
        <x:v>657</x:v>
      </x:c>
      <x:c r="B603" s="3" t="s">
        <x:v>515</x:v>
      </x:c>
      <x:c r="C603" s="79" t="s">
        <x:v>653</x:v>
      </x:c>
      <x:c r="D603" s="3" t="s">
        <x:v>16</x:v>
      </x:c>
      <x:c r="E603" s="3" t="s">
        <x:v>17</x:v>
      </x:c>
    </x:row>
    <x:row r="604" spans="1:5" ht="93.95" customHeight="1" x14ac:dyDescent="0.25">
      <x:c r="A604" s="3" t="s">
        <x:v>658</x:v>
      </x:c>
      <x:c r="B604" s="3" t="s">
        <x:v>515</x:v>
      </x:c>
      <x:c r="C604" s="3" t="s">
        <x:v>653</x:v>
      </x:c>
      <x:c r="D604" s="79" t="s">
        <x:v>21</x:v>
      </x:c>
      <x:c r="E604" s="3" t="s">
        <x:v>17</x:v>
      </x:c>
    </x:row>
    <x:row r="605" spans="1:5" ht="93.95" customHeight="1" x14ac:dyDescent="0.25">
      <x:c r="A605" s="3" t="s">
        <x:v>659</x:v>
      </x:c>
      <x:c r="B605" s="3" t="s">
        <x:v>515</x:v>
      </x:c>
      <x:c r="C605" s="79" t="s">
        <x:v>653</x:v>
      </x:c>
      <x:c r="D605" s="3" t="s">
        <x:v>23</x:v>
      </x:c>
      <x:c r="E605" s="3" t="s">
        <x:v>24</x:v>
      </x:c>
    </x:row>
    <x:row r="606" spans="1:5" ht="93.95" customHeight="1" x14ac:dyDescent="0.25">
      <x:c r="A606" s="3" t="s">
        <x:v>660</x:v>
      </x:c>
      <x:c r="B606" s="3" t="s">
        <x:v>515</x:v>
      </x:c>
      <x:c r="C606" s="3" t="s">
        <x:v>653</x:v>
      </x:c>
      <x:c r="D606" s="79" t="s">
        <x:v>23</x:v>
      </x:c>
      <x:c r="E606" s="3" t="s">
        <x:v>24</x:v>
      </x:c>
    </x:row>
    <x:row r="607" spans="1:5" ht="93.95" customHeight="1" x14ac:dyDescent="0.25">
      <x:c r="A607" s="3" t="s">
        <x:v>661</x:v>
      </x:c>
      <x:c r="B607" s="3" t="s">
        <x:v>515</x:v>
      </x:c>
      <x:c r="C607" s="79" t="s">
        <x:v>653</x:v>
      </x:c>
      <x:c r="D607" s="3" t="s">
        <x:v>23</x:v>
      </x:c>
      <x:c r="E607" s="3" t="s">
        <x:v>24</x:v>
      </x:c>
    </x:row>
    <x:row r="608" spans="1:5" ht="93.95" customHeight="1" x14ac:dyDescent="0.25">
      <x:c r="A608" s="3" t="s">
        <x:v>662</x:v>
      </x:c>
      <x:c r="B608" s="3" t="s">
        <x:v>515</x:v>
      </x:c>
      <x:c r="C608" s="3" t="s">
        <x:v>653</x:v>
      </x:c>
      <x:c r="D608" s="79" t="s">
        <x:v>23</x:v>
      </x:c>
      <x:c r="E608" s="3" t="s">
        <x:v>24</x:v>
      </x:c>
    </x:row>
    <x:row r="609" spans="1:5" ht="93.95" customHeight="1" x14ac:dyDescent="0.25">
      <x:c r="A609" s="3" t="s">
        <x:v>663</x:v>
      </x:c>
      <x:c r="B609" s="3" t="s">
        <x:v>515</x:v>
      </x:c>
      <x:c r="C609" s="79" t="s">
        <x:v>653</x:v>
      </x:c>
      <x:c r="D609" s="3" t="s">
        <x:v>23</x:v>
      </x:c>
      <x:c r="E609" s="3" t="s">
        <x:v>24</x:v>
      </x:c>
    </x:row>
    <x:row r="610" spans="1:5" ht="93.95" customHeight="1" x14ac:dyDescent="0.25">
      <x:c r="A610" s="3" t="s">
        <x:v>664</x:v>
      </x:c>
      <x:c r="B610" s="3" t="s">
        <x:v>515</x:v>
      </x:c>
      <x:c r="C610" s="3" t="s">
        <x:v>653</x:v>
      </x:c>
      <x:c r="D610" s="79" t="s">
        <x:v>23</x:v>
      </x:c>
      <x:c r="E610" s="3" t="s">
        <x:v>24</x:v>
      </x:c>
    </x:row>
    <x:row r="611" spans="1:5" ht="93.95" customHeight="1" x14ac:dyDescent="0.25">
      <x:c r="A611" s="3" t="s">
        <x:v>665</x:v>
      </x:c>
      <x:c r="B611" s="3" t="s">
        <x:v>515</x:v>
      </x:c>
      <x:c r="C611" s="79" t="s">
        <x:v>653</x:v>
      </x:c>
      <x:c r="D611" s="3" t="s">
        <x:v>23</x:v>
      </x:c>
      <x:c r="E611" s="3" t="s">
        <x:v>24</x:v>
      </x:c>
    </x:row>
    <x:row r="612" spans="1:5" ht="93.95" customHeight="1" x14ac:dyDescent="0.25">
      <x:c r="A612" s="3" t="s">
        <x:v>666</x:v>
      </x:c>
      <x:c r="B612" s="3" t="s">
        <x:v>515</x:v>
      </x:c>
      <x:c r="C612" s="3" t="s">
        <x:v>653</x:v>
      </x:c>
      <x:c r="D612" s="79" t="s">
        <x:v>23</x:v>
      </x:c>
      <x:c r="E612" s="3" t="s">
        <x:v>24</x:v>
      </x:c>
    </x:row>
    <x:row r="613" spans="1:5" ht="93.95" customHeight="1" x14ac:dyDescent="0.25">
      <x:c r="A613" s="3" t="s">
        <x:v>667</x:v>
      </x:c>
      <x:c r="B613" s="3" t="s">
        <x:v>515</x:v>
      </x:c>
      <x:c r="C613" s="79" t="s">
        <x:v>653</x:v>
      </x:c>
      <x:c r="D613" s="3" t="s">
        <x:v>23</x:v>
      </x:c>
      <x:c r="E613" s="3" t="s">
        <x:v>24</x:v>
      </x:c>
    </x:row>
    <x:row r="614" spans="1:5" ht="93.95" customHeight="1" x14ac:dyDescent="0.25">
      <x:c r="A614" s="3" t="s">
        <x:v>668</x:v>
      </x:c>
      <x:c r="B614" s="3" t="s">
        <x:v>515</x:v>
      </x:c>
      <x:c r="C614" s="3" t="s">
        <x:v>653</x:v>
      </x:c>
      <x:c r="D614" s="79" t="s">
        <x:v>23</x:v>
      </x:c>
      <x:c r="E614" s="3" t="s">
        <x:v>24</x:v>
      </x:c>
    </x:row>
    <x:row r="615" spans="1:5" ht="93.95" customHeight="1" x14ac:dyDescent="0.25">
      <x:c r="A615" s="3" t="s">
        <x:v>669</x:v>
      </x:c>
      <x:c r="B615" s="3" t="s">
        <x:v>515</x:v>
      </x:c>
      <x:c r="C615" s="79" t="s">
        <x:v>653</x:v>
      </x:c>
      <x:c r="D615" s="3" t="s">
        <x:v>23</x:v>
      </x:c>
      <x:c r="E615" s="3" t="s">
        <x:v>24</x:v>
      </x:c>
    </x:row>
    <x:row r="616" spans="1:5" ht="93.95" customHeight="1" x14ac:dyDescent="0.25">
      <x:c r="A616" s="3" t="s">
        <x:v>670</x:v>
      </x:c>
      <x:c r="B616" s="3" t="s">
        <x:v>515</x:v>
      </x:c>
      <x:c r="C616" s="3" t="s">
        <x:v>653</x:v>
      </x:c>
      <x:c r="D616" s="79" t="s">
        <x:v>23</x:v>
      </x:c>
      <x:c r="E616" s="3" t="s">
        <x:v>24</x:v>
      </x:c>
    </x:row>
    <x:row r="617" spans="1:5" ht="93.95" customHeight="1" x14ac:dyDescent="0.25">
      <x:c r="A617" s="3" t="s">
        <x:v>671</x:v>
      </x:c>
      <x:c r="B617" s="3" t="s">
        <x:v>515</x:v>
      </x:c>
      <x:c r="C617" s="79" t="s">
        <x:v>653</x:v>
      </x:c>
      <x:c r="D617" s="3" t="s">
        <x:v>37</x:v>
      </x:c>
      <x:c r="E617" s="3" t="s">
        <x:v>24</x:v>
      </x:c>
    </x:row>
    <x:row r="618" spans="1:5" ht="93.95" customHeight="1" x14ac:dyDescent="0.25">
      <x:c r="A618" s="3" t="s">
        <x:v>672</x:v>
      </x:c>
      <x:c r="B618" s="3" t="s">
        <x:v>515</x:v>
      </x:c>
      <x:c r="C618" s="3" t="s">
        <x:v>653</x:v>
      </x:c>
      <x:c r="D618" s="79" t="s">
        <x:v>37</x:v>
      </x:c>
      <x:c r="E618" s="3" t="s">
        <x:v>24</x:v>
      </x:c>
    </x:row>
    <x:row r="619" spans="1:5" ht="93.95" customHeight="1" x14ac:dyDescent="0.25">
      <x:c r="A619" s="3" t="s">
        <x:v>673</x:v>
      </x:c>
      <x:c r="B619" s="3" t="s">
        <x:v>515</x:v>
      </x:c>
      <x:c r="C619" s="79" t="s">
        <x:v>653</x:v>
      </x:c>
      <x:c r="D619" s="3" t="s">
        <x:v>37</x:v>
      </x:c>
      <x:c r="E619" s="3" t="s">
        <x:v>24</x:v>
      </x:c>
    </x:row>
    <x:row r="620" spans="1:5" ht="93.95" customHeight="1" x14ac:dyDescent="0.25">
      <x:c r="A620" s="3" t="s">
        <x:v>674</x:v>
      </x:c>
      <x:c r="B620" s="3" t="s">
        <x:v>515</x:v>
      </x:c>
      <x:c r="C620" s="3" t="s">
        <x:v>653</x:v>
      </x:c>
      <x:c r="D620" s="79" t="s">
        <x:v>37</x:v>
      </x:c>
      <x:c r="E620" s="3" t="s">
        <x:v>24</x:v>
      </x:c>
    </x:row>
    <x:row r="621" spans="1:5" ht="93.95" customHeight="1" x14ac:dyDescent="0.25">
      <x:c r="A621" s="3" t="s">
        <x:v>675</x:v>
      </x:c>
      <x:c r="B621" s="3" t="s">
        <x:v>515</x:v>
      </x:c>
      <x:c r="C621" s="79" t="s">
        <x:v>676</x:v>
      </x:c>
      <x:c r="D621" s="3" t="s">
        <x:v>14</x:v>
      </x:c>
      <x:c r="E621" s="3"/>
    </x:row>
    <x:row r="622" spans="1:5" ht="93.95" customHeight="1" x14ac:dyDescent="0.25">
      <x:c r="A622" s="3" t="s">
        <x:v>677</x:v>
      </x:c>
      <x:c r="B622" s="3" t="s">
        <x:v>515</x:v>
      </x:c>
      <x:c r="C622" s="3" t="s">
        <x:v>676</x:v>
      </x:c>
      <x:c r="D622" s="79" t="s">
        <x:v>16</x:v>
      </x:c>
      <x:c r="E622" s="3" t="s">
        <x:v>17</x:v>
      </x:c>
    </x:row>
    <x:row r="623" spans="1:5" ht="93.95" customHeight="1" x14ac:dyDescent="0.25">
      <x:c r="A623" s="3" t="s">
        <x:v>678</x:v>
      </x:c>
      <x:c r="B623" s="3" t="s">
        <x:v>515</x:v>
      </x:c>
      <x:c r="C623" s="79" t="s">
        <x:v>676</x:v>
      </x:c>
      <x:c r="D623" s="3" t="s">
        <x:v>16</x:v>
      </x:c>
      <x:c r="E623" s="3" t="s">
        <x:v>17</x:v>
      </x:c>
    </x:row>
    <x:row r="624" spans="1:5" ht="93.95" customHeight="1" x14ac:dyDescent="0.25">
      <x:c r="A624" s="3" t="s">
        <x:v>679</x:v>
      </x:c>
      <x:c r="B624" s="3" t="s">
        <x:v>515</x:v>
      </x:c>
      <x:c r="C624" s="3" t="s">
        <x:v>676</x:v>
      </x:c>
      <x:c r="D624" s="79" t="s">
        <x:v>16</x:v>
      </x:c>
      <x:c r="E624" s="3" t="s">
        <x:v>17</x:v>
      </x:c>
    </x:row>
    <x:row r="625" spans="1:5" ht="93.95" customHeight="1" x14ac:dyDescent="0.25">
      <x:c r="A625" s="3" t="s">
        <x:v>680</x:v>
      </x:c>
      <x:c r="B625" s="3" t="s">
        <x:v>515</x:v>
      </x:c>
      <x:c r="C625" s="79" t="s">
        <x:v>676</x:v>
      </x:c>
      <x:c r="D625" s="3" t="s">
        <x:v>16</x:v>
      </x:c>
      <x:c r="E625" s="3" t="s">
        <x:v>17</x:v>
      </x:c>
    </x:row>
    <x:row r="626" spans="1:5" ht="93.95" customHeight="1" x14ac:dyDescent="0.25">
      <x:c r="A626" s="3" t="s">
        <x:v>681</x:v>
      </x:c>
      <x:c r="B626" s="3" t="s">
        <x:v>515</x:v>
      </x:c>
      <x:c r="C626" s="3" t="s">
        <x:v>676</x:v>
      </x:c>
      <x:c r="D626" s="79" t="s">
        <x:v>23</x:v>
      </x:c>
      <x:c r="E626" s="3" t="s">
        <x:v>24</x:v>
      </x:c>
    </x:row>
    <x:row r="627" spans="1:5" ht="93.95" customHeight="1" x14ac:dyDescent="0.25">
      <x:c r="A627" s="3" t="s">
        <x:v>682</x:v>
      </x:c>
      <x:c r="B627" s="3" t="s">
        <x:v>515</x:v>
      </x:c>
      <x:c r="C627" s="79" t="s">
        <x:v>676</x:v>
      </x:c>
      <x:c r="D627" s="3" t="s">
        <x:v>23</x:v>
      </x:c>
      <x:c r="E627" s="3" t="s">
        <x:v>24</x:v>
      </x:c>
    </x:row>
    <x:row r="628" spans="1:5" ht="93.95" customHeight="1" x14ac:dyDescent="0.25">
      <x:c r="A628" s="3" t="s">
        <x:v>683</x:v>
      </x:c>
      <x:c r="B628" s="3" t="s">
        <x:v>515</x:v>
      </x:c>
      <x:c r="C628" s="3" t="s">
        <x:v>676</x:v>
      </x:c>
      <x:c r="D628" s="79" t="s">
        <x:v>23</x:v>
      </x:c>
      <x:c r="E628" s="3" t="s">
        <x:v>24</x:v>
      </x:c>
    </x:row>
    <x:row r="629" spans="1:5" ht="93.95" customHeight="1" x14ac:dyDescent="0.25">
      <x:c r="A629" s="3" t="s">
        <x:v>684</x:v>
      </x:c>
      <x:c r="B629" s="3" t="s">
        <x:v>515</x:v>
      </x:c>
      <x:c r="C629" s="79" t="s">
        <x:v>676</x:v>
      </x:c>
      <x:c r="D629" s="3" t="s">
        <x:v>23</x:v>
      </x:c>
      <x:c r="E629" s="3" t="s">
        <x:v>24</x:v>
      </x:c>
    </x:row>
    <x:row r="630" spans="1:5" ht="93.95" customHeight="1" x14ac:dyDescent="0.25">
      <x:c r="A630" s="3" t="s">
        <x:v>685</x:v>
      </x:c>
      <x:c r="B630" s="3" t="s">
        <x:v>515</x:v>
      </x:c>
      <x:c r="C630" s="3" t="s">
        <x:v>676</x:v>
      </x:c>
      <x:c r="D630" s="79" t="s">
        <x:v>23</x:v>
      </x:c>
      <x:c r="E630" s="3" t="s">
        <x:v>24</x:v>
      </x:c>
    </x:row>
    <x:row r="631" spans="1:5" ht="93.95" customHeight="1" x14ac:dyDescent="0.25">
      <x:c r="A631" s="3" t="s">
        <x:v>686</x:v>
      </x:c>
      <x:c r="B631" s="3" t="s">
        <x:v>515</x:v>
      </x:c>
      <x:c r="C631" s="79" t="s">
        <x:v>676</x:v>
      </x:c>
      <x:c r="D631" s="3" t="s">
        <x:v>23</x:v>
      </x:c>
      <x:c r="E631" s="3" t="s">
        <x:v>24</x:v>
      </x:c>
    </x:row>
    <x:row r="632" spans="1:5" ht="93.95" customHeight="1" x14ac:dyDescent="0.25">
      <x:c r="A632" s="3" t="s">
        <x:v>687</x:v>
      </x:c>
      <x:c r="B632" s="3" t="s">
        <x:v>515</x:v>
      </x:c>
      <x:c r="C632" s="3" t="s">
        <x:v>676</x:v>
      </x:c>
      <x:c r="D632" s="79" t="s">
        <x:v>23</x:v>
      </x:c>
      <x:c r="E632" s="3" t="s">
        <x:v>24</x:v>
      </x:c>
    </x:row>
    <x:row r="633" spans="1:5" ht="59.1" customHeight="1" x14ac:dyDescent="0.25">
      <x:c r="A633" s="3" t="s">
        <x:v>688</x:v>
      </x:c>
      <x:c r="B633" s="3" t="s">
        <x:v>515</x:v>
      </x:c>
      <x:c r="C633" s="79" t="s">
        <x:v>676</x:v>
      </x:c>
      <x:c r="D633" s="3" t="s">
        <x:v>23</x:v>
      </x:c>
      <x:c r="E633" s="3" t="s">
        <x:v>24</x:v>
      </x:c>
    </x:row>
    <x:row r="634" spans="1:5" ht="59.1" customHeight="1" x14ac:dyDescent="0.25">
      <x:c r="A634" s="3" t="s">
        <x:v>689</x:v>
      </x:c>
      <x:c r="B634" s="3" t="s">
        <x:v>515</x:v>
      </x:c>
      <x:c r="C634" s="3" t="s">
        <x:v>676</x:v>
      </x:c>
      <x:c r="D634" s="79" t="s">
        <x:v>23</x:v>
      </x:c>
      <x:c r="E634" s="3" t="s">
        <x:v>24</x:v>
      </x:c>
    </x:row>
    <x:row r="635" spans="1:5" ht="59.1" customHeight="1" x14ac:dyDescent="0.25">
      <x:c r="A635" s="3" t="s">
        <x:v>690</x:v>
      </x:c>
      <x:c r="B635" s="3" t="s">
        <x:v>515</x:v>
      </x:c>
      <x:c r="C635" s="79" t="s">
        <x:v>676</x:v>
      </x:c>
      <x:c r="D635" s="3" t="s">
        <x:v>23</x:v>
      </x:c>
      <x:c r="E635" s="3" t="s">
        <x:v>24</x:v>
      </x:c>
    </x:row>
    <x:row r="636" spans="1:5" ht="59.1" customHeight="1" x14ac:dyDescent="0.25">
      <x:c r="A636" s="3" t="s">
        <x:v>691</x:v>
      </x:c>
      <x:c r="B636" s="3" t="s">
        <x:v>515</x:v>
      </x:c>
      <x:c r="C636" s="3" t="s">
        <x:v>676</x:v>
      </x:c>
      <x:c r="D636" s="79" t="s">
        <x:v>23</x:v>
      </x:c>
      <x:c r="E636" s="3" t="s">
        <x:v>24</x:v>
      </x:c>
    </x:row>
    <x:row r="637" spans="1:5" ht="59.1" customHeight="1" x14ac:dyDescent="0.25">
      <x:c r="A637" s="3" t="s">
        <x:v>692</x:v>
      </x:c>
      <x:c r="B637" s="3" t="s">
        <x:v>515</x:v>
      </x:c>
      <x:c r="C637" s="79" t="s">
        <x:v>676</x:v>
      </x:c>
      <x:c r="D637" s="3" t="s">
        <x:v>23</x:v>
      </x:c>
      <x:c r="E637" s="3" t="s">
        <x:v>24</x:v>
      </x:c>
    </x:row>
    <x:row r="638" spans="1:5" ht="59.1" customHeight="1" x14ac:dyDescent="0.25">
      <x:c r="A638" s="3" t="s">
        <x:v>693</x:v>
      </x:c>
      <x:c r="B638" s="3" t="s">
        <x:v>515</x:v>
      </x:c>
      <x:c r="C638" s="3" t="s">
        <x:v>676</x:v>
      </x:c>
      <x:c r="D638" s="79" t="s">
        <x:v>21</x:v>
      </x:c>
      <x:c r="E638" s="3" t="s">
        <x:v>17</x:v>
      </x:c>
    </x:row>
    <x:row r="639" spans="1:5" ht="59.1" customHeight="1" x14ac:dyDescent="0.25">
      <x:c r="A639" s="3" t="s">
        <x:v>694</x:v>
      </x:c>
      <x:c r="B639" s="3" t="s">
        <x:v>515</x:v>
      </x:c>
      <x:c r="C639" s="79" t="s">
        <x:v>676</x:v>
      </x:c>
      <x:c r="D639" s="3" t="s">
        <x:v>37</x:v>
      </x:c>
      <x:c r="E639" s="3" t="s">
        <x:v>24</x:v>
      </x:c>
    </x:row>
    <x:row r="640" spans="1:5" ht="59.1" customHeight="1" x14ac:dyDescent="0.25">
      <x:c r="A640" s="3" t="s">
        <x:v>695</x:v>
      </x:c>
      <x:c r="B640" s="3" t="s">
        <x:v>515</x:v>
      </x:c>
      <x:c r="C640" s="3" t="s">
        <x:v>676</x:v>
      </x:c>
      <x:c r="D640" s="79" t="s">
        <x:v>37</x:v>
      </x:c>
      <x:c r="E640" s="3" t="s">
        <x:v>24</x:v>
      </x:c>
    </x:row>
    <x:row r="641" spans="1:5" ht="59.1" customHeight="1" x14ac:dyDescent="0.25">
      <x:c r="A641" s="3" t="s">
        <x:v>696</x:v>
      </x:c>
      <x:c r="B641" s="3" t="s">
        <x:v>515</x:v>
      </x:c>
      <x:c r="C641" s="79" t="s">
        <x:v>676</x:v>
      </x:c>
      <x:c r="D641" s="3" t="s">
        <x:v>37</x:v>
      </x:c>
      <x:c r="E641" s="3" t="s">
        <x:v>24</x:v>
      </x:c>
    </x:row>
    <x:row r="642" spans="1:5" ht="59.1" customHeight="1" x14ac:dyDescent="0.25">
      <x:c r="A642" s="556" t="s">
        <x:v>697</x:v>
      </x:c>
      <x:c r="B642" s="3" t="s">
        <x:v>515</x:v>
      </x:c>
      <x:c r="C642" s="3"/>
      <x:c r="D642" s="79" t="s">
        <x:v>11</x:v>
      </x:c>
      <x:c r="E642" s="3"/>
    </x:row>
    <x:row r="643" spans="1:5" ht="59.1" customHeight="1" x14ac:dyDescent="0.25">
      <x:c r="A643" s="3" t="s">
        <x:v>698</x:v>
      </x:c>
      <x:c r="B643" s="3" t="s">
        <x:v>515</x:v>
      </x:c>
      <x:c r="C643" s="79" t="s">
        <x:v>699</x:v>
      </x:c>
      <x:c r="D643" s="3" t="s">
        <x:v>14</x:v>
      </x:c>
      <x:c r="E643" s="3"/>
    </x:row>
    <x:row r="644" spans="1:5" ht="59.1" customHeight="1" x14ac:dyDescent="0.25">
      <x:c r="A644" s="3" t="s">
        <x:v>700</x:v>
      </x:c>
      <x:c r="B644" s="3" t="s">
        <x:v>515</x:v>
      </x:c>
      <x:c r="C644" s="3" t="s">
        <x:v>699</x:v>
      </x:c>
      <x:c r="D644" s="79" t="s">
        <x:v>43</x:v>
      </x:c>
      <x:c r="E644" s="3"/>
    </x:row>
    <x:row r="645" spans="1:5" ht="47.1" customHeight="1" x14ac:dyDescent="0.25">
      <x:c r="A645" s="3" t="s">
        <x:v>701</x:v>
      </x:c>
      <x:c r="B645" s="3" t="s">
        <x:v>515</x:v>
      </x:c>
      <x:c r="C645" s="79" t="s">
        <x:v>699</x:v>
      </x:c>
      <x:c r="D645" s="3" t="s">
        <x:v>16</x:v>
      </x:c>
      <x:c r="E645" s="3" t="s">
        <x:v>66</x:v>
      </x:c>
    </x:row>
    <x:row r="646" spans="1:5" ht="59.1" customHeight="1" x14ac:dyDescent="0.25">
      <x:c r="A646" s="3" t="s">
        <x:v>702</x:v>
      </x:c>
      <x:c r="B646" s="3" t="s">
        <x:v>515</x:v>
      </x:c>
      <x:c r="C646" s="3" t="s">
        <x:v>699</x:v>
      </x:c>
      <x:c r="D646" s="79" t="s">
        <x:v>16</x:v>
      </x:c>
      <x:c r="E646" s="3" t="s">
        <x:v>66</x:v>
      </x:c>
    </x:row>
    <x:row r="647" spans="1:5" ht="59.1" customHeight="1" x14ac:dyDescent="0.25">
      <x:c r="A647" s="3" t="s">
        <x:v>703</x:v>
      </x:c>
      <x:c r="B647" s="3" t="s">
        <x:v>515</x:v>
      </x:c>
      <x:c r="C647" s="79" t="s">
        <x:v>699</x:v>
      </x:c>
      <x:c r="D647" s="3" t="s">
        <x:v>16</x:v>
      </x:c>
      <x:c r="E647" s="3" t="s">
        <x:v>66</x:v>
      </x:c>
    </x:row>
    <x:row r="648" spans="1:5" ht="59.1" customHeight="1" x14ac:dyDescent="0.25">
      <x:c r="A648" s="3" t="s">
        <x:v>704</x:v>
      </x:c>
      <x:c r="B648" s="3" t="s">
        <x:v>515</x:v>
      </x:c>
      <x:c r="C648" s="3" t="s">
        <x:v>699</x:v>
      </x:c>
      <x:c r="D648" s="79" t="s">
        <x:v>16</x:v>
      </x:c>
      <x:c r="E648" s="3" t="s">
        <x:v>66</x:v>
      </x:c>
    </x:row>
    <x:row r="649" spans="1:5" ht="59.1" customHeight="1" x14ac:dyDescent="0.25">
      <x:c r="A649" s="3" t="s">
        <x:v>705</x:v>
      </x:c>
      <x:c r="B649" s="3" t="s">
        <x:v>515</x:v>
      </x:c>
      <x:c r="C649" s="79" t="s">
        <x:v>699</x:v>
      </x:c>
      <x:c r="D649" s="3" t="s">
        <x:v>21</x:v>
      </x:c>
      <x:c r="E649" s="3" t="s">
        <x:v>66</x:v>
      </x:c>
    </x:row>
    <x:row r="650" spans="1:5" ht="47.1" customHeight="1" x14ac:dyDescent="0.25">
      <x:c r="A650" s="3" t="s">
        <x:v>706</x:v>
      </x:c>
      <x:c r="B650" s="3" t="s">
        <x:v>515</x:v>
      </x:c>
      <x:c r="C650" s="3" t="s">
        <x:v>699</x:v>
      </x:c>
      <x:c r="D650" s="79" t="s">
        <x:v>23</x:v>
      </x:c>
      <x:c r="E650" s="3" t="s">
        <x:v>17</x:v>
      </x:c>
    </x:row>
    <x:row r="651" spans="1:5" ht="47.1" customHeight="1" x14ac:dyDescent="0.25">
      <x:c r="A651" s="3" t="s">
        <x:v>707</x:v>
      </x:c>
      <x:c r="B651" s="3" t="s">
        <x:v>515</x:v>
      </x:c>
      <x:c r="C651" s="79" t="s">
        <x:v>699</x:v>
      </x:c>
      <x:c r="D651" s="3" t="s">
        <x:v>23</x:v>
      </x:c>
      <x:c r="E651" s="3" t="s">
        <x:v>17</x:v>
      </x:c>
    </x:row>
    <x:row r="652" spans="1:5" ht="47.1" customHeight="1" x14ac:dyDescent="0.25">
      <x:c r="A652" s="3" t="s">
        <x:v>708</x:v>
      </x:c>
      <x:c r="B652" s="3" t="s">
        <x:v>515</x:v>
      </x:c>
      <x:c r="C652" s="3" t="s">
        <x:v>699</x:v>
      </x:c>
      <x:c r="D652" s="79" t="s">
        <x:v>23</x:v>
      </x:c>
      <x:c r="E652" s="3" t="s">
        <x:v>17</x:v>
      </x:c>
    </x:row>
    <x:row r="653" spans="1:5" ht="47.1" customHeight="1" x14ac:dyDescent="0.25">
      <x:c r="A653" s="3" t="s">
        <x:v>709</x:v>
      </x:c>
      <x:c r="B653" s="3" t="s">
        <x:v>515</x:v>
      </x:c>
      <x:c r="C653" s="79" t="s">
        <x:v>699</x:v>
      </x:c>
      <x:c r="D653" s="3" t="s">
        <x:v>23</x:v>
      </x:c>
      <x:c r="E653" s="3" t="s">
        <x:v>17</x:v>
      </x:c>
    </x:row>
    <x:row r="654" spans="1:5" ht="47.1" customHeight="1" x14ac:dyDescent="0.25">
      <x:c r="A654" s="3" t="s">
        <x:v>710</x:v>
      </x:c>
      <x:c r="B654" s="3" t="s">
        <x:v>515</x:v>
      </x:c>
      <x:c r="C654" s="3" t="s">
        <x:v>699</x:v>
      </x:c>
      <x:c r="D654" s="79" t="s">
        <x:v>23</x:v>
      </x:c>
      <x:c r="E654" s="3" t="s">
        <x:v>17</x:v>
      </x:c>
    </x:row>
    <x:row r="655" spans="1:5" ht="47.1" customHeight="1" x14ac:dyDescent="0.25">
      <x:c r="A655" s="3" t="s">
        <x:v>711</x:v>
      </x:c>
      <x:c r="B655" s="3" t="s">
        <x:v>515</x:v>
      </x:c>
      <x:c r="C655" s="79" t="s">
        <x:v>699</x:v>
      </x:c>
      <x:c r="D655" s="3" t="s">
        <x:v>23</x:v>
      </x:c>
      <x:c r="E655" s="3" t="s">
        <x:v>17</x:v>
      </x:c>
    </x:row>
    <x:row r="656" spans="1:5" ht="47.1" customHeight="1" x14ac:dyDescent="0.25">
      <x:c r="A656" s="3" t="s">
        <x:v>712</x:v>
      </x:c>
      <x:c r="B656" s="3" t="s">
        <x:v>515</x:v>
      </x:c>
      <x:c r="C656" s="3" t="s">
        <x:v>699</x:v>
      </x:c>
      <x:c r="D656" s="79" t="s">
        <x:v>23</x:v>
      </x:c>
      <x:c r="E656" s="3" t="s">
        <x:v>17</x:v>
      </x:c>
    </x:row>
    <x:row r="657" spans="1:5" ht="47.1" customHeight="1" x14ac:dyDescent="0.25">
      <x:c r="A657" s="3" t="s">
        <x:v>713</x:v>
      </x:c>
      <x:c r="B657" s="3" t="s">
        <x:v>515</x:v>
      </x:c>
      <x:c r="C657" s="79" t="s">
        <x:v>699</x:v>
      </x:c>
      <x:c r="D657" s="3" t="s">
        <x:v>23</x:v>
      </x:c>
      <x:c r="E657" s="3" t="s">
        <x:v>17</x:v>
      </x:c>
    </x:row>
    <x:row r="658" spans="1:5" ht="47.1" customHeight="1" x14ac:dyDescent="0.25">
      <x:c r="A658" s="3" t="s">
        <x:v>714</x:v>
      </x:c>
      <x:c r="B658" s="3" t="s">
        <x:v>515</x:v>
      </x:c>
      <x:c r="C658" s="3" t="s">
        <x:v>699</x:v>
      </x:c>
      <x:c r="D658" s="79" t="s">
        <x:v>23</x:v>
      </x:c>
      <x:c r="E658" s="3" t="s">
        <x:v>17</x:v>
      </x:c>
    </x:row>
    <x:row r="659" spans="1:5" ht="47.1" customHeight="1" x14ac:dyDescent="0.25">
      <x:c r="A659" s="3" t="s">
        <x:v>715</x:v>
      </x:c>
      <x:c r="B659" s="3" t="s">
        <x:v>515</x:v>
      </x:c>
      <x:c r="C659" s="79" t="s">
        <x:v>699</x:v>
      </x:c>
      <x:c r="D659" s="3" t="s">
        <x:v>23</x:v>
      </x:c>
      <x:c r="E659" s="3" t="s">
        <x:v>17</x:v>
      </x:c>
    </x:row>
    <x:row r="660" spans="1:5" ht="47.1" customHeight="1" x14ac:dyDescent="0.25">
      <x:c r="A660" s="3" t="s">
        <x:v>716</x:v>
      </x:c>
      <x:c r="B660" s="3" t="s">
        <x:v>515</x:v>
      </x:c>
      <x:c r="C660" s="3" t="s">
        <x:v>699</x:v>
      </x:c>
      <x:c r="D660" s="79" t="s">
        <x:v>23</x:v>
      </x:c>
      <x:c r="E660" s="3" t="s">
        <x:v>17</x:v>
      </x:c>
    </x:row>
    <x:row r="661" spans="1:5" ht="47.1" customHeight="1" x14ac:dyDescent="0.25">
      <x:c r="A661" s="3" t="s">
        <x:v>717</x:v>
      </x:c>
      <x:c r="B661" s="3" t="s">
        <x:v>515</x:v>
      </x:c>
      <x:c r="C661" s="79" t="s">
        <x:v>699</x:v>
      </x:c>
      <x:c r="D661" s="3" t="s">
        <x:v>23</x:v>
      </x:c>
      <x:c r="E661" s="3" t="s">
        <x:v>17</x:v>
      </x:c>
    </x:row>
    <x:row r="662" spans="1:5" ht="47.1" customHeight="1" x14ac:dyDescent="0.25">
      <x:c r="A662" s="3" t="s">
        <x:v>718</x:v>
      </x:c>
      <x:c r="B662" s="3" t="s">
        <x:v>515</x:v>
      </x:c>
      <x:c r="C662" s="3" t="s">
        <x:v>699</x:v>
      </x:c>
      <x:c r="D662" s="79" t="s">
        <x:v>23</x:v>
      </x:c>
      <x:c r="E662" s="3" t="s">
        <x:v>17</x:v>
      </x:c>
    </x:row>
    <x:row r="663" spans="1:5" ht="47.1" customHeight="1" x14ac:dyDescent="0.25">
      <x:c r="A663" s="3" t="s">
        <x:v>719</x:v>
      </x:c>
      <x:c r="B663" s="3" t="s">
        <x:v>515</x:v>
      </x:c>
      <x:c r="C663" s="79" t="s">
        <x:v>699</x:v>
      </x:c>
      <x:c r="D663" s="3" t="s">
        <x:v>23</x:v>
      </x:c>
      <x:c r="E663" s="3" t="s">
        <x:v>17</x:v>
      </x:c>
    </x:row>
    <x:row r="664" spans="1:5" ht="47.1" customHeight="1" x14ac:dyDescent="0.25">
      <x:c r="A664" s="3" t="s">
        <x:v>720</x:v>
      </x:c>
      <x:c r="B664" s="3" t="s">
        <x:v>515</x:v>
      </x:c>
      <x:c r="C664" s="3" t="s">
        <x:v>699</x:v>
      </x:c>
      <x:c r="D664" s="79" t="s">
        <x:v>23</x:v>
      </x:c>
      <x:c r="E664" s="3" t="s">
        <x:v>17</x:v>
      </x:c>
    </x:row>
    <x:row r="665" spans="1:5" ht="47.1" customHeight="1" x14ac:dyDescent="0.25">
      <x:c r="A665" s="3" t="s">
        <x:v>721</x:v>
      </x:c>
      <x:c r="B665" s="3" t="s">
        <x:v>515</x:v>
      </x:c>
      <x:c r="C665" s="79" t="s">
        <x:v>699</x:v>
      </x:c>
      <x:c r="D665" s="3" t="s">
        <x:v>23</x:v>
      </x:c>
      <x:c r="E665" s="3" t="s">
        <x:v>17</x:v>
      </x:c>
    </x:row>
    <x:row r="666" spans="1:5" ht="47.1" customHeight="1" x14ac:dyDescent="0.25">
      <x:c r="A666" s="3" t="s">
        <x:v>722</x:v>
      </x:c>
      <x:c r="B666" s="3" t="s">
        <x:v>515</x:v>
      </x:c>
      <x:c r="C666" s="3" t="s">
        <x:v>699</x:v>
      </x:c>
      <x:c r="D666" s="79" t="s">
        <x:v>23</x:v>
      </x:c>
      <x:c r="E666" s="3" t="s">
        <x:v>17</x:v>
      </x:c>
    </x:row>
    <x:row r="667" spans="1:5" ht="93.95" customHeight="1" x14ac:dyDescent="0.25">
      <x:c r="A667" s="3" t="s">
        <x:v>723</x:v>
      </x:c>
      <x:c r="B667" s="3" t="s">
        <x:v>515</x:v>
      </x:c>
      <x:c r="C667" s="79" t="s">
        <x:v>699</x:v>
      </x:c>
      <x:c r="D667" s="3" t="s">
        <x:v>23</x:v>
      </x:c>
      <x:c r="E667" s="3" t="s">
        <x:v>17</x:v>
      </x:c>
    </x:row>
    <x:row r="668" spans="1:5" ht="93.95" customHeight="1" x14ac:dyDescent="0.25">
      <x:c r="A668" s="3" t="s">
        <x:v>724</x:v>
      </x:c>
      <x:c r="B668" s="3" t="s">
        <x:v>515</x:v>
      </x:c>
      <x:c r="C668" s="3" t="s">
        <x:v>699</x:v>
      </x:c>
      <x:c r="D668" s="79" t="s">
        <x:v>23</x:v>
      </x:c>
      <x:c r="E668" s="3" t="s">
        <x:v>17</x:v>
      </x:c>
    </x:row>
    <x:row r="669" spans="1:5" ht="93.95" customHeight="1" x14ac:dyDescent="0.25">
      <x:c r="A669" s="3" t="s">
        <x:v>725</x:v>
      </x:c>
      <x:c r="B669" s="3" t="s">
        <x:v>515</x:v>
      </x:c>
      <x:c r="C669" s="79" t="s">
        <x:v>699</x:v>
      </x:c>
      <x:c r="D669" s="3" t="s">
        <x:v>23</x:v>
      </x:c>
      <x:c r="E669" s="3" t="s">
        <x:v>17</x:v>
      </x:c>
    </x:row>
    <x:row r="670" spans="1:5" ht="93.95" customHeight="1" x14ac:dyDescent="0.25">
      <x:c r="A670" s="3" t="s">
        <x:v>726</x:v>
      </x:c>
      <x:c r="B670" s="3" t="s">
        <x:v>515</x:v>
      </x:c>
      <x:c r="C670" s="3" t="s">
        <x:v>699</x:v>
      </x:c>
      <x:c r="D670" s="79" t="s">
        <x:v>23</x:v>
      </x:c>
      <x:c r="E670" s="3" t="s">
        <x:v>17</x:v>
      </x:c>
    </x:row>
    <x:row r="671" spans="1:5" ht="93.95" customHeight="1" x14ac:dyDescent="0.25">
      <x:c r="A671" s="3" t="s">
        <x:v>727</x:v>
      </x:c>
      <x:c r="B671" s="3" t="s">
        <x:v>515</x:v>
      </x:c>
      <x:c r="C671" s="79" t="s">
        <x:v>699</x:v>
      </x:c>
      <x:c r="D671" s="3" t="s">
        <x:v>23</x:v>
      </x:c>
      <x:c r="E671" s="3" t="s">
        <x:v>17</x:v>
      </x:c>
    </x:row>
    <x:row r="672" spans="1:5" ht="93.95" customHeight="1" x14ac:dyDescent="0.25">
      <x:c r="A672" s="3" t="s">
        <x:v>728</x:v>
      </x:c>
      <x:c r="B672" s="3" t="s">
        <x:v>515</x:v>
      </x:c>
      <x:c r="C672" s="3" t="s">
        <x:v>699</x:v>
      </x:c>
      <x:c r="D672" s="79" t="s">
        <x:v>23</x:v>
      </x:c>
      <x:c r="E672" s="3" t="s">
        <x:v>17</x:v>
      </x:c>
    </x:row>
    <x:row r="673" spans="1:5" ht="93.95" customHeight="1" x14ac:dyDescent="0.25">
      <x:c r="A673" s="3" t="s">
        <x:v>729</x:v>
      </x:c>
      <x:c r="B673" s="3" t="s">
        <x:v>515</x:v>
      </x:c>
      <x:c r="C673" s="79" t="s">
        <x:v>699</x:v>
      </x:c>
      <x:c r="D673" s="3" t="s">
        <x:v>23</x:v>
      </x:c>
      <x:c r="E673" s="3" t="s">
        <x:v>17</x:v>
      </x:c>
    </x:row>
    <x:row r="674" spans="1:5" ht="59.1" customHeight="1" x14ac:dyDescent="0.25">
      <x:c r="A674" s="3" t="s">
        <x:v>730</x:v>
      </x:c>
      <x:c r="B674" s="3" t="s">
        <x:v>515</x:v>
      </x:c>
      <x:c r="C674" s="3" t="s">
        <x:v>699</x:v>
      </x:c>
      <x:c r="D674" s="79" t="s">
        <x:v>23</x:v>
      </x:c>
      <x:c r="E674" s="3" t="s">
        <x:v>17</x:v>
      </x:c>
    </x:row>
    <x:row r="675" spans="1:5" ht="59.1" customHeight="1" x14ac:dyDescent="0.25">
      <x:c r="A675" s="3" t="s">
        <x:v>731</x:v>
      </x:c>
      <x:c r="B675" s="3" t="s">
        <x:v>515</x:v>
      </x:c>
      <x:c r="C675" s="79" t="s">
        <x:v>699</x:v>
      </x:c>
      <x:c r="D675" s="3" t="s">
        <x:v>37</x:v>
      </x:c>
      <x:c r="E675" s="3" t="s">
        <x:v>17</x:v>
      </x:c>
    </x:row>
    <x:row r="676" spans="1:5" ht="59.1" customHeight="1" x14ac:dyDescent="0.25">
      <x:c r="A676" s="3" t="s">
        <x:v>732</x:v>
      </x:c>
      <x:c r="B676" s="3" t="s">
        <x:v>515</x:v>
      </x:c>
      <x:c r="C676" s="3" t="s">
        <x:v>699</x:v>
      </x:c>
      <x:c r="D676" s="79" t="s">
        <x:v>37</x:v>
      </x:c>
      <x:c r="E676" s="3" t="s">
        <x:v>17</x:v>
      </x:c>
    </x:row>
    <x:row r="677" spans="1:5" ht="59.1" customHeight="1" x14ac:dyDescent="0.25">
      <x:c r="A677" s="3" t="s">
        <x:v>733</x:v>
      </x:c>
      <x:c r="B677" s="3" t="s">
        <x:v>515</x:v>
      </x:c>
      <x:c r="C677" s="79" t="s">
        <x:v>699</x:v>
      </x:c>
      <x:c r="D677" s="3" t="s">
        <x:v>37</x:v>
      </x:c>
      <x:c r="E677" s="3" t="s">
        <x:v>17</x:v>
      </x:c>
    </x:row>
    <x:row r="678" spans="1:5" ht="59.1" customHeight="1" x14ac:dyDescent="0.25">
      <x:c r="A678" s="3" t="s">
        <x:v>734</x:v>
      </x:c>
      <x:c r="B678" s="3" t="s">
        <x:v>515</x:v>
      </x:c>
      <x:c r="C678" s="3" t="s">
        <x:v>699</x:v>
      </x:c>
      <x:c r="D678" s="79" t="s">
        <x:v>37</x:v>
      </x:c>
      <x:c r="E678" s="3" t="s">
        <x:v>17</x:v>
      </x:c>
    </x:row>
    <x:row r="679" spans="1:5" ht="47.1" customHeight="1" x14ac:dyDescent="0.25">
      <x:c r="A679" s="3" t="s">
        <x:v>735</x:v>
      </x:c>
      <x:c r="B679" s="3" t="s">
        <x:v>515</x:v>
      </x:c>
      <x:c r="C679" s="79" t="s">
        <x:v>699</x:v>
      </x:c>
      <x:c r="D679" s="3" t="s">
        <x:v>37</x:v>
      </x:c>
      <x:c r="E679" s="3" t="s">
        <x:v>17</x:v>
      </x:c>
    </x:row>
    <x:row r="680" spans="1:5" ht="47.1" customHeight="1" x14ac:dyDescent="0.25">
      <x:c r="A680" s="3" t="s">
        <x:v>736</x:v>
      </x:c>
      <x:c r="B680" s="3" t="s">
        <x:v>515</x:v>
      </x:c>
      <x:c r="C680" s="3" t="s">
        <x:v>699</x:v>
      </x:c>
      <x:c r="D680" s="79" t="s">
        <x:v>37</x:v>
      </x:c>
      <x:c r="E680" s="3" t="s">
        <x:v>17</x:v>
      </x:c>
    </x:row>
    <x:row r="681" spans="1:5" ht="47.1" customHeight="1" x14ac:dyDescent="0.25">
      <x:c r="A681" s="3" t="s">
        <x:v>737</x:v>
      </x:c>
      <x:c r="B681" s="3" t="s">
        <x:v>515</x:v>
      </x:c>
      <x:c r="C681" s="79" t="s">
        <x:v>699</x:v>
      </x:c>
      <x:c r="D681" s="3" t="s">
        <x:v>37</x:v>
      </x:c>
      <x:c r="E681" s="3" t="s">
        <x:v>17</x:v>
      </x:c>
    </x:row>
    <x:row r="682" spans="1:5" ht="47.1" customHeight="1" x14ac:dyDescent="0.25">
      <x:c r="A682" s="3" t="s">
        <x:v>738</x:v>
      </x:c>
      <x:c r="B682" s="3" t="s">
        <x:v>515</x:v>
      </x:c>
      <x:c r="C682" s="3" t="s">
        <x:v>699</x:v>
      </x:c>
      <x:c r="D682" s="79" t="s">
        <x:v>23</x:v>
      </x:c>
      <x:c r="E682" s="3" t="s">
        <x:v>17</x:v>
      </x:c>
    </x:row>
    <x:row r="683" spans="1:5" ht="47.1" customHeight="1" x14ac:dyDescent="0.25">
      <x:c r="A683" s="3" t="s">
        <x:v>739</x:v>
      </x:c>
      <x:c r="B683" s="3" t="s">
        <x:v>515</x:v>
      </x:c>
      <x:c r="C683" s="79" t="s">
        <x:v>699</x:v>
      </x:c>
      <x:c r="D683" s="3" t="s">
        <x:v>23</x:v>
      </x:c>
      <x:c r="E683" s="3" t="s">
        <x:v>17</x:v>
      </x:c>
    </x:row>
    <x:row r="684" spans="1:5" ht="47.1" customHeight="1" x14ac:dyDescent="0.25">
      <x:c r="A684" s="3" t="s">
        <x:v>740</x:v>
      </x:c>
      <x:c r="B684" s="3" t="s">
        <x:v>515</x:v>
      </x:c>
      <x:c r="C684" s="3" t="s">
        <x:v>699</x:v>
      </x:c>
      <x:c r="D684" s="79" t="s">
        <x:v>37</x:v>
      </x:c>
      <x:c r="E684" s="3" t="s">
        <x:v>17</x:v>
      </x:c>
    </x:row>
    <x:row r="685" spans="1:5" ht="47.1" customHeight="1" x14ac:dyDescent="0.25">
      <x:c r="A685" s="3" t="s">
        <x:v>741</x:v>
      </x:c>
      <x:c r="B685" s="3" t="s">
        <x:v>515</x:v>
      </x:c>
      <x:c r="C685" s="79" t="s">
        <x:v>699</x:v>
      </x:c>
      <x:c r="D685" s="3" t="s">
        <x:v>37</x:v>
      </x:c>
      <x:c r="E685" s="3" t="s">
        <x:v>17</x:v>
      </x:c>
    </x:row>
    <x:row r="686" spans="1:5" ht="47.1" customHeight="1" x14ac:dyDescent="0.25">
      <x:c r="A686" s="3" t="s">
        <x:v>742</x:v>
      </x:c>
      <x:c r="B686" s="3" t="s">
        <x:v>515</x:v>
      </x:c>
      <x:c r="C686" s="3" t="s">
        <x:v>743</x:v>
      </x:c>
      <x:c r="D686" s="79" t="s">
        <x:v>14</x:v>
      </x:c>
      <x:c r="E686" s="3"/>
    </x:row>
    <x:row r="687" spans="1:5" ht="47.1" customHeight="1" x14ac:dyDescent="0.25">
      <x:c r="A687" s="3" t="s">
        <x:v>744</x:v>
      </x:c>
      <x:c r="B687" s="3" t="s">
        <x:v>515</x:v>
      </x:c>
      <x:c r="C687" s="79" t="s">
        <x:v>743</x:v>
      </x:c>
      <x:c r="D687" s="3" t="s">
        <x:v>16</x:v>
      </x:c>
      <x:c r="E687" s="3" t="s">
        <x:v>17</x:v>
      </x:c>
    </x:row>
    <x:row r="688" spans="1:5" ht="47.1" customHeight="1" x14ac:dyDescent="0.25">
      <x:c r="A688" s="3" t="s">
        <x:v>745</x:v>
      </x:c>
      <x:c r="B688" s="3" t="s">
        <x:v>515</x:v>
      </x:c>
      <x:c r="C688" s="3" t="s">
        <x:v>743</x:v>
      </x:c>
      <x:c r="D688" s="79" t="s">
        <x:v>16</x:v>
      </x:c>
      <x:c r="E688" s="3" t="s">
        <x:v>17</x:v>
      </x:c>
    </x:row>
    <x:row r="689" spans="1:5" ht="47.1" customHeight="1" x14ac:dyDescent="0.25">
      <x:c r="A689" s="3" t="s">
        <x:v>746</x:v>
      </x:c>
      <x:c r="B689" s="3" t="s">
        <x:v>515</x:v>
      </x:c>
      <x:c r="C689" s="79" t="s">
        <x:v>743</x:v>
      </x:c>
      <x:c r="D689" s="3" t="s">
        <x:v>16</x:v>
      </x:c>
      <x:c r="E689" s="3" t="s">
        <x:v>17</x:v>
      </x:c>
    </x:row>
    <x:row r="690" spans="1:5" ht="47.1" customHeight="1" x14ac:dyDescent="0.25">
      <x:c r="A690" s="3" t="s">
        <x:v>747</x:v>
      </x:c>
      <x:c r="B690" s="3" t="s">
        <x:v>515</x:v>
      </x:c>
      <x:c r="C690" s="3" t="s">
        <x:v>743</x:v>
      </x:c>
      <x:c r="D690" s="79" t="s">
        <x:v>16</x:v>
      </x:c>
      <x:c r="E690" s="3" t="s">
        <x:v>17</x:v>
      </x:c>
    </x:row>
    <x:row r="691" spans="1:5" ht="47.1" customHeight="1" x14ac:dyDescent="0.25">
      <x:c r="A691" s="3" t="s">
        <x:v>748</x:v>
      </x:c>
      <x:c r="B691" s="3" t="s">
        <x:v>515</x:v>
      </x:c>
      <x:c r="C691" s="79" t="s">
        <x:v>743</x:v>
      </x:c>
      <x:c r="D691" s="3" t="s">
        <x:v>21</x:v>
      </x:c>
      <x:c r="E691" s="3" t="s">
        <x:v>17</x:v>
      </x:c>
    </x:row>
    <x:row r="692" spans="1:5" ht="47.1" customHeight="1" x14ac:dyDescent="0.25">
      <x:c r="A692" s="3" t="s">
        <x:v>749</x:v>
      </x:c>
      <x:c r="B692" s="3" t="s">
        <x:v>515</x:v>
      </x:c>
      <x:c r="C692" s="3" t="s">
        <x:v>743</x:v>
      </x:c>
      <x:c r="D692" s="79" t="s">
        <x:v>23</x:v>
      </x:c>
      <x:c r="E692" s="3" t="s">
        <x:v>24</x:v>
      </x:c>
    </x:row>
    <x:row r="693" spans="1:5" ht="47.1" customHeight="1" x14ac:dyDescent="0.25">
      <x:c r="A693" s="3" t="s">
        <x:v>750</x:v>
      </x:c>
      <x:c r="B693" s="3" t="s">
        <x:v>515</x:v>
      </x:c>
      <x:c r="C693" s="79" t="s">
        <x:v>743</x:v>
      </x:c>
      <x:c r="D693" s="3" t="s">
        <x:v>23</x:v>
      </x:c>
      <x:c r="E693" s="3" t="s">
        <x:v>24</x:v>
      </x:c>
    </x:row>
    <x:row r="694" spans="1:5" ht="47.1" customHeight="1" x14ac:dyDescent="0.25">
      <x:c r="A694" s="3" t="s">
        <x:v>751</x:v>
      </x:c>
      <x:c r="B694" s="3" t="s">
        <x:v>515</x:v>
      </x:c>
      <x:c r="C694" s="3" t="s">
        <x:v>743</x:v>
      </x:c>
      <x:c r="D694" s="79" t="s">
        <x:v>23</x:v>
      </x:c>
      <x:c r="E694" s="3" t="s">
        <x:v>24</x:v>
      </x:c>
    </x:row>
    <x:row r="695" spans="1:5" ht="47.1" customHeight="1" x14ac:dyDescent="0.25">
      <x:c r="A695" s="3" t="s">
        <x:v>752</x:v>
      </x:c>
      <x:c r="B695" s="3" t="s">
        <x:v>515</x:v>
      </x:c>
      <x:c r="C695" s="79" t="s">
        <x:v>743</x:v>
      </x:c>
      <x:c r="D695" s="3" t="s">
        <x:v>23</x:v>
      </x:c>
      <x:c r="E695" s="3" t="s">
        <x:v>24</x:v>
      </x:c>
    </x:row>
    <x:row r="696" spans="1:5" ht="47.1" customHeight="1" x14ac:dyDescent="0.25">
      <x:c r="A696" s="3" t="s">
        <x:v>753</x:v>
      </x:c>
      <x:c r="B696" s="3" t="s">
        <x:v>515</x:v>
      </x:c>
      <x:c r="C696" s="3" t="s">
        <x:v>743</x:v>
      </x:c>
      <x:c r="D696" s="79" t="s">
        <x:v>37</x:v>
      </x:c>
      <x:c r="E696" s="3" t="s">
        <x:v>24</x:v>
      </x:c>
    </x:row>
    <x:row r="697" spans="1:5" ht="47.1" customHeight="1" x14ac:dyDescent="0.25">
      <x:c r="A697" s="3" t="s">
        <x:v>754</x:v>
      </x:c>
      <x:c r="B697" s="3" t="s">
        <x:v>515</x:v>
      </x:c>
      <x:c r="C697" s="79" t="s">
        <x:v>743</x:v>
      </x:c>
      <x:c r="D697" s="3" t="s">
        <x:v>37</x:v>
      </x:c>
      <x:c r="E697" s="3" t="s">
        <x:v>24</x:v>
      </x:c>
    </x:row>
    <x:row r="698" spans="1:5" ht="81.95" customHeight="1" x14ac:dyDescent="0.25">
      <x:c r="A698" s="3" t="s">
        <x:v>755</x:v>
      </x:c>
      <x:c r="B698" s="3" t="s">
        <x:v>756</x:v>
      </x:c>
      <x:c r="C698" s="3"/>
      <x:c r="D698" s="79" t="s">
        <x:v>757</x:v>
      </x:c>
      <x:c r="E698" s="3"/>
    </x:row>
    <x:row r="699" spans="1:5" ht="81.95" customHeight="1" x14ac:dyDescent="0.25">
      <x:c r="A699" s="3" t="s">
        <x:v>758</x:v>
      </x:c>
      <x:c r="B699" s="3" t="s">
        <x:v>756</x:v>
      </x:c>
      <x:c r="C699" s="79" t="s">
        <x:v>759</x:v>
      </x:c>
      <x:c r="D699" s="3" t="s">
        <x:v>760</x:v>
      </x:c>
      <x:c r="E699" s="3"/>
    </x:row>
    <x:row r="700" spans="1:5" ht="81.95" customHeight="1" x14ac:dyDescent="0.25">
      <x:c r="A700" s="3" t="s">
        <x:v>761</x:v>
      </x:c>
      <x:c r="B700" s="3" t="s">
        <x:v>756</x:v>
      </x:c>
      <x:c r="C700" s="3" t="s">
        <x:v>759</x:v>
      </x:c>
      <x:c r="D700" s="79" t="s">
        <x:v>459</x:v>
      </x:c>
      <x:c r="E700" s="3" t="s">
        <x:v>17</x:v>
      </x:c>
    </x:row>
    <x:row r="701" spans="1:5" ht="81.95" customHeight="1" x14ac:dyDescent="0.25">
      <x:c r="A701" s="3" t="s">
        <x:v>762</x:v>
      </x:c>
      <x:c r="B701" s="3" t="s">
        <x:v>756</x:v>
      </x:c>
      <x:c r="C701" s="79" t="s">
        <x:v>759</x:v>
      </x:c>
      <x:c r="D701" s="3" t="s">
        <x:v>459</x:v>
      </x:c>
      <x:c r="E701" s="3" t="s">
        <x:v>17</x:v>
      </x:c>
    </x:row>
    <x:row r="702" spans="1:5" ht="81.95" customHeight="1" x14ac:dyDescent="0.25">
      <x:c r="A702" s="3" t="s">
        <x:v>763</x:v>
      </x:c>
      <x:c r="B702" s="3" t="s">
        <x:v>756</x:v>
      </x:c>
      <x:c r="C702" s="3" t="s">
        <x:v>759</x:v>
      </x:c>
      <x:c r="D702" s="79" t="s">
        <x:v>459</x:v>
      </x:c>
      <x:c r="E702" s="3" t="s">
        <x:v>17</x:v>
      </x:c>
    </x:row>
    <x:row r="703" spans="1:5" ht="93.95" customHeight="1" x14ac:dyDescent="0.25">
      <x:c r="A703" s="3" t="s">
        <x:v>764</x:v>
      </x:c>
      <x:c r="B703" s="3" t="s">
        <x:v>756</x:v>
      </x:c>
      <x:c r="C703" s="79" t="s">
        <x:v>759</x:v>
      </x:c>
      <x:c r="D703" s="3" t="s">
        <x:v>459</x:v>
      </x:c>
      <x:c r="E703" s="3" t="s">
        <x:v>17</x:v>
      </x:c>
    </x:row>
    <x:row r="704" spans="1:5" ht="47.1" customHeight="1" x14ac:dyDescent="0.25">
      <x:c r="A704" s="3" t="s">
        <x:v>765</x:v>
      </x:c>
      <x:c r="B704" s="3" t="s">
        <x:v>756</x:v>
      </x:c>
      <x:c r="C704" s="3" t="s">
        <x:v>759</x:v>
      </x:c>
      <x:c r="D704" s="79" t="s">
        <x:v>510</x:v>
      </x:c>
      <x:c r="E704" s="3" t="s">
        <x:v>17</x:v>
      </x:c>
    </x:row>
    <x:row r="705" spans="1:5" ht="81.95" customHeight="1" x14ac:dyDescent="0.25">
      <x:c r="A705" s="3" t="s">
        <x:v>766</x:v>
      </x:c>
      <x:c r="B705" s="3" t="s">
        <x:v>756</x:v>
      </x:c>
      <x:c r="C705" s="79" t="s">
        <x:v>759</x:v>
      </x:c>
      <x:c r="D705" s="3" t="s">
        <x:v>461</x:v>
      </x:c>
      <x:c r="E705" s="3" t="s">
        <x:v>24</x:v>
      </x:c>
    </x:row>
    <x:row r="706" spans="1:5" ht="81.95" customHeight="1" x14ac:dyDescent="0.25">
      <x:c r="A706" s="3" t="s">
        <x:v>767</x:v>
      </x:c>
      <x:c r="B706" s="3" t="s">
        <x:v>756</x:v>
      </x:c>
      <x:c r="C706" s="3" t="s">
        <x:v>759</x:v>
      </x:c>
      <x:c r="D706" s="79" t="s">
        <x:v>461</x:v>
      </x:c>
      <x:c r="E706" s="3" t="s">
        <x:v>24</x:v>
      </x:c>
    </x:row>
    <x:row r="707" spans="1:5" ht="81.95" customHeight="1" x14ac:dyDescent="0.25">
      <x:c r="A707" s="3" t="s">
        <x:v>768</x:v>
      </x:c>
      <x:c r="B707" s="3" t="s">
        <x:v>756</x:v>
      </x:c>
      <x:c r="C707" s="79" t="s">
        <x:v>759</x:v>
      </x:c>
      <x:c r="D707" s="3" t="s">
        <x:v>461</x:v>
      </x:c>
      <x:c r="E707" s="3" t="s">
        <x:v>24</x:v>
      </x:c>
    </x:row>
    <x:row r="708" spans="1:5" ht="81.95" customHeight="1" x14ac:dyDescent="0.25">
      <x:c r="A708" s="3" t="s">
        <x:v>769</x:v>
      </x:c>
      <x:c r="B708" s="3" t="s">
        <x:v>756</x:v>
      </x:c>
      <x:c r="C708" s="3" t="s">
        <x:v>759</x:v>
      </x:c>
      <x:c r="D708" s="79" t="s">
        <x:v>461</x:v>
      </x:c>
      <x:c r="E708" s="3" t="s">
        <x:v>24</x:v>
      </x:c>
    </x:row>
    <x:row r="709" spans="1:5" ht="81.95" customHeight="1" x14ac:dyDescent="0.25">
      <x:c r="A709" s="3" t="s">
        <x:v>770</x:v>
      </x:c>
      <x:c r="B709" s="3" t="s">
        <x:v>756</x:v>
      </x:c>
      <x:c r="C709" s="79" t="s">
        <x:v>759</x:v>
      </x:c>
      <x:c r="D709" s="3" t="s">
        <x:v>461</x:v>
      </x:c>
      <x:c r="E709" s="3" t="s">
        <x:v>24</x:v>
      </x:c>
    </x:row>
    <x:row r="710" spans="1:5" ht="81.95" customHeight="1" x14ac:dyDescent="0.25">
      <x:c r="A710" s="3" t="s">
        <x:v>771</x:v>
      </x:c>
      <x:c r="B710" s="3" t="s">
        <x:v>756</x:v>
      </x:c>
      <x:c r="C710" s="3" t="s">
        <x:v>759</x:v>
      </x:c>
      <x:c r="D710" s="79" t="s">
        <x:v>461</x:v>
      </x:c>
      <x:c r="E710" s="3" t="s">
        <x:v>24</x:v>
      </x:c>
    </x:row>
    <x:row r="711" spans="1:5" ht="81.95" customHeight="1" x14ac:dyDescent="0.25">
      <x:c r="A711" s="3" t="s">
        <x:v>772</x:v>
      </x:c>
      <x:c r="B711" s="3" t="s">
        <x:v>756</x:v>
      </x:c>
      <x:c r="C711" s="79" t="s">
        <x:v>759</x:v>
      </x:c>
      <x:c r="D711" s="3" t="s">
        <x:v>461</x:v>
      </x:c>
      <x:c r="E711" s="3" t="s">
        <x:v>24</x:v>
      </x:c>
    </x:row>
    <x:row r="712" spans="1:5" ht="81.95" customHeight="1" x14ac:dyDescent="0.25">
      <x:c r="A712" s="3" t="s">
        <x:v>773</x:v>
      </x:c>
      <x:c r="B712" s="3" t="s">
        <x:v>756</x:v>
      </x:c>
      <x:c r="C712" s="3" t="s">
        <x:v>759</x:v>
      </x:c>
      <x:c r="D712" s="79" t="s">
        <x:v>480</x:v>
      </x:c>
      <x:c r="E712" s="3" t="s">
        <x:v>24</x:v>
      </x:c>
    </x:row>
    <x:row r="713" spans="1:5" ht="81.95" customHeight="1" x14ac:dyDescent="0.25">
      <x:c r="A713" s="3" t="s">
        <x:v>774</x:v>
      </x:c>
      <x:c r="B713" s="3" t="s">
        <x:v>756</x:v>
      </x:c>
      <x:c r="C713" s="79" t="s">
        <x:v>759</x:v>
      </x:c>
      <x:c r="D713" s="3" t="s">
        <x:v>480</x:v>
      </x:c>
      <x:c r="E713" s="3" t="s">
        <x:v>24</x:v>
      </x:c>
    </x:row>
    <x:row r="714" spans="1:5" ht="81.95" customHeight="1" x14ac:dyDescent="0.25">
      <x:c r="A714" s="3" t="s">
        <x:v>775</x:v>
      </x:c>
      <x:c r="B714" s="3" t="s">
        <x:v>756</x:v>
      </x:c>
      <x:c r="C714" s="3" t="s">
        <x:v>759</x:v>
      </x:c>
      <x:c r="D714" s="79" t="s">
        <x:v>480</x:v>
      </x:c>
      <x:c r="E714" s="3" t="s">
        <x:v>24</x:v>
      </x:c>
    </x:row>
    <x:row r="715" spans="1:5" ht="81.95" customHeight="1" x14ac:dyDescent="0.25">
      <x:c r="A715" s="3" t="s">
        <x:v>776</x:v>
      </x:c>
      <x:c r="B715" s="3" t="s">
        <x:v>756</x:v>
      </x:c>
      <x:c r="C715" s="79" t="s">
        <x:v>759</x:v>
      </x:c>
      <x:c r="D715" s="3" t="s">
        <x:v>183</x:v>
      </x:c>
      <x:c r="E715" s="3" t="s">
        <x:v>24</x:v>
      </x:c>
    </x:row>
    <x:row r="716" spans="1:5" ht="81.95" customHeight="1" x14ac:dyDescent="0.25">
      <x:c r="A716" s="3" t="s">
        <x:v>777</x:v>
      </x:c>
      <x:c r="B716" s="3" t="s">
        <x:v>756</x:v>
      </x:c>
      <x:c r="C716" s="3" t="s">
        <x:v>759</x:v>
      </x:c>
      <x:c r="D716" s="79" t="s">
        <x:v>183</x:v>
      </x:c>
      <x:c r="E716" s="3" t="s">
        <x:v>24</x:v>
      </x:c>
    </x:row>
    <x:row r="717" spans="1:5" ht="81.95" customHeight="1" x14ac:dyDescent="0.25">
      <x:c r="A717" s="3" t="s">
        <x:v>778</x:v>
      </x:c>
      <x:c r="B717" s="3" t="s">
        <x:v>756</x:v>
      </x:c>
      <x:c r="C717" s="79" t="s">
        <x:v>759</x:v>
      </x:c>
      <x:c r="D717" s="3" t="s">
        <x:v>183</x:v>
      </x:c>
      <x:c r="E717" s="3" t="s">
        <x:v>24</x:v>
      </x:c>
    </x:row>
    <x:row r="718" spans="1:5" ht="81.95" customHeight="1" x14ac:dyDescent="0.25">
      <x:c r="A718" s="3" t="s">
        <x:v>779</x:v>
      </x:c>
      <x:c r="B718" s="3" t="s">
        <x:v>756</x:v>
      </x:c>
      <x:c r="C718" s="3" t="s">
        <x:v>759</x:v>
      </x:c>
      <x:c r="D718" s="79" t="s">
        <x:v>183</x:v>
      </x:c>
      <x:c r="E718" s="3" t="s">
        <x:v>24</x:v>
      </x:c>
    </x:row>
    <x:row r="719" spans="1:5" ht="93.95" customHeight="1" x14ac:dyDescent="0.25">
      <x:c r="A719" s="3" t="s">
        <x:v>780</x:v>
      </x:c>
      <x:c r="B719" s="3" t="s">
        <x:v>756</x:v>
      </x:c>
      <x:c r="C719" s="79" t="s">
        <x:v>759</x:v>
      </x:c>
      <x:c r="D719" s="3" t="s">
        <x:v>191</x:v>
      </x:c>
      <x:c r="E719" s="3" t="s">
        <x:v>24</x:v>
      </x:c>
    </x:row>
    <x:row r="720" spans="1:5" ht="93.95" customHeight="1" x14ac:dyDescent="0.25">
      <x:c r="A720" s="3" t="s">
        <x:v>781</x:v>
      </x:c>
      <x:c r="B720" s="3" t="s">
        <x:v>756</x:v>
      </x:c>
      <x:c r="C720" s="3" t="s">
        <x:v>782</x:v>
      </x:c>
      <x:c r="D720" s="79" t="s">
        <x:v>399</x:v>
      </x:c>
      <x:c r="E720" s="3"/>
    </x:row>
    <x:row r="721" spans="1:5" ht="93.95" customHeight="1" x14ac:dyDescent="0.25">
      <x:c r="A721" s="3" t="s">
        <x:v>783</x:v>
      </x:c>
      <x:c r="B721" s="3" t="s">
        <x:v>756</x:v>
      </x:c>
      <x:c r="C721" s="79" t="s">
        <x:v>782</x:v>
      </x:c>
      <x:c r="D721" s="3" t="s">
        <x:v>459</x:v>
      </x:c>
      <x:c r="E721" s="3" t="s">
        <x:v>17</x:v>
      </x:c>
    </x:row>
    <x:row r="722" spans="1:5" ht="47.1" customHeight="1" x14ac:dyDescent="0.25">
      <x:c r="A722" s="3" t="s">
        <x:v>784</x:v>
      </x:c>
      <x:c r="B722" s="3" t="s">
        <x:v>756</x:v>
      </x:c>
      <x:c r="C722" s="3" t="s">
        <x:v>782</x:v>
      </x:c>
      <x:c r="D722" s="79" t="s">
        <x:v>459</x:v>
      </x:c>
      <x:c r="E722" s="3" t="s">
        <x:v>17</x:v>
      </x:c>
    </x:row>
    <x:row r="723" spans="1:5" ht="81.95" customHeight="1" x14ac:dyDescent="0.25">
      <x:c r="A723" s="3" t="s">
        <x:v>785</x:v>
      </x:c>
      <x:c r="B723" s="3" t="s">
        <x:v>756</x:v>
      </x:c>
      <x:c r="C723" s="79" t="s">
        <x:v>782</x:v>
      </x:c>
      <x:c r="D723" s="3" t="s">
        <x:v>459</x:v>
      </x:c>
      <x:c r="E723" s="3" t="s">
        <x:v>17</x:v>
      </x:c>
    </x:row>
    <x:row r="724" spans="1:5" ht="81.95" customHeight="1" x14ac:dyDescent="0.25">
      <x:c r="A724" s="3" t="s">
        <x:v>786</x:v>
      </x:c>
      <x:c r="B724" s="3" t="s">
        <x:v>756</x:v>
      </x:c>
      <x:c r="C724" s="3" t="s">
        <x:v>782</x:v>
      </x:c>
      <x:c r="D724" s="79" t="s">
        <x:v>461</x:v>
      </x:c>
      <x:c r="E724" s="3" t="s">
        <x:v>24</x:v>
      </x:c>
    </x:row>
    <x:row r="725" spans="1:5" ht="81.95" customHeight="1" x14ac:dyDescent="0.25">
      <x:c r="A725" s="3" t="s">
        <x:v>787</x:v>
      </x:c>
      <x:c r="B725" s="3" t="s">
        <x:v>756</x:v>
      </x:c>
      <x:c r="C725" s="79" t="s">
        <x:v>782</x:v>
      </x:c>
      <x:c r="D725" s="3" t="s">
        <x:v>461</x:v>
      </x:c>
      <x:c r="E725" s="3" t="s">
        <x:v>24</x:v>
      </x:c>
    </x:row>
    <x:row r="726" spans="1:5" ht="81.95" customHeight="1" x14ac:dyDescent="0.25">
      <x:c r="A726" s="3" t="s">
        <x:v>788</x:v>
      </x:c>
      <x:c r="B726" s="3" t="s">
        <x:v>756</x:v>
      </x:c>
      <x:c r="C726" s="3" t="s">
        <x:v>782</x:v>
      </x:c>
      <x:c r="D726" s="79" t="s">
        <x:v>461</x:v>
      </x:c>
      <x:c r="E726" s="3" t="s">
        <x:v>24</x:v>
      </x:c>
    </x:row>
    <x:row r="727" spans="1:5" ht="81.95" customHeight="1" x14ac:dyDescent="0.25">
      <x:c r="A727" s="3" t="s">
        <x:v>789</x:v>
      </x:c>
      <x:c r="B727" s="3" t="s">
        <x:v>756</x:v>
      </x:c>
      <x:c r="C727" s="79" t="s">
        <x:v>782</x:v>
      </x:c>
      <x:c r="D727" s="3" t="s">
        <x:v>461</x:v>
      </x:c>
      <x:c r="E727" s="3" t="s">
        <x:v>24</x:v>
      </x:c>
    </x:row>
    <x:row r="728" spans="1:5" ht="81.95" customHeight="1" x14ac:dyDescent="0.25">
      <x:c r="A728" s="3" t="s">
        <x:v>790</x:v>
      </x:c>
      <x:c r="B728" s="3" t="s">
        <x:v>756</x:v>
      </x:c>
      <x:c r="C728" s="3" t="s">
        <x:v>782</x:v>
      </x:c>
      <x:c r="D728" s="79" t="s">
        <x:v>461</x:v>
      </x:c>
      <x:c r="E728" s="3" t="s">
        <x:v>24</x:v>
      </x:c>
    </x:row>
    <x:row r="729" spans="1:5" ht="81.95" customHeight="1" x14ac:dyDescent="0.25">
      <x:c r="A729" s="3" t="s">
        <x:v>791</x:v>
      </x:c>
      <x:c r="B729" s="3" t="s">
        <x:v>756</x:v>
      </x:c>
      <x:c r="C729" s="79" t="s">
        <x:v>782</x:v>
      </x:c>
      <x:c r="D729" s="3" t="s">
        <x:v>461</x:v>
      </x:c>
      <x:c r="E729" s="3" t="s">
        <x:v>24</x:v>
      </x:c>
    </x:row>
    <x:row r="730" spans="1:5" ht="81.95" customHeight="1" x14ac:dyDescent="0.25">
      <x:c r="A730" s="3" t="s">
        <x:v>792</x:v>
      </x:c>
      <x:c r="B730" s="3" t="s">
        <x:v>756</x:v>
      </x:c>
      <x:c r="C730" s="3" t="s">
        <x:v>782</x:v>
      </x:c>
      <x:c r="D730" s="79" t="s">
        <x:v>461</x:v>
      </x:c>
      <x:c r="E730" s="3" t="s">
        <x:v>24</x:v>
      </x:c>
    </x:row>
    <x:row r="731" spans="1:5" ht="81.95" customHeight="1" x14ac:dyDescent="0.25">
      <x:c r="A731" s="3" t="s">
        <x:v>793</x:v>
      </x:c>
      <x:c r="B731" s="3" t="s">
        <x:v>756</x:v>
      </x:c>
      <x:c r="C731" s="79" t="s">
        <x:v>782</x:v>
      </x:c>
      <x:c r="D731" s="3" t="s">
        <x:v>461</x:v>
      </x:c>
      <x:c r="E731" s="3" t="s">
        <x:v>24</x:v>
      </x:c>
    </x:row>
    <x:row r="732" spans="1:5" ht="81.95" customHeight="1" x14ac:dyDescent="0.25">
      <x:c r="A732" s="3" t="s">
        <x:v>794</x:v>
      </x:c>
      <x:c r="B732" s="3" t="s">
        <x:v>756</x:v>
      </x:c>
      <x:c r="C732" s="3" t="s">
        <x:v>782</x:v>
      </x:c>
      <x:c r="D732" s="79" t="s">
        <x:v>510</x:v>
      </x:c>
      <x:c r="E732" s="3" t="s">
        <x:v>17</x:v>
      </x:c>
    </x:row>
    <x:row r="733" spans="1:5" ht="81.95" customHeight="1" x14ac:dyDescent="0.25">
      <x:c r="A733" s="3" t="s">
        <x:v>795</x:v>
      </x:c>
      <x:c r="B733" s="3" t="s">
        <x:v>756</x:v>
      </x:c>
      <x:c r="C733" s="79" t="s">
        <x:v>782</x:v>
      </x:c>
      <x:c r="D733" s="3" t="s">
        <x:v>480</x:v>
      </x:c>
      <x:c r="E733" s="3" t="s">
        <x:v>24</x:v>
      </x:c>
    </x:row>
    <x:row r="734" spans="1:5" ht="81.95" customHeight="1" x14ac:dyDescent="0.25">
      <x:c r="A734" s="3" t="s">
        <x:v>796</x:v>
      </x:c>
      <x:c r="B734" s="3" t="s">
        <x:v>756</x:v>
      </x:c>
      <x:c r="C734" s="3" t="s">
        <x:v>782</x:v>
      </x:c>
      <x:c r="D734" s="79" t="s">
        <x:v>480</x:v>
      </x:c>
      <x:c r="E734" s="3" t="s">
        <x:v>24</x:v>
      </x:c>
    </x:row>
    <x:row r="735" spans="1:5" ht="81.95" customHeight="1" x14ac:dyDescent="0.25">
      <x:c r="A735" s="3" t="s">
        <x:v>797</x:v>
      </x:c>
      <x:c r="B735" s="3" t="s">
        <x:v>756</x:v>
      </x:c>
      <x:c r="C735" s="79" t="s">
        <x:v>798</x:v>
      </x:c>
      <x:c r="D735" s="3" t="s">
        <x:v>399</x:v>
      </x:c>
      <x:c r="E735" s="3"/>
    </x:row>
    <x:row r="736" spans="1:5" ht="81.95" customHeight="1" x14ac:dyDescent="0.25">
      <x:c r="A736" s="3" t="s">
        <x:v>799</x:v>
      </x:c>
      <x:c r="B736" s="3" t="s">
        <x:v>756</x:v>
      </x:c>
      <x:c r="C736" s="3" t="s">
        <x:v>798</x:v>
      </x:c>
      <x:c r="D736" s="79" t="s">
        <x:v>459</x:v>
      </x:c>
      <x:c r="E736" s="3" t="s">
        <x:v>17</x:v>
      </x:c>
    </x:row>
    <x:row r="737" spans="1:5" ht="81.95" customHeight="1" x14ac:dyDescent="0.25">
      <x:c r="A737" s="3" t="s">
        <x:v>800</x:v>
      </x:c>
      <x:c r="B737" s="3" t="s">
        <x:v>756</x:v>
      </x:c>
      <x:c r="C737" s="79" t="s">
        <x:v>798</x:v>
      </x:c>
      <x:c r="D737" s="3" t="s">
        <x:v>459</x:v>
      </x:c>
      <x:c r="E737" s="3" t="s">
        <x:v>17</x:v>
      </x:c>
    </x:row>
    <x:row r="738" spans="1:5" ht="81.95" customHeight="1" x14ac:dyDescent="0.25">
      <x:c r="A738" s="3" t="s">
        <x:v>801</x:v>
      </x:c>
      <x:c r="B738" s="3" t="s">
        <x:v>756</x:v>
      </x:c>
      <x:c r="C738" s="3" t="s">
        <x:v>798</x:v>
      </x:c>
      <x:c r="D738" s="79" t="s">
        <x:v>459</x:v>
      </x:c>
      <x:c r="E738" s="3" t="s">
        <x:v>17</x:v>
      </x:c>
    </x:row>
    <x:row r="739" spans="1:5" ht="81.95" customHeight="1" x14ac:dyDescent="0.25">
      <x:c r="A739" s="3" t="s">
        <x:v>802</x:v>
      </x:c>
      <x:c r="B739" s="3" t="s">
        <x:v>756</x:v>
      </x:c>
      <x:c r="C739" s="79" t="s">
        <x:v>798</x:v>
      </x:c>
      <x:c r="D739" s="3" t="s">
        <x:v>459</x:v>
      </x:c>
      <x:c r="E739" s="3" t="s">
        <x:v>17</x:v>
      </x:c>
    </x:row>
    <x:row r="740" spans="1:5" ht="81.95" customHeight="1" x14ac:dyDescent="0.25">
      <x:c r="A740" s="3" t="s">
        <x:v>803</x:v>
      </x:c>
      <x:c r="B740" s="3" t="s">
        <x:v>756</x:v>
      </x:c>
      <x:c r="C740" s="3" t="s">
        <x:v>798</x:v>
      </x:c>
      <x:c r="D740" s="79" t="s">
        <x:v>461</x:v>
      </x:c>
      <x:c r="E740" s="3" t="s">
        <x:v>24</x:v>
      </x:c>
    </x:row>
    <x:row r="741" spans="1:5" ht="81.95" customHeight="1" x14ac:dyDescent="0.25">
      <x:c r="A741" s="3" t="s">
        <x:v>804</x:v>
      </x:c>
      <x:c r="B741" s="3" t="s">
        <x:v>756</x:v>
      </x:c>
      <x:c r="C741" s="79" t="s">
        <x:v>798</x:v>
      </x:c>
      <x:c r="D741" s="3" t="s">
        <x:v>461</x:v>
      </x:c>
      <x:c r="E741" s="3" t="s">
        <x:v>24</x:v>
      </x:c>
    </x:row>
    <x:row r="742" spans="1:5" ht="81.95" customHeight="1" x14ac:dyDescent="0.25">
      <x:c r="A742" s="3" t="s">
        <x:v>805</x:v>
      </x:c>
      <x:c r="B742" s="3" t="s">
        <x:v>756</x:v>
      </x:c>
      <x:c r="C742" s="3" t="s">
        <x:v>798</x:v>
      </x:c>
      <x:c r="D742" s="79" t="s">
        <x:v>461</x:v>
      </x:c>
      <x:c r="E742" s="3" t="s">
        <x:v>24</x:v>
      </x:c>
    </x:row>
    <x:row r="743" spans="1:5" ht="81.95" customHeight="1" x14ac:dyDescent="0.25">
      <x:c r="A743" s="3" t="s">
        <x:v>806</x:v>
      </x:c>
      <x:c r="B743" s="3" t="s">
        <x:v>756</x:v>
      </x:c>
      <x:c r="C743" s="79" t="s">
        <x:v>798</x:v>
      </x:c>
      <x:c r="D743" s="3" t="s">
        <x:v>461</x:v>
      </x:c>
      <x:c r="E743" s="3" t="s">
        <x:v>24</x:v>
      </x:c>
    </x:row>
    <x:row r="744" spans="1:5" ht="81.95" customHeight="1" x14ac:dyDescent="0.25">
      <x:c r="A744" s="3" t="s">
        <x:v>807</x:v>
      </x:c>
      <x:c r="B744" s="3" t="s">
        <x:v>756</x:v>
      </x:c>
      <x:c r="C744" s="3" t="s">
        <x:v>798</x:v>
      </x:c>
      <x:c r="D744" s="79" t="s">
        <x:v>461</x:v>
      </x:c>
      <x:c r="E744" s="3" t="s">
        <x:v>24</x:v>
      </x:c>
    </x:row>
    <x:row r="745" spans="1:5" ht="81.95" customHeight="1" x14ac:dyDescent="0.25">
      <x:c r="A745" s="3" t="s">
        <x:v>808</x:v>
      </x:c>
      <x:c r="B745" s="3" t="s">
        <x:v>756</x:v>
      </x:c>
      <x:c r="C745" s="79" t="s">
        <x:v>798</x:v>
      </x:c>
      <x:c r="D745" s="3" t="s">
        <x:v>461</x:v>
      </x:c>
      <x:c r="E745" s="3" t="s">
        <x:v>24</x:v>
      </x:c>
    </x:row>
    <x:row r="746" spans="1:5" ht="81.95" customHeight="1" x14ac:dyDescent="0.25">
      <x:c r="A746" s="3" t="s">
        <x:v>809</x:v>
      </x:c>
      <x:c r="B746" s="3" t="s">
        <x:v>756</x:v>
      </x:c>
      <x:c r="C746" s="3" t="s">
        <x:v>798</x:v>
      </x:c>
      <x:c r="D746" s="79" t="s">
        <x:v>461</x:v>
      </x:c>
      <x:c r="E746" s="3" t="s">
        <x:v>24</x:v>
      </x:c>
    </x:row>
    <x:row r="747" spans="1:5" ht="81.95" customHeight="1" x14ac:dyDescent="0.25">
      <x:c r="A747" s="3" t="s">
        <x:v>810</x:v>
      </x:c>
      <x:c r="B747" s="3" t="s">
        <x:v>756</x:v>
      </x:c>
      <x:c r="C747" s="79" t="s">
        <x:v>798</x:v>
      </x:c>
      <x:c r="D747" s="3" t="s">
        <x:v>461</x:v>
      </x:c>
      <x:c r="E747" s="3" t="s">
        <x:v>24</x:v>
      </x:c>
    </x:row>
    <x:row r="748" spans="1:5" ht="81.95" customHeight="1" x14ac:dyDescent="0.25">
      <x:c r="A748" s="3" t="s">
        <x:v>811</x:v>
      </x:c>
      <x:c r="B748" s="3" t="s">
        <x:v>756</x:v>
      </x:c>
      <x:c r="C748" s="3" t="s">
        <x:v>798</x:v>
      </x:c>
      <x:c r="D748" s="79" t="s">
        <x:v>461</x:v>
      </x:c>
      <x:c r="E748" s="3" t="s">
        <x:v>24</x:v>
      </x:c>
    </x:row>
    <x:row r="749" spans="1:5" ht="81.95" customHeight="1" x14ac:dyDescent="0.25">
      <x:c r="A749" s="3" t="s">
        <x:v>812</x:v>
      </x:c>
      <x:c r="B749" s="3" t="s">
        <x:v>756</x:v>
      </x:c>
      <x:c r="C749" s="79" t="s">
        <x:v>798</x:v>
      </x:c>
      <x:c r="D749" s="3" t="s">
        <x:v>461</x:v>
      </x:c>
      <x:c r="E749" s="3" t="s">
        <x:v>24</x:v>
      </x:c>
    </x:row>
    <x:row r="750" spans="1:5" ht="81.95" customHeight="1" x14ac:dyDescent="0.25">
      <x:c r="A750" s="3" t="s">
        <x:v>813</x:v>
      </x:c>
      <x:c r="B750" s="3" t="s">
        <x:v>756</x:v>
      </x:c>
      <x:c r="C750" s="3" t="s">
        <x:v>798</x:v>
      </x:c>
      <x:c r="D750" s="79" t="s">
        <x:v>461</x:v>
      </x:c>
      <x:c r="E750" s="3" t="s">
        <x:v>24</x:v>
      </x:c>
    </x:row>
    <x:row r="751" spans="1:5" ht="81.95" customHeight="1" x14ac:dyDescent="0.25">
      <x:c r="A751" s="3" t="s">
        <x:v>814</x:v>
      </x:c>
      <x:c r="B751" s="3" t="s">
        <x:v>756</x:v>
      </x:c>
      <x:c r="C751" s="79" t="s">
        <x:v>798</x:v>
      </x:c>
      <x:c r="D751" s="3" t="s">
        <x:v>461</x:v>
      </x:c>
      <x:c r="E751" s="3" t="s">
        <x:v>24</x:v>
      </x:c>
    </x:row>
    <x:row r="752" spans="1:5" ht="93.95" customHeight="1" x14ac:dyDescent="0.25">
      <x:c r="A752" s="3" t="s">
        <x:v>815</x:v>
      </x:c>
      <x:c r="B752" s="3" t="s">
        <x:v>756</x:v>
      </x:c>
      <x:c r="C752" s="3" t="s">
        <x:v>798</x:v>
      </x:c>
      <x:c r="D752" s="79" t="s">
        <x:v>510</x:v>
      </x:c>
      <x:c r="E752" s="3" t="s">
        <x:v>17</x:v>
      </x:c>
    </x:row>
    <x:row r="753" spans="1:5" ht="47.1" customHeight="1" x14ac:dyDescent="0.25">
      <x:c r="A753" s="3" t="s">
        <x:v>816</x:v>
      </x:c>
      <x:c r="B753" s="3" t="s">
        <x:v>756</x:v>
      </x:c>
      <x:c r="C753" s="79" t="s">
        <x:v>798</x:v>
      </x:c>
      <x:c r="D753" s="3" t="s">
        <x:v>480</x:v>
      </x:c>
      <x:c r="E753" s="3" t="s">
        <x:v>24</x:v>
      </x:c>
    </x:row>
    <x:row r="754" spans="1:5" ht="81.95" customHeight="1" x14ac:dyDescent="0.25">
      <x:c r="A754" s="3" t="s">
        <x:v>817</x:v>
      </x:c>
      <x:c r="B754" s="3" t="s">
        <x:v>756</x:v>
      </x:c>
      <x:c r="C754" s="3" t="s">
        <x:v>798</x:v>
      </x:c>
      <x:c r="D754" s="79" t="s">
        <x:v>480</x:v>
      </x:c>
      <x:c r="E754" s="3" t="s">
        <x:v>24</x:v>
      </x:c>
    </x:row>
    <x:row r="755" spans="1:5" ht="81.95" customHeight="1" x14ac:dyDescent="0.25">
      <x:c r="A755" s="3" t="s">
        <x:v>818</x:v>
      </x:c>
      <x:c r="B755" s="3" t="s">
        <x:v>756</x:v>
      </x:c>
      <x:c r="C755" s="79" t="s">
        <x:v>798</x:v>
      </x:c>
      <x:c r="D755" s="3" t="s">
        <x:v>480</x:v>
      </x:c>
      <x:c r="E755" s="3" t="s">
        <x:v>24</x:v>
      </x:c>
    </x:row>
    <x:row r="756" spans="1:5" ht="81.95" customHeight="1" x14ac:dyDescent="0.25">
      <x:c r="A756" s="3" t="s">
        <x:v>819</x:v>
      </x:c>
      <x:c r="B756" s="3" t="s">
        <x:v>756</x:v>
      </x:c>
      <x:c r="C756" s="3" t="s">
        <x:v>820</x:v>
      </x:c>
      <x:c r="D756" s="79" t="s">
        <x:v>399</x:v>
      </x:c>
      <x:c r="E756" s="3"/>
    </x:row>
    <x:row r="757" spans="1:5" ht="81.95" customHeight="1" x14ac:dyDescent="0.25">
      <x:c r="A757" s="3" t="s">
        <x:v>821</x:v>
      </x:c>
      <x:c r="B757" s="3" t="s">
        <x:v>756</x:v>
      </x:c>
      <x:c r="C757" s="79" t="s">
        <x:v>820</x:v>
      </x:c>
      <x:c r="D757" s="3" t="s">
        <x:v>459</x:v>
      </x:c>
      <x:c r="E757" s="3" t="s">
        <x:v>17</x:v>
      </x:c>
    </x:row>
    <x:row r="758" spans="1:5" ht="81.95" customHeight="1" x14ac:dyDescent="0.25">
      <x:c r="A758" s="3" t="s">
        <x:v>822</x:v>
      </x:c>
      <x:c r="B758" s="3" t="s">
        <x:v>756</x:v>
      </x:c>
      <x:c r="C758" s="3" t="s">
        <x:v>820</x:v>
      </x:c>
      <x:c r="D758" s="79" t="s">
        <x:v>459</x:v>
      </x:c>
      <x:c r="E758" s="3" t="s">
        <x:v>17</x:v>
      </x:c>
    </x:row>
    <x:row r="759" spans="1:5" ht="81.95" customHeight="1" x14ac:dyDescent="0.25">
      <x:c r="A759" s="3" t="s">
        <x:v>823</x:v>
      </x:c>
      <x:c r="B759" s="3" t="s">
        <x:v>756</x:v>
      </x:c>
      <x:c r="C759" s="79" t="s">
        <x:v>820</x:v>
      </x:c>
      <x:c r="D759" s="3" t="s">
        <x:v>459</x:v>
      </x:c>
      <x:c r="E759" s="3" t="s">
        <x:v>17</x:v>
      </x:c>
    </x:row>
    <x:row r="760" spans="1:5" ht="81.95" customHeight="1" x14ac:dyDescent="0.25">
      <x:c r="A760" s="3" t="s">
        <x:v>824</x:v>
      </x:c>
      <x:c r="B760" s="3" t="s">
        <x:v>756</x:v>
      </x:c>
      <x:c r="C760" s="3" t="s">
        <x:v>820</x:v>
      </x:c>
      <x:c r="D760" s="79" t="s">
        <x:v>459</x:v>
      </x:c>
      <x:c r="E760" s="3" t="s">
        <x:v>17</x:v>
      </x:c>
    </x:row>
    <x:row r="761" spans="1:5" ht="81.95" customHeight="1" x14ac:dyDescent="0.25">
      <x:c r="A761" s="3" t="s">
        <x:v>825</x:v>
      </x:c>
      <x:c r="B761" s="3" t="s">
        <x:v>756</x:v>
      </x:c>
      <x:c r="C761" s="79" t="s">
        <x:v>820</x:v>
      </x:c>
      <x:c r="D761" s="3" t="s">
        <x:v>510</x:v>
      </x:c>
      <x:c r="E761" s="3" t="s">
        <x:v>17</x:v>
      </x:c>
    </x:row>
    <x:row r="762" spans="1:5" ht="81.95" customHeight="1" x14ac:dyDescent="0.25">
      <x:c r="A762" s="3" t="s">
        <x:v>826</x:v>
      </x:c>
      <x:c r="B762" s="3" t="s">
        <x:v>756</x:v>
      </x:c>
      <x:c r="C762" s="3" t="s">
        <x:v>820</x:v>
      </x:c>
      <x:c r="D762" s="79" t="s">
        <x:v>461</x:v>
      </x:c>
      <x:c r="E762" s="3" t="s">
        <x:v>24</x:v>
      </x:c>
    </x:row>
    <x:row r="763" spans="1:5" ht="81.95" customHeight="1" x14ac:dyDescent="0.25">
      <x:c r="A763" s="3" t="s">
        <x:v>827</x:v>
      </x:c>
      <x:c r="B763" s="3" t="s">
        <x:v>756</x:v>
      </x:c>
      <x:c r="C763" s="79" t="s">
        <x:v>820</x:v>
      </x:c>
      <x:c r="D763" s="3" t="s">
        <x:v>461</x:v>
      </x:c>
      <x:c r="E763" s="3" t="s">
        <x:v>24</x:v>
      </x:c>
    </x:row>
    <x:row r="764" spans="1:5" ht="81.95" customHeight="1" x14ac:dyDescent="0.25">
      <x:c r="A764" s="3" t="s">
        <x:v>828</x:v>
      </x:c>
      <x:c r="B764" s="3" t="s">
        <x:v>756</x:v>
      </x:c>
      <x:c r="C764" s="3" t="s">
        <x:v>820</x:v>
      </x:c>
      <x:c r="D764" s="79" t="s">
        <x:v>461</x:v>
      </x:c>
      <x:c r="E764" s="3" t="s">
        <x:v>24</x:v>
      </x:c>
    </x:row>
    <x:row r="765" spans="1:5" ht="81.95" customHeight="1" x14ac:dyDescent="0.25">
      <x:c r="A765" s="3" t="s">
        <x:v>829</x:v>
      </x:c>
      <x:c r="B765" s="3" t="s">
        <x:v>756</x:v>
      </x:c>
      <x:c r="C765" s="79" t="s">
        <x:v>820</x:v>
      </x:c>
      <x:c r="D765" s="3" t="s">
        <x:v>461</x:v>
      </x:c>
      <x:c r="E765" s="3" t="s">
        <x:v>24</x:v>
      </x:c>
    </x:row>
    <x:row r="766" spans="1:5" ht="81.95" customHeight="1" x14ac:dyDescent="0.25">
      <x:c r="A766" s="3" t="s">
        <x:v>830</x:v>
      </x:c>
      <x:c r="B766" s="3" t="s">
        <x:v>756</x:v>
      </x:c>
      <x:c r="C766" s="3" t="s">
        <x:v>820</x:v>
      </x:c>
      <x:c r="D766" s="79" t="s">
        <x:v>461</x:v>
      </x:c>
      <x:c r="E766" s="3" t="s">
        <x:v>24</x:v>
      </x:c>
    </x:row>
    <x:row r="767" spans="1:5" ht="81.95" customHeight="1" x14ac:dyDescent="0.25">
      <x:c r="A767" s="3" t="s">
        <x:v>831</x:v>
      </x:c>
      <x:c r="B767" s="3" t="s">
        <x:v>756</x:v>
      </x:c>
      <x:c r="C767" s="79" t="s">
        <x:v>820</x:v>
      </x:c>
      <x:c r="D767" s="3" t="s">
        <x:v>461</x:v>
      </x:c>
      <x:c r="E767" s="3" t="s">
        <x:v>24</x:v>
      </x:c>
    </x:row>
    <x:row r="768" spans="1:5" ht="81.95" customHeight="1" x14ac:dyDescent="0.25">
      <x:c r="A768" s="3" t="s">
        <x:v>832</x:v>
      </x:c>
      <x:c r="B768" s="3" t="s">
        <x:v>756</x:v>
      </x:c>
      <x:c r="C768" s="3" t="s">
        <x:v>820</x:v>
      </x:c>
      <x:c r="D768" s="79" t="s">
        <x:v>461</x:v>
      </x:c>
      <x:c r="E768" s="3" t="s">
        <x:v>24</x:v>
      </x:c>
    </x:row>
    <x:row r="769" spans="1:5" ht="81.95" customHeight="1" x14ac:dyDescent="0.25">
      <x:c r="A769" s="3" t="s">
        <x:v>833</x:v>
      </x:c>
      <x:c r="B769" s="3" t="s">
        <x:v>756</x:v>
      </x:c>
      <x:c r="C769" s="79" t="s">
        <x:v>820</x:v>
      </x:c>
      <x:c r="D769" s="3" t="s">
        <x:v>461</x:v>
      </x:c>
      <x:c r="E769" s="3" t="s">
        <x:v>24</x:v>
      </x:c>
    </x:row>
    <x:row r="770" spans="1:5" ht="81.95" customHeight="1" x14ac:dyDescent="0.25">
      <x:c r="A770" s="3" t="s">
        <x:v>834</x:v>
      </x:c>
      <x:c r="B770" s="3" t="s">
        <x:v>756</x:v>
      </x:c>
      <x:c r="C770" s="3" t="s">
        <x:v>820</x:v>
      </x:c>
      <x:c r="D770" s="79" t="s">
        <x:v>480</x:v>
      </x:c>
      <x:c r="E770" s="3" t="s">
        <x:v>24</x:v>
      </x:c>
    </x:row>
    <x:row r="771" spans="1:5" ht="81.95" customHeight="1" x14ac:dyDescent="0.25">
      <x:c r="A771" s="3" t="s">
        <x:v>835</x:v>
      </x:c>
      <x:c r="B771" s="3" t="s">
        <x:v>756</x:v>
      </x:c>
      <x:c r="C771" s="79"/>
      <x:c r="D771" s="3" t="s">
        <x:v>757</x:v>
      </x:c>
      <x:c r="E771" s="3"/>
    </x:row>
    <x:row r="772" spans="1:5" ht="81.95" customHeight="1" x14ac:dyDescent="0.25">
      <x:c r="A772" s="3" t="s">
        <x:v>836</x:v>
      </x:c>
      <x:c r="B772" s="3" t="s">
        <x:v>756</x:v>
      </x:c>
      <x:c r="C772" s="3" t="s">
        <x:v>837</x:v>
      </x:c>
      <x:c r="D772" s="79" t="s">
        <x:v>399</x:v>
      </x:c>
      <x:c r="E772" s="3"/>
    </x:row>
    <x:row r="773" spans="1:5" ht="81.95" customHeight="1" x14ac:dyDescent="0.25">
      <x:c r="A773" s="3" t="s">
        <x:v>838</x:v>
      </x:c>
      <x:c r="B773" s="3" t="s">
        <x:v>756</x:v>
      </x:c>
      <x:c r="C773" s="79" t="s">
        <x:v>837</x:v>
      </x:c>
      <x:c r="D773" s="3" t="s">
        <x:v>459</x:v>
      </x:c>
      <x:c r="E773" s="3" t="s">
        <x:v>17</x:v>
      </x:c>
    </x:row>
    <x:row r="774" spans="1:5" ht="81.95" customHeight="1" x14ac:dyDescent="0.25">
      <x:c r="A774" s="3" t="s">
        <x:v>839</x:v>
      </x:c>
      <x:c r="B774" s="3" t="s">
        <x:v>756</x:v>
      </x:c>
      <x:c r="C774" s="3" t="s">
        <x:v>837</x:v>
      </x:c>
      <x:c r="D774" s="79" t="s">
        <x:v>459</x:v>
      </x:c>
      <x:c r="E774" s="3" t="s">
        <x:v>17</x:v>
      </x:c>
    </x:row>
    <x:row r="775" spans="1:5" ht="81.95" customHeight="1" x14ac:dyDescent="0.25">
      <x:c r="A775" s="3" t="s">
        <x:v>840</x:v>
      </x:c>
      <x:c r="B775" s="3" t="s">
        <x:v>756</x:v>
      </x:c>
      <x:c r="C775" s="79" t="s">
        <x:v>837</x:v>
      </x:c>
      <x:c r="D775" s="3" t="s">
        <x:v>459</x:v>
      </x:c>
      <x:c r="E775" s="3" t="s">
        <x:v>17</x:v>
      </x:c>
    </x:row>
    <x:row r="776" spans="1:5" ht="93.95" customHeight="1" x14ac:dyDescent="0.25">
      <x:c r="A776" s="3" t="s">
        <x:v>841</x:v>
      </x:c>
      <x:c r="B776" s="3" t="s">
        <x:v>756</x:v>
      </x:c>
      <x:c r="C776" s="3" t="s">
        <x:v>837</x:v>
      </x:c>
      <x:c r="D776" s="79" t="s">
        <x:v>459</x:v>
      </x:c>
      <x:c r="E776" s="3" t="s">
        <x:v>17</x:v>
      </x:c>
    </x:row>
    <x:row r="777" spans="1:5" ht="47.1" customHeight="1" x14ac:dyDescent="0.25">
      <x:c r="A777" s="3" t="s">
        <x:v>842</x:v>
      </x:c>
      <x:c r="B777" s="3" t="s">
        <x:v>756</x:v>
      </x:c>
      <x:c r="C777" s="79" t="s">
        <x:v>837</x:v>
      </x:c>
      <x:c r="D777" s="3" t="s">
        <x:v>461</x:v>
      </x:c>
      <x:c r="E777" s="3" t="s">
        <x:v>24</x:v>
      </x:c>
    </x:row>
    <x:row r="778" spans="1:5" ht="59.1" customHeight="1" x14ac:dyDescent="0.25">
      <x:c r="A778" s="3" t="s">
        <x:v>843</x:v>
      </x:c>
      <x:c r="B778" s="3" t="s">
        <x:v>756</x:v>
      </x:c>
      <x:c r="C778" s="3" t="s">
        <x:v>837</x:v>
      </x:c>
      <x:c r="D778" s="79" t="s">
        <x:v>461</x:v>
      </x:c>
      <x:c r="E778" s="3" t="s">
        <x:v>24</x:v>
      </x:c>
    </x:row>
    <x:row r="779" spans="1:5" ht="59.1" customHeight="1" x14ac:dyDescent="0.25">
      <x:c r="A779" s="3" t="s">
        <x:v>844</x:v>
      </x:c>
      <x:c r="B779" s="3" t="s">
        <x:v>756</x:v>
      </x:c>
      <x:c r="C779" s="79" t="s">
        <x:v>837</x:v>
      </x:c>
      <x:c r="D779" s="3" t="s">
        <x:v>461</x:v>
      </x:c>
      <x:c r="E779" s="3" t="s">
        <x:v>24</x:v>
      </x:c>
    </x:row>
    <x:row r="780" spans="1:5" ht="59.1" customHeight="1" x14ac:dyDescent="0.25">
      <x:c r="A780" s="3" t="s">
        <x:v>845</x:v>
      </x:c>
      <x:c r="B780" s="3" t="s">
        <x:v>756</x:v>
      </x:c>
      <x:c r="C780" s="3" t="s">
        <x:v>837</x:v>
      </x:c>
      <x:c r="D780" s="79" t="s">
        <x:v>461</x:v>
      </x:c>
      <x:c r="E780" s="3" t="s">
        <x:v>24</x:v>
      </x:c>
    </x:row>
    <x:row r="781" spans="1:5" ht="59.1" customHeight="1" x14ac:dyDescent="0.25">
      <x:c r="A781" s="3" t="s">
        <x:v>846</x:v>
      </x:c>
      <x:c r="B781" s="3" t="s">
        <x:v>756</x:v>
      </x:c>
      <x:c r="C781" s="79" t="s">
        <x:v>837</x:v>
      </x:c>
      <x:c r="D781" s="3" t="s">
        <x:v>461</x:v>
      </x:c>
      <x:c r="E781" s="3" t="s">
        <x:v>24</x:v>
      </x:c>
    </x:row>
    <x:row r="782" spans="1:5" ht="59.1" customHeight="1" x14ac:dyDescent="0.25">
      <x:c r="A782" s="3" t="s">
        <x:v>847</x:v>
      </x:c>
      <x:c r="B782" s="3" t="s">
        <x:v>756</x:v>
      </x:c>
      <x:c r="C782" s="3" t="s">
        <x:v>837</x:v>
      </x:c>
      <x:c r="D782" s="79" t="s">
        <x:v>461</x:v>
      </x:c>
      <x:c r="E782" s="3" t="s">
        <x:v>24</x:v>
      </x:c>
    </x:row>
    <x:row r="783" spans="1:5" ht="59.1" customHeight="1" x14ac:dyDescent="0.25">
      <x:c r="A783" s="3" t="s">
        <x:v>848</x:v>
      </x:c>
      <x:c r="B783" s="3" t="s">
        <x:v>756</x:v>
      </x:c>
      <x:c r="C783" s="79" t="s">
        <x:v>837</x:v>
      </x:c>
      <x:c r="D783" s="3" t="s">
        <x:v>461</x:v>
      </x:c>
      <x:c r="E783" s="3" t="s">
        <x:v>24</x:v>
      </x:c>
    </x:row>
    <x:row r="784" spans="1:5" ht="59.1" customHeight="1" x14ac:dyDescent="0.25">
      <x:c r="A784" s="3" t="s">
        <x:v>849</x:v>
      </x:c>
      <x:c r="B784" s="3" t="s">
        <x:v>756</x:v>
      </x:c>
      <x:c r="C784" s="3" t="s">
        <x:v>837</x:v>
      </x:c>
      <x:c r="D784" s="79" t="s">
        <x:v>461</x:v>
      </x:c>
      <x:c r="E784" s="3" t="s">
        <x:v>24</x:v>
      </x:c>
    </x:row>
    <x:row r="785" spans="1:5" ht="59.1" customHeight="1" x14ac:dyDescent="0.25">
      <x:c r="A785" s="3" t="s">
        <x:v>850</x:v>
      </x:c>
      <x:c r="B785" s="3" t="s">
        <x:v>756</x:v>
      </x:c>
      <x:c r="C785" s="79" t="s">
        <x:v>837</x:v>
      </x:c>
      <x:c r="D785" s="3" t="s">
        <x:v>461</x:v>
      </x:c>
      <x:c r="E785" s="3" t="s">
        <x:v>24</x:v>
      </x:c>
    </x:row>
    <x:row r="786" spans="1:5" ht="59.1" customHeight="1" x14ac:dyDescent="0.25">
      <x:c r="A786" s="3" t="s">
        <x:v>851</x:v>
      </x:c>
      <x:c r="B786" s="3" t="s">
        <x:v>756</x:v>
      </x:c>
      <x:c r="C786" s="3" t="s">
        <x:v>837</x:v>
      </x:c>
      <x:c r="D786" s="79" t="s">
        <x:v>461</x:v>
      </x:c>
      <x:c r="E786" s="3" t="s">
        <x:v>24</x:v>
      </x:c>
    </x:row>
    <x:row r="787" spans="1:5" ht="59.1" customHeight="1" x14ac:dyDescent="0.25">
      <x:c r="A787" s="3" t="s">
        <x:v>852</x:v>
      </x:c>
      <x:c r="B787" s="3" t="s">
        <x:v>756</x:v>
      </x:c>
      <x:c r="C787" s="79" t="s">
        <x:v>837</x:v>
      </x:c>
      <x:c r="D787" s="3" t="s">
        <x:v>461</x:v>
      </x:c>
      <x:c r="E787" s="3" t="s">
        <x:v>24</x:v>
      </x:c>
    </x:row>
    <x:row r="788" spans="1:5" ht="59.1" customHeight="1" x14ac:dyDescent="0.25">
      <x:c r="A788" s="3" t="s">
        <x:v>853</x:v>
      </x:c>
      <x:c r="B788" s="3" t="s">
        <x:v>756</x:v>
      </x:c>
      <x:c r="C788" s="3" t="s">
        <x:v>837</x:v>
      </x:c>
      <x:c r="D788" s="79" t="s">
        <x:v>510</x:v>
      </x:c>
      <x:c r="E788" s="3" t="s">
        <x:v>17</x:v>
      </x:c>
    </x:row>
    <x:row r="789" spans="1:5" ht="59.1" customHeight="1" x14ac:dyDescent="0.25">
      <x:c r="A789" s="3" t="s">
        <x:v>854</x:v>
      </x:c>
      <x:c r="B789" s="3" t="s">
        <x:v>756</x:v>
      </x:c>
      <x:c r="C789" s="79" t="s">
        <x:v>837</x:v>
      </x:c>
      <x:c r="D789" s="3" t="s">
        <x:v>480</x:v>
      </x:c>
      <x:c r="E789" s="3" t="s">
        <x:v>24</x:v>
      </x:c>
    </x:row>
    <x:row r="790" spans="1:5" ht="59.1" customHeight="1" x14ac:dyDescent="0.25">
      <x:c r="A790" s="3" t="s">
        <x:v>855</x:v>
      </x:c>
      <x:c r="B790" s="3" t="s">
        <x:v>756</x:v>
      </x:c>
      <x:c r="C790" s="3" t="s">
        <x:v>837</x:v>
      </x:c>
      <x:c r="D790" s="79" t="s">
        <x:v>480</x:v>
      </x:c>
      <x:c r="E790" s="3" t="s">
        <x:v>24</x:v>
      </x:c>
    </x:row>
    <x:row r="791" spans="1:5" ht="59.1" customHeight="1" x14ac:dyDescent="0.25">
      <x:c r="A791" s="3" t="s">
        <x:v>856</x:v>
      </x:c>
      <x:c r="B791" s="3" t="s">
        <x:v>756</x:v>
      </x:c>
      <x:c r="C791" s="79" t="s">
        <x:v>837</x:v>
      </x:c>
      <x:c r="D791" s="3" t="s">
        <x:v>480</x:v>
      </x:c>
      <x:c r="E791" s="3" t="s">
        <x:v>24</x:v>
      </x:c>
    </x:row>
    <x:row r="792" spans="1:5" ht="59.1" customHeight="1" x14ac:dyDescent="0.25">
      <x:c r="A792" s="3" t="s">
        <x:v>857</x:v>
      </x:c>
      <x:c r="B792" s="3" t="s">
        <x:v>756</x:v>
      </x:c>
      <x:c r="C792" s="3" t="s">
        <x:v>837</x:v>
      </x:c>
      <x:c r="D792" s="79" t="s">
        <x:v>480</x:v>
      </x:c>
      <x:c r="E792" s="3" t="s">
        <x:v>24</x:v>
      </x:c>
    </x:row>
    <x:row r="793" spans="1:5" ht="59.1" customHeight="1" x14ac:dyDescent="0.25">
      <x:c r="A793" s="3" t="s">
        <x:v>858</x:v>
      </x:c>
      <x:c r="B793" s="3" t="s">
        <x:v>756</x:v>
      </x:c>
      <x:c r="C793" s="79" t="s">
        <x:v>837</x:v>
      </x:c>
      <x:c r="D793" s="3" t="s">
        <x:v>461</x:v>
      </x:c>
      <x:c r="E793" s="3" t="s">
        <x:v>24</x:v>
      </x:c>
    </x:row>
    <x:row r="794" spans="1:5" ht="59.1" customHeight="1" x14ac:dyDescent="0.25">
      <x:c r="A794" s="3" t="s">
        <x:v>859</x:v>
      </x:c>
      <x:c r="B794" s="3" t="s">
        <x:v>756</x:v>
      </x:c>
      <x:c r="C794" s="3" t="s">
        <x:v>837</x:v>
      </x:c>
      <x:c r="D794" s="79" t="s">
        <x:v>461</x:v>
      </x:c>
      <x:c r="E794" s="3" t="s">
        <x:v>24</x:v>
      </x:c>
    </x:row>
    <x:row r="795" spans="1:5" ht="59.1" customHeight="1" x14ac:dyDescent="0.25">
      <x:c r="A795" s="3" t="s">
        <x:v>860</x:v>
      </x:c>
      <x:c r="B795" s="3" t="s">
        <x:v>756</x:v>
      </x:c>
      <x:c r="C795" s="79" t="s">
        <x:v>837</x:v>
      </x:c>
      <x:c r="D795" s="3" t="s">
        <x:v>461</x:v>
      </x:c>
      <x:c r="E795" s="3" t="s">
        <x:v>24</x:v>
      </x:c>
    </x:row>
    <x:row r="796" spans="1:5" ht="59.1" customHeight="1" x14ac:dyDescent="0.25">
      <x:c r="A796" s="3" t="s">
        <x:v>861</x:v>
      </x:c>
      <x:c r="B796" s="3" t="s">
        <x:v>756</x:v>
      </x:c>
      <x:c r="C796" s="3" t="s">
        <x:v>837</x:v>
      </x:c>
      <x:c r="D796" s="79" t="s">
        <x:v>461</x:v>
      </x:c>
      <x:c r="E796" s="3" t="s">
        <x:v>24</x:v>
      </x:c>
    </x:row>
    <x:row r="797" spans="1:5" ht="47.1" customHeight="1" x14ac:dyDescent="0.25">
      <x:c r="A797" s="3" t="s">
        <x:v>862</x:v>
      </x:c>
      <x:c r="B797" s="3" t="s">
        <x:v>756</x:v>
      </x:c>
      <x:c r="C797" s="79" t="s">
        <x:v>837</x:v>
      </x:c>
      <x:c r="D797" s="3" t="s">
        <x:v>461</x:v>
      </x:c>
      <x:c r="E797" s="3" t="s">
        <x:v>24</x:v>
      </x:c>
    </x:row>
    <x:row r="798" spans="1:5" ht="59.1" customHeight="1" x14ac:dyDescent="0.25">
      <x:c r="A798" s="3" t="s">
        <x:v>863</x:v>
      </x:c>
      <x:c r="B798" s="3" t="s">
        <x:v>756</x:v>
      </x:c>
      <x:c r="C798" s="3" t="s">
        <x:v>837</x:v>
      </x:c>
      <x:c r="D798" s="79" t="s">
        <x:v>461</x:v>
      </x:c>
      <x:c r="E798" s="3" t="s">
        <x:v>24</x:v>
      </x:c>
    </x:row>
    <x:row r="799" spans="1:5" ht="93.95" customHeight="1" x14ac:dyDescent="0.25">
      <x:c r="A799" s="3" t="s">
        <x:v>864</x:v>
      </x:c>
      <x:c r="B799" s="3" t="s">
        <x:v>756</x:v>
      </x:c>
      <x:c r="C799" s="79" t="s">
        <x:v>837</x:v>
      </x:c>
      <x:c r="D799" s="3" t="s">
        <x:v>461</x:v>
      </x:c>
      <x:c r="E799" s="3" t="s">
        <x:v>24</x:v>
      </x:c>
    </x:row>
    <x:row r="800" spans="1:5" ht="93.95" customHeight="1" x14ac:dyDescent="0.25">
      <x:c r="A800" s="3" t="s">
        <x:v>865</x:v>
      </x:c>
      <x:c r="B800" s="3" t="s">
        <x:v>756</x:v>
      </x:c>
      <x:c r="C800" s="3" t="s">
        <x:v>837</x:v>
      </x:c>
      <x:c r="D800" s="79" t="s">
        <x:v>461</x:v>
      </x:c>
      <x:c r="E800" s="3" t="s">
        <x:v>24</x:v>
      </x:c>
    </x:row>
    <x:row r="801" spans="1:5" ht="81.95" customHeight="1" x14ac:dyDescent="0.25">
      <x:c r="A801" s="3" t="s">
        <x:v>866</x:v>
      </x:c>
      <x:c r="B801" s="3" t="s">
        <x:v>756</x:v>
      </x:c>
      <x:c r="C801" s="79" t="s">
        <x:v>867</x:v>
      </x:c>
      <x:c r="D801" s="3" t="s">
        <x:v>399</x:v>
      </x:c>
      <x:c r="E801" s="3"/>
    </x:row>
    <x:row r="802" spans="1:5" ht="71.1" customHeight="1" x14ac:dyDescent="0.25">
      <x:c r="A802" s="3" t="s">
        <x:v>868</x:v>
      </x:c>
      <x:c r="B802" s="3" t="s">
        <x:v>756</x:v>
      </x:c>
      <x:c r="C802" s="3" t="s">
        <x:v>867</x:v>
      </x:c>
      <x:c r="D802" s="79" t="s">
        <x:v>461</x:v>
      </x:c>
      <x:c r="E802" s="3" t="s">
        <x:v>24</x:v>
      </x:c>
    </x:row>
    <x:row r="803" spans="1:5" ht="71.1" customHeight="1" x14ac:dyDescent="0.25">
      <x:c r="A803" s="3" t="s">
        <x:v>869</x:v>
      </x:c>
      <x:c r="B803" s="3" t="s">
        <x:v>756</x:v>
      </x:c>
      <x:c r="C803" s="79" t="s">
        <x:v>867</x:v>
      </x:c>
      <x:c r="D803" s="3" t="s">
        <x:v>461</x:v>
      </x:c>
      <x:c r="E803" s="3" t="s">
        <x:v>24</x:v>
      </x:c>
    </x:row>
    <x:row r="804" spans="1:5" ht="71.1" customHeight="1" x14ac:dyDescent="0.25">
      <x:c r="A804" s="3" t="s">
        <x:v>870</x:v>
      </x:c>
      <x:c r="B804" s="3" t="s">
        <x:v>756</x:v>
      </x:c>
      <x:c r="C804" s="3" t="s">
        <x:v>867</x:v>
      </x:c>
      <x:c r="D804" s="79" t="s">
        <x:v>461</x:v>
      </x:c>
      <x:c r="E804" s="3" t="s">
        <x:v>24</x:v>
      </x:c>
    </x:row>
    <x:row r="805" spans="1:5" ht="47.1" customHeight="1" x14ac:dyDescent="0.25">
      <x:c r="A805" s="3" t="s">
        <x:v>871</x:v>
      </x:c>
      <x:c r="B805" s="3" t="s">
        <x:v>756</x:v>
      </x:c>
      <x:c r="C805" s="79" t="s">
        <x:v>867</x:v>
      </x:c>
      <x:c r="D805" s="3" t="s">
        <x:v>461</x:v>
      </x:c>
      <x:c r="E805" s="3" t="s">
        <x:v>24</x:v>
      </x:c>
    </x:row>
    <x:row r="806" spans="1:5" ht="93.95" customHeight="1" x14ac:dyDescent="0.25">
      <x:c r="A806" s="3" t="s">
        <x:v>872</x:v>
      </x:c>
      <x:c r="B806" s="3" t="s">
        <x:v>756</x:v>
      </x:c>
      <x:c r="C806" s="3" t="s">
        <x:v>867</x:v>
      </x:c>
      <x:c r="D806" s="79" t="s">
        <x:v>461</x:v>
      </x:c>
      <x:c r="E806" s="3" t="s">
        <x:v>24</x:v>
      </x:c>
    </x:row>
    <x:row r="807" spans="1:5" ht="81.95" customHeight="1" x14ac:dyDescent="0.25">
      <x:c r="A807" s="3" t="s">
        <x:v>873</x:v>
      </x:c>
      <x:c r="B807" s="3" t="s">
        <x:v>756</x:v>
      </x:c>
      <x:c r="C807" s="79" t="s">
        <x:v>867</x:v>
      </x:c>
      <x:c r="D807" s="3" t="s">
        <x:v>461</x:v>
      </x:c>
      <x:c r="E807" s="3" t="s">
        <x:v>24</x:v>
      </x:c>
    </x:row>
    <x:row r="808" spans="1:5" ht="93.95" customHeight="1" x14ac:dyDescent="0.25">
      <x:c r="A808" s="3" t="s">
        <x:v>874</x:v>
      </x:c>
      <x:c r="B808" s="3" t="s">
        <x:v>756</x:v>
      </x:c>
      <x:c r="C808" s="3" t="s">
        <x:v>867</x:v>
      </x:c>
      <x:c r="D808" s="79" t="s">
        <x:v>461</x:v>
      </x:c>
      <x:c r="E808" s="3" t="s">
        <x:v>24</x:v>
      </x:c>
    </x:row>
    <x:row r="809" spans="1:5" ht="47.1" customHeight="1" x14ac:dyDescent="0.25">
      <x:c r="A809" s="3" t="s">
        <x:v>875</x:v>
      </x:c>
      <x:c r="B809" s="3" t="s">
        <x:v>756</x:v>
      </x:c>
      <x:c r="C809" s="79" t="s">
        <x:v>867</x:v>
      </x:c>
      <x:c r="D809" s="3" t="s">
        <x:v>461</x:v>
      </x:c>
      <x:c r="E809" s="3" t="s">
        <x:v>24</x:v>
      </x:c>
    </x:row>
    <x:row r="810" spans="1:5" ht="81.95" customHeight="1" x14ac:dyDescent="0.25">
      <x:c r="A810" s="3" t="s">
        <x:v>876</x:v>
      </x:c>
      <x:c r="B810" s="3" t="s">
        <x:v>756</x:v>
      </x:c>
      <x:c r="C810" s="3" t="s">
        <x:v>867</x:v>
      </x:c>
      <x:c r="D810" s="79" t="s">
        <x:v>461</x:v>
      </x:c>
      <x:c r="E810" s="3" t="s">
        <x:v>24</x:v>
      </x:c>
    </x:row>
    <x:row r="811" spans="1:5" ht="47.1" customHeight="1" x14ac:dyDescent="0.25">
      <x:c r="A811" s="3" t="s">
        <x:v>877</x:v>
      </x:c>
      <x:c r="B811" s="3" t="s">
        <x:v>756</x:v>
      </x:c>
      <x:c r="C811" s="79" t="s">
        <x:v>867</x:v>
      </x:c>
      <x:c r="D811" s="3" t="s">
        <x:v>461</x:v>
      </x:c>
      <x:c r="E811" s="3" t="s">
        <x:v>24</x:v>
      </x:c>
    </x:row>
    <x:row r="812" spans="1:5" ht="47.1" customHeight="1" x14ac:dyDescent="0.25">
      <x:c r="A812" s="3" t="s">
        <x:v>878</x:v>
      </x:c>
      <x:c r="B812" s="3" t="s">
        <x:v>756</x:v>
      </x:c>
      <x:c r="C812" s="3" t="s">
        <x:v>867</x:v>
      </x:c>
      <x:c r="D812" s="79" t="s">
        <x:v>461</x:v>
      </x:c>
      <x:c r="E812" s="3" t="s">
        <x:v>24</x:v>
      </x:c>
    </x:row>
    <x:row r="813" spans="1:5" ht="47.1" customHeight="1" x14ac:dyDescent="0.25">
      <x:c r="A813" s="3" t="s">
        <x:v>879</x:v>
      </x:c>
      <x:c r="B813" s="3" t="s">
        <x:v>756</x:v>
      </x:c>
      <x:c r="C813" s="79" t="s">
        <x:v>867</x:v>
      </x:c>
      <x:c r="D813" s="3" t="s">
        <x:v>461</x:v>
      </x:c>
      <x:c r="E813" s="3" t="s">
        <x:v>24</x:v>
      </x:c>
    </x:row>
    <x:row r="814" spans="1:5" ht="47.1" customHeight="1" x14ac:dyDescent="0.25">
      <x:c r="A814" s="3" t="s">
        <x:v>880</x:v>
      </x:c>
      <x:c r="B814" s="3" t="s">
        <x:v>756</x:v>
      </x:c>
      <x:c r="C814" s="3" t="s">
        <x:v>867</x:v>
      </x:c>
      <x:c r="D814" s="79" t="s">
        <x:v>480</x:v>
      </x:c>
      <x:c r="E814" s="3" t="s">
        <x:v>24</x:v>
      </x:c>
    </x:row>
    <x:row r="815" spans="1:5" ht="59.1" customHeight="1" x14ac:dyDescent="0.25">
      <x:c r="A815" s="3" t="s">
        <x:v>881</x:v>
      </x:c>
      <x:c r="B815" s="3" t="s">
        <x:v>756</x:v>
      </x:c>
      <x:c r="C815" s="79" t="s">
        <x:v>867</x:v>
      </x:c>
      <x:c r="D815" s="3" t="s">
        <x:v>480</x:v>
      </x:c>
      <x:c r="E815" s="3" t="s">
        <x:v>24</x:v>
      </x:c>
    </x:row>
    <x:row r="816" spans="1:5" ht="59.1" customHeight="1" x14ac:dyDescent="0.25">
      <x:c r="A816" s="3" t="s">
        <x:v>882</x:v>
      </x:c>
      <x:c r="B816" s="3" t="s">
        <x:v>756</x:v>
      </x:c>
      <x:c r="C816" s="3" t="s">
        <x:v>867</x:v>
      </x:c>
      <x:c r="D816" s="79" t="s">
        <x:v>480</x:v>
      </x:c>
      <x:c r="E816" s="3" t="s">
        <x:v>24</x:v>
      </x:c>
    </x:row>
    <x:row r="817" spans="1:5" ht="47.1" customHeight="1" x14ac:dyDescent="0.25">
      <x:c r="A817" s="3" t="s">
        <x:v>883</x:v>
      </x:c>
      <x:c r="B817" s="3" t="s">
        <x:v>756</x:v>
      </x:c>
      <x:c r="C817" s="79" t="s">
        <x:v>867</x:v>
      </x:c>
      <x:c r="D817" s="3" t="s">
        <x:v>461</x:v>
      </x:c>
      <x:c r="E817" s="3" t="s">
        <x:v>24</x:v>
      </x:c>
    </x:row>
    <x:row r="818" spans="1:5" ht="47.1" customHeight="1" x14ac:dyDescent="0.25">
      <x:c r="A818" s="3" t="s">
        <x:v>884</x:v>
      </x:c>
      <x:c r="B818" s="3" t="s">
        <x:v>756</x:v>
      </x:c>
      <x:c r="C818" s="3" t="s">
        <x:v>867</x:v>
      </x:c>
      <x:c r="D818" s="79" t="s">
        <x:v>461</x:v>
      </x:c>
      <x:c r="E818" s="3" t="s">
        <x:v>24</x:v>
      </x:c>
    </x:row>
    <x:row r="819" spans="1:5" ht="47.1" customHeight="1" x14ac:dyDescent="0.25">
      <x:c r="A819" s="3" t="s">
        <x:v>885</x:v>
      </x:c>
      <x:c r="B819" s="3" t="s">
        <x:v>756</x:v>
      </x:c>
      <x:c r="C819" s="79" t="s">
        <x:v>867</x:v>
      </x:c>
      <x:c r="D819" s="3" t="s">
        <x:v>461</x:v>
      </x:c>
      <x:c r="E819" s="3" t="s">
        <x:v>24</x:v>
      </x:c>
    </x:row>
    <x:row r="820" spans="1:5" ht="47.1" customHeight="1" x14ac:dyDescent="0.25">
      <x:c r="A820" s="3" t="s">
        <x:v>886</x:v>
      </x:c>
      <x:c r="B820" s="3" t="s">
        <x:v>756</x:v>
      </x:c>
      <x:c r="C820" s="3" t="s">
        <x:v>867</x:v>
      </x:c>
      <x:c r="D820" s="79" t="s">
        <x:v>461</x:v>
      </x:c>
      <x:c r="E820" s="3" t="s">
        <x:v>24</x:v>
      </x:c>
    </x:row>
    <x:row r="821" spans="1:5" ht="59.1" customHeight="1" x14ac:dyDescent="0.25">
      <x:c r="A821" s="3" t="s">
        <x:v>887</x:v>
      </x:c>
      <x:c r="B821" s="3" t="s">
        <x:v>756</x:v>
      </x:c>
      <x:c r="C821" s="79" t="s">
        <x:v>867</x:v>
      </x:c>
      <x:c r="D821" s="3" t="s">
        <x:v>480</x:v>
      </x:c>
      <x:c r="E821" s="3" t="s">
        <x:v>24</x:v>
      </x:c>
    </x:row>
    <x:row r="822" spans="1:5" ht="59.1" customHeight="1" x14ac:dyDescent="0.25">
      <x:c r="A822" s="3" t="s">
        <x:v>888</x:v>
      </x:c>
      <x:c r="B822" s="3" t="s">
        <x:v>756</x:v>
      </x:c>
      <x:c r="C822" s="3" t="s">
        <x:v>867</x:v>
      </x:c>
      <x:c r="D822" s="79" t="s">
        <x:v>459</x:v>
      </x:c>
      <x:c r="E822" s="3" t="s">
        <x:v>17</x:v>
      </x:c>
    </x:row>
    <x:row r="823" spans="1:5" ht="47.1" customHeight="1" x14ac:dyDescent="0.25">
      <x:c r="A823" s="3" t="s">
        <x:v>889</x:v>
      </x:c>
      <x:c r="B823" s="3" t="s">
        <x:v>756</x:v>
      </x:c>
      <x:c r="C823" s="79" t="s">
        <x:v>867</x:v>
      </x:c>
      <x:c r="D823" s="3" t="s">
        <x:v>459</x:v>
      </x:c>
      <x:c r="E823" s="3" t="s">
        <x:v>17</x:v>
      </x:c>
    </x:row>
    <x:row r="824" spans="1:5" ht="47.1" customHeight="1" x14ac:dyDescent="0.25">
      <x:c r="A824" s="3" t="s">
        <x:v>890</x:v>
      </x:c>
      <x:c r="B824" s="3" t="s">
        <x:v>756</x:v>
      </x:c>
      <x:c r="C824" s="3" t="s">
        <x:v>867</x:v>
      </x:c>
      <x:c r="D824" s="79" t="s">
        <x:v>459</x:v>
      </x:c>
      <x:c r="E824" s="3" t="s">
        <x:v>17</x:v>
      </x:c>
    </x:row>
    <x:row r="825" spans="1:5" ht="47.1" customHeight="1" x14ac:dyDescent="0.25">
      <x:c r="A825" s="3" t="s">
        <x:v>891</x:v>
      </x:c>
      <x:c r="B825" s="3" t="s">
        <x:v>756</x:v>
      </x:c>
      <x:c r="C825" s="79" t="s">
        <x:v>867</x:v>
      </x:c>
      <x:c r="D825" s="3" t="s">
        <x:v>459</x:v>
      </x:c>
      <x:c r="E825" s="3" t="s">
        <x:v>17</x:v>
      </x:c>
    </x:row>
    <x:row r="826" spans="1:5" ht="47.1" customHeight="1" x14ac:dyDescent="0.25">
      <x:c r="A826" s="3" t="s">
        <x:v>892</x:v>
      </x:c>
      <x:c r="B826" s="3" t="s">
        <x:v>756</x:v>
      </x:c>
      <x:c r="C826" s="3" t="s">
        <x:v>867</x:v>
      </x:c>
      <x:c r="D826" s="79" t="s">
        <x:v>510</x:v>
      </x:c>
      <x:c r="E826" s="3" t="s">
        <x:v>17</x:v>
      </x:c>
    </x:row>
    <x:row r="827" spans="1:5" ht="59.1" customHeight="1" x14ac:dyDescent="0.25">
      <x:c r="A827" s="3" t="s">
        <x:v>893</x:v>
      </x:c>
      <x:c r="B827" s="3" t="s">
        <x:v>756</x:v>
      </x:c>
      <x:c r="C827" s="79" t="s">
        <x:v>894</x:v>
      </x:c>
      <x:c r="D827" s="3" t="s">
        <x:v>14</x:v>
      </x:c>
      <x:c r="E827" s="3"/>
    </x:row>
    <x:row r="828" spans="1:5" ht="59.1" customHeight="1" x14ac:dyDescent="0.25">
      <x:c r="A828" s="3" t="s">
        <x:v>895</x:v>
      </x:c>
      <x:c r="B828" s="3" t="s">
        <x:v>756</x:v>
      </x:c>
      <x:c r="C828" s="3" t="s">
        <x:v>894</x:v>
      </x:c>
      <x:c r="D828" s="79" t="s">
        <x:v>459</x:v>
      </x:c>
      <x:c r="E828" s="3" t="s">
        <x:v>24</x:v>
      </x:c>
    </x:row>
    <x:row r="829" spans="1:5" ht="59.1" customHeight="1" x14ac:dyDescent="0.25">
      <x:c r="A829" s="3" t="s">
        <x:v>896</x:v>
      </x:c>
      <x:c r="B829" s="3" t="s">
        <x:v>756</x:v>
      </x:c>
      <x:c r="C829" s="79" t="s">
        <x:v>894</x:v>
      </x:c>
      <x:c r="D829" s="3" t="s">
        <x:v>459</x:v>
      </x:c>
      <x:c r="E829" s="3" t="s">
        <x:v>24</x:v>
      </x:c>
    </x:row>
    <x:row r="830" spans="1:5" ht="59.1" customHeight="1" x14ac:dyDescent="0.25">
      <x:c r="A830" s="3" t="s">
        <x:v>897</x:v>
      </x:c>
      <x:c r="B830" s="3" t="s">
        <x:v>756</x:v>
      </x:c>
      <x:c r="C830" s="3" t="s">
        <x:v>894</x:v>
      </x:c>
      <x:c r="D830" s="79" t="s">
        <x:v>459</x:v>
      </x:c>
      <x:c r="E830" s="3" t="s">
        <x:v>24</x:v>
      </x:c>
    </x:row>
    <x:row r="831" spans="1:5" ht="59.1" customHeight="1" x14ac:dyDescent="0.25">
      <x:c r="A831" s="3" t="s">
        <x:v>898</x:v>
      </x:c>
      <x:c r="B831" s="3" t="s">
        <x:v>756</x:v>
      </x:c>
      <x:c r="C831" s="79" t="s">
        <x:v>894</x:v>
      </x:c>
      <x:c r="D831" s="3" t="s">
        <x:v>459</x:v>
      </x:c>
      <x:c r="E831" s="3" t="s">
        <x:v>24</x:v>
      </x:c>
    </x:row>
    <x:row r="832" spans="1:5" ht="47.1" customHeight="1" x14ac:dyDescent="0.25">
      <x:c r="A832" s="3" t="s">
        <x:v>899</x:v>
      </x:c>
      <x:c r="B832" s="3" t="s">
        <x:v>756</x:v>
      </x:c>
      <x:c r="C832" s="3" t="s">
        <x:v>894</x:v>
      </x:c>
      <x:c r="D832" s="79" t="s">
        <x:v>461</x:v>
      </x:c>
      <x:c r="E832" s="3" t="s">
        <x:v>484</x:v>
      </x:c>
    </x:row>
    <x:row r="833" spans="1:5" ht="47.1" customHeight="1" x14ac:dyDescent="0.25">
      <x:c r="A833" s="3" t="s">
        <x:v>900</x:v>
      </x:c>
      <x:c r="B833" s="3" t="s">
        <x:v>756</x:v>
      </x:c>
      <x:c r="C833" s="79" t="s">
        <x:v>894</x:v>
      </x:c>
      <x:c r="D833" s="3" t="s">
        <x:v>461</x:v>
      </x:c>
      <x:c r="E833" s="3" t="s">
        <x:v>484</x:v>
      </x:c>
    </x:row>
    <x:row r="834" spans="1:5" ht="59.1" customHeight="1" x14ac:dyDescent="0.25">
      <x:c r="A834" s="3" t="s">
        <x:v>901</x:v>
      </x:c>
      <x:c r="B834" s="3" t="s">
        <x:v>756</x:v>
      </x:c>
      <x:c r="C834" s="3" t="s">
        <x:v>894</x:v>
      </x:c>
      <x:c r="D834" s="79" t="s">
        <x:v>461</x:v>
      </x:c>
      <x:c r="E834" s="3" t="s">
        <x:v>484</x:v>
      </x:c>
    </x:row>
    <x:row r="835" spans="1:5" ht="59.1" customHeight="1" x14ac:dyDescent="0.25">
      <x:c r="A835" s="3" t="s">
        <x:v>902</x:v>
      </x:c>
      <x:c r="B835" s="3" t="s">
        <x:v>756</x:v>
      </x:c>
      <x:c r="C835" s="79" t="s">
        <x:v>894</x:v>
      </x:c>
      <x:c r="D835" s="3" t="s">
        <x:v>461</x:v>
      </x:c>
      <x:c r="E835" s="3" t="s">
        <x:v>484</x:v>
      </x:c>
    </x:row>
    <x:row r="836" spans="1:5" ht="59.1" customHeight="1" x14ac:dyDescent="0.25">
      <x:c r="A836" s="3" t="s">
        <x:v>903</x:v>
      </x:c>
      <x:c r="B836" s="3" t="s">
        <x:v>756</x:v>
      </x:c>
      <x:c r="C836" s="3" t="s">
        <x:v>894</x:v>
      </x:c>
      <x:c r="D836" s="79" t="s">
        <x:v>461</x:v>
      </x:c>
      <x:c r="E836" s="3" t="s">
        <x:v>484</x:v>
      </x:c>
    </x:row>
    <x:row r="837" spans="1:5" ht="59.1" customHeight="1" x14ac:dyDescent="0.25">
      <x:c r="A837" s="3" t="s">
        <x:v>904</x:v>
      </x:c>
      <x:c r="B837" s="3" t="s">
        <x:v>756</x:v>
      </x:c>
      <x:c r="C837" s="79" t="s">
        <x:v>894</x:v>
      </x:c>
      <x:c r="D837" s="3" t="s">
        <x:v>461</x:v>
      </x:c>
      <x:c r="E837" s="3" t="s">
        <x:v>484</x:v>
      </x:c>
    </x:row>
    <x:row r="838" spans="1:5" ht="59.1" customHeight="1" x14ac:dyDescent="0.25">
      <x:c r="A838" s="3" t="s">
        <x:v>905</x:v>
      </x:c>
      <x:c r="B838" s="3" t="s">
        <x:v>756</x:v>
      </x:c>
      <x:c r="C838" s="3" t="s">
        <x:v>894</x:v>
      </x:c>
      <x:c r="D838" s="79" t="s">
        <x:v>461</x:v>
      </x:c>
      <x:c r="E838" s="3" t="s">
        <x:v>484</x:v>
      </x:c>
    </x:row>
    <x:row r="839" spans="1:5" ht="59.1" customHeight="1" x14ac:dyDescent="0.25">
      <x:c r="A839" s="3" t="s">
        <x:v>906</x:v>
      </x:c>
      <x:c r="B839" s="3" t="s">
        <x:v>756</x:v>
      </x:c>
      <x:c r="C839" s="79" t="s">
        <x:v>894</x:v>
      </x:c>
      <x:c r="D839" s="3" t="s">
        <x:v>461</x:v>
      </x:c>
      <x:c r="E839" s="3" t="s">
        <x:v>484</x:v>
      </x:c>
    </x:row>
    <x:row r="840" spans="1:5" ht="71.1" customHeight="1" x14ac:dyDescent="0.25">
      <x:c r="A840" s="3" t="s">
        <x:v>907</x:v>
      </x:c>
      <x:c r="B840" s="3" t="s">
        <x:v>756</x:v>
      </x:c>
      <x:c r="C840" s="3" t="s">
        <x:v>894</x:v>
      </x:c>
      <x:c r="D840" s="79" t="s">
        <x:v>461</x:v>
      </x:c>
      <x:c r="E840" s="3" t="s">
        <x:v>484</x:v>
      </x:c>
    </x:row>
    <x:row r="841" spans="1:5" ht="105.95" customHeight="1" x14ac:dyDescent="0.25">
      <x:c r="A841" s="3" t="s">
        <x:v>908</x:v>
      </x:c>
      <x:c r="B841" s="3" t="s">
        <x:v>756</x:v>
      </x:c>
      <x:c r="C841" s="79" t="s">
        <x:v>894</x:v>
      </x:c>
      <x:c r="D841" s="3" t="s">
        <x:v>461</x:v>
      </x:c>
      <x:c r="E841" s="3" t="s">
        <x:v>484</x:v>
      </x:c>
    </x:row>
    <x:row r="842" spans="1:5" ht="71.1" customHeight="1" x14ac:dyDescent="0.25">
      <x:c r="A842" s="3" t="s">
        <x:v>909</x:v>
      </x:c>
      <x:c r="B842" s="3" t="s">
        <x:v>756</x:v>
      </x:c>
      <x:c r="C842" s="3" t="s">
        <x:v>894</x:v>
      </x:c>
      <x:c r="D842" s="79" t="s">
        <x:v>461</x:v>
      </x:c>
      <x:c r="E842" s="3" t="s">
        <x:v>484</x:v>
      </x:c>
    </x:row>
    <x:row r="843" spans="1:5" ht="71.1" customHeight="1" x14ac:dyDescent="0.25">
      <x:c r="A843" s="3" t="s">
        <x:v>910</x:v>
      </x:c>
      <x:c r="B843" s="3" t="s">
        <x:v>756</x:v>
      </x:c>
      <x:c r="C843" s="79" t="s">
        <x:v>894</x:v>
      </x:c>
      <x:c r="D843" s="3" t="s">
        <x:v>461</x:v>
      </x:c>
      <x:c r="E843" s="3" t="s">
        <x:v>484</x:v>
      </x:c>
    </x:row>
    <x:row r="844" spans="1:5" ht="47.1" customHeight="1" x14ac:dyDescent="0.25">
      <x:c r="A844" s="3" t="s">
        <x:v>911</x:v>
      </x:c>
      <x:c r="B844" s="3" t="s">
        <x:v>756</x:v>
      </x:c>
      <x:c r="C844" s="3" t="s">
        <x:v>894</x:v>
      </x:c>
      <x:c r="D844" s="79" t="s">
        <x:v>510</x:v>
      </x:c>
      <x:c r="E844" s="3" t="s">
        <x:v>24</x:v>
      </x:c>
    </x:row>
    <x:row r="845" spans="1:5" ht="105.95" customHeight="1" x14ac:dyDescent="0.25">
      <x:c r="A845" s="3" t="s">
        <x:v>912</x:v>
      </x:c>
      <x:c r="B845" s="3" t="s">
        <x:v>756</x:v>
      </x:c>
      <x:c r="C845" s="79" t="s">
        <x:v>894</x:v>
      </x:c>
      <x:c r="D845" s="3" t="s">
        <x:v>480</x:v>
      </x:c>
      <x:c r="E845" s="3" t="s">
        <x:v>484</x:v>
      </x:c>
    </x:row>
    <x:row r="846" spans="1:5" ht="71.1" customHeight="1" x14ac:dyDescent="0.25">
      <x:c r="A846" s="3" t="s">
        <x:v>913</x:v>
      </x:c>
      <x:c r="B846" s="3" t="s">
        <x:v>756</x:v>
      </x:c>
      <x:c r="C846" s="3" t="s">
        <x:v>894</x:v>
      </x:c>
      <x:c r="D846" s="79" t="s">
        <x:v>480</x:v>
      </x:c>
      <x:c r="E846" s="3" t="s">
        <x:v>484</x:v>
      </x:c>
    </x:row>
    <x:row r="847" spans="1:5" ht="93.95" customHeight="1" x14ac:dyDescent="0.25">
      <x:c r="A847" s="3" t="s">
        <x:v>914</x:v>
      </x:c>
      <x:c r="B847" s="3" t="s">
        <x:v>7</x:v>
      </x:c>
      <x:c r="C847" s="79" t="s">
        <x:v>915</x:v>
      </x:c>
      <x:c r="D847" s="3" t="s">
        <x:v>399</x:v>
      </x:c>
      <x:c r="E847" s="3"/>
    </x:row>
    <x:row r="848" spans="1:5" ht="47.1" customHeight="1" x14ac:dyDescent="0.25">
      <x:c r="A848" s="3" t="s">
        <x:v>916</x:v>
      </x:c>
      <x:c r="B848" s="3" t="s">
        <x:v>7</x:v>
      </x:c>
      <x:c r="C848" s="3" t="s">
        <x:v>917</x:v>
      </x:c>
      <x:c r="D848" s="79" t="s">
        <x:v>399</x:v>
      </x:c>
      <x:c r="E848" s="3"/>
    </x:row>
    <x:row r="849" spans="1:5" ht="71.1" customHeight="1" x14ac:dyDescent="0.25">
      <x:c r="A849" s="3" t="s">
        <x:v>918</x:v>
      </x:c>
      <x:c r="B849" s="3" t="s">
        <x:v>7</x:v>
      </x:c>
      <x:c r="C849" s="79" t="s">
        <x:v>919</x:v>
      </x:c>
      <x:c r="D849" s="3" t="s">
        <x:v>399</x:v>
      </x:c>
      <x:c r="E849" s="3"/>
    </x:row>
    <x:row r="850" spans="1:5" ht="59.1" customHeight="1" x14ac:dyDescent="0.25">
      <x:c r="A850" s="3" t="s">
        <x:v>920</x:v>
      </x:c>
      <x:c r="B850" s="3" t="s">
        <x:v>7</x:v>
      </x:c>
      <x:c r="C850" s="3" t="s">
        <x:v>921</x:v>
      </x:c>
      <x:c r="D850" s="79" t="s">
        <x:v>14</x:v>
      </x:c>
      <x:c r="E850" s="3"/>
    </x:row>
    <x:row r="851" spans="1:5" ht="59.1" customHeight="1" x14ac:dyDescent="0.25">
      <x:c r="A851" s="3" t="s">
        <x:v>922</x:v>
      </x:c>
      <x:c r="B851" s="3" t="s">
        <x:v>7</x:v>
      </x:c>
      <x:c r="C851" s="79" t="s">
        <x:v>923</x:v>
      </x:c>
      <x:c r="D851" s="3" t="s">
        <x:v>924</x:v>
      </x:c>
      <x:c r="E851" s="3" t="s">
        <x:v>24</x:v>
      </x:c>
    </x:row>
    <x:row r="852" spans="1:5" ht="59.1" customHeight="1" x14ac:dyDescent="0.25">
      <x:c r="A852" s="3" t="s">
        <x:v>925</x:v>
      </x:c>
      <x:c r="B852" s="3" t="s">
        <x:v>7</x:v>
      </x:c>
      <x:c r="C852" s="3" t="s">
        <x:v>923</x:v>
      </x:c>
      <x:c r="D852" s="79" t="s">
        <x:v>924</x:v>
      </x:c>
      <x:c r="E852" s="3" t="s">
        <x:v>24</x:v>
      </x:c>
    </x:row>
    <x:row r="853" spans="1:5" ht="59.1" customHeight="1" x14ac:dyDescent="0.25">
      <x:c r="A853" s="3" t="s">
        <x:v>926</x:v>
      </x:c>
      <x:c r="B853" s="3" t="s">
        <x:v>7</x:v>
      </x:c>
      <x:c r="C853" s="79" t="s">
        <x:v>923</x:v>
      </x:c>
      <x:c r="D853" s="3" t="s">
        <x:v>924</x:v>
      </x:c>
      <x:c r="E853" s="3" t="s">
        <x:v>24</x:v>
      </x:c>
    </x:row>
    <x:row r="854" spans="1:5" ht="59.1" customHeight="1" x14ac:dyDescent="0.25">
      <x:c r="A854" s="3" t="s">
        <x:v>927</x:v>
      </x:c>
      <x:c r="B854" s="3" t="s">
        <x:v>7</x:v>
      </x:c>
      <x:c r="C854" s="3" t="s">
        <x:v>923</x:v>
      </x:c>
      <x:c r="D854" s="79" t="s">
        <x:v>924</x:v>
      </x:c>
      <x:c r="E854" s="3" t="s">
        <x:v>24</x:v>
      </x:c>
    </x:row>
    <x:row r="855" spans="1:5" ht="59.1" customHeight="1" x14ac:dyDescent="0.25">
      <x:c r="A855" s="3" t="s">
        <x:v>928</x:v>
      </x:c>
      <x:c r="B855" s="3" t="s">
        <x:v>7</x:v>
      </x:c>
      <x:c r="C855" s="79" t="s">
        <x:v>923</x:v>
      </x:c>
      <x:c r="D855" s="3" t="s">
        <x:v>929</x:v>
      </x:c>
      <x:c r="E855" s="3" t="s">
        <x:v>484</x:v>
      </x:c>
    </x:row>
    <x:row r="856" spans="1:5" ht="59.1" customHeight="1" x14ac:dyDescent="0.25">
      <x:c r="A856" s="3" t="s">
        <x:v>930</x:v>
      </x:c>
      <x:c r="B856" s="3" t="s">
        <x:v>7</x:v>
      </x:c>
      <x:c r="C856" s="3" t="s">
        <x:v>923</x:v>
      </x:c>
      <x:c r="D856" s="79" t="s">
        <x:v>929</x:v>
      </x:c>
      <x:c r="E856" s="3" t="s">
        <x:v>484</x:v>
      </x:c>
    </x:row>
    <x:row r="857" spans="1:5" ht="59.1" customHeight="1" x14ac:dyDescent="0.25">
      <x:c r="A857" s="3" t="s">
        <x:v>931</x:v>
      </x:c>
      <x:c r="B857" s="3" t="s">
        <x:v>7</x:v>
      </x:c>
      <x:c r="C857" s="79" t="s">
        <x:v>923</x:v>
      </x:c>
      <x:c r="D857" s="3" t="s">
        <x:v>929</x:v>
      </x:c>
      <x:c r="E857" s="3" t="s">
        <x:v>484</x:v>
      </x:c>
    </x:row>
    <x:row r="858" spans="1:5" ht="59.1" customHeight="1" x14ac:dyDescent="0.25">
      <x:c r="A858" s="3" t="s">
        <x:v>932</x:v>
      </x:c>
      <x:c r="B858" s="3" t="s">
        <x:v>7</x:v>
      </x:c>
      <x:c r="C858" s="3" t="s">
        <x:v>923</x:v>
      </x:c>
      <x:c r="D858" s="79" t="s">
        <x:v>929</x:v>
      </x:c>
      <x:c r="E858" s="3" t="s">
        <x:v>484</x:v>
      </x:c>
    </x:row>
    <x:row r="859" spans="1:5" ht="59.1" customHeight="1" x14ac:dyDescent="0.25">
      <x:c r="A859" s="3" t="s">
        <x:v>933</x:v>
      </x:c>
      <x:c r="B859" s="3" t="s">
        <x:v>7</x:v>
      </x:c>
      <x:c r="C859" s="79" t="s">
        <x:v>923</x:v>
      </x:c>
      <x:c r="D859" s="3" t="s">
        <x:v>934</x:v>
      </x:c>
      <x:c r="E859" s="3" t="s">
        <x:v>484</x:v>
      </x:c>
    </x:row>
    <x:row r="860" spans="1:5" ht="59.1" customHeight="1" x14ac:dyDescent="0.25">
      <x:c r="A860" s="3" t="s">
        <x:v>935</x:v>
      </x:c>
      <x:c r="B860" s="3" t="s">
        <x:v>7</x:v>
      </x:c>
      <x:c r="C860" s="3" t="s">
        <x:v>923</x:v>
      </x:c>
      <x:c r="D860" s="79" t="s">
        <x:v>936</x:v>
      </x:c>
      <x:c r="E860" s="3" t="s">
        <x:v>24</x:v>
      </x:c>
    </x:row>
    <x:row r="861" spans="1:5" ht="59.1" customHeight="1" x14ac:dyDescent="0.25">
      <x:c r="A861" s="3" t="s">
        <x:v>937</x:v>
      </x:c>
      <x:c r="B861" s="3" t="s">
        <x:v>7</x:v>
      </x:c>
      <x:c r="C861" s="79" t="s">
        <x:v>938</x:v>
      </x:c>
      <x:c r="D861" s="3" t="s">
        <x:v>924</x:v>
      </x:c>
      <x:c r="E861" s="3" t="s">
        <x:v>17</x:v>
      </x:c>
    </x:row>
    <x:row r="862" spans="1:5" ht="59.1" customHeight="1" x14ac:dyDescent="0.25">
      <x:c r="A862" s="3" t="s">
        <x:v>939</x:v>
      </x:c>
      <x:c r="B862" s="3" t="s">
        <x:v>7</x:v>
      </x:c>
      <x:c r="C862" s="3" t="s">
        <x:v>938</x:v>
      </x:c>
      <x:c r="D862" s="79" t="s">
        <x:v>924</x:v>
      </x:c>
      <x:c r="E862" s="3" t="s">
        <x:v>17</x:v>
      </x:c>
    </x:row>
    <x:row r="863" spans="1:5" ht="59.1" customHeight="1" x14ac:dyDescent="0.25">
      <x:c r="A863" s="3" t="s">
        <x:v>940</x:v>
      </x:c>
      <x:c r="B863" s="3" t="s">
        <x:v>7</x:v>
      </x:c>
      <x:c r="C863" s="79" t="s">
        <x:v>938</x:v>
      </x:c>
      <x:c r="D863" s="3" t="s">
        <x:v>924</x:v>
      </x:c>
      <x:c r="E863" s="3" t="s">
        <x:v>17</x:v>
      </x:c>
    </x:row>
    <x:row r="864" spans="1:5" ht="59.1" customHeight="1" x14ac:dyDescent="0.25">
      <x:c r="A864" s="3" t="s">
        <x:v>941</x:v>
      </x:c>
      <x:c r="B864" s="3" t="s">
        <x:v>7</x:v>
      </x:c>
      <x:c r="C864" s="3" t="s">
        <x:v>938</x:v>
      </x:c>
      <x:c r="D864" s="79" t="s">
        <x:v>924</x:v>
      </x:c>
      <x:c r="E864" s="3" t="s">
        <x:v>17</x:v>
      </x:c>
    </x:row>
    <x:row r="865" spans="1:5" ht="59.1" customHeight="1" x14ac:dyDescent="0.25">
      <x:c r="A865" s="3" t="s">
        <x:v>942</x:v>
      </x:c>
      <x:c r="B865" s="3" t="s">
        <x:v>7</x:v>
      </x:c>
      <x:c r="C865" s="79" t="s">
        <x:v>938</x:v>
      </x:c>
      <x:c r="D865" s="3" t="s">
        <x:v>936</x:v>
      </x:c>
      <x:c r="E865" s="3" t="s">
        <x:v>17</x:v>
      </x:c>
    </x:row>
    <x:row r="866" spans="1:5" ht="59.1" customHeight="1" x14ac:dyDescent="0.25">
      <x:c r="A866" s="3" t="s">
        <x:v>943</x:v>
      </x:c>
      <x:c r="B866" s="3" t="s">
        <x:v>7</x:v>
      </x:c>
      <x:c r="C866" s="3" t="s">
        <x:v>938</x:v>
      </x:c>
      <x:c r="D866" s="79" t="s">
        <x:v>929</x:v>
      </x:c>
      <x:c r="E866" s="3" t="s">
        <x:v>24</x:v>
      </x:c>
    </x:row>
    <x:row r="867" spans="1:5" ht="59.1" customHeight="1" x14ac:dyDescent="0.25">
      <x:c r="A867" s="3" t="s">
        <x:v>944</x:v>
      </x:c>
      <x:c r="B867" s="3" t="s">
        <x:v>7</x:v>
      </x:c>
      <x:c r="C867" s="79" t="s">
        <x:v>938</x:v>
      </x:c>
      <x:c r="D867" s="3" t="s">
        <x:v>929</x:v>
      </x:c>
      <x:c r="E867" s="3" t="s">
        <x:v>24</x:v>
      </x:c>
    </x:row>
    <x:row r="868" spans="1:5" ht="59.1" customHeight="1" x14ac:dyDescent="0.25">
      <x:c r="A868" s="3" t="s">
        <x:v>945</x:v>
      </x:c>
      <x:c r="B868" s="3" t="s">
        <x:v>7</x:v>
      </x:c>
      <x:c r="C868" s="3" t="s">
        <x:v>938</x:v>
      </x:c>
      <x:c r="D868" s="79" t="s">
        <x:v>929</x:v>
      </x:c>
      <x:c r="E868" s="3" t="s">
        <x:v>24</x:v>
      </x:c>
    </x:row>
    <x:row r="869" spans="1:5" ht="59.1" customHeight="1" x14ac:dyDescent="0.25">
      <x:c r="A869" s="3" t="s">
        <x:v>946</x:v>
      </x:c>
      <x:c r="B869" s="3" t="s">
        <x:v>7</x:v>
      </x:c>
      <x:c r="C869" s="79" t="s">
        <x:v>938</x:v>
      </x:c>
      <x:c r="D869" s="3" t="s">
        <x:v>929</x:v>
      </x:c>
      <x:c r="E869" s="3" t="s">
        <x:v>24</x:v>
      </x:c>
    </x:row>
    <x:row r="870" spans="1:5" ht="59.1" customHeight="1" x14ac:dyDescent="0.25">
      <x:c r="A870" s="3" t="s">
        <x:v>947</x:v>
      </x:c>
      <x:c r="B870" s="3" t="s">
        <x:v>7</x:v>
      </x:c>
      <x:c r="C870" s="3" t="s">
        <x:v>938</x:v>
      </x:c>
      <x:c r="D870" s="79" t="s">
        <x:v>929</x:v>
      </x:c>
      <x:c r="E870" s="3" t="s">
        <x:v>24</x:v>
      </x:c>
    </x:row>
    <x:row r="871" spans="1:5" ht="59.1" customHeight="1" x14ac:dyDescent="0.25">
      <x:c r="A871" s="3" t="s">
        <x:v>948</x:v>
      </x:c>
      <x:c r="B871" s="3" t="s">
        <x:v>7</x:v>
      </x:c>
      <x:c r="C871" s="79" t="s">
        <x:v>938</x:v>
      </x:c>
      <x:c r="D871" s="3" t="s">
        <x:v>929</x:v>
      </x:c>
      <x:c r="E871" s="3" t="s">
        <x:v>24</x:v>
      </x:c>
    </x:row>
    <x:row r="872" spans="1:5" ht="59.1" customHeight="1" x14ac:dyDescent="0.25">
      <x:c r="A872" s="3" t="s">
        <x:v>949</x:v>
      </x:c>
      <x:c r="B872" s="3" t="s">
        <x:v>7</x:v>
      </x:c>
      <x:c r="C872" s="3" t="s">
        <x:v>938</x:v>
      </x:c>
      <x:c r="D872" s="79" t="s">
        <x:v>929</x:v>
      </x:c>
      <x:c r="E872" s="3" t="s">
        <x:v>24</x:v>
      </x:c>
    </x:row>
    <x:row r="873" spans="1:5" ht="59.1" customHeight="1" x14ac:dyDescent="0.25">
      <x:c r="A873" s="3" t="s">
        <x:v>950</x:v>
      </x:c>
      <x:c r="B873" s="3" t="s">
        <x:v>7</x:v>
      </x:c>
      <x:c r="C873" s="79" t="s">
        <x:v>938</x:v>
      </x:c>
      <x:c r="D873" s="3" t="s">
        <x:v>929</x:v>
      </x:c>
      <x:c r="E873" s="3" t="s">
        <x:v>24</x:v>
      </x:c>
    </x:row>
    <x:row r="874" spans="1:5" ht="59.1" customHeight="1" x14ac:dyDescent="0.25">
      <x:c r="A874" s="3" t="s">
        <x:v>951</x:v>
      </x:c>
      <x:c r="B874" s="3" t="s">
        <x:v>7</x:v>
      </x:c>
      <x:c r="C874" s="3" t="s">
        <x:v>938</x:v>
      </x:c>
      <x:c r="D874" s="79" t="s">
        <x:v>934</x:v>
      </x:c>
      <x:c r="E874" s="3" t="s">
        <x:v>24</x:v>
      </x:c>
    </x:row>
    <x:row r="875" spans="1:5" ht="59.1" customHeight="1" x14ac:dyDescent="0.25">
      <x:c r="A875" s="3" t="s">
        <x:v>952</x:v>
      </x:c>
      <x:c r="B875" s="3" t="s">
        <x:v>7</x:v>
      </x:c>
      <x:c r="C875" s="79" t="s">
        <x:v>938</x:v>
      </x:c>
      <x:c r="D875" s="3" t="s">
        <x:v>934</x:v>
      </x:c>
      <x:c r="E875" s="3" t="s">
        <x:v>24</x:v>
      </x:c>
    </x:row>
    <x:row r="876" spans="1:5" ht="59.1" customHeight="1" x14ac:dyDescent="0.25">
      <x:c r="A876" s="3" t="s">
        <x:v>953</x:v>
      </x:c>
      <x:c r="B876" s="3" t="s">
        <x:v>7</x:v>
      </x:c>
      <x:c r="C876" s="3" t="s">
        <x:v>954</x:v>
      </x:c>
      <x:c r="D876" s="79" t="s">
        <x:v>16</x:v>
      </x:c>
      <x:c r="E876" s="3" t="s">
        <x:v>17</x:v>
      </x:c>
    </x:row>
    <x:row r="877" spans="1:5" ht="59.1" customHeight="1" x14ac:dyDescent="0.25">
      <x:c r="A877" s="3" t="s">
        <x:v>955</x:v>
      </x:c>
      <x:c r="B877" s="3" t="s">
        <x:v>7</x:v>
      </x:c>
      <x:c r="C877" s="79" t="s">
        <x:v>954</x:v>
      </x:c>
      <x:c r="D877" s="3" t="s">
        <x:v>16</x:v>
      </x:c>
      <x:c r="E877" s="3" t="s">
        <x:v>17</x:v>
      </x:c>
    </x:row>
    <x:row r="878" spans="1:5" ht="59.1" customHeight="1" x14ac:dyDescent="0.25">
      <x:c r="A878" s="3" t="s">
        <x:v>956</x:v>
      </x:c>
      <x:c r="B878" s="3" t="s">
        <x:v>7</x:v>
      </x:c>
      <x:c r="C878" s="3" t="s">
        <x:v>954</x:v>
      </x:c>
      <x:c r="D878" s="79" t="s">
        <x:v>16</x:v>
      </x:c>
      <x:c r="E878" s="3" t="s">
        <x:v>17</x:v>
      </x:c>
    </x:row>
    <x:row r="879" spans="1:5" ht="59.1" customHeight="1" x14ac:dyDescent="0.25">
      <x:c r="A879" s="3" t="s">
        <x:v>957</x:v>
      </x:c>
      <x:c r="B879" s="3" t="s">
        <x:v>7</x:v>
      </x:c>
      <x:c r="C879" s="79" t="s">
        <x:v>954</x:v>
      </x:c>
      <x:c r="D879" s="3" t="s">
        <x:v>16</x:v>
      </x:c>
      <x:c r="E879" s="3" t="s">
        <x:v>17</x:v>
      </x:c>
    </x:row>
    <x:row r="880" spans="1:5" ht="59.1" customHeight="1" x14ac:dyDescent="0.25">
      <x:c r="A880" s="3" t="s">
        <x:v>958</x:v>
      </x:c>
      <x:c r="B880" s="3" t="s">
        <x:v>7</x:v>
      </x:c>
      <x:c r="C880" s="3" t="s">
        <x:v>954</x:v>
      </x:c>
      <x:c r="D880" s="79" t="s">
        <x:v>21</x:v>
      </x:c>
      <x:c r="E880" s="3" t="s">
        <x:v>17</x:v>
      </x:c>
    </x:row>
    <x:row r="881" spans="1:5" ht="59.1" customHeight="1" x14ac:dyDescent="0.25">
      <x:c r="A881" s="3" t="s">
        <x:v>959</x:v>
      </x:c>
      <x:c r="B881" s="3" t="s">
        <x:v>7</x:v>
      </x:c>
      <x:c r="C881" s="79" t="s">
        <x:v>954</x:v>
      </x:c>
      <x:c r="D881" s="3" t="s">
        <x:v>23</x:v>
      </x:c>
      <x:c r="E881" s="3" t="s">
        <x:v>24</x:v>
      </x:c>
    </x:row>
    <x:row r="882" spans="1:5" ht="59.1" customHeight="1" x14ac:dyDescent="0.25">
      <x:c r="A882" s="3" t="s">
        <x:v>960</x:v>
      </x:c>
      <x:c r="B882" s="3" t="s">
        <x:v>7</x:v>
      </x:c>
      <x:c r="C882" s="3" t="s">
        <x:v>954</x:v>
      </x:c>
      <x:c r="D882" s="79" t="s">
        <x:v>23</x:v>
      </x:c>
      <x:c r="E882" s="3" t="s">
        <x:v>24</x:v>
      </x:c>
    </x:row>
    <x:row r="883" spans="1:5" ht="59.1" customHeight="1" x14ac:dyDescent="0.25">
      <x:c r="A883" s="3" t="s">
        <x:v>961</x:v>
      </x:c>
      <x:c r="B883" s="3" t="s">
        <x:v>7</x:v>
      </x:c>
      <x:c r="C883" s="79" t="s">
        <x:v>954</x:v>
      </x:c>
      <x:c r="D883" s="3" t="s">
        <x:v>23</x:v>
      </x:c>
      <x:c r="E883" s="3" t="s">
        <x:v>24</x:v>
      </x:c>
    </x:row>
    <x:row r="884" spans="1:5" ht="59.1" customHeight="1" x14ac:dyDescent="0.25">
      <x:c r="A884" s="3" t="s">
        <x:v>962</x:v>
      </x:c>
      <x:c r="B884" s="3" t="s">
        <x:v>7</x:v>
      </x:c>
      <x:c r="C884" s="3" t="s">
        <x:v>954</x:v>
      </x:c>
      <x:c r="D884" s="79" t="s">
        <x:v>23</x:v>
      </x:c>
      <x:c r="E884" s="3" t="s">
        <x:v>24</x:v>
      </x:c>
    </x:row>
    <x:row r="885" spans="1:5" ht="59.1" customHeight="1" x14ac:dyDescent="0.25">
      <x:c r="A885" s="3" t="s">
        <x:v>963</x:v>
      </x:c>
      <x:c r="B885" s="3" t="s">
        <x:v>7</x:v>
      </x:c>
      <x:c r="C885" s="79" t="s">
        <x:v>954</x:v>
      </x:c>
      <x:c r="D885" s="3" t="s">
        <x:v>37</x:v>
      </x:c>
      <x:c r="E885" s="3" t="s">
        <x:v>24</x:v>
      </x:c>
    </x:row>
    <x:row r="886" spans="1:5" ht="47.1" customHeight="1" x14ac:dyDescent="0.25">
      <x:c r="A886" s="3" t="s">
        <x:v>964</x:v>
      </x:c>
      <x:c r="B886" s="3" t="s">
        <x:v>7</x:v>
      </x:c>
      <x:c r="C886" s="3" t="s">
        <x:v>965</x:v>
      </x:c>
      <x:c r="D886" s="79" t="s">
        <x:v>966</x:v>
      </x:c>
      <x:c r="E886" s="3" t="s">
        <x:v>24</x:v>
      </x:c>
    </x:row>
    <x:row r="887" spans="1:5" ht="47.1" customHeight="1" x14ac:dyDescent="0.25">
      <x:c r="A887" s="3" t="s">
        <x:v>967</x:v>
      </x:c>
      <x:c r="B887" s="3" t="s">
        <x:v>7</x:v>
      </x:c>
      <x:c r="C887" s="79" t="s">
        <x:v>965</x:v>
      </x:c>
      <x:c r="D887" s="3" t="s">
        <x:v>968</x:v>
      </x:c>
      <x:c r="E887" s="3" t="s">
        <x:v>24</x:v>
      </x:c>
    </x:row>
    <x:row r="888" spans="1:5" ht="47.1" customHeight="1" x14ac:dyDescent="0.25">
      <x:c r="A888" s="3" t="s">
        <x:v>969</x:v>
      </x:c>
      <x:c r="B888" s="3" t="s">
        <x:v>7</x:v>
      </x:c>
      <x:c r="C888" s="3" t="s">
        <x:v>965</x:v>
      </x:c>
      <x:c r="D888" s="79" t="s">
        <x:v>968</x:v>
      </x:c>
      <x:c r="E888" s="3" t="s">
        <x:v>24</x:v>
      </x:c>
    </x:row>
    <x:row r="889" spans="1:5" ht="47.1" customHeight="1" x14ac:dyDescent="0.25">
      <x:c r="A889" s="3" t="s">
        <x:v>970</x:v>
      </x:c>
      <x:c r="B889" s="3" t="s">
        <x:v>7</x:v>
      </x:c>
      <x:c r="C889" s="79" t="s">
        <x:v>965</x:v>
      </x:c>
      <x:c r="D889" s="3" t="s">
        <x:v>968</x:v>
      </x:c>
      <x:c r="E889" s="3" t="s">
        <x:v>24</x:v>
      </x:c>
    </x:row>
    <x:row r="890" spans="1:5" ht="47.1" customHeight="1" x14ac:dyDescent="0.25">
      <x:c r="A890" s="3" t="s">
        <x:v>971</x:v>
      </x:c>
      <x:c r="B890" s="3" t="s">
        <x:v>7</x:v>
      </x:c>
      <x:c r="C890" s="3" t="s">
        <x:v>965</x:v>
      </x:c>
      <x:c r="D890" s="79" t="s">
        <x:v>183</x:v>
      </x:c>
      <x:c r="E890" s="3" t="s">
        <x:v>484</x:v>
      </x:c>
    </x:row>
    <x:row r="891" spans="1:5" ht="47.1" customHeight="1" x14ac:dyDescent="0.25">
      <x:c r="A891" s="3" t="s">
        <x:v>972</x:v>
      </x:c>
      <x:c r="B891" s="3" t="s">
        <x:v>7</x:v>
      </x:c>
      <x:c r="C891" s="79" t="s">
        <x:v>965</x:v>
      </x:c>
      <x:c r="D891" s="3" t="s">
        <x:v>183</x:v>
      </x:c>
      <x:c r="E891" s="3" t="s">
        <x:v>484</x:v>
      </x:c>
    </x:row>
    <x:row r="892" spans="1:5" ht="47.1" customHeight="1" x14ac:dyDescent="0.25">
      <x:c r="A892" s="3" t="s">
        <x:v>973</x:v>
      </x:c>
      <x:c r="B892" s="3" t="s">
        <x:v>7</x:v>
      </x:c>
      <x:c r="C892" s="3" t="s">
        <x:v>965</x:v>
      </x:c>
      <x:c r="D892" s="79" t="s">
        <x:v>183</x:v>
      </x:c>
      <x:c r="E892" s="3" t="s">
        <x:v>484</x:v>
      </x:c>
    </x:row>
    <x:row r="893" spans="1:5" ht="47.1" customHeight="1" x14ac:dyDescent="0.25">
      <x:c r="A893" s="3" t="s">
        <x:v>974</x:v>
      </x:c>
      <x:c r="B893" s="3" t="s">
        <x:v>7</x:v>
      </x:c>
      <x:c r="C893" s="79" t="s">
        <x:v>965</x:v>
      </x:c>
      <x:c r="D893" s="3" t="s">
        <x:v>183</x:v>
      </x:c>
      <x:c r="E893" s="3" t="s">
        <x:v>484</x:v>
      </x:c>
    </x:row>
    <x:row r="894" spans="1:5" ht="47.1" customHeight="1" x14ac:dyDescent="0.25">
      <x:c r="A894" s="3" t="s">
        <x:v>975</x:v>
      </x:c>
      <x:c r="B894" s="3" t="s">
        <x:v>7</x:v>
      </x:c>
      <x:c r="C894" s="3" t="s">
        <x:v>965</x:v>
      </x:c>
      <x:c r="D894" s="79" t="s">
        <x:v>191</x:v>
      </x:c>
      <x:c r="E894" s="3" t="s">
        <x:v>484</x:v>
      </x:c>
    </x:row>
    <x:row r="895" spans="1:5" ht="59.1" customHeight="1" x14ac:dyDescent="0.25">
      <x:c r="A895" s="3" t="s">
        <x:v>976</x:v>
      </x:c>
      <x:c r="B895" s="3" t="s">
        <x:v>7</x:v>
      </x:c>
      <x:c r="C895" s="79" t="s">
        <x:v>977</x:v>
      </x:c>
      <x:c r="D895" s="3" t="s">
        <x:v>978</x:v>
      </x:c>
      <x:c r="E895" s="3" t="s">
        <x:v>484</x:v>
      </x:c>
    </x:row>
    <x:row r="896" spans="1:5" ht="59.1" customHeight="1" x14ac:dyDescent="0.25">
      <x:c r="A896" s="3" t="s">
        <x:v>979</x:v>
      </x:c>
      <x:c r="B896" s="3" t="s">
        <x:v>7</x:v>
      </x:c>
      <x:c r="C896" s="3" t="s">
        <x:v>977</x:v>
      </x:c>
      <x:c r="D896" s="79" t="s">
        <x:v>978</x:v>
      </x:c>
      <x:c r="E896" s="3" t="s">
        <x:v>484</x:v>
      </x:c>
    </x:row>
    <x:row r="897" spans="1:5" ht="59.1" customHeight="1" x14ac:dyDescent="0.25">
      <x:c r="A897" s="3" t="s">
        <x:v>980</x:v>
      </x:c>
      <x:c r="B897" s="3" t="s">
        <x:v>7</x:v>
      </x:c>
      <x:c r="C897" s="79" t="s">
        <x:v>977</x:v>
      </x:c>
      <x:c r="D897" s="3" t="s">
        <x:v>978</x:v>
      </x:c>
      <x:c r="E897" s="3" t="s">
        <x:v>484</x:v>
      </x:c>
    </x:row>
    <x:row r="898" spans="1:5" ht="59.1" customHeight="1" x14ac:dyDescent="0.25">
      <x:c r="A898" s="3" t="s">
        <x:v>981</x:v>
      </x:c>
      <x:c r="B898" s="3" t="s">
        <x:v>7</x:v>
      </x:c>
      <x:c r="C898" s="3" t="s">
        <x:v>977</x:v>
      </x:c>
      <x:c r="D898" s="79" t="s">
        <x:v>978</x:v>
      </x:c>
      <x:c r="E898" s="3" t="s">
        <x:v>484</x:v>
      </x:c>
    </x:row>
    <x:row r="899" spans="1:5" ht="59.1" customHeight="1" x14ac:dyDescent="0.25">
      <x:c r="A899" s="3" t="s">
        <x:v>982</x:v>
      </x:c>
      <x:c r="B899" s="3" t="s">
        <x:v>7</x:v>
      </x:c>
      <x:c r="C899" s="79" t="s">
        <x:v>977</x:v>
      </x:c>
      <x:c r="D899" s="3" t="s">
        <x:v>983</x:v>
      </x:c>
      <x:c r="E899" s="3" t="s">
        <x:v>484</x:v>
      </x:c>
    </x:row>
    <x:row r="900" spans="1:5" ht="59.1" customHeight="1" x14ac:dyDescent="0.25">
      <x:c r="A900" s="3" t="s">
        <x:v>984</x:v>
      </x:c>
      <x:c r="B900" s="3" t="s">
        <x:v>7</x:v>
      </x:c>
      <x:c r="C900" s="3" t="s">
        <x:v>977</x:v>
      </x:c>
      <x:c r="D900" s="79" t="s">
        <x:v>983</x:v>
      </x:c>
      <x:c r="E900" s="3" t="s">
        <x:v>484</x:v>
      </x:c>
    </x:row>
    <x:row r="901" spans="1:5" ht="59.1" customHeight="1" x14ac:dyDescent="0.25">
      <x:c r="A901" s="3" t="s">
        <x:v>985</x:v>
      </x:c>
      <x:c r="B901" s="3" t="s">
        <x:v>7</x:v>
      </x:c>
      <x:c r="C901" s="79" t="s">
        <x:v>977</x:v>
      </x:c>
      <x:c r="D901" s="3" t="s">
        <x:v>983</x:v>
      </x:c>
      <x:c r="E901" s="3" t="s">
        <x:v>484</x:v>
      </x:c>
    </x:row>
    <x:row r="902" spans="1:5" ht="59.1" customHeight="1" x14ac:dyDescent="0.25">
      <x:c r="A902" s="3" t="s">
        <x:v>986</x:v>
      </x:c>
      <x:c r="B902" s="3" t="s">
        <x:v>7</x:v>
      </x:c>
      <x:c r="C902" s="3" t="s">
        <x:v>977</x:v>
      </x:c>
      <x:c r="D902" s="79" t="s">
        <x:v>983</x:v>
      </x:c>
      <x:c r="E902" s="3" t="s">
        <x:v>484</x:v>
      </x:c>
    </x:row>
    <x:row r="903" spans="1:5" ht="59.1" customHeight="1" x14ac:dyDescent="0.25">
      <x:c r="A903" s="3" t="s">
        <x:v>987</x:v>
      </x:c>
      <x:c r="B903" s="3" t="s">
        <x:v>7</x:v>
      </x:c>
      <x:c r="C903" s="79" t="s">
        <x:v>977</x:v>
      </x:c>
      <x:c r="D903" s="3" t="s">
        <x:v>988</x:v>
      </x:c>
      <x:c r="E903" s="3" t="s">
        <x:v>484</x:v>
      </x:c>
    </x:row>
    <x:row r="904" spans="1:5" ht="59.1" customHeight="1" x14ac:dyDescent="0.25">
      <x:c r="A904" s="3" t="s">
        <x:v>989</x:v>
      </x:c>
      <x:c r="B904" s="3" t="s">
        <x:v>7</x:v>
      </x:c>
      <x:c r="C904" s="3" t="s">
        <x:v>977</x:v>
      </x:c>
      <x:c r="D904" s="79" t="s">
        <x:v>990</x:v>
      </x:c>
      <x:c r="E904" s="3" t="s">
        <x:v>484</x:v>
      </x:c>
    </x:row>
    <x:row r="905" spans="1:5" ht="59.1" customHeight="1" x14ac:dyDescent="0.25">
      <x:c r="A905" s="3" t="s">
        <x:v>991</x:v>
      </x:c>
      <x:c r="B905" s="3" t="s">
        <x:v>7</x:v>
      </x:c>
      <x:c r="C905" s="79" t="s">
        <x:v>992</x:v>
      </x:c>
      <x:c r="D905" s="3" t="s">
        <x:v>978</x:v>
      </x:c>
      <x:c r="E905" s="3" t="s">
        <x:v>484</x:v>
      </x:c>
    </x:row>
    <x:row r="906" spans="1:5" ht="59.1" customHeight="1" x14ac:dyDescent="0.25">
      <x:c r="A906" s="3" t="s">
        <x:v>993</x:v>
      </x:c>
      <x:c r="B906" s="3" t="s">
        <x:v>7</x:v>
      </x:c>
      <x:c r="C906" s="3" t="s">
        <x:v>992</x:v>
      </x:c>
      <x:c r="D906" s="79" t="s">
        <x:v>978</x:v>
      </x:c>
      <x:c r="E906" s="3" t="s">
        <x:v>484</x:v>
      </x:c>
    </x:row>
    <x:row r="907" spans="1:5" ht="59.1" customHeight="1" x14ac:dyDescent="0.25">
      <x:c r="A907" s="3" t="s">
        <x:v>994</x:v>
      </x:c>
      <x:c r="B907" s="3" t="s">
        <x:v>7</x:v>
      </x:c>
      <x:c r="C907" s="79" t="s">
        <x:v>992</x:v>
      </x:c>
      <x:c r="D907" s="3" t="s">
        <x:v>978</x:v>
      </x:c>
      <x:c r="E907" s="3" t="s">
        <x:v>484</x:v>
      </x:c>
    </x:row>
    <x:row r="908" spans="1:5" ht="59.1" customHeight="1" x14ac:dyDescent="0.25">
      <x:c r="A908" s="3" t="s">
        <x:v>995</x:v>
      </x:c>
      <x:c r="B908" s="3" t="s">
        <x:v>7</x:v>
      </x:c>
      <x:c r="C908" s="3" t="s">
        <x:v>992</x:v>
      </x:c>
      <x:c r="D908" s="79" t="s">
        <x:v>978</x:v>
      </x:c>
      <x:c r="E908" s="3" t="s">
        <x:v>484</x:v>
      </x:c>
    </x:row>
    <x:row r="909" spans="1:5" ht="59.1" customHeight="1" x14ac:dyDescent="0.25">
      <x:c r="A909" s="3" t="s">
        <x:v>996</x:v>
      </x:c>
      <x:c r="B909" s="3" t="s">
        <x:v>7</x:v>
      </x:c>
      <x:c r="C909" s="79" t="s">
        <x:v>992</x:v>
      </x:c>
      <x:c r="D909" s="3" t="s">
        <x:v>990</x:v>
      </x:c>
      <x:c r="E909" s="3" t="s">
        <x:v>484</x:v>
      </x:c>
    </x:row>
    <x:row r="910" spans="1:5" ht="59.1" customHeight="1" x14ac:dyDescent="0.25">
      <x:c r="A910" s="3" t="s">
        <x:v>997</x:v>
      </x:c>
      <x:c r="B910" s="3" t="s">
        <x:v>7</x:v>
      </x:c>
      <x:c r="C910" s="3">
        <x:v>0</x:v>
      </x:c>
      <x:c r="D910" s="79" t="s">
        <x:v>16</x:v>
      </x:c>
      <x:c r="E910" s="3" t="s">
        <x:v>17</x:v>
      </x:c>
    </x:row>
    <x:row r="911" spans="1:5" ht="59.1" customHeight="1" x14ac:dyDescent="0.25">
      <x:c r="A911" s="3" t="s">
        <x:v>998</x:v>
      </x:c>
      <x:c r="B911" s="3" t="s">
        <x:v>7</x:v>
      </x:c>
      <x:c r="C911" s="79">
        <x:v>0</x:v>
      </x:c>
      <x:c r="D911" s="3" t="s">
        <x:v>16</x:v>
      </x:c>
      <x:c r="E911" s="3" t="s">
        <x:v>17</x:v>
      </x:c>
    </x:row>
    <x:row r="912" spans="1:5" ht="59.1" customHeight="1" x14ac:dyDescent="0.25">
      <x:c r="A912" s="3" t="s">
        <x:v>999</x:v>
      </x:c>
      <x:c r="B912" s="3" t="s">
        <x:v>7</x:v>
      </x:c>
      <x:c r="C912" s="3">
        <x:v>0</x:v>
      </x:c>
      <x:c r="D912" s="79" t="s">
        <x:v>16</x:v>
      </x:c>
      <x:c r="E912" s="3" t="s">
        <x:v>17</x:v>
      </x:c>
    </x:row>
    <x:row r="913" spans="1:5" ht="59.1" customHeight="1" x14ac:dyDescent="0.25">
      <x:c r="A913" s="3" t="s">
        <x:v>1000</x:v>
      </x:c>
      <x:c r="B913" s="3" t="s">
        <x:v>7</x:v>
      </x:c>
      <x:c r="C913" s="79">
        <x:v>0</x:v>
      </x:c>
      <x:c r="D913" s="3" t="s">
        <x:v>16</x:v>
      </x:c>
      <x:c r="E913" s="3" t="s">
        <x:v>17</x:v>
      </x:c>
    </x:row>
    <x:row r="914" spans="1:5" ht="59.1" customHeight="1" x14ac:dyDescent="0.25">
      <x:c r="A914" s="3" t="s">
        <x:v>1001</x:v>
      </x:c>
      <x:c r="B914" s="3" t="s">
        <x:v>7</x:v>
      </x:c>
      <x:c r="C914" s="3">
        <x:v>0</x:v>
      </x:c>
      <x:c r="D914" s="79" t="s">
        <x:v>21</x:v>
      </x:c>
      <x:c r="E914" s="3" t="s">
        <x:v>17</x:v>
      </x:c>
    </x:row>
    <x:row r="915" spans="1:5" ht="59.1" customHeight="1" x14ac:dyDescent="0.25">
      <x:c r="A915" s="3" t="s">
        <x:v>1002</x:v>
      </x:c>
      <x:c r="B915" s="3" t="s">
        <x:v>7</x:v>
      </x:c>
      <x:c r="C915" s="79">
        <x:v>0</x:v>
      </x:c>
      <x:c r="D915" s="3" t="s">
        <x:v>23</x:v>
      </x:c>
      <x:c r="E915" s="3" t="s">
        <x:v>24</x:v>
      </x:c>
    </x:row>
    <x:row r="916" spans="1:5" ht="59.1" customHeight="1" x14ac:dyDescent="0.25">
      <x:c r="A916" s="3" t="s">
        <x:v>1003</x:v>
      </x:c>
      <x:c r="B916" s="3" t="s">
        <x:v>7</x:v>
      </x:c>
      <x:c r="C916" s="3">
        <x:v>0</x:v>
      </x:c>
      <x:c r="D916" s="79" t="s">
        <x:v>23</x:v>
      </x:c>
      <x:c r="E916" s="3" t="s">
        <x:v>24</x:v>
      </x:c>
    </x:row>
    <x:row r="917" spans="1:5" ht="59.1" customHeight="1" x14ac:dyDescent="0.25">
      <x:c r="A917" s="3" t="s">
        <x:v>1004</x:v>
      </x:c>
      <x:c r="B917" s="3" t="s">
        <x:v>7</x:v>
      </x:c>
      <x:c r="C917" s="79">
        <x:v>0</x:v>
      </x:c>
      <x:c r="D917" s="3" t="s">
        <x:v>23</x:v>
      </x:c>
      <x:c r="E917" s="3" t="s">
        <x:v>24</x:v>
      </x:c>
    </x:row>
    <x:row r="918" spans="1:5" ht="59.1" customHeight="1" x14ac:dyDescent="0.25">
      <x:c r="A918" s="3" t="s">
        <x:v>1005</x:v>
      </x:c>
      <x:c r="B918" s="3" t="s">
        <x:v>7</x:v>
      </x:c>
      <x:c r="C918" s="3">
        <x:v>0</x:v>
      </x:c>
      <x:c r="D918" s="79" t="s">
        <x:v>23</x:v>
      </x:c>
      <x:c r="E918" s="3" t="s">
        <x:v>24</x:v>
      </x:c>
    </x:row>
    <x:row r="919" spans="1:5" ht="59.1" customHeight="1" x14ac:dyDescent="0.25">
      <x:c r="A919" s="3" t="s">
        <x:v>1006</x:v>
      </x:c>
      <x:c r="B919" s="3" t="s">
        <x:v>7</x:v>
      </x:c>
      <x:c r="C919" s="79">
        <x:v>0</x:v>
      </x:c>
      <x:c r="D919" s="3" t="s">
        <x:v>23</x:v>
      </x:c>
      <x:c r="E919" s="3" t="s">
        <x:v>24</x:v>
      </x:c>
    </x:row>
    <x:row r="920" spans="1:5" ht="59.1" customHeight="1" x14ac:dyDescent="0.25">
      <x:c r="A920" s="3" t="s">
        <x:v>1007</x:v>
      </x:c>
      <x:c r="B920" s="3" t="s">
        <x:v>7</x:v>
      </x:c>
      <x:c r="C920" s="3">
        <x:v>0</x:v>
      </x:c>
      <x:c r="D920" s="79" t="s">
        <x:v>23</x:v>
      </x:c>
      <x:c r="E920" s="3" t="s">
        <x:v>24</x:v>
      </x:c>
    </x:row>
    <x:row r="921" spans="1:5" ht="59.1" customHeight="1" x14ac:dyDescent="0.25">
      <x:c r="A921" s="3" t="s">
        <x:v>1008</x:v>
      </x:c>
      <x:c r="B921" s="3" t="s">
        <x:v>7</x:v>
      </x:c>
      <x:c r="C921" s="79">
        <x:v>0</x:v>
      </x:c>
      <x:c r="D921" s="3" t="s">
        <x:v>23</x:v>
      </x:c>
      <x:c r="E921" s="3" t="s">
        <x:v>24</x:v>
      </x:c>
    </x:row>
    <x:row r="922" spans="1:5" ht="59.1" customHeight="1" x14ac:dyDescent="0.25">
      <x:c r="A922" s="3" t="s">
        <x:v>1009</x:v>
      </x:c>
      <x:c r="B922" s="3" t="s">
        <x:v>7</x:v>
      </x:c>
      <x:c r="C922" s="3">
        <x:v>0</x:v>
      </x:c>
      <x:c r="D922" s="79" t="s">
        <x:v>37</x:v>
      </x:c>
      <x:c r="E922" s="3" t="s">
        <x:v>24</x:v>
      </x:c>
    </x:row>
    <x:row r="923" spans="1:5" ht="59.1" customHeight="1" x14ac:dyDescent="0.25">
      <x:c r="A923" s="3" t="s">
        <x:v>1010</x:v>
      </x:c>
      <x:c r="B923" s="3" t="s">
        <x:v>7</x:v>
      </x:c>
      <x:c r="C923" s="79">
        <x:v>0</x:v>
      </x:c>
      <x:c r="D923" s="3" t="s">
        <x:v>37</x:v>
      </x:c>
      <x:c r="E923" s="3" t="s">
        <x:v>24</x:v>
      </x:c>
    </x:row>
    <x:row r="924" spans="1:5" ht="59.1" customHeight="1" x14ac:dyDescent="0.25">
      <x:c r="A924" s="3" t="s">
        <x:v>1011</x:v>
      </x:c>
      <x:c r="B924" s="3" t="s">
        <x:v>7</x:v>
      </x:c>
      <x:c r="C924" s="3">
        <x:v>0</x:v>
      </x:c>
      <x:c r="D924" s="79" t="s">
        <x:v>23</x:v>
      </x:c>
      <x:c r="E924" s="3" t="s">
        <x:v>24</x:v>
      </x:c>
    </x:row>
    <x:row r="925" spans="1:5" ht="59.1" customHeight="1" x14ac:dyDescent="0.25">
      <x:c r="A925" s="3" t="s">
        <x:v>1012</x:v>
      </x:c>
      <x:c r="B925" s="3" t="s">
        <x:v>7</x:v>
      </x:c>
      <x:c r="C925" s="79">
        <x:v>0</x:v>
      </x:c>
      <x:c r="D925" s="3" t="s">
        <x:v>23</x:v>
      </x:c>
      <x:c r="E925" s="3" t="s">
        <x:v>24</x:v>
      </x:c>
    </x:row>
    <x:row r="926" spans="1:5" ht="59.1" customHeight="1" x14ac:dyDescent="0.25">
      <x:c r="A926" s="3" t="s">
        <x:v>1013</x:v>
      </x:c>
      <x:c r="B926" s="3" t="s">
        <x:v>7</x:v>
      </x:c>
      <x:c r="C926" s="3">
        <x:v>0</x:v>
      </x:c>
      <x:c r="D926" s="79" t="s">
        <x:v>23</x:v>
      </x:c>
      <x:c r="E926" s="3" t="s">
        <x:v>24</x:v>
      </x:c>
    </x:row>
    <x:row r="927" spans="1:5" ht="59.1" customHeight="1" x14ac:dyDescent="0.25">
      <x:c r="A927" s="3" t="s">
        <x:v>1014</x:v>
      </x:c>
      <x:c r="B927" s="3" t="s">
        <x:v>7</x:v>
      </x:c>
      <x:c r="C927" s="79">
        <x:v>0</x:v>
      </x:c>
      <x:c r="D927" s="3" t="s">
        <x:v>23</x:v>
      </x:c>
      <x:c r="E927" s="3" t="s">
        <x:v>24</x:v>
      </x:c>
    </x:row>
    <x:row r="928" spans="1:5" ht="59.1" customHeight="1" x14ac:dyDescent="0.25">
      <x:c r="A928" s="3" t="s">
        <x:v>1015</x:v>
      </x:c>
      <x:c r="B928" s="3" t="s">
        <x:v>7</x:v>
      </x:c>
      <x:c r="C928" s="3">
        <x:v>0</x:v>
      </x:c>
      <x:c r="D928" s="79" t="s">
        <x:v>23</x:v>
      </x:c>
      <x:c r="E928" s="3" t="s">
        <x:v>24</x:v>
      </x:c>
    </x:row>
    <x:row r="929" spans="1:5" ht="59.1" customHeight="1" x14ac:dyDescent="0.25">
      <x:c r="A929" s="3" t="s">
        <x:v>1016</x:v>
      </x:c>
      <x:c r="B929" s="3" t="s">
        <x:v>7</x:v>
      </x:c>
      <x:c r="C929" s="79">
        <x:v>0</x:v>
      </x:c>
      <x:c r="D929" s="3" t="s">
        <x:v>37</x:v>
      </x:c>
      <x:c r="E929" s="3" t="s">
        <x:v>24</x:v>
      </x:c>
    </x:row>
    <x:row r="930" spans="1:5" ht="105.95" customHeight="1" x14ac:dyDescent="0.25">
      <x:c r="A930" s="3" t="s">
        <x:v>1017</x:v>
      </x:c>
      <x:c r="B930" s="3" t="s">
        <x:v>1018</x:v>
      </x:c>
      <x:c r="C930" s="3"/>
      <x:c r="D930" s="79" t="s">
        <x:v>1019</x:v>
      </x:c>
      <x:c r="E930" s="3"/>
    </x:row>
    <x:row r="931" spans="1:5" ht="105.95" customHeight="1" x14ac:dyDescent="0.25">
      <x:c r="A931" s="3" t="s">
        <x:v>1020</x:v>
      </x:c>
      <x:c r="B931" s="3" t="s">
        <x:v>1018</x:v>
      </x:c>
      <x:c r="C931" s="79"/>
      <x:c r="D931" s="3" t="s">
        <x:v>1019</x:v>
      </x:c>
      <x:c r="E931" s="3"/>
    </x:row>
    <x:row r="932" spans="1:5" ht="105.95" customHeight="1" x14ac:dyDescent="0.25">
      <x:c r="A932" s="3" t="s">
        <x:v>1021</x:v>
      </x:c>
      <x:c r="B932" s="3" t="s">
        <x:v>1018</x:v>
      </x:c>
      <x:c r="C932" s="3"/>
      <x:c r="D932" s="79" t="s">
        <x:v>1019</x:v>
      </x:c>
      <x:c r="E932" s="3"/>
    </x:row>
    <x:row r="933" spans="1:5" ht="105.95" customHeight="1" x14ac:dyDescent="0.25">
      <x:c r="A933" s="3" t="s">
        <x:v>1022</x:v>
      </x:c>
      <x:c r="B933" s="3" t="s">
        <x:v>1018</x:v>
      </x:c>
      <x:c r="C933" s="79"/>
      <x:c r="D933" s="3" t="s">
        <x:v>1023</x:v>
      </x:c>
      <x:c r="E933" s="3"/>
    </x:row>
    <x:row r="934" spans="1:5" ht="59.1" customHeight="1" x14ac:dyDescent="0.25">
      <x:c r="A934" s="3" t="s">
        <x:v>1024</x:v>
      </x:c>
      <x:c r="B934" s="3" t="s">
        <x:v>1018</x:v>
      </x:c>
      <x:c r="C934" s="3"/>
      <x:c r="D934" s="79" t="s">
        <x:v>1025</x:v>
      </x:c>
      <x:c r="E934" s="3"/>
    </x:row>
    <x:row r="935" spans="1:5" ht="105.95" customHeight="1" x14ac:dyDescent="0.25">
      <x:c r="A935" s="3" t="s">
        <x:v>1026</x:v>
      </x:c>
      <x:c r="B935" s="3" t="s">
        <x:v>1018</x:v>
      </x:c>
      <x:c r="C935" s="79"/>
      <x:c r="D935" s="3" t="s">
        <x:v>1025</x:v>
      </x:c>
      <x:c r="E935" s="3"/>
    </x:row>
    <x:row r="936" spans="1:5" ht="105.95" customHeight="1" x14ac:dyDescent="0.25">
      <x:c r="A936" s="3" t="s">
        <x:v>1027</x:v>
      </x:c>
      <x:c r="B936" s="3" t="s">
        <x:v>1018</x:v>
      </x:c>
      <x:c r="C936" s="3"/>
      <x:c r="D936" s="79" t="s">
        <x:v>1025</x:v>
      </x:c>
      <x:c r="E936" s="3"/>
    </x:row>
    <x:row r="937" spans="1:5" ht="105.95" customHeight="1" x14ac:dyDescent="0.25">
      <x:c r="A937" s="3" t="s">
        <x:v>1028</x:v>
      </x:c>
      <x:c r="B937" s="3" t="s">
        <x:v>1018</x:v>
      </x:c>
      <x:c r="C937" s="79"/>
      <x:c r="D937" s="3" t="s">
        <x:v>1025</x:v>
      </x:c>
      <x:c r="E937" s="3"/>
    </x:row>
    <x:row r="938" spans="1:5" ht="105.95" customHeight="1" x14ac:dyDescent="0.25">
      <x:c r="A938" s="3" t="s">
        <x:v>1029</x:v>
      </x:c>
      <x:c r="B938" s="3" t="s">
        <x:v>1018</x:v>
      </x:c>
      <x:c r="C938" s="3"/>
      <x:c r="D938" s="79" t="s">
        <x:v>1030</x:v>
      </x:c>
      <x:c r="E938" s="3"/>
    </x:row>
    <x:row r="939" spans="1:5" ht="105.95" customHeight="1" x14ac:dyDescent="0.25">
      <x:c r="A939" s="3" t="s">
        <x:v>1031</x:v>
      </x:c>
      <x:c r="B939" s="3" t="s">
        <x:v>1018</x:v>
      </x:c>
      <x:c r="C939" s="79"/>
      <x:c r="D939" s="3" t="s">
        <x:v>1032</x:v>
      </x:c>
      <x:c r="E939" s="3"/>
    </x:row>
    <x:row r="940" spans="1:5" ht="105.95" customHeight="1" x14ac:dyDescent="0.25">
      <x:c r="A940" s="3" t="s">
        <x:v>1033</x:v>
      </x:c>
      <x:c r="B940" s="3" t="s">
        <x:v>1018</x:v>
      </x:c>
      <x:c r="C940" s="3"/>
      <x:c r="D940" s="79" t="s">
        <x:v>1032</x:v>
      </x:c>
      <x:c r="E940" s="3"/>
    </x:row>
    <x:row r="941" spans="1:5" ht="105.95" customHeight="1" x14ac:dyDescent="0.25">
      <x:c r="A941" s="3" t="s">
        <x:v>1034</x:v>
      </x:c>
      <x:c r="B941" s="3" t="s">
        <x:v>1018</x:v>
      </x:c>
      <x:c r="C941" s="79"/>
      <x:c r="D941" s="3" t="s">
        <x:v>1032</x:v>
      </x:c>
      <x:c r="E941" s="3"/>
    </x:row>
    <x:row r="942" spans="1:5" ht="105.95" customHeight="1" x14ac:dyDescent="0.25">
      <x:c r="A942" s="3" t="s">
        <x:v>1035</x:v>
      </x:c>
      <x:c r="B942" s="3" t="s">
        <x:v>1018</x:v>
      </x:c>
      <x:c r="C942" s="3"/>
      <x:c r="D942" s="79" t="s">
        <x:v>1032</x:v>
      </x:c>
      <x:c r="E942" s="3"/>
    </x:row>
    <x:row r="943" spans="1:5" ht="105.95" customHeight="1" x14ac:dyDescent="0.25">
      <x:c r="A943" s="3" t="s">
        <x:v>1036</x:v>
      </x:c>
      <x:c r="B943" s="3" t="s">
        <x:v>1018</x:v>
      </x:c>
      <x:c r="C943" s="79"/>
      <x:c r="D943" s="3" t="s">
        <x:v>1037</x:v>
      </x:c>
      <x:c r="E943" s="3"/>
    </x:row>
    <x:row r="944" spans="1:5" ht="105.95" customHeight="1" x14ac:dyDescent="0.25">
      <x:c r="A944" s="3" t="s">
        <x:v>1038</x:v>
      </x:c>
      <x:c r="B944" s="3" t="s">
        <x:v>1018</x:v>
      </x:c>
      <x:c r="C944" s="3"/>
      <x:c r="D944" s="79" t="s">
        <x:v>1039</x:v>
      </x:c>
      <x:c r="E944" s="3"/>
    </x:row>
    <x:row r="945" spans="1:5" ht="105.95" customHeight="1" x14ac:dyDescent="0.25">
      <x:c r="A945" s="3" t="s">
        <x:v>1040</x:v>
      </x:c>
      <x:c r="B945" s="3" t="s">
        <x:v>1018</x:v>
      </x:c>
      <x:c r="C945" s="79"/>
      <x:c r="D945" s="3" t="s">
        <x:v>1039</x:v>
      </x:c>
      <x:c r="E945" s="3"/>
    </x:row>
    <x:row r="946" spans="1:5" ht="105.95" customHeight="1" x14ac:dyDescent="0.25">
      <x:c r="A946" s="3" t="s">
        <x:v>1041</x:v>
      </x:c>
      <x:c r="B946" s="3" t="s">
        <x:v>1018</x:v>
      </x:c>
      <x:c r="C946" s="3"/>
      <x:c r="D946" s="79" t="s">
        <x:v>1039</x:v>
      </x:c>
      <x:c r="E946" s="3"/>
    </x:row>
    <x:row r="947" spans="1:5" ht="105.95" customHeight="1" x14ac:dyDescent="0.25">
      <x:c r="A947" s="3" t="s">
        <x:v>1042</x:v>
      </x:c>
      <x:c r="B947" s="3" t="s">
        <x:v>1018</x:v>
      </x:c>
      <x:c r="C947" s="79"/>
      <x:c r="D947" s="3" t="s">
        <x:v>1039</x:v>
      </x:c>
      <x:c r="E947" s="3"/>
    </x:row>
    <x:row r="948" spans="1:5" ht="105.95" customHeight="1" x14ac:dyDescent="0.25">
      <x:c r="A948" s="3" t="s">
        <x:v>1043</x:v>
      </x:c>
      <x:c r="B948" s="3" t="s">
        <x:v>1018</x:v>
      </x:c>
      <x:c r="C948" s="3"/>
      <x:c r="D948" s="3" t="s">
        <x:v>1044</x:v>
      </x:c>
      <x:c r="E948" s="3"/>
    </x:row>
    <x:row r="949" ht="11.45" customHeight="1" x14ac:dyDescent="0.25"/>
    <x:row r="950" ht="11.45" customHeight="1" x14ac:dyDescent="0.25"/>
    <x:row r="951" ht="11.45" customHeight="1" x14ac:dyDescent="0.25"/>
    <x:row r="952" ht="11.45" customHeight="1" x14ac:dyDescent="0.25"/>
    <x:row r="953" ht="11.45" customHeight="1" x14ac:dyDescent="0.25"/>
    <x:row r="954" ht="11.45" customHeight="1" x14ac:dyDescent="0.25"/>
    <x:row r="955" ht="11.45" customHeight="1" x14ac:dyDescent="0.25"/>
    <x:row r="956" ht="11.45" customHeight="1" x14ac:dyDescent="0.25"/>
    <x:row r="957" ht="11.45" customHeight="1" x14ac:dyDescent="0.25"/>
    <x:row r="958" ht="11.45" customHeight="1" x14ac:dyDescent="0.25"/>
    <x:row r="959" ht="11.45" customHeight="1" x14ac:dyDescent="0.25"/>
    <x:row r="960" ht="11.45" customHeight="1" x14ac:dyDescent="0.25"/>
    <x:row r="961" ht="11.45" customHeight="1" x14ac:dyDescent="0.25"/>
    <x:row r="962" ht="11.45" customHeight="1" x14ac:dyDescent="0.25"/>
    <x:row r="963" ht="11.45" customHeight="1" x14ac:dyDescent="0.25"/>
    <x:row r="964" ht="11.45" customHeight="1" x14ac:dyDescent="0.25"/>
    <x:row r="965" ht="11.45" customHeight="1" x14ac:dyDescent="0.25"/>
    <x:row r="966" ht="11.45" customHeight="1" x14ac:dyDescent="0.25"/>
    <x:row r="967" ht="11.45" customHeight="1" x14ac:dyDescent="0.25"/>
    <x:row r="968" ht="11.45" customHeight="1" x14ac:dyDescent="0.25"/>
    <x:row r="969" ht="11.45" customHeight="1" x14ac:dyDescent="0.25"/>
    <x:row r="970" ht="11.45" customHeight="1" x14ac:dyDescent="0.25"/>
    <x:row r="971" ht="11.45" customHeight="1" x14ac:dyDescent="0.25"/>
    <x:row r="972" ht="11.45" customHeight="1" x14ac:dyDescent="0.25"/>
    <x:row r="973" ht="11.45" customHeight="1" x14ac:dyDescent="0.25"/>
    <x:row r="974" ht="11.45" customHeight="1" x14ac:dyDescent="0.25"/>
    <x:row r="975" ht="11.45" customHeight="1" x14ac:dyDescent="0.25"/>
    <x:row r="976" ht="11.45" customHeight="1" x14ac:dyDescent="0.25"/>
    <x:row r="977" ht="11.45" customHeight="1" x14ac:dyDescent="0.25"/>
    <x:row r="978" ht="11.45" customHeight="1" x14ac:dyDescent="0.25"/>
    <x:row r="979" ht="11.45" customHeight="1" x14ac:dyDescent="0.25"/>
    <x:row r="980" ht="11.45" customHeight="1" x14ac:dyDescent="0.25"/>
    <x:row r="981" ht="11.45" customHeight="1" x14ac:dyDescent="0.25"/>
    <x:row r="982" ht="11.45" customHeight="1" x14ac:dyDescent="0.25"/>
    <x:row r="983" ht="11.45" customHeight="1" x14ac:dyDescent="0.25"/>
    <x:row r="984" ht="11.45" customHeight="1" x14ac:dyDescent="0.25"/>
    <x:row r="985" ht="11.45" customHeight="1" x14ac:dyDescent="0.25"/>
    <x:row r="986" ht="11.45" customHeight="1" x14ac:dyDescent="0.25"/>
    <x:row r="987" ht="11.45" customHeight="1" x14ac:dyDescent="0.25"/>
    <x:row r="988" ht="11.45" customHeight="1" x14ac:dyDescent="0.25"/>
    <x:row r="989" ht="11.45" customHeight="1" x14ac:dyDescent="0.25"/>
    <x:row r="990" ht="11.45" customHeight="1" x14ac:dyDescent="0.25"/>
    <x:row r="991" ht="11.45" customHeight="1" x14ac:dyDescent="0.25"/>
    <x:row r="992" ht="11.45" customHeight="1" x14ac:dyDescent="0.25"/>
    <x:row r="993" ht="11.45" customHeight="1" x14ac:dyDescent="0.25"/>
    <x:row r="994" ht="11.45" customHeight="1" x14ac:dyDescent="0.25"/>
    <x:row r="995" ht="11.45" customHeight="1" x14ac:dyDescent="0.25"/>
    <x:row r="996" ht="11.45" customHeight="1" x14ac:dyDescent="0.25"/>
    <x:row r="997" ht="11.45" customHeight="1" x14ac:dyDescent="0.25"/>
    <x:row r="998" ht="11.45" customHeight="1" x14ac:dyDescent="0.25"/>
    <x:row r="999" ht="11.45" customHeight="1" x14ac:dyDescent="0.25"/>
    <x:row r="1000" ht="11.45" customHeight="1" x14ac:dyDescent="0.25"/>
    <x:row r="1001" ht="11.45" customHeight="1" x14ac:dyDescent="0.25"/>
    <x:row r="1002" ht="11.45" customHeight="1" x14ac:dyDescent="0.25"/>
    <x:row r="1003" ht="11.45" customHeight="1" x14ac:dyDescent="0.25"/>
    <x:row r="1004" ht="11.45" customHeight="1" x14ac:dyDescent="0.25"/>
    <x:row r="1005" ht="11.45" customHeight="1" x14ac:dyDescent="0.25"/>
    <x:row r="1006" ht="11.45" customHeight="1" x14ac:dyDescent="0.25"/>
    <x:row r="1007" ht="11.45" customHeight="1" x14ac:dyDescent="0.25"/>
    <x:row r="1008" ht="11.45" customHeight="1" x14ac:dyDescent="0.25"/>
    <x:row r="1009" ht="11.45" customHeight="1" x14ac:dyDescent="0.25"/>
    <x:row r="1010" ht="11.45" customHeight="1" x14ac:dyDescent="0.25"/>
    <x:row r="1011" ht="11.45" customHeight="1" x14ac:dyDescent="0.25"/>
    <x:row r="1012" ht="11.45" customHeight="1" x14ac:dyDescent="0.25"/>
    <x:row r="1013" ht="11.45" customHeight="1" x14ac:dyDescent="0.25"/>
    <x:row r="1014" ht="11.45" customHeight="1" x14ac:dyDescent="0.25"/>
    <x:row r="1015" ht="11.45" customHeight="1" x14ac:dyDescent="0.25"/>
    <x:row r="1016" ht="11.45" customHeight="1" x14ac:dyDescent="0.25"/>
    <x:row r="1017" ht="11.45" customHeight="1" x14ac:dyDescent="0.25"/>
    <x:row r="1018" ht="11.45" customHeight="1" x14ac:dyDescent="0.25"/>
    <x:row r="1019" ht="11.45" customHeight="1" x14ac:dyDescent="0.25"/>
    <x:row r="1020" ht="11.45" customHeight="1" x14ac:dyDescent="0.25"/>
    <x:row r="1021" ht="11.45" customHeight="1" x14ac:dyDescent="0.25"/>
    <x:row r="1022" ht="11.45" customHeight="1" x14ac:dyDescent="0.25"/>
    <x:row r="1023" ht="11.45" customHeight="1" x14ac:dyDescent="0.25"/>
    <x:row r="1024" ht="11.45" customHeight="1" x14ac:dyDescent="0.25"/>
    <x:row r="1025" ht="11.45" customHeight="1" x14ac:dyDescent="0.25"/>
    <x:row r="1026" ht="11.45" customHeight="1" x14ac:dyDescent="0.25"/>
    <x:row r="1027" ht="11.45" customHeight="1" x14ac:dyDescent="0.25"/>
    <x:row r="1028" ht="11.45" customHeight="1" x14ac:dyDescent="0.25"/>
    <x:row r="1029" ht="11.45" customHeight="1" x14ac:dyDescent="0.25"/>
    <x:row r="1030" ht="11.45" customHeight="1" x14ac:dyDescent="0.25"/>
    <x:row r="1031" ht="11.45" customHeight="1" x14ac:dyDescent="0.25"/>
    <x:row r="1032" ht="11.45" customHeight="1" x14ac:dyDescent="0.25"/>
    <x:row r="1033" ht="11.45" customHeight="1" x14ac:dyDescent="0.25"/>
    <x:row r="1034" ht="11.45" customHeight="1" x14ac:dyDescent="0.25"/>
    <x:row r="1035" ht="11.45" customHeight="1" x14ac:dyDescent="0.25"/>
    <x:row r="1036" ht="11.45" customHeight="1" x14ac:dyDescent="0.25"/>
    <x:row r="1037" ht="11.45" customHeight="1" x14ac:dyDescent="0.25"/>
    <x:row r="1038" ht="11.45" customHeight="1" x14ac:dyDescent="0.25"/>
    <x:row r="1039" ht="11.45" customHeight="1" x14ac:dyDescent="0.25"/>
    <x:row r="1040" ht="11.45" customHeight="1" x14ac:dyDescent="0.25"/>
    <x:row r="1041" ht="11.45" customHeight="1" x14ac:dyDescent="0.25"/>
    <x:row r="1042" ht="11.45" customHeight="1" x14ac:dyDescent="0.25"/>
    <x:row r="1043" ht="11.45" customHeight="1" x14ac:dyDescent="0.25"/>
    <x:row r="1044" ht="11.45" customHeight="1" x14ac:dyDescent="0.25"/>
    <x:row r="1045" ht="11.45" customHeight="1" x14ac:dyDescent="0.25"/>
    <x:row r="1046" ht="11.45" customHeight="1" x14ac:dyDescent="0.25"/>
    <x:row r="1047" ht="11.45" customHeight="1" x14ac:dyDescent="0.25"/>
    <x:row r="1048" ht="11.45" customHeight="1" x14ac:dyDescent="0.25"/>
    <x:row r="1049" ht="11.45" customHeight="1" x14ac:dyDescent="0.25"/>
    <x:row r="1050" ht="11.45" customHeight="1" x14ac:dyDescent="0.25"/>
    <x:row r="1051" ht="11.45" customHeight="1" x14ac:dyDescent="0.25"/>
    <x:row r="1052" ht="11.45" customHeight="1" x14ac:dyDescent="0.25"/>
    <x:row r="1053" ht="11.45" customHeight="1" x14ac:dyDescent="0.25"/>
    <x:row r="1054" ht="11.45" customHeight="1" x14ac:dyDescent="0.25"/>
    <x:row r="1055" ht="11.45" customHeight="1" x14ac:dyDescent="0.25"/>
    <x:row r="1056" ht="11.45" customHeight="1" x14ac:dyDescent="0.25"/>
    <x:row r="1057" ht="11.45" customHeight="1" x14ac:dyDescent="0.25"/>
    <x:row r="1058" ht="11.45" customHeight="1" x14ac:dyDescent="0.25"/>
    <x:row r="1059" ht="11.45" customHeight="1" x14ac:dyDescent="0.25"/>
    <x:row r="1060" ht="11.45" customHeight="1" x14ac:dyDescent="0.25"/>
    <x:row r="1061" ht="11.45" customHeight="1" x14ac:dyDescent="0.25"/>
    <x:row r="1062" ht="11.45" customHeight="1" x14ac:dyDescent="0.25"/>
    <x:row r="1063" ht="11.45" customHeight="1" x14ac:dyDescent="0.25"/>
    <x:row r="1064" ht="11.45" customHeight="1" x14ac:dyDescent="0.25"/>
    <x:row r="1065" ht="11.45" customHeight="1" x14ac:dyDescent="0.25"/>
    <x:row r="1066" ht="11.45" customHeight="1" x14ac:dyDescent="0.25"/>
    <x:row r="1067" ht="11.45" customHeight="1" x14ac:dyDescent="0.25"/>
    <x:row r="1068" ht="11.45" customHeight="1" x14ac:dyDescent="0.25"/>
    <x:row r="1069" ht="11.45" customHeight="1" x14ac:dyDescent="0.25"/>
    <x:row r="1070" ht="11.45" customHeight="1" x14ac:dyDescent="0.25"/>
    <x:row r="1071" ht="11.45" customHeight="1" x14ac:dyDescent="0.25"/>
    <x:row r="1072" ht="11.45" customHeight="1" x14ac:dyDescent="0.25"/>
    <x:row r="1073" ht="11.45" customHeight="1" x14ac:dyDescent="0.25"/>
    <x:row r="1074" ht="11.45" customHeight="1" x14ac:dyDescent="0.25"/>
    <x:row r="1075" ht="11.45" customHeight="1" x14ac:dyDescent="0.25"/>
    <x:row r="1076" ht="11.45" customHeight="1" x14ac:dyDescent="0.25"/>
    <x:row r="1077" ht="11.45" customHeight="1" x14ac:dyDescent="0.25"/>
    <x:row r="1078" ht="11.45" customHeight="1" x14ac:dyDescent="0.25"/>
    <x:row r="1079" ht="11.45" customHeight="1" x14ac:dyDescent="0.25"/>
    <x:row r="1080" ht="11.45" customHeight="1" x14ac:dyDescent="0.25"/>
    <x:row r="1081" ht="11.45" customHeight="1" x14ac:dyDescent="0.25"/>
    <x:row r="1082" ht="11.45" customHeight="1" x14ac:dyDescent="0.25"/>
    <x:row r="1083" ht="11.45" customHeight="1" x14ac:dyDescent="0.25"/>
    <x:row r="1084" ht="11.45" customHeight="1" x14ac:dyDescent="0.25"/>
    <x:row r="1085" ht="11.45" customHeight="1" x14ac:dyDescent="0.25"/>
    <x:row r="1086" ht="11.45" customHeight="1" x14ac:dyDescent="0.25"/>
    <x:row r="1087" ht="11.45" customHeight="1" x14ac:dyDescent="0.25"/>
    <x:row r="1088" ht="11.45" customHeight="1" x14ac:dyDescent="0.25"/>
    <x:row r="1089" ht="11.45" customHeight="1" x14ac:dyDescent="0.25"/>
    <x:row r="1090" ht="11.45" customHeight="1" x14ac:dyDescent="0.25"/>
    <x:row r="1091" ht="11.45" customHeight="1" x14ac:dyDescent="0.25"/>
    <x:row r="1092" ht="11.45" customHeight="1" x14ac:dyDescent="0.25"/>
    <x:row r="1093" ht="11.45" customHeight="1" x14ac:dyDescent="0.25"/>
    <x:row r="1094" ht="11.45" customHeight="1" x14ac:dyDescent="0.25"/>
    <x:row r="1095" ht="11.45" customHeight="1" x14ac:dyDescent="0.25"/>
    <x:row r="1096" ht="11.45" customHeight="1" x14ac:dyDescent="0.25"/>
    <x:row r="1097" ht="11.45" customHeight="1" x14ac:dyDescent="0.25"/>
    <x:row r="1098" ht="11.45" customHeight="1" x14ac:dyDescent="0.25"/>
    <x:row r="1099" ht="11.45" customHeight="1" x14ac:dyDescent="0.25"/>
    <x:row r="1100" ht="11.45" customHeight="1" x14ac:dyDescent="0.25"/>
    <x:row r="1101" ht="11.45" customHeight="1" x14ac:dyDescent="0.25"/>
    <x:row r="1102" ht="11.45" customHeight="1" x14ac:dyDescent="0.25"/>
    <x:row r="1103" ht="11.45" customHeight="1" x14ac:dyDescent="0.25"/>
    <x:row r="1104" ht="11.45" customHeight="1" x14ac:dyDescent="0.25"/>
    <x:row r="1105" ht="11.45" customHeight="1" x14ac:dyDescent="0.25"/>
    <x:row r="1106" ht="11.45" customHeight="1" x14ac:dyDescent="0.25"/>
    <x:row r="1107" ht="11.45" customHeight="1" x14ac:dyDescent="0.25"/>
    <x:row r="1108" ht="11.45" customHeight="1" x14ac:dyDescent="0.25"/>
    <x:row r="1109" ht="11.45" customHeight="1" x14ac:dyDescent="0.25"/>
    <x:row r="1110" ht="11.45" customHeight="1" x14ac:dyDescent="0.25"/>
    <x:row r="1111" ht="11.45" customHeight="1" x14ac:dyDescent="0.25"/>
    <x:row r="1112" ht="11.45" customHeight="1" x14ac:dyDescent="0.25"/>
    <x:row r="1113" ht="11.45" customHeight="1" x14ac:dyDescent="0.25"/>
    <x:row r="1114" ht="11.45" customHeight="1" x14ac:dyDescent="0.25"/>
    <x:row r="1115" ht="11.45" customHeight="1" x14ac:dyDescent="0.25"/>
    <x:row r="1116" ht="11.45" customHeight="1" x14ac:dyDescent="0.25"/>
    <x:row r="1117" ht="11.45" customHeight="1" x14ac:dyDescent="0.25"/>
    <x:row r="1118" ht="11.45" customHeight="1" x14ac:dyDescent="0.25"/>
    <x:row r="1119" ht="11.45" customHeight="1" x14ac:dyDescent="0.25"/>
    <x:row r="1120" ht="11.45" customHeight="1" x14ac:dyDescent="0.25"/>
    <x:row r="1121" ht="11.45" customHeight="1" x14ac:dyDescent="0.25"/>
    <x:row r="1122" ht="11.45" customHeight="1" x14ac:dyDescent="0.25"/>
    <x:row r="1123" ht="11.45" customHeight="1" x14ac:dyDescent="0.25"/>
    <x:row r="1124" ht="11.45" customHeight="1" x14ac:dyDescent="0.25"/>
    <x:row r="1125" ht="11.45" customHeight="1" x14ac:dyDescent="0.25"/>
    <x:row r="1126" ht="11.45" customHeight="1" x14ac:dyDescent="0.25"/>
    <x:row r="1127" ht="11.45" customHeight="1" x14ac:dyDescent="0.25"/>
    <x:row r="1128" ht="11.45" customHeight="1" x14ac:dyDescent="0.25"/>
    <x:row r="1129" ht="11.45" customHeight="1" x14ac:dyDescent="0.25"/>
    <x:row r="1130" ht="11.45" customHeight="1" x14ac:dyDescent="0.25"/>
    <x:row r="1131" ht="11.45" customHeight="1" x14ac:dyDescent="0.25"/>
    <x:row r="1132" ht="11.45" customHeight="1" x14ac:dyDescent="0.25"/>
    <x:row r="1133" ht="11.45" customHeight="1" x14ac:dyDescent="0.25"/>
    <x:row r="1134" ht="11.45" customHeight="1" x14ac:dyDescent="0.25"/>
    <x:row r="1135" ht="11.45" customHeight="1" x14ac:dyDescent="0.25"/>
    <x:row r="1136" ht="11.45" customHeight="1" x14ac:dyDescent="0.25"/>
    <x:row r="1137" ht="11.45" customHeight="1" x14ac:dyDescent="0.25"/>
    <x:row r="1138" ht="11.45" customHeight="1" x14ac:dyDescent="0.25"/>
    <x:row r="1139" ht="11.45" customHeight="1" x14ac:dyDescent="0.25"/>
    <x:row r="1140" ht="11.45" customHeight="1" x14ac:dyDescent="0.25"/>
    <x:row r="1141" ht="11.45" customHeight="1" x14ac:dyDescent="0.25"/>
    <x:row r="1142" ht="11.45" customHeight="1" x14ac:dyDescent="0.25"/>
    <x:row r="1143" ht="11.45" customHeight="1" x14ac:dyDescent="0.25"/>
    <x:row r="1144" ht="11.45" customHeight="1" x14ac:dyDescent="0.25"/>
    <x:row r="1145" ht="11.45" customHeight="1" x14ac:dyDescent="0.25"/>
    <x:row r="1146" ht="11.45" customHeight="1" x14ac:dyDescent="0.25"/>
    <x:row r="1147" ht="11.45" customHeight="1" x14ac:dyDescent="0.25"/>
    <x:row r="1148" ht="11.45" customHeight="1" x14ac:dyDescent="0.25"/>
    <x:row r="1149" ht="11.45" customHeight="1" x14ac:dyDescent="0.25"/>
    <x:row r="1150" ht="11.45" customHeight="1" x14ac:dyDescent="0.25"/>
    <x:row r="1151" ht="11.45" customHeight="1" x14ac:dyDescent="0.25"/>
    <x:row r="1152" ht="11.45" customHeight="1" x14ac:dyDescent="0.25"/>
    <x:row r="1153" ht="11.45" customHeight="1" x14ac:dyDescent="0.25"/>
    <x:row r="1154" ht="11.45" customHeight="1" x14ac:dyDescent="0.25"/>
    <x:row r="1155" ht="11.45" customHeight="1" x14ac:dyDescent="0.25"/>
    <x:row r="1156" ht="11.45" customHeight="1" x14ac:dyDescent="0.25"/>
    <x:row r="1157" ht="11.45" customHeight="1" x14ac:dyDescent="0.25"/>
    <x:row r="1158" ht="11.45" customHeight="1" x14ac:dyDescent="0.25"/>
    <x:row r="1159" ht="11.45" customHeight="1" x14ac:dyDescent="0.25"/>
    <x:row r="1160" ht="11.45" customHeight="1" x14ac:dyDescent="0.25"/>
    <x:row r="1161" ht="11.45" customHeight="1" x14ac:dyDescent="0.25"/>
    <x:row r="1162" ht="11.45" customHeight="1" x14ac:dyDescent="0.25"/>
    <x:row r="1163" ht="11.45" customHeight="1" x14ac:dyDescent="0.25"/>
    <x:row r="1164" ht="11.45" customHeight="1" x14ac:dyDescent="0.25"/>
    <x:row r="1165" ht="11.45" customHeight="1" x14ac:dyDescent="0.25"/>
    <x:row r="1166" ht="11.45" customHeight="1" x14ac:dyDescent="0.25"/>
    <x:row r="1167" ht="11.45" customHeight="1" x14ac:dyDescent="0.25"/>
    <x:row r="1168" ht="11.45" customHeight="1" x14ac:dyDescent="0.25"/>
    <x:row r="1169" ht="11.45" customHeight="1" x14ac:dyDescent="0.25"/>
    <x:row r="1170" ht="11.45" customHeight="1" x14ac:dyDescent="0.25"/>
    <x:row r="1171" ht="11.45" customHeight="1" x14ac:dyDescent="0.25"/>
    <x:row r="1172" ht="11.45" customHeight="1" x14ac:dyDescent="0.25"/>
    <x:row r="1173" ht="11.45" customHeight="1" x14ac:dyDescent="0.25"/>
    <x:row r="1174" ht="11.45" customHeight="1" x14ac:dyDescent="0.25"/>
    <x:row r="1175" ht="11.45" customHeight="1" x14ac:dyDescent="0.25"/>
    <x:row r="1176" ht="11.45" customHeight="1" x14ac:dyDescent="0.25"/>
    <x:row r="1177" ht="11.45" customHeight="1" x14ac:dyDescent="0.25"/>
    <x:row r="1178" ht="11.45" customHeight="1" x14ac:dyDescent="0.25"/>
    <x:row r="1179" ht="11.45" customHeight="1" x14ac:dyDescent="0.25"/>
    <x:row r="1180" ht="11.45" customHeight="1" x14ac:dyDescent="0.25"/>
    <x:row r="1181" ht="11.45" customHeight="1" x14ac:dyDescent="0.25"/>
    <x:row r="1182" ht="11.45" customHeight="1" x14ac:dyDescent="0.25"/>
    <x:row r="1183" ht="11.45" customHeight="1" x14ac:dyDescent="0.25"/>
    <x:row r="1184" ht="11.45" customHeight="1" x14ac:dyDescent="0.25"/>
    <x:row r="1185" ht="11.45" customHeight="1" x14ac:dyDescent="0.25"/>
    <x:row r="1186" ht="11.45" customHeight="1" x14ac:dyDescent="0.25"/>
    <x:row r="1187" ht="11.45" customHeight="1" x14ac:dyDescent="0.25"/>
    <x:row r="1188" ht="11.45" customHeight="1" x14ac:dyDescent="0.25"/>
    <x:row r="1189" ht="11.45" customHeight="1" x14ac:dyDescent="0.25"/>
    <x:row r="1190" ht="11.45" customHeight="1" x14ac:dyDescent="0.25"/>
    <x:row r="1191" ht="11.45" customHeight="1" x14ac:dyDescent="0.25"/>
    <x:row r="1192" ht="11.45" customHeight="1" x14ac:dyDescent="0.25"/>
    <x:row r="1193" ht="11.45" customHeight="1" x14ac:dyDescent="0.25"/>
    <x:row r="1194" ht="11.45" customHeight="1" x14ac:dyDescent="0.25"/>
    <x:row r="1195" ht="11.45" customHeight="1" x14ac:dyDescent="0.25"/>
    <x:row r="1196" ht="11.45" customHeight="1" x14ac:dyDescent="0.25"/>
    <x:row r="1197" ht="11.45" customHeight="1" x14ac:dyDescent="0.25"/>
    <x:row r="1198" ht="11.45" customHeight="1" x14ac:dyDescent="0.25"/>
    <x:row r="1199" ht="11.45" customHeight="1" x14ac:dyDescent="0.25"/>
    <x:row r="1200" ht="11.45" customHeight="1" x14ac:dyDescent="0.25"/>
    <x:row r="1201" ht="11.45" customHeight="1" x14ac:dyDescent="0.25"/>
    <x:row r="1202" ht="11.45" customHeight="1" x14ac:dyDescent="0.25"/>
    <x:row r="1203" ht="11.45" customHeight="1" x14ac:dyDescent="0.25"/>
    <x:row r="1204" ht="11.45" customHeight="1" x14ac:dyDescent="0.25"/>
    <x:row r="1205" ht="11.45" customHeight="1" x14ac:dyDescent="0.25"/>
    <x:row r="1206" ht="11.45" customHeight="1" x14ac:dyDescent="0.25"/>
    <x:row r="1207" ht="11.45" customHeight="1" x14ac:dyDescent="0.25"/>
    <x:row r="1208" ht="11.45" customHeight="1" x14ac:dyDescent="0.25"/>
    <x:row r="1209" ht="11.45" customHeight="1" x14ac:dyDescent="0.25"/>
    <x:row r="1210" ht="11.45" customHeight="1" x14ac:dyDescent="0.25"/>
    <x:row r="1211" ht="11.45" customHeight="1" x14ac:dyDescent="0.25"/>
    <x:row r="1212" ht="11.45" customHeight="1" x14ac:dyDescent="0.25"/>
    <x:row r="1213" ht="11.45" customHeight="1" x14ac:dyDescent="0.25"/>
    <x:row r="1214" ht="11.45" customHeight="1" x14ac:dyDescent="0.25"/>
    <x:row r="1215" ht="11.45" customHeight="1" x14ac:dyDescent="0.25"/>
    <x:row r="1216" ht="11.45" customHeight="1" x14ac:dyDescent="0.25"/>
    <x:row r="1217" ht="11.45" customHeight="1" x14ac:dyDescent="0.25"/>
    <x:row r="1218" ht="11.45" customHeight="1" x14ac:dyDescent="0.25"/>
    <x:row r="1219" ht="11.45" customHeight="1" x14ac:dyDescent="0.25"/>
    <x:row r="1220" ht="11.45" customHeight="1" x14ac:dyDescent="0.25"/>
    <x:row r="1221" ht="11.45" customHeight="1" x14ac:dyDescent="0.25"/>
    <x:row r="1222" ht="11.45" customHeight="1" x14ac:dyDescent="0.25"/>
    <x:row r="1223" ht="11.45" customHeight="1" x14ac:dyDescent="0.25"/>
    <x:row r="1224" ht="11.45" customHeight="1" x14ac:dyDescent="0.25"/>
    <x:row r="1225" ht="11.45" customHeight="1" x14ac:dyDescent="0.25"/>
    <x:row r="1226" ht="11.45" customHeight="1" x14ac:dyDescent="0.25"/>
    <x:row r="1227" ht="11.45" customHeight="1" x14ac:dyDescent="0.25"/>
    <x:row r="1228" ht="11.45" customHeight="1" x14ac:dyDescent="0.25"/>
    <x:row r="1229" ht="11.45" customHeight="1" x14ac:dyDescent="0.25"/>
    <x:row r="1230" ht="11.45" customHeight="1" x14ac:dyDescent="0.25"/>
    <x:row r="1231" ht="11.45" customHeight="1" x14ac:dyDescent="0.25"/>
    <x:row r="1232" ht="11.45" customHeight="1" x14ac:dyDescent="0.25"/>
    <x:row r="1233" ht="11.45" customHeight="1" x14ac:dyDescent="0.25"/>
    <x:row r="1234" ht="11.45" customHeight="1" x14ac:dyDescent="0.25"/>
    <x:row r="1235" ht="11.45" customHeight="1" x14ac:dyDescent="0.25"/>
    <x:row r="1236" ht="11.45" customHeight="1" x14ac:dyDescent="0.25"/>
    <x:row r="1237" ht="11.45" customHeight="1" x14ac:dyDescent="0.25"/>
    <x:row r="1238" ht="11.45" customHeight="1" x14ac:dyDescent="0.25"/>
    <x:row r="1239" ht="11.45" customHeight="1" x14ac:dyDescent="0.25"/>
    <x:row r="1240" ht="11.45" customHeight="1" x14ac:dyDescent="0.25"/>
    <x:row r="1241" ht="11.45" customHeight="1" x14ac:dyDescent="0.25"/>
    <x:row r="1242" ht="11.45" customHeight="1" x14ac:dyDescent="0.25"/>
    <x:row r="1243" ht="11.45" customHeight="1" x14ac:dyDescent="0.25"/>
    <x:row r="1244" ht="11.45" customHeight="1" x14ac:dyDescent="0.25"/>
    <x:row r="1245" ht="11.45" customHeight="1" x14ac:dyDescent="0.25"/>
    <x:row r="1246" ht="11.45" customHeight="1" x14ac:dyDescent="0.25"/>
    <x:row r="1247" ht="11.45" customHeight="1" x14ac:dyDescent="0.25"/>
    <x:row r="1248" ht="11.45" customHeight="1" x14ac:dyDescent="0.25"/>
    <x:row r="1249" ht="11.45" customHeight="1" x14ac:dyDescent="0.25"/>
    <x:row r="1250" ht="11.45" customHeight="1" x14ac:dyDescent="0.25"/>
    <x:row r="1251" ht="11.45" customHeight="1" x14ac:dyDescent="0.25"/>
    <x:row r="1252" ht="11.45" customHeight="1" x14ac:dyDescent="0.25"/>
    <x:row r="1253" ht="11.45" customHeight="1" x14ac:dyDescent="0.25"/>
    <x:row r="1254" ht="11.45" customHeight="1" x14ac:dyDescent="0.25"/>
    <x:row r="1255" ht="11.45" customHeight="1" x14ac:dyDescent="0.25"/>
    <x:row r="1256" ht="11.45" customHeight="1" x14ac:dyDescent="0.25"/>
    <x:row r="1257" ht="11.45" customHeight="1" x14ac:dyDescent="0.25"/>
    <x:row r="1258" ht="11.45" customHeight="1" x14ac:dyDescent="0.25"/>
    <x:row r="1259" ht="11.45" customHeight="1" x14ac:dyDescent="0.25"/>
    <x:row r="1260" ht="11.45" customHeight="1" x14ac:dyDescent="0.25"/>
    <x:row r="1261" ht="11.45" customHeight="1" x14ac:dyDescent="0.25"/>
    <x:row r="1262" ht="11.45" customHeight="1" x14ac:dyDescent="0.25"/>
    <x:row r="1263" ht="11.45" customHeight="1" x14ac:dyDescent="0.25"/>
    <x:row r="1264" ht="11.45" customHeight="1" x14ac:dyDescent="0.25"/>
    <x:row r="1265" ht="11.45" customHeight="1" x14ac:dyDescent="0.25"/>
    <x:row r="1266" ht="11.45" customHeight="1" x14ac:dyDescent="0.25"/>
    <x:row r="1267" ht="11.45" customHeight="1" x14ac:dyDescent="0.25"/>
    <x:row r="1268" ht="11.45" customHeight="1" x14ac:dyDescent="0.25"/>
    <x:row r="1269" ht="11.45" customHeight="1" x14ac:dyDescent="0.25"/>
    <x:row r="1270" ht="11.45" customHeight="1" x14ac:dyDescent="0.25"/>
    <x:row r="1271" ht="11.45" customHeight="1" x14ac:dyDescent="0.25"/>
    <x:row r="1272" ht="11.45" customHeight="1" x14ac:dyDescent="0.25"/>
    <x:row r="1273" ht="11.45" customHeight="1" x14ac:dyDescent="0.25"/>
    <x:row r="1274" ht="11.45" customHeight="1" x14ac:dyDescent="0.25"/>
    <x:row r="1275" ht="11.45" customHeight="1" x14ac:dyDescent="0.25"/>
    <x:row r="1276" ht="11.45" customHeight="1" x14ac:dyDescent="0.25"/>
    <x:row r="1277" ht="11.45" customHeight="1" x14ac:dyDescent="0.25"/>
    <x:row r="1278" ht="11.45" customHeight="1" x14ac:dyDescent="0.25"/>
    <x:row r="1279" ht="11.45" customHeight="1" x14ac:dyDescent="0.25"/>
    <x:row r="1280" ht="11.45" customHeight="1" x14ac:dyDescent="0.25"/>
    <x:row r="1281" ht="11.45" customHeight="1" x14ac:dyDescent="0.25"/>
    <x:row r="1282" ht="11.45" customHeight="1" x14ac:dyDescent="0.25"/>
    <x:row r="1283" ht="11.45" customHeight="1" x14ac:dyDescent="0.25"/>
    <x:row r="1284" ht="11.45" customHeight="1" x14ac:dyDescent="0.25"/>
    <x:row r="1285" ht="11.45" customHeight="1" x14ac:dyDescent="0.25"/>
    <x:row r="1286" ht="11.45" customHeight="1" x14ac:dyDescent="0.25"/>
    <x:row r="1287" ht="11.45" customHeight="1" x14ac:dyDescent="0.25"/>
    <x:row r="1288" ht="11.45" customHeight="1" x14ac:dyDescent="0.25"/>
    <x:row r="1289" ht="11.45" customHeight="1" x14ac:dyDescent="0.25"/>
    <x:row r="1290" ht="11.45" customHeight="1" x14ac:dyDescent="0.25"/>
    <x:row r="1291" ht="11.45" customHeight="1" x14ac:dyDescent="0.25"/>
    <x:row r="1292" ht="11.45" customHeight="1" x14ac:dyDescent="0.25"/>
    <x:row r="1293" ht="11.45" customHeight="1" x14ac:dyDescent="0.25"/>
    <x:row r="1294" ht="11.45" customHeight="1" x14ac:dyDescent="0.25"/>
    <x:row r="1295" ht="11.45" customHeight="1" x14ac:dyDescent="0.25"/>
    <x:row r="1296" ht="11.45" customHeight="1" x14ac:dyDescent="0.25"/>
    <x:row r="1297" ht="11.45" customHeight="1" x14ac:dyDescent="0.25"/>
    <x:row r="1298" ht="11.45" customHeight="1" x14ac:dyDescent="0.25"/>
    <x:row r="1299" ht="11.45" customHeight="1" x14ac:dyDescent="0.25"/>
    <x:row r="1300" ht="11.45" customHeight="1" x14ac:dyDescent="0.25"/>
    <x:row r="1301" ht="11.45" customHeight="1" x14ac:dyDescent="0.25"/>
    <x:row r="1302" ht="11.45" customHeight="1" x14ac:dyDescent="0.25"/>
    <x:row r="1303" ht="11.45" customHeight="1" x14ac:dyDescent="0.25"/>
    <x:row r="1304" ht="11.45" customHeight="1" x14ac:dyDescent="0.25"/>
    <x:row r="1305" ht="11.45" customHeight="1" x14ac:dyDescent="0.25"/>
    <x:row r="1306" ht="11.45" customHeight="1" x14ac:dyDescent="0.25"/>
    <x:row r="1307" ht="11.45" customHeight="1" x14ac:dyDescent="0.25"/>
    <x:row r="1308" ht="11.45" customHeight="1" x14ac:dyDescent="0.25"/>
    <x:row r="1309" ht="11.45" customHeight="1" x14ac:dyDescent="0.25"/>
    <x:row r="1310" ht="11.45" customHeight="1" x14ac:dyDescent="0.25"/>
    <x:row r="1311" ht="11.45" customHeight="1" x14ac:dyDescent="0.25"/>
    <x:row r="1312" ht="11.45" customHeight="1" x14ac:dyDescent="0.25"/>
    <x:row r="1313" ht="11.45" customHeight="1" x14ac:dyDescent="0.25"/>
    <x:row r="1314" ht="11.45" customHeight="1" x14ac:dyDescent="0.25"/>
    <x:row r="1315" ht="11.45" customHeight="1" x14ac:dyDescent="0.25"/>
    <x:row r="1316" ht="11.45" customHeight="1" x14ac:dyDescent="0.25"/>
    <x:row r="1317" ht="11.45" customHeight="1" x14ac:dyDescent="0.25"/>
    <x:row r="1318" ht="11.45" customHeight="1" x14ac:dyDescent="0.25"/>
    <x:row r="1319" ht="11.45" customHeight="1" x14ac:dyDescent="0.25"/>
    <x:row r="1320" ht="11.45" customHeight="1" x14ac:dyDescent="0.25"/>
    <x:row r="1321" ht="11.45" customHeight="1" x14ac:dyDescent="0.25"/>
    <x:row r="1322" ht="11.45" customHeight="1" x14ac:dyDescent="0.25"/>
    <x:row r="1323" ht="11.45" customHeight="1" x14ac:dyDescent="0.25"/>
    <x:row r="1324" ht="11.45" customHeight="1" x14ac:dyDescent="0.25"/>
    <x:row r="1325" ht="11.45" customHeight="1" x14ac:dyDescent="0.25"/>
    <x:row r="1326" ht="11.45" customHeight="1" x14ac:dyDescent="0.25"/>
    <x:row r="1327" ht="11.45" customHeight="1" x14ac:dyDescent="0.25"/>
    <x:row r="1328" ht="11.45" customHeight="1" x14ac:dyDescent="0.25"/>
    <x:row r="1329" ht="11.45" customHeight="1" x14ac:dyDescent="0.25"/>
    <x:row r="1330" ht="11.45" customHeight="1" x14ac:dyDescent="0.25"/>
    <x:row r="1331" ht="11.45" customHeight="1" x14ac:dyDescent="0.25"/>
    <x:row r="1332" ht="11.45" customHeight="1" x14ac:dyDescent="0.25"/>
    <x:row r="1333" ht="11.45" customHeight="1" x14ac:dyDescent="0.25"/>
    <x:row r="1334" ht="11.45" customHeight="1" x14ac:dyDescent="0.25"/>
    <x:row r="1335" ht="11.45" customHeight="1" x14ac:dyDescent="0.25"/>
    <x:row r="1336" ht="11.45" customHeight="1" x14ac:dyDescent="0.25"/>
    <x:row r="1337" ht="11.45" customHeight="1" x14ac:dyDescent="0.25"/>
    <x:row r="1338" ht="11.45" customHeight="1" x14ac:dyDescent="0.25"/>
    <x:row r="1339" ht="11.45" customHeight="1" x14ac:dyDescent="0.25"/>
    <x:row r="1340" ht="11.45" customHeight="1" x14ac:dyDescent="0.25"/>
    <x:row r="1341" ht="11.45" customHeight="1" x14ac:dyDescent="0.25"/>
    <x:row r="1342" ht="11.45" customHeight="1" x14ac:dyDescent="0.25"/>
    <x:row r="1343" ht="11.45" customHeight="1" x14ac:dyDescent="0.25"/>
    <x:row r="1344" ht="11.45" customHeight="1" x14ac:dyDescent="0.25"/>
    <x:row r="1345" ht="11.45" customHeight="1" x14ac:dyDescent="0.25"/>
    <x:row r="1346" ht="11.45" customHeight="1" x14ac:dyDescent="0.25"/>
    <x:row r="1347" ht="11.45" customHeight="1" x14ac:dyDescent="0.25"/>
    <x:row r="1348" ht="11.45" customHeight="1" x14ac:dyDescent="0.25"/>
    <x:row r="1349" ht="11.45" customHeight="1" x14ac:dyDescent="0.25"/>
    <x:row r="1350" ht="11.45" customHeight="1" x14ac:dyDescent="0.25"/>
    <x:row r="1351" ht="11.45" customHeight="1" x14ac:dyDescent="0.25"/>
    <x:row r="1352" ht="11.45" customHeight="1" x14ac:dyDescent="0.25"/>
    <x:row r="1353" ht="11.45" customHeight="1" x14ac:dyDescent="0.25"/>
    <x:row r="1354" ht="11.45" customHeight="1" x14ac:dyDescent="0.25"/>
    <x:row r="1355" ht="11.45" customHeight="1" x14ac:dyDescent="0.25"/>
    <x:row r="1356" ht="11.45" customHeight="1" x14ac:dyDescent="0.25"/>
    <x:row r="1357" ht="11.45" customHeight="1" x14ac:dyDescent="0.25"/>
    <x:row r="1358" ht="11.45" customHeight="1" x14ac:dyDescent="0.25"/>
    <x:row r="1359" ht="11.45" customHeight="1" x14ac:dyDescent="0.25"/>
    <x:row r="1360" ht="11.45" customHeight="1" x14ac:dyDescent="0.25"/>
    <x:row r="1361" ht="11.45" customHeight="1" x14ac:dyDescent="0.25"/>
    <x:row r="1362" ht="11.45" customHeight="1" x14ac:dyDescent="0.25"/>
    <x:row r="1363" ht="11.45" customHeight="1" x14ac:dyDescent="0.25"/>
    <x:row r="1364" ht="11.45" customHeight="1" x14ac:dyDescent="0.25"/>
    <x:row r="1365" ht="11.45" customHeight="1" x14ac:dyDescent="0.25"/>
    <x:row r="1366" ht="11.45" customHeight="1" x14ac:dyDescent="0.25"/>
    <x:row r="1367" ht="11.45" customHeight="1" x14ac:dyDescent="0.25"/>
    <x:row r="1368" ht="11.45" customHeight="1" x14ac:dyDescent="0.25"/>
    <x:row r="1369" ht="11.45" customHeight="1" x14ac:dyDescent="0.25"/>
    <x:row r="1370" ht="11.45" customHeight="1" x14ac:dyDescent="0.25"/>
    <x:row r="1371" ht="11.45" customHeight="1" x14ac:dyDescent="0.25"/>
    <x:row r="1372" ht="11.45" customHeight="1" x14ac:dyDescent="0.25"/>
    <x:row r="1373" ht="11.45" customHeight="1" x14ac:dyDescent="0.25"/>
    <x:row r="1374" ht="11.45" customHeight="1" x14ac:dyDescent="0.25"/>
    <x:row r="1375" ht="11.45" customHeight="1" x14ac:dyDescent="0.25"/>
    <x:row r="1376" ht="11.45" customHeight="1" x14ac:dyDescent="0.25"/>
    <x:row r="1377" ht="11.45" customHeight="1" x14ac:dyDescent="0.25"/>
    <x:row r="1378" ht="11.45" customHeight="1" x14ac:dyDescent="0.25"/>
    <x:row r="1379" ht="11.45" customHeight="1" x14ac:dyDescent="0.25"/>
    <x:row r="1380" ht="11.45" customHeight="1" x14ac:dyDescent="0.25"/>
    <x:row r="1381" ht="11.45" customHeight="1" x14ac:dyDescent="0.25"/>
    <x:row r="1382" ht="11.45" customHeight="1" x14ac:dyDescent="0.25"/>
    <x:row r="1383" ht="11.45" customHeight="1" x14ac:dyDescent="0.25"/>
    <x:row r="1384" ht="11.45" customHeight="1" x14ac:dyDescent="0.25"/>
    <x:row r="1385" ht="11.45" customHeight="1" x14ac:dyDescent="0.25"/>
    <x:row r="1386" ht="11.45" customHeight="1" x14ac:dyDescent="0.25"/>
    <x:row r="1387" ht="11.45" customHeight="1" x14ac:dyDescent="0.25"/>
    <x:row r="1388" ht="11.45" customHeight="1" x14ac:dyDescent="0.25"/>
    <x:row r="1389" ht="11.45" customHeight="1" x14ac:dyDescent="0.25"/>
    <x:row r="1390" ht="11.45" customHeight="1" x14ac:dyDescent="0.25"/>
    <x:row r="1391" ht="11.45" customHeight="1" x14ac:dyDescent="0.25"/>
    <x:row r="1392" ht="11.45" customHeight="1" x14ac:dyDescent="0.25"/>
    <x:row r="1393" ht="11.45" customHeight="1" x14ac:dyDescent="0.25"/>
    <x:row r="1394" ht="11.45" customHeight="1" x14ac:dyDescent="0.25"/>
    <x:row r="1395" ht="11.45" customHeight="1" x14ac:dyDescent="0.25"/>
    <x:row r="1396" ht="11.45" customHeight="1" x14ac:dyDescent="0.25"/>
    <x:row r="1397" ht="11.45" customHeight="1" x14ac:dyDescent="0.25"/>
    <x:row r="1398" ht="11.45" customHeight="1" x14ac:dyDescent="0.25"/>
    <x:row r="1399" ht="11.45" customHeight="1" x14ac:dyDescent="0.25"/>
    <x:row r="1400" ht="11.45" customHeight="1" x14ac:dyDescent="0.25"/>
    <x:row r="1401" ht="11.45" customHeight="1" x14ac:dyDescent="0.25"/>
    <x:row r="1402" ht="11.45" customHeight="1" x14ac:dyDescent="0.25"/>
    <x:row r="1403" ht="11.45" customHeight="1" x14ac:dyDescent="0.25"/>
    <x:row r="1404" ht="11.45" customHeight="1" x14ac:dyDescent="0.25"/>
    <x:row r="1405" ht="11.45" customHeight="1" x14ac:dyDescent="0.25"/>
    <x:row r="1406" ht="11.45" customHeight="1" x14ac:dyDescent="0.25"/>
    <x:row r="1407" ht="11.45" customHeight="1" x14ac:dyDescent="0.25"/>
    <x:row r="1408" ht="11.45" customHeight="1" x14ac:dyDescent="0.25"/>
    <x:row r="1409" ht="11.45" customHeight="1" x14ac:dyDescent="0.25"/>
    <x:row r="1410" ht="11.45" customHeight="1" x14ac:dyDescent="0.25"/>
    <x:row r="1411" ht="11.45" customHeight="1" x14ac:dyDescent="0.25"/>
    <x:row r="1412" ht="11.45" customHeight="1" x14ac:dyDescent="0.25"/>
    <x:row r="1413" ht="11.45" customHeight="1" x14ac:dyDescent="0.25"/>
    <x:row r="1414" ht="11.45" customHeight="1" x14ac:dyDescent="0.25"/>
    <x:row r="1415" ht="11.45" customHeight="1" x14ac:dyDescent="0.25"/>
    <x:row r="1416" ht="11.45" customHeight="1" x14ac:dyDescent="0.25"/>
    <x:row r="1417" ht="11.45" customHeight="1" x14ac:dyDescent="0.25"/>
    <x:row r="1418" ht="11.45" customHeight="1" x14ac:dyDescent="0.25"/>
    <x:row r="1419" ht="11.45" customHeight="1" x14ac:dyDescent="0.25"/>
    <x:row r="1420" ht="11.45" customHeight="1" x14ac:dyDescent="0.25"/>
    <x:row r="1421" ht="11.45" customHeight="1" x14ac:dyDescent="0.25"/>
    <x:row r="1422" ht="11.45" customHeight="1" x14ac:dyDescent="0.25"/>
    <x:row r="1423" ht="11.45" customHeight="1" x14ac:dyDescent="0.25"/>
    <x:row r="1424" ht="11.45" customHeight="1" x14ac:dyDescent="0.25"/>
    <x:row r="1425" ht="11.45" customHeight="1" x14ac:dyDescent="0.25"/>
    <x:row r="1426" ht="11.45" customHeight="1" x14ac:dyDescent="0.25"/>
    <x:row r="1427" ht="11.45" customHeight="1" x14ac:dyDescent="0.25"/>
    <x:row r="1428" ht="11.45" customHeight="1" x14ac:dyDescent="0.25"/>
    <x:row r="1429" ht="11.45" customHeight="1" x14ac:dyDescent="0.25"/>
    <x:row r="1430" ht="11.45" customHeight="1" x14ac:dyDescent="0.25"/>
    <x:row r="1431" ht="11.45" customHeight="1" x14ac:dyDescent="0.25"/>
    <x:row r="1432" ht="11.45" customHeight="1" x14ac:dyDescent="0.25"/>
    <x:row r="1433" ht="11.45" customHeight="1" x14ac:dyDescent="0.25"/>
    <x:row r="1434" ht="11.45" customHeight="1" x14ac:dyDescent="0.25"/>
    <x:row r="1435" ht="11.45" customHeight="1" x14ac:dyDescent="0.25"/>
    <x:row r="1436" ht="11.45" customHeight="1" x14ac:dyDescent="0.25"/>
    <x:row r="1437" ht="11.45" customHeight="1" x14ac:dyDescent="0.25"/>
    <x:row r="1438" ht="11.45" customHeight="1" x14ac:dyDescent="0.25"/>
    <x:row r="1439" ht="11.45" customHeight="1" x14ac:dyDescent="0.25"/>
    <x:row r="1440" ht="11.45" customHeight="1" x14ac:dyDescent="0.25"/>
    <x:row r="1441" ht="11.45" customHeight="1" x14ac:dyDescent="0.25"/>
    <x:row r="1442" ht="11.45" customHeight="1" x14ac:dyDescent="0.25"/>
    <x:row r="1443" ht="11.45" customHeight="1" x14ac:dyDescent="0.25"/>
    <x:row r="1444" ht="11.45" customHeight="1" x14ac:dyDescent="0.25"/>
    <x:row r="1445" ht="11.45" customHeight="1" x14ac:dyDescent="0.25"/>
    <x:row r="1446" ht="11.45" customHeight="1" x14ac:dyDescent="0.25"/>
    <x:row r="1447" ht="11.45" customHeight="1" x14ac:dyDescent="0.25"/>
    <x:row r="1448" ht="11.45" customHeight="1" x14ac:dyDescent="0.25"/>
    <x:row r="1449" ht="11.45" customHeight="1" x14ac:dyDescent="0.25"/>
    <x:row r="1450" ht="11.45" customHeight="1" x14ac:dyDescent="0.25"/>
    <x:row r="1451" ht="11.45" customHeight="1" x14ac:dyDescent="0.25"/>
    <x:row r="1452" ht="11.45" customHeight="1" x14ac:dyDescent="0.25"/>
    <x:row r="1453" ht="11.45" customHeight="1" x14ac:dyDescent="0.25"/>
    <x:row r="1454" ht="11.45" customHeight="1" x14ac:dyDescent="0.25"/>
    <x:row r="1455" ht="11.45" customHeight="1" x14ac:dyDescent="0.25"/>
    <x:row r="1456" ht="11.45" customHeight="1" x14ac:dyDescent="0.25"/>
    <x:row r="1457" ht="11.45" customHeight="1" x14ac:dyDescent="0.25"/>
    <x:row r="1458" ht="11.45" customHeight="1" x14ac:dyDescent="0.25"/>
    <x:row r="1459" ht="11.45" customHeight="1" x14ac:dyDescent="0.25"/>
    <x:row r="1460" ht="11.45" customHeight="1" x14ac:dyDescent="0.25"/>
    <x:row r="1461" ht="11.45" customHeight="1" x14ac:dyDescent="0.25"/>
    <x:row r="1462" ht="11.45" customHeight="1" x14ac:dyDescent="0.25"/>
    <x:row r="1463" ht="11.45" customHeight="1" x14ac:dyDescent="0.25"/>
    <x:row r="1464" ht="11.45" customHeight="1" x14ac:dyDescent="0.25"/>
    <x:row r="1465" ht="11.45" customHeight="1" x14ac:dyDescent="0.25"/>
    <x:row r="1466" ht="11.45" customHeight="1" x14ac:dyDescent="0.25"/>
    <x:row r="1467" ht="11.45" customHeight="1" x14ac:dyDescent="0.25"/>
    <x:row r="1468" ht="11.45" customHeight="1" x14ac:dyDescent="0.25"/>
    <x:row r="1469" ht="11.45" customHeight="1" x14ac:dyDescent="0.25"/>
    <x:row r="1470" ht="11.45" customHeight="1" x14ac:dyDescent="0.25"/>
    <x:row r="1471" ht="11.45" customHeight="1" x14ac:dyDescent="0.25"/>
    <x:row r="1472" ht="11.45" customHeight="1" x14ac:dyDescent="0.25"/>
    <x:row r="1473" ht="11.45" customHeight="1" x14ac:dyDescent="0.25"/>
    <x:row r="1474" ht="11.45" customHeight="1" x14ac:dyDescent="0.25"/>
    <x:row r="1475" ht="11.45" customHeight="1" x14ac:dyDescent="0.25"/>
    <x:row r="1476" ht="11.45" customHeight="1" x14ac:dyDescent="0.25"/>
    <x:row r="1477" ht="11.45" customHeight="1" x14ac:dyDescent="0.25"/>
    <x:row r="1478" ht="11.45" customHeight="1" x14ac:dyDescent="0.25"/>
    <x:row r="1479" ht="11.45" customHeight="1" x14ac:dyDescent="0.25"/>
    <x:row r="1480" ht="11.45" customHeight="1" x14ac:dyDescent="0.25"/>
    <x:row r="1481" ht="11.45" customHeight="1" x14ac:dyDescent="0.25"/>
    <x:row r="1482" ht="11.45" customHeight="1" x14ac:dyDescent="0.25"/>
    <x:row r="1483" ht="11.45" customHeight="1" x14ac:dyDescent="0.25"/>
    <x:row r="1484" ht="11.45" customHeight="1" x14ac:dyDescent="0.25"/>
    <x:row r="1485" ht="11.45" customHeight="1" x14ac:dyDescent="0.25"/>
    <x:row r="1486" ht="11.45" customHeight="1" x14ac:dyDescent="0.25"/>
    <x:row r="1487" ht="11.45" customHeight="1" x14ac:dyDescent="0.25"/>
    <x:row r="1488" ht="11.45" customHeight="1" x14ac:dyDescent="0.25"/>
    <x:row r="1489" ht="11.45" customHeight="1" x14ac:dyDescent="0.25"/>
    <x:row r="1490" ht="11.45" customHeight="1" x14ac:dyDescent="0.25"/>
    <x:row r="1491" ht="11.45" customHeight="1" x14ac:dyDescent="0.25"/>
    <x:row r="1492" ht="11.45" customHeight="1" x14ac:dyDescent="0.25"/>
    <x:row r="1493" ht="11.45" customHeight="1" x14ac:dyDescent="0.25"/>
    <x:row r="1494" ht="11.45" customHeight="1" x14ac:dyDescent="0.25"/>
    <x:row r="1495" ht="11.45" customHeight="1" x14ac:dyDescent="0.25"/>
    <x:row r="1496" ht="11.45" customHeight="1" x14ac:dyDescent="0.25"/>
    <x:row r="1497" ht="11.45" customHeight="1" x14ac:dyDescent="0.25"/>
    <x:row r="1498" ht="11.45" customHeight="1" x14ac:dyDescent="0.25"/>
    <x:row r="1499" ht="11.45" customHeight="1" x14ac:dyDescent="0.25"/>
    <x:row r="1500" ht="11.45" customHeight="1" x14ac:dyDescent="0.25"/>
    <x:row r="1501" ht="11.45" customHeight="1" x14ac:dyDescent="0.25"/>
    <x:row r="1502" ht="11.45" customHeight="1" x14ac:dyDescent="0.25"/>
    <x:row r="1503" ht="11.45" customHeight="1" x14ac:dyDescent="0.25"/>
    <x:row r="1504" ht="11.45" customHeight="1" x14ac:dyDescent="0.25"/>
    <x:row r="1505" ht="11.45" customHeight="1" x14ac:dyDescent="0.25"/>
    <x:row r="1506" ht="11.45" customHeight="1" x14ac:dyDescent="0.25"/>
    <x:row r="1507" ht="11.45" customHeight="1" x14ac:dyDescent="0.25"/>
    <x:row r="1508" ht="11.45" customHeight="1" x14ac:dyDescent="0.25"/>
    <x:row r="1509" ht="11.45" customHeight="1" x14ac:dyDescent="0.25"/>
    <x:row r="1510" ht="11.45" customHeight="1" x14ac:dyDescent="0.25"/>
    <x:row r="1511" ht="11.45" customHeight="1" x14ac:dyDescent="0.25"/>
    <x:row r="1512" ht="11.45" customHeight="1" x14ac:dyDescent="0.25"/>
    <x:row r="1513" ht="11.45" customHeight="1" x14ac:dyDescent="0.25"/>
    <x:row r="1514" ht="11.45" customHeight="1" x14ac:dyDescent="0.25"/>
    <x:row r="1515" ht="11.45" customHeight="1" x14ac:dyDescent="0.25"/>
    <x:row r="1516" ht="11.45" customHeight="1" x14ac:dyDescent="0.25"/>
    <x:row r="1517" ht="11.45" customHeight="1" x14ac:dyDescent="0.25"/>
    <x:row r="1518" ht="11.45" customHeight="1" x14ac:dyDescent="0.25"/>
    <x:row r="1519" ht="11.45" customHeight="1" x14ac:dyDescent="0.25"/>
    <x:row r="1520" ht="11.45" customHeight="1" x14ac:dyDescent="0.25"/>
    <x:row r="1521" ht="11.45" customHeight="1" x14ac:dyDescent="0.25"/>
    <x:row r="1522" ht="11.45" customHeight="1" x14ac:dyDescent="0.25"/>
    <x:row r="1523" ht="11.45" customHeight="1" x14ac:dyDescent="0.25"/>
    <x:row r="1524" ht="11.45" customHeight="1" x14ac:dyDescent="0.25"/>
    <x:row r="1525" ht="11.45" customHeight="1" x14ac:dyDescent="0.25"/>
    <x:row r="1526" ht="11.45" customHeight="1" x14ac:dyDescent="0.25"/>
    <x:row r="1527" ht="11.45" customHeight="1" x14ac:dyDescent="0.25"/>
    <x:row r="1528" ht="11.45" customHeight="1" x14ac:dyDescent="0.25"/>
    <x:row r="1529" ht="11.45" customHeight="1" x14ac:dyDescent="0.25"/>
    <x:row r="1530" ht="11.45" customHeight="1" x14ac:dyDescent="0.25"/>
    <x:row r="1531" ht="11.45" customHeight="1" x14ac:dyDescent="0.25"/>
    <x:row r="1532" ht="11.45" customHeight="1" x14ac:dyDescent="0.25"/>
    <x:row r="1533" ht="11.45" customHeight="1" x14ac:dyDescent="0.25"/>
    <x:row r="1534" ht="11.45" customHeight="1" x14ac:dyDescent="0.25"/>
    <x:row r="1535" ht="11.45" customHeight="1" x14ac:dyDescent="0.25"/>
    <x:row r="1536" ht="11.45" customHeight="1" x14ac:dyDescent="0.25"/>
    <x:row r="1537" ht="11.45" customHeight="1" x14ac:dyDescent="0.25"/>
    <x:row r="1538" ht="11.45" customHeight="1" x14ac:dyDescent="0.25"/>
    <x:row r="1539" ht="11.45" customHeight="1" x14ac:dyDescent="0.25"/>
    <x:row r="1540" ht="11.45" customHeight="1" x14ac:dyDescent="0.25"/>
    <x:row r="1541" ht="11.45" customHeight="1" x14ac:dyDescent="0.25"/>
    <x:row r="1542" ht="11.45" customHeight="1" x14ac:dyDescent="0.25"/>
    <x:row r="1543" ht="11.45" customHeight="1" x14ac:dyDescent="0.25"/>
    <x:row r="1544" ht="11.45" customHeight="1" x14ac:dyDescent="0.25"/>
    <x:row r="1545" ht="11.45" customHeight="1" x14ac:dyDescent="0.25"/>
    <x:row r="1546" ht="11.45" customHeight="1" x14ac:dyDescent="0.25"/>
    <x:row r="1547" ht="11.45" customHeight="1" x14ac:dyDescent="0.25"/>
    <x:row r="1548" ht="11.45" customHeight="1" x14ac:dyDescent="0.25"/>
    <x:row r="1549" ht="11.45" customHeight="1" x14ac:dyDescent="0.25"/>
    <x:row r="1550" ht="11.45" customHeight="1" x14ac:dyDescent="0.25"/>
    <x:row r="1551" ht="11.45" customHeight="1" x14ac:dyDescent="0.25"/>
    <x:row r="1552" ht="11.45" customHeight="1" x14ac:dyDescent="0.25"/>
    <x:row r="1553" ht="11.45" customHeight="1" x14ac:dyDescent="0.25"/>
    <x:row r="1554" ht="11.45" customHeight="1" x14ac:dyDescent="0.25"/>
    <x:row r="1555" ht="11.45" customHeight="1" x14ac:dyDescent="0.25"/>
    <x:row r="1556" ht="11.45" customHeight="1" x14ac:dyDescent="0.25"/>
    <x:row r="1557" ht="11.45" customHeight="1" x14ac:dyDescent="0.25"/>
    <x:row r="1558" ht="11.45" customHeight="1" x14ac:dyDescent="0.25"/>
    <x:row r="1559" ht="11.45" customHeight="1" x14ac:dyDescent="0.25"/>
    <x:row r="1560" ht="11.45" customHeight="1" x14ac:dyDescent="0.25"/>
    <x:row r="1561" ht="11.45" customHeight="1" x14ac:dyDescent="0.25"/>
    <x:row r="1562" ht="11.45" customHeight="1" x14ac:dyDescent="0.25"/>
    <x:row r="1563" ht="11.45" customHeight="1" x14ac:dyDescent="0.25"/>
    <x:row r="1564" ht="11.45" customHeight="1" x14ac:dyDescent="0.25"/>
    <x:row r="1565" ht="11.45" customHeight="1" x14ac:dyDescent="0.25"/>
    <x:row r="1566" ht="11.45" customHeight="1" x14ac:dyDescent="0.25"/>
    <x:row r="1567" ht="11.45" customHeight="1" x14ac:dyDescent="0.25"/>
    <x:row r="1568" ht="11.45" customHeight="1" x14ac:dyDescent="0.25"/>
    <x:row r="1569" ht="11.45" customHeight="1" x14ac:dyDescent="0.25"/>
    <x:row r="1570" ht="11.45" customHeight="1" x14ac:dyDescent="0.25"/>
    <x:row r="1571" ht="11.45" customHeight="1" x14ac:dyDescent="0.25"/>
    <x:row r="1572" ht="11.45" customHeight="1" x14ac:dyDescent="0.25"/>
    <x:row r="1573" ht="11.45" customHeight="1" x14ac:dyDescent="0.25"/>
    <x:row r="1574" ht="11.45" customHeight="1" x14ac:dyDescent="0.25"/>
    <x:row r="1575" ht="11.45" customHeight="1" x14ac:dyDescent="0.25"/>
    <x:row r="1576" ht="11.45" customHeight="1" x14ac:dyDescent="0.25"/>
    <x:row r="1577" ht="11.45" customHeight="1" x14ac:dyDescent="0.25"/>
    <x:row r="1578" ht="11.45" customHeight="1" x14ac:dyDescent="0.25"/>
    <x:row r="1579" ht="11.45" customHeight="1" x14ac:dyDescent="0.25"/>
    <x:row r="1580" ht="11.45" customHeight="1" x14ac:dyDescent="0.25"/>
    <x:row r="1581" ht="11.45" customHeight="1" x14ac:dyDescent="0.25"/>
    <x:row r="1582" ht="11.45" customHeight="1" x14ac:dyDescent="0.25"/>
    <x:row r="1583" ht="11.45" customHeight="1" x14ac:dyDescent="0.25"/>
    <x:row r="1584" ht="11.45" customHeight="1" x14ac:dyDescent="0.25"/>
    <x:row r="1585" ht="11.45" customHeight="1" x14ac:dyDescent="0.25"/>
    <x:row r="1586" ht="11.45" customHeight="1" x14ac:dyDescent="0.25"/>
    <x:row r="1587" ht="11.45" customHeight="1" x14ac:dyDescent="0.25"/>
    <x:row r="1588" ht="11.45" customHeight="1" x14ac:dyDescent="0.25"/>
    <x:row r="1589" ht="11.45" customHeight="1" x14ac:dyDescent="0.25"/>
    <x:row r="1590" ht="11.45" customHeight="1" x14ac:dyDescent="0.25"/>
    <x:row r="1591" ht="11.45" customHeight="1" x14ac:dyDescent="0.25"/>
    <x:row r="1592" ht="11.45" customHeight="1" x14ac:dyDescent="0.25"/>
    <x:row r="1593" ht="11.45" customHeight="1" x14ac:dyDescent="0.25"/>
    <x:row r="1594" ht="11.45" customHeight="1" x14ac:dyDescent="0.25"/>
    <x:row r="1595" ht="11.45" customHeight="1" x14ac:dyDescent="0.25"/>
    <x:row r="1596" ht="11.45" customHeight="1" x14ac:dyDescent="0.25"/>
    <x:row r="1597" ht="11.45" customHeight="1" x14ac:dyDescent="0.25"/>
    <x:row r="1598" ht="11.45" customHeight="1" x14ac:dyDescent="0.25"/>
    <x:row r="1599" ht="11.45" customHeight="1" x14ac:dyDescent="0.25"/>
    <x:row r="1600" ht="11.45" customHeight="1" x14ac:dyDescent="0.25"/>
    <x:row r="1601" ht="11.45" customHeight="1" x14ac:dyDescent="0.25"/>
    <x:row r="1602" ht="11.45" customHeight="1" x14ac:dyDescent="0.25"/>
    <x:row r="1603" ht="11.45" customHeight="1" x14ac:dyDescent="0.25"/>
    <x:row r="1604" ht="11.45" customHeight="1" x14ac:dyDescent="0.25"/>
    <x:row r="1605" ht="11.45" customHeight="1" x14ac:dyDescent="0.25"/>
    <x:row r="1606" ht="11.45" customHeight="1" x14ac:dyDescent="0.25"/>
    <x:row r="1607" ht="11.45" customHeight="1" x14ac:dyDescent="0.25"/>
    <x:row r="1608" ht="11.45" customHeight="1" x14ac:dyDescent="0.25"/>
    <x:row r="1609" ht="11.45" customHeight="1" x14ac:dyDescent="0.25"/>
    <x:row r="1610" ht="11.45" customHeight="1" x14ac:dyDescent="0.25"/>
    <x:row r="1611" ht="11.45" customHeight="1" x14ac:dyDescent="0.25"/>
    <x:row r="1612" ht="11.45" customHeight="1" x14ac:dyDescent="0.25"/>
    <x:row r="1613" ht="11.45" customHeight="1" x14ac:dyDescent="0.25"/>
    <x:row r="1614" ht="11.45" customHeight="1" x14ac:dyDescent="0.25"/>
    <x:row r="1615" ht="11.45" customHeight="1" x14ac:dyDescent="0.25"/>
    <x:row r="1616" ht="11.45" customHeight="1" x14ac:dyDescent="0.25"/>
    <x:row r="1617" ht="11.45" customHeight="1" x14ac:dyDescent="0.25"/>
    <x:row r="1618" ht="11.45" customHeight="1" x14ac:dyDescent="0.25"/>
    <x:row r="1619" ht="11.45" customHeight="1" x14ac:dyDescent="0.25"/>
    <x:row r="1620" ht="11.45" customHeight="1" x14ac:dyDescent="0.25"/>
    <x:row r="1621" ht="11.45" customHeight="1" x14ac:dyDescent="0.25"/>
    <x:row r="1622" ht="11.45" customHeight="1" x14ac:dyDescent="0.25"/>
    <x:row r="1623" ht="11.45" customHeight="1" x14ac:dyDescent="0.25"/>
    <x:row r="1624" ht="11.45" customHeight="1" x14ac:dyDescent="0.25"/>
    <x:row r="1625" ht="11.45" customHeight="1" x14ac:dyDescent="0.25"/>
    <x:row r="1626" ht="11.45" customHeight="1" x14ac:dyDescent="0.25"/>
    <x:row r="1627" ht="11.45" customHeight="1" x14ac:dyDescent="0.25"/>
    <x:row r="1628" ht="11.45" customHeight="1" x14ac:dyDescent="0.25"/>
    <x:row r="1629" ht="11.45" customHeight="1" x14ac:dyDescent="0.25"/>
    <x:row r="1630" ht="11.45" customHeight="1" x14ac:dyDescent="0.25"/>
    <x:row r="1631" ht="11.45" customHeight="1" x14ac:dyDescent="0.25"/>
    <x:row r="1632" ht="11.45" customHeight="1" x14ac:dyDescent="0.25"/>
    <x:row r="1633" ht="11.45" customHeight="1" x14ac:dyDescent="0.25"/>
    <x:row r="1634" ht="11.45" customHeight="1" x14ac:dyDescent="0.25"/>
    <x:row r="1635" ht="11.45" customHeight="1" x14ac:dyDescent="0.25"/>
    <x:row r="1636" ht="11.45" customHeight="1" x14ac:dyDescent="0.25"/>
    <x:row r="1637" ht="11.45" customHeight="1" x14ac:dyDescent="0.25"/>
    <x:row r="1638" ht="11.45" customHeight="1" x14ac:dyDescent="0.25"/>
    <x:row r="1639" ht="11.45" customHeight="1" x14ac:dyDescent="0.25"/>
    <x:row r="1640" ht="11.45" customHeight="1" x14ac:dyDescent="0.25"/>
    <x:row r="1641" ht="11.45" customHeight="1" x14ac:dyDescent="0.25"/>
    <x:row r="1642" ht="11.45" customHeight="1" x14ac:dyDescent="0.25"/>
    <x:row r="1643" ht="11.45" customHeight="1" x14ac:dyDescent="0.25"/>
    <x:row r="1644" ht="11.45" customHeight="1" x14ac:dyDescent="0.25"/>
    <x:row r="1645" ht="11.45" customHeight="1" x14ac:dyDescent="0.25"/>
    <x:row r="1646" ht="11.45" customHeight="1" x14ac:dyDescent="0.25"/>
    <x:row r="1647" ht="11.45" customHeight="1" x14ac:dyDescent="0.25"/>
    <x:row r="1648" ht="11.45" customHeight="1" x14ac:dyDescent="0.25"/>
    <x:row r="1649" ht="11.45" customHeight="1" x14ac:dyDescent="0.25"/>
    <x:row r="1650" ht="11.45" customHeight="1" x14ac:dyDescent="0.25"/>
    <x:row r="1651" ht="11.45" customHeight="1" x14ac:dyDescent="0.25"/>
    <x:row r="1652" ht="11.45" customHeight="1" x14ac:dyDescent="0.25"/>
    <x:row r="1653" ht="11.45" customHeight="1" x14ac:dyDescent="0.25"/>
    <x:row r="1654" ht="11.45" customHeight="1" x14ac:dyDescent="0.25"/>
    <x:row r="1655" ht="11.45" customHeight="1" x14ac:dyDescent="0.25"/>
    <x:row r="1656" ht="11.45" customHeight="1" x14ac:dyDescent="0.25"/>
    <x:row r="1657" ht="11.45" customHeight="1" x14ac:dyDescent="0.25"/>
    <x:row r="1658" ht="11.45" customHeight="1" x14ac:dyDescent="0.25"/>
    <x:row r="1659" ht="11.45" customHeight="1" x14ac:dyDescent="0.25"/>
    <x:row r="1660" ht="11.45" customHeight="1" x14ac:dyDescent="0.25"/>
    <x:row r="1661" ht="11.45" customHeight="1" x14ac:dyDescent="0.25"/>
    <x:row r="1662" ht="11.45" customHeight="1" x14ac:dyDescent="0.25"/>
    <x:row r="1663" ht="11.45" customHeight="1" x14ac:dyDescent="0.25"/>
    <x:row r="1664" ht="11.45" customHeight="1" x14ac:dyDescent="0.25"/>
    <x:row r="1665" ht="11.45" customHeight="1" x14ac:dyDescent="0.25"/>
    <x:row r="1666" ht="11.45" customHeight="1" x14ac:dyDescent="0.25"/>
    <x:row r="1667" ht="11.45" customHeight="1" x14ac:dyDescent="0.25"/>
    <x:row r="1668" ht="11.45" customHeight="1" x14ac:dyDescent="0.25"/>
    <x:row r="1669" ht="11.45" customHeight="1" x14ac:dyDescent="0.25"/>
    <x:row r="1670" ht="11.45" customHeight="1" x14ac:dyDescent="0.25"/>
    <x:row r="1671" ht="11.45" customHeight="1" x14ac:dyDescent="0.25"/>
    <x:row r="1672" ht="11.45" customHeight="1" x14ac:dyDescent="0.25"/>
    <x:row r="1673" ht="11.45" customHeight="1" x14ac:dyDescent="0.25"/>
    <x:row r="1674" ht="11.45" customHeight="1" x14ac:dyDescent="0.25"/>
    <x:row r="1675" ht="11.45" customHeight="1" x14ac:dyDescent="0.25"/>
    <x:row r="1676" ht="11.45" customHeight="1" x14ac:dyDescent="0.25"/>
    <x:row r="1677" ht="11.45" customHeight="1" x14ac:dyDescent="0.25"/>
    <x:row r="1678" ht="11.45" customHeight="1" x14ac:dyDescent="0.25"/>
    <x:row r="1679" ht="11.45" customHeight="1" x14ac:dyDescent="0.25"/>
    <x:row r="1680" ht="11.45" customHeight="1" x14ac:dyDescent="0.25"/>
    <x:row r="1681" ht="11.45" customHeight="1" x14ac:dyDescent="0.25"/>
    <x:row r="1682" ht="11.45" customHeight="1" x14ac:dyDescent="0.25"/>
    <x:row r="1683" ht="11.45" customHeight="1" x14ac:dyDescent="0.25"/>
    <x:row r="1684" ht="11.45" customHeight="1" x14ac:dyDescent="0.25"/>
    <x:row r="1685" ht="11.45" customHeight="1" x14ac:dyDescent="0.25"/>
    <x:row r="1686" ht="11.45" customHeight="1" x14ac:dyDescent="0.25"/>
    <x:row r="1687" ht="11.45" customHeight="1" x14ac:dyDescent="0.25"/>
    <x:row r="1688" ht="11.45" customHeight="1" x14ac:dyDescent="0.25"/>
    <x:row r="1689" ht="11.45" customHeight="1" x14ac:dyDescent="0.25"/>
    <x:row r="1690" ht="11.45" customHeight="1" x14ac:dyDescent="0.25"/>
    <x:row r="1691" ht="11.45" customHeight="1" x14ac:dyDescent="0.25"/>
    <x:row r="1692" ht="11.45" customHeight="1" x14ac:dyDescent="0.25"/>
    <x:row r="1693" ht="11.45" customHeight="1" x14ac:dyDescent="0.25"/>
    <x:row r="1694" ht="11.45" customHeight="1" x14ac:dyDescent="0.25"/>
    <x:row r="1695" ht="11.45" customHeight="1" x14ac:dyDescent="0.25"/>
    <x:row r="1696" ht="11.45" customHeight="1" x14ac:dyDescent="0.25"/>
    <x:row r="1697" ht="11.45" customHeight="1" x14ac:dyDescent="0.25"/>
    <x:row r="1698" ht="11.45" customHeight="1" x14ac:dyDescent="0.25"/>
    <x:row r="1699" ht="11.45" customHeight="1" x14ac:dyDescent="0.25"/>
    <x:row r="1700" ht="11.45" customHeight="1" x14ac:dyDescent="0.25"/>
    <x:row r="1701" ht="11.45" customHeight="1" x14ac:dyDescent="0.25"/>
    <x:row r="1702" ht="11.45" customHeight="1" x14ac:dyDescent="0.25"/>
    <x:row r="1703" ht="11.45" customHeight="1" x14ac:dyDescent="0.25"/>
    <x:row r="1704" ht="11.45" customHeight="1" x14ac:dyDescent="0.25"/>
    <x:row r="1705" ht="11.45" customHeight="1" x14ac:dyDescent="0.25"/>
    <x:row r="1706" ht="11.45" customHeight="1" x14ac:dyDescent="0.25"/>
    <x:row r="1707" ht="11.45" customHeight="1" x14ac:dyDescent="0.25"/>
    <x:row r="1708" ht="11.45" customHeight="1" x14ac:dyDescent="0.25"/>
    <x:row r="1709" ht="11.45" customHeight="1" x14ac:dyDescent="0.25"/>
    <x:row r="1710" ht="11.45" customHeight="1" x14ac:dyDescent="0.25"/>
    <x:row r="1711" ht="11.45" customHeight="1" x14ac:dyDescent="0.25"/>
    <x:row r="1712" ht="11.45" customHeight="1" x14ac:dyDescent="0.25"/>
    <x:row r="1713" ht="11.45" customHeight="1" x14ac:dyDescent="0.25"/>
    <x:row r="1714" ht="11.45" customHeight="1" x14ac:dyDescent="0.25"/>
    <x:row r="1715" ht="11.45" customHeight="1" x14ac:dyDescent="0.25"/>
    <x:row r="1716" ht="11.45" customHeight="1" x14ac:dyDescent="0.25"/>
    <x:row r="1717" ht="11.45" customHeight="1" x14ac:dyDescent="0.25"/>
    <x:row r="1718" ht="11.45" customHeight="1" x14ac:dyDescent="0.25"/>
    <x:row r="1719" ht="11.45" customHeight="1" x14ac:dyDescent="0.25"/>
    <x:row r="1720" ht="11.45" customHeight="1" x14ac:dyDescent="0.25"/>
    <x:row r="1721" ht="11.45" customHeight="1" x14ac:dyDescent="0.25"/>
    <x:row r="1722" ht="11.45" customHeight="1" x14ac:dyDescent="0.25"/>
    <x:row r="1723" ht="11.45" customHeight="1" x14ac:dyDescent="0.25"/>
    <x:row r="1724" ht="11.45" customHeight="1" x14ac:dyDescent="0.25"/>
    <x:row r="1725" ht="11.45" customHeight="1" x14ac:dyDescent="0.25"/>
    <x:row r="1726" ht="11.45" customHeight="1" x14ac:dyDescent="0.25"/>
    <x:row r="1727" ht="11.45" customHeight="1" x14ac:dyDescent="0.25"/>
    <x:row r="1728" ht="11.45" customHeight="1" x14ac:dyDescent="0.25"/>
    <x:row r="1729" ht="11.45" customHeight="1" x14ac:dyDescent="0.25"/>
    <x:row r="1730" ht="11.45" customHeight="1" x14ac:dyDescent="0.25"/>
    <x:row r="1731" ht="11.45" customHeight="1" x14ac:dyDescent="0.25"/>
    <x:row r="1732" ht="11.45" customHeight="1" x14ac:dyDescent="0.25"/>
    <x:row r="1733" ht="11.45" customHeight="1" x14ac:dyDescent="0.25"/>
    <x:row r="1734" ht="11.45" customHeight="1" x14ac:dyDescent="0.25"/>
    <x:row r="1735" ht="11.45" customHeight="1" x14ac:dyDescent="0.25"/>
    <x:row r="1736" ht="11.45" customHeight="1" x14ac:dyDescent="0.25"/>
    <x:row r="1737" ht="11.45" customHeight="1" x14ac:dyDescent="0.25"/>
    <x:row r="1738" ht="11.45" customHeight="1" x14ac:dyDescent="0.25"/>
    <x:row r="1739" ht="11.45" customHeight="1" x14ac:dyDescent="0.25"/>
    <x:row r="1740" ht="11.45" customHeight="1" x14ac:dyDescent="0.25"/>
    <x:row r="1741" ht="11.45" customHeight="1" x14ac:dyDescent="0.25"/>
    <x:row r="1742" ht="11.45" customHeight="1" x14ac:dyDescent="0.25"/>
    <x:row r="1743" ht="11.45" customHeight="1" x14ac:dyDescent="0.25"/>
    <x:row r="1744" ht="11.45" customHeight="1" x14ac:dyDescent="0.25"/>
    <x:row r="1745" ht="11.45" customHeight="1" x14ac:dyDescent="0.25"/>
    <x:row r="1746" ht="11.45" customHeight="1" x14ac:dyDescent="0.25"/>
    <x:row r="1747" ht="11.45" customHeight="1" x14ac:dyDescent="0.25"/>
    <x:row r="1748" ht="11.45" customHeight="1" x14ac:dyDescent="0.25"/>
    <x:row r="1749" ht="11.45" customHeight="1" x14ac:dyDescent="0.25"/>
    <x:row r="1750" ht="11.45" customHeight="1" x14ac:dyDescent="0.25"/>
    <x:row r="1751" ht="11.45" customHeight="1" x14ac:dyDescent="0.25"/>
    <x:row r="1752" ht="11.45" customHeight="1" x14ac:dyDescent="0.25"/>
    <x:row r="1753" ht="11.45" customHeight="1" x14ac:dyDescent="0.25"/>
    <x:row r="1754" ht="11.45" customHeight="1" x14ac:dyDescent="0.25"/>
    <x:row r="1755" ht="11.45" customHeight="1" x14ac:dyDescent="0.25"/>
    <x:row r="1756" ht="11.45" customHeight="1" x14ac:dyDescent="0.25"/>
    <x:row r="1757" ht="11.45" customHeight="1" x14ac:dyDescent="0.25"/>
    <x:row r="1758" ht="11.45" customHeight="1" x14ac:dyDescent="0.25"/>
    <x:row r="1759" ht="11.45" customHeight="1" x14ac:dyDescent="0.25"/>
    <x:row r="1760" ht="11.45" customHeight="1" x14ac:dyDescent="0.25"/>
    <x:row r="1761" ht="11.45" customHeight="1" x14ac:dyDescent="0.25"/>
    <x:row r="1762" ht="11.45" customHeight="1" x14ac:dyDescent="0.25"/>
    <x:row r="1763" ht="11.45" customHeight="1" x14ac:dyDescent="0.25"/>
    <x:row r="1764" ht="11.45" customHeight="1" x14ac:dyDescent="0.25"/>
    <x:row r="1765" ht="11.45" customHeight="1" x14ac:dyDescent="0.25"/>
    <x:row r="1766" ht="11.45" customHeight="1" x14ac:dyDescent="0.25"/>
    <x:row r="1767" ht="11.45" customHeight="1" x14ac:dyDescent="0.25"/>
    <x:row r="1768" ht="11.45" customHeight="1" x14ac:dyDescent="0.25"/>
    <x:row r="1769" ht="11.45" customHeight="1" x14ac:dyDescent="0.25"/>
    <x:row r="1770" ht="11.45" customHeight="1" x14ac:dyDescent="0.25"/>
    <x:row r="1771" ht="11.45" customHeight="1" x14ac:dyDescent="0.25"/>
    <x:row r="1772" ht="11.45" customHeight="1" x14ac:dyDescent="0.25"/>
    <x:row r="1773" ht="11.45" customHeight="1" x14ac:dyDescent="0.25"/>
    <x:row r="1774" ht="11.45" customHeight="1" x14ac:dyDescent="0.25"/>
    <x:row r="1775" ht="11.45" customHeight="1" x14ac:dyDescent="0.25"/>
    <x:row r="1776" ht="11.45" customHeight="1" x14ac:dyDescent="0.25"/>
    <x:row r="1777" ht="11.45" customHeight="1" x14ac:dyDescent="0.25"/>
    <x:row r="1778" ht="11.45" customHeight="1" x14ac:dyDescent="0.25"/>
    <x:row r="1779" ht="11.45" customHeight="1" x14ac:dyDescent="0.25"/>
    <x:row r="1780" ht="11.45" customHeight="1" x14ac:dyDescent="0.25"/>
    <x:row r="1781" ht="11.45" customHeight="1" x14ac:dyDescent="0.25"/>
    <x:row r="1782" ht="11.45" customHeight="1" x14ac:dyDescent="0.25"/>
    <x:row r="1783" ht="11.45" customHeight="1" x14ac:dyDescent="0.25"/>
    <x:row r="1784" ht="11.45" customHeight="1" x14ac:dyDescent="0.25"/>
    <x:row r="1785" ht="11.45" customHeight="1" x14ac:dyDescent="0.25"/>
    <x:row r="1786" ht="11.45" customHeight="1" x14ac:dyDescent="0.25"/>
    <x:row r="1787" ht="11.45" customHeight="1" x14ac:dyDescent="0.25"/>
    <x:row r="1788" ht="11.45" customHeight="1" x14ac:dyDescent="0.25"/>
    <x:row r="1789" ht="11.45" customHeight="1" x14ac:dyDescent="0.25"/>
    <x:row r="1790" ht="11.45" customHeight="1" x14ac:dyDescent="0.25"/>
    <x:row r="1791" ht="11.45" customHeight="1" x14ac:dyDescent="0.25"/>
    <x:row r="1792" ht="11.45" customHeight="1" x14ac:dyDescent="0.25"/>
    <x:row r="1793" ht="11.45" customHeight="1" x14ac:dyDescent="0.25"/>
    <x:row r="1794" ht="11.45" customHeight="1" x14ac:dyDescent="0.25"/>
    <x:row r="1795" ht="11.45" customHeight="1" x14ac:dyDescent="0.25"/>
    <x:row r="1796" ht="11.45" customHeight="1" x14ac:dyDescent="0.25"/>
    <x:row r="1797" ht="11.45" customHeight="1" x14ac:dyDescent="0.25"/>
    <x:row r="1798" ht="11.45" customHeight="1" x14ac:dyDescent="0.25"/>
    <x:row r="1799" ht="11.45" customHeight="1" x14ac:dyDescent="0.25"/>
    <x:row r="1800" ht="11.45" customHeight="1" x14ac:dyDescent="0.25"/>
    <x:row r="1801" ht="11.45" customHeight="1" x14ac:dyDescent="0.25"/>
    <x:row r="1802" ht="11.45" customHeight="1" x14ac:dyDescent="0.25"/>
    <x:row r="1803" ht="11.45" customHeight="1" x14ac:dyDescent="0.25"/>
    <x:row r="1804" ht="11.45" customHeight="1" x14ac:dyDescent="0.25"/>
    <x:row r="1805" ht="11.45" customHeight="1" x14ac:dyDescent="0.25"/>
    <x:row r="1806" ht="11.45" customHeight="1" x14ac:dyDescent="0.25"/>
    <x:row r="1807" ht="11.45" customHeight="1" x14ac:dyDescent="0.25"/>
    <x:row r="1808" ht="11.45" customHeight="1" x14ac:dyDescent="0.25"/>
    <x:row r="1809" ht="11.45" customHeight="1" x14ac:dyDescent="0.25"/>
    <x:row r="1810" ht="11.45" customHeight="1" x14ac:dyDescent="0.25"/>
    <x:row r="1811" ht="11.45" customHeight="1" x14ac:dyDescent="0.25"/>
    <x:row r="1812" ht="11.45" customHeight="1" x14ac:dyDescent="0.25"/>
    <x:row r="1813" ht="11.45" customHeight="1" x14ac:dyDescent="0.25"/>
    <x:row r="1814" ht="11.45" customHeight="1" x14ac:dyDescent="0.25"/>
    <x:row r="1815" ht="11.45" customHeight="1" x14ac:dyDescent="0.25"/>
    <x:row r="1816" ht="11.45" customHeight="1" x14ac:dyDescent="0.25"/>
    <x:row r="1817" ht="11.45" customHeight="1" x14ac:dyDescent="0.25"/>
    <x:row r="1818" ht="11.45" customHeight="1" x14ac:dyDescent="0.25"/>
    <x:row r="1819" ht="11.45" customHeight="1" x14ac:dyDescent="0.25"/>
    <x:row r="1820" ht="11.45" customHeight="1" x14ac:dyDescent="0.25"/>
    <x:row r="1821" ht="11.45" customHeight="1" x14ac:dyDescent="0.25"/>
    <x:row r="1822" ht="11.45" customHeight="1" x14ac:dyDescent="0.25"/>
    <x:row r="1823" ht="11.45" customHeight="1" x14ac:dyDescent="0.25"/>
    <x:row r="1824" ht="11.45" customHeight="1" x14ac:dyDescent="0.25"/>
    <x:row r="1825" ht="11.45" customHeight="1" x14ac:dyDescent="0.25"/>
    <x:row r="1826" ht="11.45" customHeight="1" x14ac:dyDescent="0.25"/>
    <x:row r="1827" ht="11.45" customHeight="1" x14ac:dyDescent="0.25"/>
    <x:row r="1828" ht="11.45" customHeight="1" x14ac:dyDescent="0.25"/>
    <x:row r="1829" ht="11.45" customHeight="1" x14ac:dyDescent="0.25"/>
    <x:row r="1830" ht="11.45" customHeight="1" x14ac:dyDescent="0.25"/>
    <x:row r="1831" ht="11.45" customHeight="1" x14ac:dyDescent="0.25"/>
    <x:row r="1832" ht="11.45" customHeight="1" x14ac:dyDescent="0.25"/>
    <x:row r="1833" ht="11.45" customHeight="1" x14ac:dyDescent="0.25"/>
    <x:row r="1834" ht="11.45" customHeight="1" x14ac:dyDescent="0.25"/>
    <x:row r="1835" ht="11.45" customHeight="1" x14ac:dyDescent="0.25"/>
    <x:row r="1836" ht="11.45" customHeight="1" x14ac:dyDescent="0.25"/>
    <x:row r="1837" ht="11.45" customHeight="1" x14ac:dyDescent="0.25"/>
    <x:row r="1838" ht="11.45" customHeight="1" x14ac:dyDescent="0.25"/>
    <x:row r="1839" ht="11.45" customHeight="1" x14ac:dyDescent="0.25"/>
    <x:row r="1840" ht="11.45" customHeight="1" x14ac:dyDescent="0.25"/>
    <x:row r="1841" ht="11.45" customHeight="1" x14ac:dyDescent="0.25"/>
    <x:row r="1842" ht="11.45" customHeight="1" x14ac:dyDescent="0.25"/>
    <x:row r="1843" ht="11.45" customHeight="1" x14ac:dyDescent="0.25"/>
    <x:row r="1844" ht="11.45" customHeight="1" x14ac:dyDescent="0.25"/>
    <x:row r="1845" ht="11.45" customHeight="1" x14ac:dyDescent="0.25"/>
    <x:row r="1846" ht="11.45" customHeight="1" x14ac:dyDescent="0.25"/>
    <x:row r="1847" ht="11.45" customHeight="1" x14ac:dyDescent="0.25"/>
    <x:row r="1848" ht="11.45" customHeight="1" x14ac:dyDescent="0.25"/>
    <x:row r="1849" ht="11.45" customHeight="1" x14ac:dyDescent="0.25"/>
    <x:row r="1850" ht="11.45" customHeight="1" x14ac:dyDescent="0.25"/>
    <x:row r="1851" ht="11.45" customHeight="1" x14ac:dyDescent="0.25"/>
    <x:row r="1852" ht="11.45" customHeight="1" x14ac:dyDescent="0.25"/>
    <x:row r="1853" ht="11.45" customHeight="1" x14ac:dyDescent="0.25"/>
    <x:row r="1854" ht="11.45" customHeight="1" x14ac:dyDescent="0.25"/>
    <x:row r="1855" ht="11.45" customHeight="1" x14ac:dyDescent="0.25"/>
    <x:row r="1856" ht="11.45" customHeight="1" x14ac:dyDescent="0.25"/>
    <x:row r="1857" ht="11.45" customHeight="1" x14ac:dyDescent="0.25"/>
    <x:row r="1858" ht="11.45" customHeight="1" x14ac:dyDescent="0.25"/>
    <x:row r="1859" ht="11.45" customHeight="1" x14ac:dyDescent="0.25"/>
    <x:row r="1860" ht="11.45" customHeight="1" x14ac:dyDescent="0.25"/>
    <x:row r="1861" ht="11.45" customHeight="1" x14ac:dyDescent="0.25"/>
    <x:row r="1862" ht="11.45" customHeight="1" x14ac:dyDescent="0.25"/>
    <x:row r="1863" ht="11.45" customHeight="1" x14ac:dyDescent="0.25"/>
    <x:row r="1864" ht="11.45" customHeight="1" x14ac:dyDescent="0.25"/>
    <x:row r="1865" ht="11.45" customHeight="1" x14ac:dyDescent="0.25"/>
    <x:row r="1866" ht="11.45" customHeight="1" x14ac:dyDescent="0.25"/>
    <x:row r="1867" ht="11.45" customHeight="1" x14ac:dyDescent="0.25"/>
    <x:row r="1868" ht="11.45" customHeight="1" x14ac:dyDescent="0.25"/>
    <x:row r="1869" ht="11.45" customHeight="1" x14ac:dyDescent="0.25"/>
    <x:row r="1870" ht="11.45" customHeight="1" x14ac:dyDescent="0.25"/>
    <x:row r="1871" ht="11.45" customHeight="1" x14ac:dyDescent="0.25"/>
    <x:row r="1872" ht="11.45" customHeight="1" x14ac:dyDescent="0.25"/>
    <x:row r="1873" ht="11.45" customHeight="1" x14ac:dyDescent="0.25"/>
    <x:row r="1874" ht="11.45" customHeight="1" x14ac:dyDescent="0.25"/>
    <x:row r="1875" ht="11.45" customHeight="1" x14ac:dyDescent="0.25"/>
    <x:row r="1876" ht="11.45" customHeight="1" x14ac:dyDescent="0.25"/>
    <x:row r="1877" ht="11.45" customHeight="1" x14ac:dyDescent="0.25"/>
    <x:row r="1878" ht="11.45" customHeight="1" x14ac:dyDescent="0.25"/>
    <x:row r="1879" ht="11.45" customHeight="1" x14ac:dyDescent="0.25"/>
    <x:row r="1880" ht="11.45" customHeight="1" x14ac:dyDescent="0.25"/>
    <x:row r="1881" ht="11.45" customHeight="1" x14ac:dyDescent="0.25"/>
    <x:row r="1882" ht="11.45" customHeight="1" x14ac:dyDescent="0.25"/>
    <x:row r="1883" ht="11.45" customHeight="1" x14ac:dyDescent="0.25"/>
    <x:row r="1884" ht="11.45" customHeight="1" x14ac:dyDescent="0.25"/>
    <x:row r="1885" ht="11.45" customHeight="1" x14ac:dyDescent="0.25"/>
    <x:row r="1886" ht="11.45" customHeight="1" x14ac:dyDescent="0.25"/>
    <x:row r="1887" ht="11.45" customHeight="1" x14ac:dyDescent="0.25"/>
    <x:row r="1888" ht="11.45" customHeight="1" x14ac:dyDescent="0.25"/>
    <x:row r="1889" ht="11.45" customHeight="1" x14ac:dyDescent="0.25"/>
    <x:row r="1890" ht="11.45" customHeight="1" x14ac:dyDescent="0.25"/>
    <x:row r="1891" ht="11.45" customHeight="1" x14ac:dyDescent="0.25"/>
    <x:row r="1892" ht="11.45" customHeight="1" x14ac:dyDescent="0.25"/>
    <x:row r="1893" ht="11.45" customHeight="1" x14ac:dyDescent="0.25"/>
    <x:row r="1894" ht="11.45" customHeight="1" x14ac:dyDescent="0.25"/>
    <x:row r="1895" ht="11.45" customHeight="1" x14ac:dyDescent="0.25"/>
    <x:row r="1896" ht="11.45" customHeight="1" x14ac:dyDescent="0.25"/>
    <x:row r="1897" ht="11.45" customHeight="1" x14ac:dyDescent="0.25"/>
    <x:row r="1898" ht="11.45" customHeight="1" x14ac:dyDescent="0.25"/>
    <x:row r="1899" ht="11.45" customHeight="1" x14ac:dyDescent="0.25"/>
    <x:row r="1900" ht="11.45" customHeight="1" x14ac:dyDescent="0.25"/>
    <x:row r="1901" ht="11.45" customHeight="1" x14ac:dyDescent="0.25"/>
    <x:row r="1902" ht="11.45" customHeight="1" x14ac:dyDescent="0.25"/>
    <x:row r="1903" ht="11.45" customHeight="1" x14ac:dyDescent="0.25"/>
    <x:row r="1904" ht="11.45" customHeight="1" x14ac:dyDescent="0.25"/>
    <x:row r="1905" ht="11.45" customHeight="1" x14ac:dyDescent="0.25"/>
    <x:row r="1906" ht="11.45" customHeight="1" x14ac:dyDescent="0.25"/>
    <x:row r="1907" ht="11.45" customHeight="1" x14ac:dyDescent="0.25"/>
    <x:row r="1908" ht="11.45" customHeight="1" x14ac:dyDescent="0.25"/>
    <x:row r="1909" ht="11.45" customHeight="1" x14ac:dyDescent="0.25"/>
    <x:row r="1910" ht="11.45" customHeight="1" x14ac:dyDescent="0.25"/>
    <x:row r="1911" ht="11.45" customHeight="1" x14ac:dyDescent="0.25"/>
    <x:row r="1912" ht="11.45" customHeight="1" x14ac:dyDescent="0.25"/>
    <x:row r="1913" ht="11.45" customHeight="1" x14ac:dyDescent="0.25"/>
    <x:row r="1914" ht="11.45" customHeight="1" x14ac:dyDescent="0.25"/>
    <x:row r="1915" ht="11.45" customHeight="1" x14ac:dyDescent="0.25"/>
    <x:row r="1916" ht="11.45" customHeight="1" x14ac:dyDescent="0.25"/>
    <x:row r="1917" ht="11.45" customHeight="1" x14ac:dyDescent="0.25"/>
    <x:row r="1918" ht="11.45" customHeight="1" x14ac:dyDescent="0.25"/>
    <x:row r="1919" ht="11.45" customHeight="1" x14ac:dyDescent="0.25"/>
    <x:row r="1920" ht="11.45" customHeight="1" x14ac:dyDescent="0.25"/>
    <x:row r="1921" ht="11.45" customHeight="1" x14ac:dyDescent="0.25"/>
    <x:row r="1922" ht="11.45" customHeight="1" x14ac:dyDescent="0.25"/>
    <x:row r="1923" ht="11.45" customHeight="1" x14ac:dyDescent="0.25"/>
    <x:row r="1924" ht="11.45" customHeight="1" x14ac:dyDescent="0.25"/>
    <x:row r="1925" ht="11.45" customHeight="1" x14ac:dyDescent="0.25"/>
    <x:row r="1926" ht="11.45" customHeight="1" x14ac:dyDescent="0.25"/>
    <x:row r="1927" ht="11.45" customHeight="1" x14ac:dyDescent="0.25"/>
    <x:row r="1928" ht="11.45" customHeight="1" x14ac:dyDescent="0.25"/>
    <x:row r="1929" ht="11.45" customHeight="1" x14ac:dyDescent="0.25"/>
    <x:row r="1930" ht="11.45" customHeight="1" x14ac:dyDescent="0.25"/>
    <x:row r="1931" ht="11.45" customHeight="1" x14ac:dyDescent="0.25"/>
    <x:row r="1932" ht="11.45" customHeight="1" x14ac:dyDescent="0.25"/>
    <x:row r="1933" ht="11.45" customHeight="1" x14ac:dyDescent="0.25"/>
    <x:row r="1934" ht="11.45" customHeight="1" x14ac:dyDescent="0.25"/>
    <x:row r="1935" ht="11.45" customHeight="1" x14ac:dyDescent="0.25"/>
    <x:row r="1936" ht="11.45" customHeight="1" x14ac:dyDescent="0.25"/>
    <x:row r="1937" ht="11.45" customHeight="1" x14ac:dyDescent="0.25"/>
    <x:row r="1938" ht="11.45" customHeight="1" x14ac:dyDescent="0.25"/>
    <x:row r="1939" ht="11.45" customHeight="1" x14ac:dyDescent="0.25"/>
    <x:row r="1940" ht="11.45" customHeight="1" x14ac:dyDescent="0.25"/>
    <x:row r="1941" ht="11.45" customHeight="1" x14ac:dyDescent="0.25"/>
    <x:row r="1942" ht="11.45" customHeight="1" x14ac:dyDescent="0.25"/>
    <x:row r="1943" ht="11.45" customHeight="1" x14ac:dyDescent="0.25"/>
    <x:row r="1944" ht="11.45" customHeight="1" x14ac:dyDescent="0.25"/>
    <x:row r="1945" ht="11.45" customHeight="1" x14ac:dyDescent="0.25"/>
    <x:row r="1946" ht="11.45" customHeight="1" x14ac:dyDescent="0.25"/>
    <x:row r="1947" ht="11.45" customHeight="1" x14ac:dyDescent="0.25"/>
    <x:row r="1948" ht="11.45" customHeight="1" x14ac:dyDescent="0.25"/>
    <x:row r="1949" ht="11.45" customHeight="1" x14ac:dyDescent="0.25"/>
    <x:row r="1950" ht="11.45" customHeight="1" x14ac:dyDescent="0.25"/>
    <x:row r="1951" ht="11.45" customHeight="1" x14ac:dyDescent="0.25"/>
    <x:row r="1952" ht="11.45" customHeight="1" x14ac:dyDescent="0.25"/>
    <x:row r="1953" ht="11.45" customHeight="1" x14ac:dyDescent="0.25"/>
    <x:row r="1954" ht="11.45" customHeight="1" x14ac:dyDescent="0.25"/>
    <x:row r="1955" ht="11.45" customHeight="1" x14ac:dyDescent="0.25"/>
    <x:row r="1956" ht="11.45" customHeight="1" x14ac:dyDescent="0.25"/>
    <x:row r="1957" ht="11.45" customHeight="1" x14ac:dyDescent="0.25"/>
    <x:row r="1958" ht="11.45" customHeight="1" x14ac:dyDescent="0.25"/>
    <x:row r="1959" ht="11.45" customHeight="1" x14ac:dyDescent="0.25"/>
    <x:row r="1960" ht="11.45" customHeight="1" x14ac:dyDescent="0.25"/>
    <x:row r="1961" ht="11.45" customHeight="1" x14ac:dyDescent="0.25"/>
    <x:row r="1962" ht="11.45" customHeight="1" x14ac:dyDescent="0.25"/>
    <x:row r="1963" ht="11.45" customHeight="1" x14ac:dyDescent="0.25"/>
    <x:row r="1964" ht="11.45" customHeight="1" x14ac:dyDescent="0.25"/>
    <x:row r="1965" ht="11.45" customHeight="1" x14ac:dyDescent="0.25"/>
    <x:row r="1966" ht="11.45" customHeight="1" x14ac:dyDescent="0.25"/>
    <x:row r="1967" ht="11.45" customHeight="1" x14ac:dyDescent="0.25"/>
    <x:row r="1968" ht="11.45" customHeight="1" x14ac:dyDescent="0.25"/>
    <x:row r="1969" ht="11.45" customHeight="1" x14ac:dyDescent="0.25"/>
    <x:row r="1970" ht="11.45" customHeight="1" x14ac:dyDescent="0.25"/>
    <x:row r="1971" ht="11.45" customHeight="1" x14ac:dyDescent="0.25"/>
    <x:row r="1972" ht="11.45" customHeight="1" x14ac:dyDescent="0.25"/>
    <x:row r="1973" ht="11.45" customHeight="1" x14ac:dyDescent="0.25"/>
    <x:row r="1974" ht="11.45" customHeight="1" x14ac:dyDescent="0.25"/>
    <x:row r="1975" ht="11.45" customHeight="1" x14ac:dyDescent="0.25"/>
    <x:row r="1976" ht="11.45" customHeight="1" x14ac:dyDescent="0.25"/>
    <x:row r="1977" ht="11.45" customHeight="1" x14ac:dyDescent="0.25"/>
    <x:row r="1978" ht="11.45" customHeight="1" x14ac:dyDescent="0.25"/>
    <x:row r="1979" ht="11.45" customHeight="1" x14ac:dyDescent="0.25"/>
    <x:row r="1980" ht="11.45" customHeight="1" x14ac:dyDescent="0.25"/>
    <x:row r="1981" ht="11.45" customHeight="1" x14ac:dyDescent="0.25"/>
    <x:row r="1982" ht="11.45" customHeight="1" x14ac:dyDescent="0.25"/>
    <x:row r="1983" ht="11.45" customHeight="1" x14ac:dyDescent="0.25"/>
    <x:row r="1984" ht="11.45" customHeight="1" x14ac:dyDescent="0.25"/>
    <x:row r="1985" ht="11.45" customHeight="1" x14ac:dyDescent="0.25"/>
    <x:row r="1986" ht="11.45" customHeight="1" x14ac:dyDescent="0.25"/>
    <x:row r="1987" ht="11.45" customHeight="1" x14ac:dyDescent="0.25"/>
    <x:row r="1988" ht="11.45" customHeight="1" x14ac:dyDescent="0.25"/>
    <x:row r="1989" ht="11.45" customHeight="1" x14ac:dyDescent="0.25"/>
    <x:row r="1990" ht="11.45" customHeight="1" x14ac:dyDescent="0.25"/>
    <x:row r="1991" ht="11.45" customHeight="1" x14ac:dyDescent="0.25"/>
    <x:row r="1992" ht="11.45" customHeight="1" x14ac:dyDescent="0.25"/>
    <x:row r="1993" ht="11.45" customHeight="1" x14ac:dyDescent="0.25"/>
    <x:row r="1994" ht="11.45" customHeight="1" x14ac:dyDescent="0.25"/>
    <x:row r="1995" ht="11.45" customHeight="1" x14ac:dyDescent="0.25"/>
    <x:row r="1996" ht="11.45" customHeight="1" x14ac:dyDescent="0.25"/>
    <x:row r="1997" ht="11.45" customHeight="1" x14ac:dyDescent="0.25"/>
    <x:row r="1998" ht="11.45" customHeight="1" x14ac:dyDescent="0.25"/>
    <x:row r="1999" ht="11.45" customHeight="1" x14ac:dyDescent="0.25"/>
    <x:row r="2000" ht="11.45" customHeight="1" x14ac:dyDescent="0.25"/>
    <x:row r="2001" ht="11.45" customHeight="1" x14ac:dyDescent="0.25"/>
    <x:row r="2002" ht="11.45" customHeight="1" x14ac:dyDescent="0.25"/>
    <x:row r="2003" ht="11.45" customHeight="1" x14ac:dyDescent="0.25"/>
    <x:row r="2004" ht="11.45" customHeight="1" x14ac:dyDescent="0.25"/>
    <x:row r="2005" ht="11.45" customHeight="1" x14ac:dyDescent="0.25"/>
    <x:row r="2006" ht="11.45" customHeight="1" x14ac:dyDescent="0.25"/>
    <x:row r="2007" ht="11.45" customHeight="1" x14ac:dyDescent="0.25"/>
    <x:row r="2008" ht="11.45" customHeight="1" x14ac:dyDescent="0.25"/>
    <x:row r="2009" ht="11.45" customHeight="1" x14ac:dyDescent="0.25"/>
    <x:row r="2010" ht="11.45" customHeight="1" x14ac:dyDescent="0.25"/>
    <x:row r="2011" ht="11.45" customHeight="1" x14ac:dyDescent="0.25"/>
    <x:row r="2012" ht="11.45" customHeight="1" x14ac:dyDescent="0.25"/>
    <x:row r="2013" ht="11.45" customHeight="1" x14ac:dyDescent="0.25"/>
    <x:row r="2014" ht="11.45" customHeight="1" x14ac:dyDescent="0.25"/>
    <x:row r="2015" ht="11.45" customHeight="1" x14ac:dyDescent="0.25"/>
    <x:row r="2016" ht="11.45" customHeight="1" x14ac:dyDescent="0.25"/>
    <x:row r="2017" ht="11.45" customHeight="1" x14ac:dyDescent="0.25"/>
    <x:row r="2018" ht="11.45" customHeight="1" x14ac:dyDescent="0.25"/>
    <x:row r="2019" ht="11.45" customHeight="1" x14ac:dyDescent="0.25"/>
    <x:row r="2020" ht="11.45" customHeight="1" x14ac:dyDescent="0.25"/>
    <x:row r="2021" ht="11.45" customHeight="1" x14ac:dyDescent="0.25"/>
    <x:row r="2022" ht="11.45" customHeight="1" x14ac:dyDescent="0.25"/>
    <x:row r="2023" ht="11.45" customHeight="1" x14ac:dyDescent="0.25"/>
    <x:row r="2024" ht="11.45" customHeight="1" x14ac:dyDescent="0.25"/>
    <x:row r="2025" ht="11.45" customHeight="1" x14ac:dyDescent="0.25"/>
    <x:row r="2026" ht="11.45" customHeight="1" x14ac:dyDescent="0.25"/>
    <x:row r="2027" ht="11.45" customHeight="1" x14ac:dyDescent="0.25"/>
    <x:row r="2028" ht="11.45" customHeight="1" x14ac:dyDescent="0.25"/>
    <x:row r="2029" ht="11.45" customHeight="1" x14ac:dyDescent="0.25"/>
    <x:row r="2030" ht="11.45" customHeight="1" x14ac:dyDescent="0.25"/>
    <x:row r="2031" ht="11.45" customHeight="1" x14ac:dyDescent="0.25"/>
    <x:row r="2032" ht="11.45" customHeight="1" x14ac:dyDescent="0.25"/>
    <x:row r="2033" ht="11.45" customHeight="1" x14ac:dyDescent="0.25"/>
    <x:row r="2034" ht="11.45" customHeight="1" x14ac:dyDescent="0.25"/>
    <x:row r="2035" ht="11.45" customHeight="1" x14ac:dyDescent="0.25"/>
    <x:row r="2036" ht="11.45" customHeight="1" x14ac:dyDescent="0.25"/>
    <x:row r="2037" ht="11.45" customHeight="1" x14ac:dyDescent="0.25"/>
    <x:row r="2038" ht="11.45" customHeight="1" x14ac:dyDescent="0.25"/>
    <x:row r="2039" ht="11.45" customHeight="1" x14ac:dyDescent="0.25"/>
    <x:row r="2040" ht="11.45" customHeight="1" x14ac:dyDescent="0.25"/>
    <x:row r="2041" ht="11.45" customHeight="1" x14ac:dyDescent="0.25"/>
    <x:row r="2042" ht="11.45" customHeight="1" x14ac:dyDescent="0.25"/>
    <x:row r="2043" ht="11.45" customHeight="1" x14ac:dyDescent="0.25"/>
    <x:row r="2044" ht="11.45" customHeight="1" x14ac:dyDescent="0.25"/>
    <x:row r="2045" ht="11.45" customHeight="1" x14ac:dyDescent="0.25"/>
    <x:row r="2046" ht="11.45" customHeight="1" x14ac:dyDescent="0.25"/>
    <x:row r="2047" ht="11.45" customHeight="1" x14ac:dyDescent="0.25"/>
    <x:row r="2048" ht="11.45" customHeight="1" x14ac:dyDescent="0.25"/>
    <x:row r="2049" ht="11.45" customHeight="1" x14ac:dyDescent="0.25"/>
    <x:row r="2050" ht="11.45" customHeight="1" x14ac:dyDescent="0.25"/>
    <x:row r="2051" ht="11.45" customHeight="1" x14ac:dyDescent="0.25"/>
    <x:row r="2052" ht="11.45" customHeight="1" x14ac:dyDescent="0.25"/>
    <x:row r="2053" ht="11.45" customHeight="1" x14ac:dyDescent="0.25"/>
    <x:row r="2054" ht="11.45" customHeight="1" x14ac:dyDescent="0.25"/>
    <x:row r="2055" ht="11.45" customHeight="1" x14ac:dyDescent="0.25"/>
    <x:row r="2056" ht="11.45" customHeight="1" x14ac:dyDescent="0.25"/>
    <x:row r="2057" ht="11.45" customHeight="1" x14ac:dyDescent="0.25"/>
    <x:row r="2058" ht="11.45" customHeight="1" x14ac:dyDescent="0.25"/>
    <x:row r="2059" ht="11.45" customHeight="1" x14ac:dyDescent="0.25"/>
    <x:row r="2060" ht="11.45" customHeight="1" x14ac:dyDescent="0.25"/>
    <x:row r="2061" ht="11.45" customHeight="1" x14ac:dyDescent="0.25"/>
    <x:row r="2062" ht="11.45" customHeight="1" x14ac:dyDescent="0.25"/>
    <x:row r="2063" ht="11.45" customHeight="1" x14ac:dyDescent="0.25"/>
    <x:row r="2064" ht="11.45" customHeight="1" x14ac:dyDescent="0.25"/>
    <x:row r="2065" ht="11.45" customHeight="1" x14ac:dyDescent="0.25"/>
    <x:row r="2066" ht="11.45" customHeight="1" x14ac:dyDescent="0.25"/>
    <x:row r="2067" ht="11.45" customHeight="1" x14ac:dyDescent="0.25"/>
    <x:row r="2068" ht="11.45" customHeight="1" x14ac:dyDescent="0.25"/>
    <x:row r="2069" ht="11.45" customHeight="1" x14ac:dyDescent="0.25"/>
    <x:row r="2070" ht="11.45" customHeight="1" x14ac:dyDescent="0.25"/>
    <x:row r="2071" ht="11.45" customHeight="1" x14ac:dyDescent="0.25"/>
    <x:row r="2072" ht="11.45" customHeight="1" x14ac:dyDescent="0.25"/>
    <x:row r="2073" ht="11.45" customHeight="1" x14ac:dyDescent="0.25"/>
    <x:row r="2074" ht="11.45" customHeight="1" x14ac:dyDescent="0.25"/>
    <x:row r="2075" ht="11.45" customHeight="1" x14ac:dyDescent="0.25"/>
    <x:row r="2076" ht="11.45" customHeight="1" x14ac:dyDescent="0.25"/>
    <x:row r="2077" ht="11.45" customHeight="1" x14ac:dyDescent="0.25"/>
    <x:row r="2078" ht="11.45" customHeight="1" x14ac:dyDescent="0.25"/>
    <x:row r="2079" ht="11.45" customHeight="1" x14ac:dyDescent="0.25"/>
    <x:row r="2080" ht="11.45" customHeight="1" x14ac:dyDescent="0.25"/>
    <x:row r="2081" ht="11.45" customHeight="1" x14ac:dyDescent="0.25"/>
    <x:row r="2082" ht="11.45" customHeight="1" x14ac:dyDescent="0.25"/>
    <x:row r="2083" ht="11.45" customHeight="1" x14ac:dyDescent="0.25"/>
    <x:row r="2084" ht="11.45" customHeight="1" x14ac:dyDescent="0.25"/>
    <x:row r="2085" ht="11.45" customHeight="1" x14ac:dyDescent="0.25"/>
    <x:row r="2086" ht="11.45" customHeight="1" x14ac:dyDescent="0.25"/>
    <x:row r="2087" ht="11.45" customHeight="1" x14ac:dyDescent="0.25"/>
    <x:row r="2088" ht="11.45" customHeight="1" x14ac:dyDescent="0.25"/>
    <x:row r="2089" ht="11.45" customHeight="1" x14ac:dyDescent="0.25"/>
    <x:row r="2090" ht="11.45" customHeight="1" x14ac:dyDescent="0.25"/>
    <x:row r="2091" ht="11.45" customHeight="1" x14ac:dyDescent="0.25"/>
    <x:row r="2092" ht="11.45" customHeight="1" x14ac:dyDescent="0.25"/>
    <x:row r="2093" ht="11.45" customHeight="1" x14ac:dyDescent="0.25"/>
    <x:row r="2094" ht="11.45" customHeight="1" x14ac:dyDescent="0.25"/>
    <x:row r="2095" ht="11.45" customHeight="1" x14ac:dyDescent="0.25"/>
    <x:row r="2096" ht="11.45" customHeight="1" x14ac:dyDescent="0.25"/>
    <x:row r="2097" ht="11.45" customHeight="1" x14ac:dyDescent="0.25"/>
    <x:row r="2098" ht="11.45" customHeight="1" x14ac:dyDescent="0.25"/>
    <x:row r="2099" ht="11.45" customHeight="1" x14ac:dyDescent="0.25"/>
    <x:row r="2100" ht="11.45" customHeight="1" x14ac:dyDescent="0.25"/>
    <x:row r="2101" ht="11.45" customHeight="1" x14ac:dyDescent="0.25"/>
    <x:row r="2102" ht="11.45" customHeight="1" x14ac:dyDescent="0.25"/>
    <x:row r="2103" ht="11.45" customHeight="1" x14ac:dyDescent="0.25"/>
    <x:row r="2104" ht="11.45" customHeight="1" x14ac:dyDescent="0.25"/>
    <x:row r="2105" ht="11.45" customHeight="1" x14ac:dyDescent="0.25"/>
    <x:row r="2106" ht="11.45" customHeight="1" x14ac:dyDescent="0.25"/>
    <x:row r="2107" ht="11.45" customHeight="1" x14ac:dyDescent="0.25"/>
    <x:row r="2108" ht="11.45" customHeight="1" x14ac:dyDescent="0.25"/>
    <x:row r="2109" ht="11.45" customHeight="1" x14ac:dyDescent="0.25"/>
    <x:row r="2110" ht="11.45" customHeight="1" x14ac:dyDescent="0.25"/>
    <x:row r="2111" ht="11.45" customHeight="1" x14ac:dyDescent="0.25"/>
    <x:row r="2112" ht="11.45" customHeight="1" x14ac:dyDescent="0.25"/>
    <x:row r="2113" ht="11.45" customHeight="1" x14ac:dyDescent="0.25"/>
    <x:row r="2114" ht="11.45" customHeight="1" x14ac:dyDescent="0.25"/>
    <x:row r="2115" ht="11.45" customHeight="1" x14ac:dyDescent="0.25"/>
    <x:row r="2116" ht="11.45" customHeight="1" x14ac:dyDescent="0.25"/>
    <x:row r="2117" ht="11.45" customHeight="1" x14ac:dyDescent="0.25"/>
    <x:row r="2118" ht="11.45" customHeight="1" x14ac:dyDescent="0.25"/>
    <x:row r="2119" ht="11.45" customHeight="1" x14ac:dyDescent="0.25"/>
    <x:row r="2120" ht="11.45" customHeight="1" x14ac:dyDescent="0.25"/>
    <x:row r="2121" ht="11.45" customHeight="1" x14ac:dyDescent="0.25"/>
    <x:row r="2122" ht="11.45" customHeight="1" x14ac:dyDescent="0.25"/>
    <x:row r="2123" ht="11.45" customHeight="1" x14ac:dyDescent="0.25"/>
    <x:row r="2124" ht="11.45" customHeight="1" x14ac:dyDescent="0.25"/>
    <x:row r="2125" ht="11.45" customHeight="1" x14ac:dyDescent="0.25"/>
    <x:row r="2126" ht="11.45" customHeight="1" x14ac:dyDescent="0.25"/>
    <x:row r="2127" ht="11.45" customHeight="1" x14ac:dyDescent="0.25"/>
    <x:row r="2128" ht="11.45" customHeight="1" x14ac:dyDescent="0.25"/>
    <x:row r="2129" ht="11.45" customHeight="1" x14ac:dyDescent="0.25"/>
    <x:row r="2130" ht="11.45" customHeight="1" x14ac:dyDescent="0.25"/>
    <x:row r="2131" ht="11.45" customHeight="1" x14ac:dyDescent="0.25"/>
    <x:row r="2132" ht="11.45" customHeight="1" x14ac:dyDescent="0.25"/>
    <x:row r="2133" ht="11.45" customHeight="1" x14ac:dyDescent="0.25"/>
    <x:row r="2134" ht="11.45" customHeight="1" x14ac:dyDescent="0.25"/>
    <x:row r="2135" ht="11.45" customHeight="1" x14ac:dyDescent="0.25"/>
    <x:row r="2136" ht="11.45" customHeight="1" x14ac:dyDescent="0.25"/>
    <x:row r="2137" ht="11.45" customHeight="1" x14ac:dyDescent="0.25"/>
    <x:row r="2138" ht="11.45" customHeight="1" x14ac:dyDescent="0.25"/>
    <x:row r="2139" ht="11.45" customHeight="1" x14ac:dyDescent="0.25"/>
    <x:row r="2140" ht="11.45" customHeight="1" x14ac:dyDescent="0.25"/>
    <x:row r="2141" ht="11.45" customHeight="1" x14ac:dyDescent="0.25"/>
    <x:row r="2142" ht="11.45" customHeight="1" x14ac:dyDescent="0.25"/>
    <x:row r="2143" ht="11.45" customHeight="1" x14ac:dyDescent="0.25"/>
    <x:row r="2144" ht="11.45" customHeight="1" x14ac:dyDescent="0.25"/>
    <x:row r="2145" ht="11.45" customHeight="1" x14ac:dyDescent="0.25"/>
    <x:row r="2146" ht="11.45" customHeight="1" x14ac:dyDescent="0.25"/>
    <x:row r="2147" ht="11.45" customHeight="1" x14ac:dyDescent="0.25"/>
    <x:row r="2148" ht="11.45" customHeight="1" x14ac:dyDescent="0.25"/>
    <x:row r="2149" ht="11.45" customHeight="1" x14ac:dyDescent="0.25"/>
    <x:row r="2150" ht="11.45" customHeight="1" x14ac:dyDescent="0.25"/>
    <x:row r="2151" ht="11.45" customHeight="1" x14ac:dyDescent="0.25"/>
    <x:row r="2152" ht="11.45" customHeight="1" x14ac:dyDescent="0.25"/>
    <x:row r="2153" ht="11.45" customHeight="1" x14ac:dyDescent="0.25"/>
    <x:row r="2154" ht="11.45" customHeight="1" x14ac:dyDescent="0.25"/>
    <x:row r="2155" ht="11.45" customHeight="1" x14ac:dyDescent="0.25"/>
    <x:row r="2156" ht="11.45" customHeight="1" x14ac:dyDescent="0.25"/>
    <x:row r="2157" ht="11.45" customHeight="1" x14ac:dyDescent="0.25"/>
    <x:row r="2158" ht="11.45" customHeight="1" x14ac:dyDescent="0.25"/>
    <x:row r="2159" ht="11.45" customHeight="1" x14ac:dyDescent="0.25"/>
    <x:row r="2160" ht="11.45" customHeight="1" x14ac:dyDescent="0.25"/>
    <x:row r="2161" ht="11.45" customHeight="1" x14ac:dyDescent="0.25"/>
    <x:row r="2162" ht="11.45" customHeight="1" x14ac:dyDescent="0.25"/>
    <x:row r="2163" ht="11.45" customHeight="1" x14ac:dyDescent="0.25"/>
    <x:row r="2164" ht="11.45" customHeight="1" x14ac:dyDescent="0.25"/>
    <x:row r="2165" ht="11.45" customHeight="1" x14ac:dyDescent="0.25"/>
    <x:row r="2166" ht="11.45" customHeight="1" x14ac:dyDescent="0.25"/>
    <x:row r="2167" ht="11.45" customHeight="1" x14ac:dyDescent="0.25"/>
    <x:row r="2168" ht="11.45" customHeight="1" x14ac:dyDescent="0.25"/>
    <x:row r="2169" ht="11.45" customHeight="1" x14ac:dyDescent="0.25"/>
    <x:row r="2170" ht="11.45" customHeight="1" x14ac:dyDescent="0.25"/>
    <x:row r="2171" ht="11.45" customHeight="1" x14ac:dyDescent="0.25"/>
    <x:row r="2172" ht="11.45" customHeight="1" x14ac:dyDescent="0.25"/>
    <x:row r="2173" ht="11.45" customHeight="1" x14ac:dyDescent="0.25"/>
    <x:row r="2174" ht="11.45" customHeight="1" x14ac:dyDescent="0.25"/>
    <x:row r="2175" ht="11.45" customHeight="1" x14ac:dyDescent="0.25"/>
    <x:row r="2176" ht="11.45" customHeight="1" x14ac:dyDescent="0.25"/>
    <x:row r="2177" ht="11.45" customHeight="1" x14ac:dyDescent="0.25"/>
    <x:row r="2178" ht="11.45" customHeight="1" x14ac:dyDescent="0.25"/>
    <x:row r="2179" ht="11.45" customHeight="1" x14ac:dyDescent="0.25"/>
    <x:row r="2180" ht="11.45" customHeight="1" x14ac:dyDescent="0.25"/>
    <x:row r="2181" ht="11.45" customHeight="1" x14ac:dyDescent="0.25"/>
    <x:row r="2182" ht="11.45" customHeight="1" x14ac:dyDescent="0.25"/>
    <x:row r="2183" ht="11.45" customHeight="1" x14ac:dyDescent="0.25"/>
    <x:row r="2184" ht="11.45" customHeight="1" x14ac:dyDescent="0.25"/>
    <x:row r="2185" ht="11.45" customHeight="1" x14ac:dyDescent="0.25"/>
    <x:row r="2186" ht="11.45" customHeight="1" x14ac:dyDescent="0.25"/>
    <x:row r="2187" ht="11.45" customHeight="1" x14ac:dyDescent="0.25"/>
    <x:row r="2188" ht="11.45" customHeight="1" x14ac:dyDescent="0.25"/>
    <x:row r="2189" ht="11.45" customHeight="1" x14ac:dyDescent="0.25"/>
    <x:row r="2190" ht="11.45" customHeight="1" x14ac:dyDescent="0.25"/>
    <x:row r="2191" ht="11.45" customHeight="1" x14ac:dyDescent="0.25"/>
    <x:row r="2192" ht="11.45" customHeight="1" x14ac:dyDescent="0.25"/>
    <x:row r="2193" ht="11.45" customHeight="1" x14ac:dyDescent="0.25"/>
    <x:row r="2194" ht="11.45" customHeight="1" x14ac:dyDescent="0.25"/>
    <x:row r="2195" ht="11.45" customHeight="1" x14ac:dyDescent="0.25"/>
    <x:row r="2196" ht="11.45" customHeight="1" x14ac:dyDescent="0.25"/>
    <x:row r="2197" ht="11.45" customHeight="1" x14ac:dyDescent="0.25"/>
    <x:row r="2198" ht="11.45" customHeight="1" x14ac:dyDescent="0.25"/>
    <x:row r="2199" ht="11.45" customHeight="1" x14ac:dyDescent="0.25"/>
    <x:row r="2200" ht="11.45" customHeight="1" x14ac:dyDescent="0.25"/>
    <x:row r="2201" ht="11.45" customHeight="1" x14ac:dyDescent="0.25"/>
    <x:row r="2202" ht="11.45" customHeight="1" x14ac:dyDescent="0.25"/>
    <x:row r="2203" ht="11.45" customHeight="1" x14ac:dyDescent="0.25"/>
    <x:row r="2204" ht="11.45" customHeight="1" x14ac:dyDescent="0.25"/>
    <x:row r="2205" ht="11.45" customHeight="1" x14ac:dyDescent="0.25"/>
    <x:row r="2206" ht="11.45" customHeight="1" x14ac:dyDescent="0.25"/>
    <x:row r="2207" ht="11.45" customHeight="1" x14ac:dyDescent="0.25"/>
    <x:row r="2208" ht="11.45" customHeight="1" x14ac:dyDescent="0.25"/>
    <x:row r="2209" ht="11.45" customHeight="1" x14ac:dyDescent="0.25"/>
    <x:row r="2210" ht="11.45" customHeight="1" x14ac:dyDescent="0.25"/>
    <x:row r="2211" ht="11.45" customHeight="1" x14ac:dyDescent="0.25"/>
    <x:row r="2212" ht="11.45" customHeight="1" x14ac:dyDescent="0.25"/>
    <x:row r="2213" ht="11.45" customHeight="1" x14ac:dyDescent="0.25"/>
    <x:row r="2214" ht="11.45" customHeight="1" x14ac:dyDescent="0.25"/>
    <x:row r="2215" ht="11.45" customHeight="1" x14ac:dyDescent="0.25"/>
    <x:row r="2216" ht="11.45" customHeight="1" x14ac:dyDescent="0.25"/>
    <x:row r="2217" ht="11.45" customHeight="1" x14ac:dyDescent="0.25"/>
    <x:row r="2218" ht="11.45" customHeight="1" x14ac:dyDescent="0.25"/>
    <x:row r="2219" ht="11.45" customHeight="1" x14ac:dyDescent="0.25"/>
    <x:row r="2220" ht="11.45" customHeight="1" x14ac:dyDescent="0.25"/>
    <x:row r="2221" ht="11.45" customHeight="1" x14ac:dyDescent="0.25"/>
    <x:row r="2222" ht="11.45" customHeight="1" x14ac:dyDescent="0.25"/>
    <x:row r="2223" ht="11.45" customHeight="1" x14ac:dyDescent="0.25"/>
    <x:row r="2224" ht="11.45" customHeight="1" x14ac:dyDescent="0.25"/>
    <x:row r="2225" ht="11.45" customHeight="1" x14ac:dyDescent="0.25"/>
    <x:row r="2226" ht="11.45" customHeight="1" x14ac:dyDescent="0.25"/>
    <x:row r="2227" ht="11.45" customHeight="1" x14ac:dyDescent="0.25"/>
    <x:row r="2228" ht="11.45" customHeight="1" x14ac:dyDescent="0.25"/>
    <x:row r="2229" ht="11.45" customHeight="1" x14ac:dyDescent="0.25"/>
    <x:row r="2230" ht="11.45" customHeight="1" x14ac:dyDescent="0.25"/>
    <x:row r="2231" ht="11.45" customHeight="1" x14ac:dyDescent="0.25"/>
    <x:row r="2232" ht="11.45" customHeight="1" x14ac:dyDescent="0.25"/>
    <x:row r="2233" ht="11.45" customHeight="1" x14ac:dyDescent="0.25"/>
    <x:row r="2234" ht="11.45" customHeight="1" x14ac:dyDescent="0.25"/>
    <x:row r="2235" ht="11.45" customHeight="1" x14ac:dyDescent="0.25"/>
    <x:row r="2236" ht="11.45" customHeight="1" x14ac:dyDescent="0.25"/>
    <x:row r="2237" ht="11.45" customHeight="1" x14ac:dyDescent="0.25"/>
    <x:row r="2238" ht="11.45" customHeight="1" x14ac:dyDescent="0.25"/>
    <x:row r="2239" ht="11.45" customHeight="1" x14ac:dyDescent="0.25"/>
    <x:row r="2240" ht="11.45" customHeight="1" x14ac:dyDescent="0.25"/>
    <x:row r="2241" ht="11.45" customHeight="1" x14ac:dyDescent="0.25"/>
    <x:row r="2242" ht="11.45" customHeight="1" x14ac:dyDescent="0.25"/>
    <x:row r="2243" ht="11.45" customHeight="1" x14ac:dyDescent="0.25"/>
    <x:row r="2244" ht="11.45" customHeight="1" x14ac:dyDescent="0.25"/>
    <x:row r="2245" ht="11.45" customHeight="1" x14ac:dyDescent="0.25"/>
    <x:row r="2246" ht="11.45" customHeight="1" x14ac:dyDescent="0.25"/>
    <x:row r="2247" ht="11.45" customHeight="1" x14ac:dyDescent="0.25"/>
    <x:row r="2248" ht="11.45" customHeight="1" x14ac:dyDescent="0.25"/>
    <x:row r="2249" ht="11.45" customHeight="1" x14ac:dyDescent="0.25"/>
    <x:row r="2250" ht="11.45" customHeight="1" x14ac:dyDescent="0.25"/>
    <x:row r="2251" ht="11.45" customHeight="1" x14ac:dyDescent="0.25"/>
    <x:row r="2252" ht="11.45" customHeight="1" x14ac:dyDescent="0.25"/>
    <x:row r="2253" ht="11.45" customHeight="1" x14ac:dyDescent="0.25"/>
    <x:row r="2254" ht="11.45" customHeight="1" x14ac:dyDescent="0.25"/>
    <x:row r="2255" ht="11.45" customHeight="1" x14ac:dyDescent="0.25"/>
    <x:row r="2256" ht="11.45" customHeight="1" x14ac:dyDescent="0.25"/>
    <x:row r="2257" ht="11.45" customHeight="1" x14ac:dyDescent="0.25"/>
    <x:row r="2258" ht="11.45" customHeight="1" x14ac:dyDescent="0.25"/>
    <x:row r="2259" ht="11.45" customHeight="1" x14ac:dyDescent="0.25"/>
    <x:row r="2260" ht="11.45" customHeight="1" x14ac:dyDescent="0.25"/>
    <x:row r="2261" ht="11.45" customHeight="1" x14ac:dyDescent="0.25"/>
    <x:row r="2262" ht="11.45" customHeight="1" x14ac:dyDescent="0.25"/>
    <x:row r="2263" ht="11.45" customHeight="1" x14ac:dyDescent="0.25"/>
    <x:row r="2264" ht="11.45" customHeight="1" x14ac:dyDescent="0.25"/>
    <x:row r="2265" ht="11.45" customHeight="1" x14ac:dyDescent="0.25"/>
    <x:row r="2266" ht="11.45" customHeight="1" x14ac:dyDescent="0.25"/>
    <x:row r="2267" ht="11.45" customHeight="1" x14ac:dyDescent="0.25"/>
    <x:row r="2268" ht="11.45" customHeight="1" x14ac:dyDescent="0.25"/>
    <x:row r="2269" ht="11.45" customHeight="1" x14ac:dyDescent="0.25"/>
    <x:row r="2270" ht="11.45" customHeight="1" x14ac:dyDescent="0.25"/>
    <x:row r="2271" ht="11.45" customHeight="1" x14ac:dyDescent="0.25"/>
    <x:row r="2272" ht="11.45" customHeight="1" x14ac:dyDescent="0.25"/>
    <x:row r="2273" ht="11.45" customHeight="1" x14ac:dyDescent="0.25"/>
    <x:row r="2274" ht="11.45" customHeight="1" x14ac:dyDescent="0.25"/>
    <x:row r="2275" ht="11.45" customHeight="1" x14ac:dyDescent="0.25"/>
    <x:row r="2276" ht="11.45" customHeight="1" x14ac:dyDescent="0.25"/>
    <x:row r="2277" ht="11.45" customHeight="1" x14ac:dyDescent="0.25"/>
    <x:row r="2278" ht="11.45" customHeight="1" x14ac:dyDescent="0.25"/>
    <x:row r="2279" ht="11.45" customHeight="1" x14ac:dyDescent="0.25"/>
    <x:row r="2280" ht="11.45" customHeight="1" x14ac:dyDescent="0.25"/>
    <x:row r="2281" ht="11.45" customHeight="1" x14ac:dyDescent="0.25"/>
    <x:row r="2282" ht="11.45" customHeight="1" x14ac:dyDescent="0.25"/>
    <x:row r="2283" ht="11.45" customHeight="1" x14ac:dyDescent="0.25"/>
    <x:row r="2284" ht="11.45" customHeight="1" x14ac:dyDescent="0.25"/>
    <x:row r="2285" ht="11.45" customHeight="1" x14ac:dyDescent="0.25"/>
    <x:row r="2286" ht="11.45" customHeight="1" x14ac:dyDescent="0.25"/>
    <x:row r="2287" ht="11.45" customHeight="1" x14ac:dyDescent="0.25"/>
    <x:row r="2288" ht="11.45" customHeight="1" x14ac:dyDescent="0.25"/>
    <x:row r="2289" ht="11.45" customHeight="1" x14ac:dyDescent="0.25"/>
    <x:row r="2290" ht="11.45" customHeight="1" x14ac:dyDescent="0.25"/>
    <x:row r="2291" ht="11.45" customHeight="1" x14ac:dyDescent="0.25"/>
    <x:row r="2292" ht="11.45" customHeight="1" x14ac:dyDescent="0.25"/>
    <x:row r="2293" ht="11.45" customHeight="1" x14ac:dyDescent="0.25"/>
    <x:row r="2294" ht="11.45" customHeight="1" x14ac:dyDescent="0.25"/>
    <x:row r="2295" ht="11.45" customHeight="1" x14ac:dyDescent="0.25"/>
    <x:row r="2296" ht="11.45" customHeight="1" x14ac:dyDescent="0.25"/>
    <x:row r="2297" ht="11.45" customHeight="1" x14ac:dyDescent="0.25"/>
    <x:row r="2298" ht="11.45" customHeight="1" x14ac:dyDescent="0.25"/>
    <x:row r="2299" ht="11.45" customHeight="1" x14ac:dyDescent="0.25"/>
    <x:row r="2300" ht="11.45" customHeight="1" x14ac:dyDescent="0.25"/>
    <x:row r="2301" ht="11.45" customHeight="1" x14ac:dyDescent="0.25"/>
    <x:row r="2302" ht="11.45" customHeight="1" x14ac:dyDescent="0.25"/>
    <x:row r="2303" ht="11.45" customHeight="1" x14ac:dyDescent="0.25"/>
    <x:row r="2304" ht="11.45" customHeight="1" x14ac:dyDescent="0.25"/>
    <x:row r="2305" ht="11.45" customHeight="1" x14ac:dyDescent="0.25"/>
    <x:row r="2306" ht="11.45" customHeight="1" x14ac:dyDescent="0.25"/>
    <x:row r="2307" ht="11.45" customHeight="1" x14ac:dyDescent="0.25"/>
    <x:row r="2308" ht="11.45" customHeight="1" x14ac:dyDescent="0.25"/>
    <x:row r="2309" ht="11.45" customHeight="1" x14ac:dyDescent="0.25"/>
    <x:row r="2310" ht="11.45" customHeight="1" x14ac:dyDescent="0.25"/>
    <x:row r="2311" ht="11.45" customHeight="1" x14ac:dyDescent="0.25"/>
    <x:row r="2312" ht="11.45" customHeight="1" x14ac:dyDescent="0.25"/>
    <x:row r="2313" ht="11.45" customHeight="1" x14ac:dyDescent="0.25"/>
    <x:row r="2314" ht="11.45" customHeight="1" x14ac:dyDescent="0.25"/>
    <x:row r="2315" ht="11.45" customHeight="1" x14ac:dyDescent="0.25"/>
    <x:row r="2316" ht="11.45" customHeight="1" x14ac:dyDescent="0.25"/>
    <x:row r="2317" ht="11.45" customHeight="1" x14ac:dyDescent="0.25"/>
    <x:row r="2318" ht="11.45" customHeight="1" x14ac:dyDescent="0.25"/>
    <x:row r="2319" ht="11.45" customHeight="1" x14ac:dyDescent="0.25"/>
    <x:row r="2320" ht="11.45" customHeight="1" x14ac:dyDescent="0.25"/>
    <x:row r="2321" ht="11.45" customHeight="1" x14ac:dyDescent="0.25"/>
    <x:row r="2322" ht="11.45" customHeight="1" x14ac:dyDescent="0.25"/>
    <x:row r="2323" ht="11.45" customHeight="1" x14ac:dyDescent="0.25"/>
    <x:row r="2324" ht="11.45" customHeight="1" x14ac:dyDescent="0.25"/>
    <x:row r="2325" ht="11.45" customHeight="1" x14ac:dyDescent="0.25"/>
    <x:row r="2326" ht="11.45" customHeight="1" x14ac:dyDescent="0.25"/>
    <x:row r="2327" ht="11.45" customHeight="1" x14ac:dyDescent="0.25"/>
    <x:row r="2328" ht="11.45" customHeight="1" x14ac:dyDescent="0.25"/>
    <x:row r="2329" ht="11.45" customHeight="1" x14ac:dyDescent="0.25"/>
    <x:row r="2330" ht="11.45" customHeight="1" x14ac:dyDescent="0.25"/>
    <x:row r="2331" ht="11.45" customHeight="1" x14ac:dyDescent="0.25"/>
    <x:row r="2332" ht="11.45" customHeight="1" x14ac:dyDescent="0.25"/>
    <x:row r="2333" ht="11.45" customHeight="1" x14ac:dyDescent="0.25"/>
    <x:row r="2334" ht="11.45" customHeight="1" x14ac:dyDescent="0.25"/>
    <x:row r="2335" ht="11.45" customHeight="1" x14ac:dyDescent="0.25"/>
    <x:row r="2336" ht="11.45" customHeight="1" x14ac:dyDescent="0.25"/>
    <x:row r="2337" ht="11.45" customHeight="1" x14ac:dyDescent="0.25"/>
    <x:row r="2338" ht="11.45" customHeight="1" x14ac:dyDescent="0.25"/>
    <x:row r="2339" ht="11.45" customHeight="1" x14ac:dyDescent="0.25"/>
    <x:row r="2340" ht="11.45" customHeight="1" x14ac:dyDescent="0.25"/>
    <x:row r="2341" ht="11.45" customHeight="1" x14ac:dyDescent="0.25"/>
    <x:row r="2342" ht="11.45" customHeight="1" x14ac:dyDescent="0.25"/>
    <x:row r="2343" ht="11.45" customHeight="1" x14ac:dyDescent="0.25"/>
    <x:row r="2344" ht="11.45" customHeight="1" x14ac:dyDescent="0.25"/>
    <x:row r="2345" ht="11.45" customHeight="1" x14ac:dyDescent="0.25"/>
    <x:row r="2346" ht="11.45" customHeight="1" x14ac:dyDescent="0.25"/>
    <x:row r="2347" ht="11.45" customHeight="1" x14ac:dyDescent="0.25"/>
    <x:row r="2348" ht="11.45" customHeight="1" x14ac:dyDescent="0.25"/>
    <x:row r="2349" ht="11.45" customHeight="1" x14ac:dyDescent="0.25"/>
    <x:row r="2350" ht="11.45" customHeight="1" x14ac:dyDescent="0.25"/>
    <x:row r="2351" ht="11.45" customHeight="1" x14ac:dyDescent="0.25"/>
    <x:row r="2352" ht="11.45" customHeight="1" x14ac:dyDescent="0.25"/>
    <x:row r="2353" ht="11.45" customHeight="1" x14ac:dyDescent="0.25"/>
    <x:row r="2354" ht="11.45" customHeight="1" x14ac:dyDescent="0.25"/>
    <x:row r="2355" ht="11.45" customHeight="1" x14ac:dyDescent="0.25"/>
    <x:row r="2356" ht="11.45" customHeight="1" x14ac:dyDescent="0.25"/>
    <x:row r="2357" ht="11.45" customHeight="1" x14ac:dyDescent="0.25"/>
    <x:row r="2358" ht="11.45" customHeight="1" x14ac:dyDescent="0.25"/>
    <x:row r="2359" ht="11.45" customHeight="1" x14ac:dyDescent="0.25"/>
    <x:row r="2360" ht="11.45" customHeight="1" x14ac:dyDescent="0.25"/>
    <x:row r="2361" ht="11.45" customHeight="1" x14ac:dyDescent="0.25"/>
    <x:row r="2362" ht="11.45" customHeight="1" x14ac:dyDescent="0.25"/>
    <x:row r="2363" ht="11.45" customHeight="1" x14ac:dyDescent="0.25"/>
    <x:row r="2364" ht="11.45" customHeight="1" x14ac:dyDescent="0.25"/>
    <x:row r="2365" ht="11.45" customHeight="1" x14ac:dyDescent="0.25"/>
    <x:row r="2366" ht="11.45" customHeight="1" x14ac:dyDescent="0.25"/>
    <x:row r="2367" ht="11.45" customHeight="1" x14ac:dyDescent="0.25"/>
    <x:row r="2368" ht="11.45" customHeight="1" x14ac:dyDescent="0.25"/>
    <x:row r="2369" ht="11.45" customHeight="1" x14ac:dyDescent="0.25"/>
    <x:row r="2370" ht="11.45" customHeight="1" x14ac:dyDescent="0.25"/>
    <x:row r="2371" ht="11.45" customHeight="1" x14ac:dyDescent="0.25"/>
    <x:row r="2372" ht="11.45" customHeight="1" x14ac:dyDescent="0.25"/>
    <x:row r="2373" ht="11.45" customHeight="1" x14ac:dyDescent="0.25"/>
    <x:row r="2374" ht="11.45" customHeight="1" x14ac:dyDescent="0.25"/>
    <x:row r="2375" ht="11.45" customHeight="1" x14ac:dyDescent="0.25"/>
    <x:row r="2376" ht="11.45" customHeight="1" x14ac:dyDescent="0.25"/>
    <x:row r="2377" ht="11.45" customHeight="1" x14ac:dyDescent="0.25"/>
    <x:row r="2378" ht="11.45" customHeight="1" x14ac:dyDescent="0.25"/>
    <x:row r="2379" ht="11.45" customHeight="1" x14ac:dyDescent="0.25"/>
    <x:row r="2380" ht="11.45" customHeight="1" x14ac:dyDescent="0.25"/>
    <x:row r="2381" ht="11.45" customHeight="1" x14ac:dyDescent="0.25"/>
    <x:row r="2382" ht="11.45" customHeight="1" x14ac:dyDescent="0.25"/>
    <x:row r="2383" ht="11.45" customHeight="1" x14ac:dyDescent="0.25"/>
    <x:row r="2384" ht="11.45" customHeight="1" x14ac:dyDescent="0.25"/>
    <x:row r="2385" ht="11.45" customHeight="1" x14ac:dyDescent="0.25"/>
    <x:row r="2386" ht="11.45" customHeight="1" x14ac:dyDescent="0.25"/>
    <x:row r="2387" ht="11.45" customHeight="1" x14ac:dyDescent="0.25"/>
    <x:row r="2388" ht="11.45" customHeight="1" x14ac:dyDescent="0.25"/>
    <x:row r="2389" ht="11.45" customHeight="1" x14ac:dyDescent="0.25"/>
    <x:row r="2390" ht="11.45" customHeight="1" x14ac:dyDescent="0.25"/>
    <x:row r="2391" ht="11.45" customHeight="1" x14ac:dyDescent="0.25"/>
    <x:row r="2392" ht="11.45" customHeight="1" x14ac:dyDescent="0.25"/>
    <x:row r="2393" ht="11.45" customHeight="1" x14ac:dyDescent="0.25"/>
    <x:row r="2394" ht="11.45" customHeight="1" x14ac:dyDescent="0.25"/>
    <x:row r="2395" ht="11.45" customHeight="1" x14ac:dyDescent="0.25"/>
    <x:row r="2396" ht="11.45" customHeight="1" x14ac:dyDescent="0.25"/>
    <x:row r="2397" ht="11.45" customHeight="1" x14ac:dyDescent="0.25"/>
    <x:row r="2398" ht="11.45" customHeight="1" x14ac:dyDescent="0.25"/>
    <x:row r="2399" ht="11.45" customHeight="1" x14ac:dyDescent="0.25"/>
    <x:row r="2400" ht="11.45" customHeight="1" x14ac:dyDescent="0.25"/>
    <x:row r="2401" ht="11.45" customHeight="1" x14ac:dyDescent="0.25"/>
    <x:row r="2402" ht="11.45" customHeight="1" x14ac:dyDescent="0.25"/>
    <x:row r="2403" ht="11.45" customHeight="1" x14ac:dyDescent="0.25"/>
    <x:row r="2404" ht="11.45" customHeight="1" x14ac:dyDescent="0.25"/>
    <x:row r="2405" ht="11.45" customHeight="1" x14ac:dyDescent="0.25"/>
    <x:row r="2406" ht="11.45" customHeight="1" x14ac:dyDescent="0.25"/>
    <x:row r="2407" ht="11.45" customHeight="1" x14ac:dyDescent="0.25"/>
    <x:row r="2408" ht="11.45" customHeight="1" x14ac:dyDescent="0.25"/>
    <x:row r="2409" ht="11.45" customHeight="1" x14ac:dyDescent="0.25"/>
    <x:row r="2410" ht="11.45" customHeight="1" x14ac:dyDescent="0.25"/>
    <x:row r="2411" ht="11.45" customHeight="1" x14ac:dyDescent="0.25"/>
    <x:row r="2412" ht="11.45" customHeight="1" x14ac:dyDescent="0.25"/>
    <x:row r="2413" ht="11.45" customHeight="1" x14ac:dyDescent="0.25"/>
    <x:row r="2414" ht="11.45" customHeight="1" x14ac:dyDescent="0.25"/>
    <x:row r="2415" ht="11.45" customHeight="1" x14ac:dyDescent="0.25"/>
    <x:row r="2416" ht="11.45" customHeight="1" x14ac:dyDescent="0.25"/>
    <x:row r="2417" ht="11.45" customHeight="1" x14ac:dyDescent="0.25"/>
    <x:row r="2418" ht="11.45" customHeight="1" x14ac:dyDescent="0.25"/>
    <x:row r="2419" ht="11.45" customHeight="1" x14ac:dyDescent="0.25"/>
    <x:row r="2420" ht="11.45" customHeight="1" x14ac:dyDescent="0.25"/>
    <x:row r="2421" ht="11.45" customHeight="1" x14ac:dyDescent="0.25"/>
    <x:row r="2422" ht="11.45" customHeight="1" x14ac:dyDescent="0.25"/>
    <x:row r="2423" ht="11.45" customHeight="1" x14ac:dyDescent="0.25"/>
    <x:row r="2424" ht="11.45" customHeight="1" x14ac:dyDescent="0.25"/>
    <x:row r="2425" ht="11.45" customHeight="1" x14ac:dyDescent="0.25"/>
    <x:row r="2426" ht="11.45" customHeight="1" x14ac:dyDescent="0.25"/>
    <x:row r="2427" ht="11.45" customHeight="1" x14ac:dyDescent="0.25"/>
    <x:row r="2428" ht="11.45" customHeight="1" x14ac:dyDescent="0.25"/>
    <x:row r="2429" ht="11.45" customHeight="1" x14ac:dyDescent="0.25"/>
    <x:row r="2430" ht="11.45" customHeight="1" x14ac:dyDescent="0.25"/>
    <x:row r="2431" ht="11.45" customHeight="1" x14ac:dyDescent="0.25"/>
    <x:row r="2432" ht="11.45" customHeight="1" x14ac:dyDescent="0.25"/>
    <x:row r="2433" ht="11.45" customHeight="1" x14ac:dyDescent="0.25"/>
    <x:row r="2434" ht="11.45" customHeight="1" x14ac:dyDescent="0.25"/>
    <x:row r="2435" ht="11.45" customHeight="1" x14ac:dyDescent="0.25"/>
    <x:row r="2436" ht="11.45" customHeight="1" x14ac:dyDescent="0.25"/>
    <x:row r="2437" ht="11.45" customHeight="1" x14ac:dyDescent="0.25"/>
    <x:row r="2438" ht="11.45" customHeight="1" x14ac:dyDescent="0.25"/>
    <x:row r="2439" ht="11.45" customHeight="1" x14ac:dyDescent="0.25"/>
    <x:row r="2440" ht="11.45" customHeight="1" x14ac:dyDescent="0.25"/>
    <x:row r="2441" ht="11.45" customHeight="1" x14ac:dyDescent="0.25"/>
    <x:row r="2442" ht="11.45" customHeight="1" x14ac:dyDescent="0.25"/>
    <x:row r="2443" ht="11.45" customHeight="1" x14ac:dyDescent="0.25"/>
    <x:row r="2444" ht="11.45" customHeight="1" x14ac:dyDescent="0.25"/>
    <x:row r="2445" ht="11.45" customHeight="1" x14ac:dyDescent="0.25"/>
    <x:row r="2446" ht="11.45" customHeight="1" x14ac:dyDescent="0.25"/>
    <x:row r="2447" ht="11.45" customHeight="1" x14ac:dyDescent="0.25"/>
    <x:row r="2448" ht="11.45" customHeight="1" x14ac:dyDescent="0.25"/>
    <x:row r="2449" ht="11.45" customHeight="1" x14ac:dyDescent="0.25"/>
    <x:row r="2450" ht="11.45" customHeight="1" x14ac:dyDescent="0.25"/>
    <x:row r="2451" ht="11.45" customHeight="1" x14ac:dyDescent="0.25"/>
    <x:row r="2452" ht="11.45" customHeight="1" x14ac:dyDescent="0.25"/>
    <x:row r="2453" ht="11.45" customHeight="1" x14ac:dyDescent="0.25"/>
    <x:row r="2454" ht="11.45" customHeight="1" x14ac:dyDescent="0.25"/>
    <x:row r="2455" ht="11.45" customHeight="1" x14ac:dyDescent="0.25"/>
    <x:row r="2456" ht="11.45" customHeight="1" x14ac:dyDescent="0.25"/>
    <x:row r="2457" ht="11.45" customHeight="1" x14ac:dyDescent="0.25"/>
    <x:row r="2458" ht="11.45" customHeight="1" x14ac:dyDescent="0.25"/>
    <x:row r="2459" ht="11.45" customHeight="1" x14ac:dyDescent="0.25"/>
    <x:row r="2460" ht="11.45" customHeight="1" x14ac:dyDescent="0.25"/>
    <x:row r="2461" ht="11.45" customHeight="1" x14ac:dyDescent="0.25"/>
    <x:row r="2462" ht="11.45" customHeight="1" x14ac:dyDescent="0.25"/>
    <x:row r="2463" ht="11.45" customHeight="1" x14ac:dyDescent="0.25"/>
    <x:row r="2464" ht="11.45" customHeight="1" x14ac:dyDescent="0.25"/>
    <x:row r="2465" ht="11.45" customHeight="1" x14ac:dyDescent="0.25"/>
    <x:row r="2466" ht="11.45" customHeight="1" x14ac:dyDescent="0.25"/>
    <x:row r="2467" ht="11.45" customHeight="1" x14ac:dyDescent="0.25"/>
    <x:row r="2468" ht="11.45" customHeight="1" x14ac:dyDescent="0.25"/>
    <x:row r="2469" ht="11.45" customHeight="1" x14ac:dyDescent="0.25"/>
    <x:row r="2470" ht="11.45" customHeight="1" x14ac:dyDescent="0.25"/>
    <x:row r="2471" ht="11.45" customHeight="1" x14ac:dyDescent="0.25"/>
    <x:row r="2472" ht="11.45" customHeight="1" x14ac:dyDescent="0.25"/>
    <x:row r="2473" ht="11.45" customHeight="1" x14ac:dyDescent="0.25"/>
    <x:row r="2474" ht="11.45" customHeight="1" x14ac:dyDescent="0.25"/>
    <x:row r="2475" ht="11.45" customHeight="1" x14ac:dyDescent="0.25"/>
    <x:row r="2476" ht="11.45" customHeight="1" x14ac:dyDescent="0.25"/>
    <x:row r="2477" ht="11.45" customHeight="1" x14ac:dyDescent="0.25"/>
    <x:row r="2478" ht="11.45" customHeight="1" x14ac:dyDescent="0.25"/>
    <x:row r="2479" ht="11.45" customHeight="1" x14ac:dyDescent="0.25"/>
    <x:row r="2480" ht="11.45" customHeight="1" x14ac:dyDescent="0.25"/>
    <x:row r="2481" ht="11.45" customHeight="1" x14ac:dyDescent="0.25"/>
    <x:row r="2482" ht="11.45" customHeight="1" x14ac:dyDescent="0.25"/>
    <x:row r="2483" ht="11.45" customHeight="1" x14ac:dyDescent="0.25"/>
    <x:row r="2484" ht="11.45" customHeight="1" x14ac:dyDescent="0.25"/>
    <x:row r="2485" ht="11.45" customHeight="1" x14ac:dyDescent="0.25"/>
    <x:row r="2486" ht="11.45" customHeight="1" x14ac:dyDescent="0.25"/>
    <x:row r="2487" ht="11.45" customHeight="1" x14ac:dyDescent="0.25"/>
    <x:row r="2488" ht="11.45" customHeight="1" x14ac:dyDescent="0.25"/>
    <x:row r="2489" ht="11.45" customHeight="1" x14ac:dyDescent="0.25"/>
    <x:row r="2490" ht="11.45" customHeight="1" x14ac:dyDescent="0.25"/>
    <x:row r="2491" ht="11.45" customHeight="1" x14ac:dyDescent="0.25"/>
    <x:row r="2492" ht="11.45" customHeight="1" x14ac:dyDescent="0.25"/>
    <x:row r="2493" ht="11.45" customHeight="1" x14ac:dyDescent="0.25"/>
    <x:row r="2494" ht="11.45" customHeight="1" x14ac:dyDescent="0.25"/>
    <x:row r="2495" ht="11.45" customHeight="1" x14ac:dyDescent="0.25"/>
    <x:row r="2496" ht="11.45" customHeight="1" x14ac:dyDescent="0.25"/>
    <x:row r="2497" ht="11.45" customHeight="1" x14ac:dyDescent="0.25"/>
    <x:row r="2498" ht="11.45" customHeight="1" x14ac:dyDescent="0.25"/>
    <x:row r="2499" ht="11.45" customHeight="1" x14ac:dyDescent="0.25"/>
    <x:row r="2500" ht="11.45" customHeight="1" x14ac:dyDescent="0.25"/>
    <x:row r="2501" ht="11.45" customHeight="1" x14ac:dyDescent="0.25"/>
    <x:row r="2502" ht="11.45" customHeight="1" x14ac:dyDescent="0.25"/>
    <x:row r="2503" ht="11.45" customHeight="1" x14ac:dyDescent="0.25"/>
    <x:row r="2504" ht="11.45" customHeight="1" x14ac:dyDescent="0.25"/>
    <x:row r="2505" ht="11.45" customHeight="1" x14ac:dyDescent="0.25"/>
    <x:row r="2506" ht="11.45" customHeight="1" x14ac:dyDescent="0.25"/>
    <x:row r="2507" ht="11.45" customHeight="1" x14ac:dyDescent="0.25"/>
    <x:row r="2508" ht="11.45" customHeight="1" x14ac:dyDescent="0.25"/>
    <x:row r="2509" ht="11.45" customHeight="1" x14ac:dyDescent="0.25"/>
    <x:row r="2510" ht="11.45" customHeight="1" x14ac:dyDescent="0.25"/>
    <x:row r="2511" ht="11.45" customHeight="1" x14ac:dyDescent="0.25"/>
    <x:row r="2512" ht="11.45" customHeight="1" x14ac:dyDescent="0.25"/>
    <x:row r="2513" ht="11.45" customHeight="1" x14ac:dyDescent="0.25"/>
    <x:row r="2514" ht="11.45" customHeight="1" x14ac:dyDescent="0.25"/>
    <x:row r="2515" ht="11.45" customHeight="1" x14ac:dyDescent="0.25"/>
    <x:row r="2516" ht="11.45" customHeight="1" x14ac:dyDescent="0.25"/>
    <x:row r="2517" ht="11.45" customHeight="1" x14ac:dyDescent="0.25"/>
    <x:row r="2518" ht="11.45" customHeight="1" x14ac:dyDescent="0.25"/>
    <x:row r="2519" ht="11.45" customHeight="1" x14ac:dyDescent="0.25"/>
    <x:row r="2520" ht="11.45" customHeight="1" x14ac:dyDescent="0.25"/>
    <x:row r="2521" ht="11.45" customHeight="1" x14ac:dyDescent="0.25"/>
    <x:row r="2522" ht="11.45" customHeight="1" x14ac:dyDescent="0.25"/>
    <x:row r="2523" ht="11.45" customHeight="1" x14ac:dyDescent="0.25"/>
    <x:row r="2524" ht="11.45" customHeight="1" x14ac:dyDescent="0.25"/>
    <x:row r="2525" ht="11.45" customHeight="1" x14ac:dyDescent="0.25"/>
    <x:row r="2526" ht="11.45" customHeight="1" x14ac:dyDescent="0.25"/>
    <x:row r="2527" ht="11.45" customHeight="1" x14ac:dyDescent="0.25"/>
    <x:row r="2528" ht="11.45" customHeight="1" x14ac:dyDescent="0.25"/>
    <x:row r="2529" ht="11.45" customHeight="1" x14ac:dyDescent="0.25"/>
    <x:row r="2530" ht="11.45" customHeight="1" x14ac:dyDescent="0.25"/>
    <x:row r="2531" ht="11.45" customHeight="1" x14ac:dyDescent="0.25"/>
    <x:row r="2532" ht="11.45" customHeight="1" x14ac:dyDescent="0.25"/>
    <x:row r="2533" ht="11.45" customHeight="1" x14ac:dyDescent="0.25"/>
    <x:row r="2534" ht="11.45" customHeight="1" x14ac:dyDescent="0.25"/>
    <x:row r="2535" ht="11.45" customHeight="1" x14ac:dyDescent="0.25"/>
    <x:row r="2536" ht="11.45" customHeight="1" x14ac:dyDescent="0.25"/>
    <x:row r="2537" ht="11.45" customHeight="1" x14ac:dyDescent="0.25"/>
    <x:row r="2538" ht="11.45" customHeight="1" x14ac:dyDescent="0.25"/>
    <x:row r="2539" ht="11.45" customHeight="1" x14ac:dyDescent="0.25"/>
    <x:row r="2540" ht="11.45" customHeight="1" x14ac:dyDescent="0.25"/>
    <x:row r="2541" ht="11.45" customHeight="1" x14ac:dyDescent="0.25"/>
    <x:row r="2542" ht="11.45" customHeight="1" x14ac:dyDescent="0.25"/>
    <x:row r="2543" ht="11.45" customHeight="1" x14ac:dyDescent="0.25"/>
    <x:row r="2544" ht="11.45" customHeight="1" x14ac:dyDescent="0.25"/>
    <x:row r="2545" ht="11.45" customHeight="1" x14ac:dyDescent="0.25"/>
    <x:row r="2546" ht="11.45" customHeight="1" x14ac:dyDescent="0.25"/>
    <x:row r="2547" ht="11.45" customHeight="1" x14ac:dyDescent="0.25"/>
    <x:row r="2548" ht="11.45" customHeight="1" x14ac:dyDescent="0.25"/>
    <x:row r="2549" ht="11.45" customHeight="1" x14ac:dyDescent="0.25"/>
    <x:row r="2550" ht="11.45" customHeight="1" x14ac:dyDescent="0.25"/>
    <x:row r="2551" ht="11.45" customHeight="1" x14ac:dyDescent="0.25"/>
    <x:row r="2552" ht="11.45" customHeight="1" x14ac:dyDescent="0.25"/>
    <x:row r="2553" ht="11.45" customHeight="1" x14ac:dyDescent="0.25"/>
    <x:row r="2554" ht="11.45" customHeight="1" x14ac:dyDescent="0.25"/>
    <x:row r="2555" ht="11.45" customHeight="1" x14ac:dyDescent="0.25"/>
    <x:row r="2556" ht="11.45" customHeight="1" x14ac:dyDescent="0.25"/>
    <x:row r="2557" ht="11.45" customHeight="1" x14ac:dyDescent="0.25"/>
    <x:row r="2558" ht="11.45" customHeight="1" x14ac:dyDescent="0.25"/>
    <x:row r="2559" ht="11.45" customHeight="1" x14ac:dyDescent="0.25"/>
    <x:row r="2560" ht="11.45" customHeight="1" x14ac:dyDescent="0.25"/>
    <x:row r="2561" ht="11.45" customHeight="1" x14ac:dyDescent="0.25"/>
    <x:row r="2562" ht="11.45" customHeight="1" x14ac:dyDescent="0.25"/>
    <x:row r="2563" ht="11.45" customHeight="1" x14ac:dyDescent="0.25"/>
    <x:row r="2564" ht="11.45" customHeight="1" x14ac:dyDescent="0.25"/>
    <x:row r="2565" ht="11.45" customHeight="1" x14ac:dyDescent="0.25"/>
    <x:row r="2566" ht="11.45" customHeight="1" x14ac:dyDescent="0.25"/>
    <x:row r="2567" ht="11.45" customHeight="1" x14ac:dyDescent="0.25"/>
    <x:row r="2568" ht="11.45" customHeight="1" x14ac:dyDescent="0.25"/>
    <x:row r="2569" ht="11.45" customHeight="1" x14ac:dyDescent="0.25"/>
    <x:row r="2570" ht="11.45" customHeight="1" x14ac:dyDescent="0.25"/>
    <x:row r="2571" ht="11.45" customHeight="1" x14ac:dyDescent="0.25"/>
    <x:row r="2572" ht="11.45" customHeight="1" x14ac:dyDescent="0.25"/>
    <x:row r="2573" ht="11.45" customHeight="1" x14ac:dyDescent="0.25"/>
    <x:row r="2574" ht="11.45" customHeight="1" x14ac:dyDescent="0.25"/>
    <x:row r="2575" ht="11.45" customHeight="1" x14ac:dyDescent="0.25"/>
    <x:row r="2576" ht="11.45" customHeight="1" x14ac:dyDescent="0.25"/>
    <x:row r="2577" ht="11.45" customHeight="1" x14ac:dyDescent="0.25"/>
    <x:row r="2578" ht="11.45" customHeight="1" x14ac:dyDescent="0.25"/>
    <x:row r="2579" ht="11.45" customHeight="1" x14ac:dyDescent="0.25"/>
    <x:row r="2580" ht="11.45" customHeight="1" x14ac:dyDescent="0.25"/>
    <x:row r="2581" ht="11.45" customHeight="1" x14ac:dyDescent="0.25"/>
    <x:row r="2582" ht="11.45" customHeight="1" x14ac:dyDescent="0.25"/>
    <x:row r="2583" ht="11.45" customHeight="1" x14ac:dyDescent="0.25"/>
    <x:row r="2584" ht="11.45" customHeight="1" x14ac:dyDescent="0.25"/>
    <x:row r="2585" ht="11.45" customHeight="1" x14ac:dyDescent="0.25"/>
    <x:row r="2586" ht="11.45" customHeight="1" x14ac:dyDescent="0.25"/>
    <x:row r="2587" ht="11.45" customHeight="1" x14ac:dyDescent="0.25"/>
    <x:row r="2588" ht="11.45" customHeight="1" x14ac:dyDescent="0.25"/>
    <x:row r="2589" ht="11.45" customHeight="1" x14ac:dyDescent="0.25"/>
    <x:row r="2590" ht="11.45" customHeight="1" x14ac:dyDescent="0.25"/>
    <x:row r="2591" ht="11.45" customHeight="1" x14ac:dyDescent="0.25"/>
    <x:row r="2592" ht="11.45" customHeight="1" x14ac:dyDescent="0.25"/>
    <x:row r="2593" ht="11.45" customHeight="1" x14ac:dyDescent="0.25"/>
    <x:row r="2594" ht="11.45" customHeight="1" x14ac:dyDescent="0.25"/>
    <x:row r="2595" ht="11.45" customHeight="1" x14ac:dyDescent="0.25"/>
    <x:row r="2596" ht="11.45" customHeight="1" x14ac:dyDescent="0.25"/>
    <x:row r="2597" ht="11.45" customHeight="1" x14ac:dyDescent="0.25"/>
    <x:row r="2598" ht="11.45" customHeight="1" x14ac:dyDescent="0.25"/>
    <x:row r="2599" ht="11.45" customHeight="1" x14ac:dyDescent="0.25"/>
    <x:row r="2600" ht="11.45" customHeight="1" x14ac:dyDescent="0.25"/>
    <x:row r="2601" ht="11.45" customHeight="1" x14ac:dyDescent="0.25"/>
    <x:row r="2602" ht="11.45" customHeight="1" x14ac:dyDescent="0.25"/>
    <x:row r="2603" ht="11.45" customHeight="1" x14ac:dyDescent="0.25"/>
    <x:row r="2604" ht="11.45" customHeight="1" x14ac:dyDescent="0.25"/>
    <x:row r="2605" ht="11.45" customHeight="1" x14ac:dyDescent="0.25"/>
    <x:row r="2606" ht="11.45" customHeight="1" x14ac:dyDescent="0.25"/>
    <x:row r="2607" ht="11.45" customHeight="1" x14ac:dyDescent="0.25"/>
    <x:row r="2608" ht="11.45" customHeight="1" x14ac:dyDescent="0.25"/>
    <x:row r="2609" ht="11.45" customHeight="1" x14ac:dyDescent="0.25"/>
    <x:row r="2610" ht="11.45" customHeight="1" x14ac:dyDescent="0.25"/>
    <x:row r="2611" ht="11.45" customHeight="1" x14ac:dyDescent="0.25"/>
    <x:row r="2612" ht="11.45" customHeight="1" x14ac:dyDescent="0.25"/>
    <x:row r="2613" ht="11.45" customHeight="1" x14ac:dyDescent="0.25"/>
    <x:row r="2614" ht="11.45" customHeight="1" x14ac:dyDescent="0.25"/>
    <x:row r="2615" ht="11.45" customHeight="1" x14ac:dyDescent="0.25"/>
    <x:row r="2616" ht="11.45" customHeight="1" x14ac:dyDescent="0.25"/>
    <x:row r="2617" ht="11.45" customHeight="1" x14ac:dyDescent="0.25"/>
    <x:row r="2618" ht="11.45" customHeight="1" x14ac:dyDescent="0.25"/>
    <x:row r="2619" ht="11.45" customHeight="1" x14ac:dyDescent="0.25"/>
    <x:row r="2620" ht="11.45" customHeight="1" x14ac:dyDescent="0.25"/>
    <x:row r="2621" ht="11.45" customHeight="1" x14ac:dyDescent="0.25"/>
    <x:row r="2622" ht="11.45" customHeight="1" x14ac:dyDescent="0.25"/>
    <x:row r="2623" ht="11.45" customHeight="1" x14ac:dyDescent="0.25"/>
    <x:row r="2624" ht="11.45" customHeight="1" x14ac:dyDescent="0.25"/>
    <x:row r="2625" ht="11.45" customHeight="1" x14ac:dyDescent="0.25"/>
    <x:row r="2626" ht="11.45" customHeight="1" x14ac:dyDescent="0.25"/>
    <x:row r="2627" ht="11.45" customHeight="1" x14ac:dyDescent="0.25"/>
    <x:row r="2628" ht="11.45" customHeight="1" x14ac:dyDescent="0.25"/>
    <x:row r="2629" ht="11.45" customHeight="1" x14ac:dyDescent="0.25"/>
    <x:row r="2630" ht="11.45" customHeight="1" x14ac:dyDescent="0.25"/>
    <x:row r="2631" ht="11.45" customHeight="1" x14ac:dyDescent="0.25"/>
    <x:row r="2632" ht="11.45" customHeight="1" x14ac:dyDescent="0.25"/>
    <x:row r="2633" ht="11.45" customHeight="1" x14ac:dyDescent="0.25"/>
    <x:row r="2634" ht="11.45" customHeight="1" x14ac:dyDescent="0.25"/>
    <x:row r="2635" ht="11.45" customHeight="1" x14ac:dyDescent="0.25"/>
    <x:row r="2636" ht="11.45" customHeight="1" x14ac:dyDescent="0.25"/>
    <x:row r="2637" ht="11.45" customHeight="1" x14ac:dyDescent="0.25"/>
    <x:row r="2638" ht="11.45" customHeight="1" x14ac:dyDescent="0.25"/>
    <x:row r="2639" ht="11.45" customHeight="1" x14ac:dyDescent="0.25"/>
    <x:row r="2640" ht="11.45" customHeight="1" x14ac:dyDescent="0.25"/>
    <x:row r="2641" ht="11.45" customHeight="1" x14ac:dyDescent="0.25"/>
    <x:row r="2642" ht="11.45" customHeight="1" x14ac:dyDescent="0.25"/>
    <x:row r="2643" ht="11.45" customHeight="1" x14ac:dyDescent="0.25"/>
    <x:row r="2644" ht="11.45" customHeight="1" x14ac:dyDescent="0.25"/>
    <x:row r="2645" ht="11.45" customHeight="1" x14ac:dyDescent="0.25"/>
    <x:row r="2646" ht="11.45" customHeight="1" x14ac:dyDescent="0.25"/>
    <x:row r="2647" ht="11.45" customHeight="1" x14ac:dyDescent="0.25"/>
    <x:row r="2648" ht="11.45" customHeight="1" x14ac:dyDescent="0.25"/>
    <x:row r="2649" ht="11.45" customHeight="1" x14ac:dyDescent="0.25"/>
    <x:row r="2650" ht="11.45" customHeight="1" x14ac:dyDescent="0.25"/>
    <x:row r="2651" ht="11.45" customHeight="1" x14ac:dyDescent="0.25"/>
    <x:row r="2652" ht="11.45" customHeight="1" x14ac:dyDescent="0.25"/>
    <x:row r="2653" ht="11.45" customHeight="1" x14ac:dyDescent="0.25"/>
    <x:row r="2654" ht="11.45" customHeight="1" x14ac:dyDescent="0.25"/>
    <x:row r="2655" ht="11.45" customHeight="1" x14ac:dyDescent="0.25"/>
    <x:row r="2656" ht="11.45" customHeight="1" x14ac:dyDescent="0.25"/>
    <x:row r="2657" ht="11.45" customHeight="1" x14ac:dyDescent="0.25"/>
    <x:row r="2658" ht="11.45" customHeight="1" x14ac:dyDescent="0.25"/>
    <x:row r="2659" ht="11.45" customHeight="1" x14ac:dyDescent="0.25"/>
    <x:row r="2660" ht="11.45" customHeight="1" x14ac:dyDescent="0.25"/>
    <x:row r="2661" ht="11.45" customHeight="1" x14ac:dyDescent="0.25"/>
    <x:row r="2662" ht="11.45" customHeight="1" x14ac:dyDescent="0.25"/>
    <x:row r="2663" ht="11.45" customHeight="1" x14ac:dyDescent="0.25"/>
    <x:row r="2664" ht="11.45" customHeight="1" x14ac:dyDescent="0.25"/>
    <x:row r="2665" ht="11.45" customHeight="1" x14ac:dyDescent="0.25"/>
    <x:row r="2666" ht="11.45" customHeight="1" x14ac:dyDescent="0.25"/>
    <x:row r="2667" ht="11.45" customHeight="1" x14ac:dyDescent="0.25"/>
    <x:row r="2668" ht="11.45" customHeight="1" x14ac:dyDescent="0.25"/>
    <x:row r="2669" ht="11.45" customHeight="1" x14ac:dyDescent="0.25"/>
    <x:row r="2670" ht="11.45" customHeight="1" x14ac:dyDescent="0.25"/>
    <x:row r="2671" ht="11.45" customHeight="1" x14ac:dyDescent="0.25"/>
    <x:row r="2672" ht="11.45" customHeight="1" x14ac:dyDescent="0.25"/>
    <x:row r="2673" ht="11.45" customHeight="1" x14ac:dyDescent="0.25"/>
    <x:row r="2674" ht="11.45" customHeight="1" x14ac:dyDescent="0.25"/>
    <x:row r="2675" ht="11.45" customHeight="1" x14ac:dyDescent="0.25"/>
    <x:row r="2676" ht="11.45" customHeight="1" x14ac:dyDescent="0.25"/>
    <x:row r="2677" ht="11.45" customHeight="1" x14ac:dyDescent="0.25"/>
    <x:row r="2678" ht="11.45" customHeight="1" x14ac:dyDescent="0.25"/>
    <x:row r="2679" ht="11.45" customHeight="1" x14ac:dyDescent="0.25"/>
    <x:row r="2680" ht="11.45" customHeight="1" x14ac:dyDescent="0.25"/>
    <x:row r="2681" ht="11.45" customHeight="1" x14ac:dyDescent="0.25"/>
    <x:row r="2682" ht="11.45" customHeight="1" x14ac:dyDescent="0.25"/>
    <x:row r="2683" ht="11.45" customHeight="1" x14ac:dyDescent="0.25"/>
    <x:row r="2684" ht="11.45" customHeight="1" x14ac:dyDescent="0.25"/>
    <x:row r="2685" ht="11.45" customHeight="1" x14ac:dyDescent="0.25"/>
    <x:row r="2686" ht="11.45" customHeight="1" x14ac:dyDescent="0.25"/>
    <x:row r="2687" ht="11.45" customHeight="1" x14ac:dyDescent="0.25"/>
    <x:row r="2688" ht="11.45" customHeight="1" x14ac:dyDescent="0.25"/>
    <x:row r="2689" ht="11.45" customHeight="1" x14ac:dyDescent="0.25"/>
    <x:row r="2690" ht="11.45" customHeight="1" x14ac:dyDescent="0.25"/>
    <x:row r="2691" ht="11.45" customHeight="1" x14ac:dyDescent="0.25"/>
    <x:row r="2692" ht="11.45" customHeight="1" x14ac:dyDescent="0.25"/>
    <x:row r="2693" ht="11.45" customHeight="1" x14ac:dyDescent="0.25"/>
    <x:row r="2694" ht="11.45" customHeight="1" x14ac:dyDescent="0.25"/>
    <x:row r="2695" ht="11.45" customHeight="1" x14ac:dyDescent="0.25"/>
    <x:row r="2696" ht="11.45" customHeight="1" x14ac:dyDescent="0.25"/>
    <x:row r="2697" ht="11.45" customHeight="1" x14ac:dyDescent="0.25"/>
    <x:row r="2698" ht="11.45" customHeight="1" x14ac:dyDescent="0.25"/>
    <x:row r="2699" ht="11.45" customHeight="1" x14ac:dyDescent="0.25"/>
    <x:row r="2700" ht="11.45" customHeight="1" x14ac:dyDescent="0.25"/>
    <x:row r="2701" ht="11.45" customHeight="1" x14ac:dyDescent="0.25"/>
    <x:row r="2702" ht="11.45" customHeight="1" x14ac:dyDescent="0.25"/>
    <x:row r="2703" ht="11.45" customHeight="1" x14ac:dyDescent="0.25"/>
    <x:row r="2704" ht="11.45" customHeight="1" x14ac:dyDescent="0.25"/>
    <x:row r="2705" ht="11.45" customHeight="1" x14ac:dyDescent="0.25"/>
    <x:row r="2706" ht="11.45" customHeight="1" x14ac:dyDescent="0.25"/>
    <x:row r="2707" ht="11.45" customHeight="1" x14ac:dyDescent="0.25"/>
    <x:row r="2708" ht="11.45" customHeight="1" x14ac:dyDescent="0.25"/>
    <x:row r="2709" ht="11.45" customHeight="1" x14ac:dyDescent="0.25"/>
    <x:row r="2710" ht="11.45" customHeight="1" x14ac:dyDescent="0.25"/>
    <x:row r="2711" ht="11.45" customHeight="1" x14ac:dyDescent="0.25"/>
    <x:row r="2712" ht="11.45" customHeight="1" x14ac:dyDescent="0.25"/>
    <x:row r="2713" ht="11.45" customHeight="1" x14ac:dyDescent="0.25"/>
    <x:row r="2714" ht="11.45" customHeight="1" x14ac:dyDescent="0.25"/>
    <x:row r="2715" ht="11.45" customHeight="1" x14ac:dyDescent="0.25"/>
    <x:row r="2716" ht="11.45" customHeight="1" x14ac:dyDescent="0.25"/>
    <x:row r="2717" ht="11.45" customHeight="1" x14ac:dyDescent="0.25"/>
    <x:row r="2718" ht="11.45" customHeight="1" x14ac:dyDescent="0.25"/>
    <x:row r="2719" ht="11.45" customHeight="1" x14ac:dyDescent="0.25"/>
    <x:row r="2720" ht="11.45" customHeight="1" x14ac:dyDescent="0.25"/>
    <x:row r="2721" ht="11.45" customHeight="1" x14ac:dyDescent="0.25"/>
    <x:row r="2722" ht="11.45" customHeight="1" x14ac:dyDescent="0.25"/>
    <x:row r="2723" ht="11.45" customHeight="1" x14ac:dyDescent="0.25"/>
    <x:row r="2724" ht="11.45" customHeight="1" x14ac:dyDescent="0.25"/>
    <x:row r="2725" ht="11.45" customHeight="1" x14ac:dyDescent="0.25"/>
    <x:row r="2726" ht="11.45" customHeight="1" x14ac:dyDescent="0.25"/>
    <x:row r="2727" ht="11.45" customHeight="1" x14ac:dyDescent="0.25"/>
    <x:row r="2728" ht="11.45" customHeight="1" x14ac:dyDescent="0.25"/>
    <x:row r="2729" ht="11.45" customHeight="1" x14ac:dyDescent="0.25"/>
    <x:row r="2730" ht="11.45" customHeight="1" x14ac:dyDescent="0.25"/>
    <x:row r="2731" ht="11.45" customHeight="1" x14ac:dyDescent="0.25"/>
    <x:row r="2732" ht="11.45" customHeight="1" x14ac:dyDescent="0.25"/>
    <x:row r="2733" ht="11.45" customHeight="1" x14ac:dyDescent="0.25"/>
    <x:row r="2734" ht="11.45" customHeight="1" x14ac:dyDescent="0.25"/>
    <x:row r="2735" ht="11.45" customHeight="1" x14ac:dyDescent="0.25"/>
    <x:row r="2736" ht="11.45" customHeight="1" x14ac:dyDescent="0.25"/>
    <x:row r="2737" ht="11.45" customHeight="1" x14ac:dyDescent="0.25"/>
    <x:row r="2738" ht="11.45" customHeight="1" x14ac:dyDescent="0.25"/>
    <x:row r="2739" ht="11.45" customHeight="1" x14ac:dyDescent="0.25"/>
    <x:row r="2740" ht="11.45" customHeight="1" x14ac:dyDescent="0.25"/>
    <x:row r="2741" ht="11.45" customHeight="1" x14ac:dyDescent="0.25"/>
    <x:row r="2742" ht="11.45" customHeight="1" x14ac:dyDescent="0.25"/>
    <x:row r="2743" ht="11.45" customHeight="1" x14ac:dyDescent="0.25"/>
    <x:row r="2744" ht="11.45" customHeight="1" x14ac:dyDescent="0.25"/>
    <x:row r="2745" ht="11.45" customHeight="1" x14ac:dyDescent="0.25"/>
    <x:row r="2746" ht="11.45" customHeight="1" x14ac:dyDescent="0.25"/>
    <x:row r="2747" ht="11.45" customHeight="1" x14ac:dyDescent="0.25"/>
    <x:row r="2748" ht="11.45" customHeight="1" x14ac:dyDescent="0.25"/>
    <x:row r="2749" ht="11.45" customHeight="1" x14ac:dyDescent="0.25"/>
    <x:row r="2750" ht="11.45" customHeight="1" x14ac:dyDescent="0.25"/>
    <x:row r="2751" ht="11.45" customHeight="1" x14ac:dyDescent="0.25"/>
    <x:row r="2752" ht="11.45" customHeight="1" x14ac:dyDescent="0.25"/>
    <x:row r="2753" ht="11.45" customHeight="1" x14ac:dyDescent="0.25"/>
    <x:row r="2754" ht="11.45" customHeight="1" x14ac:dyDescent="0.25"/>
    <x:row r="2755" ht="11.45" customHeight="1" x14ac:dyDescent="0.25"/>
    <x:row r="2756" ht="11.45" customHeight="1" x14ac:dyDescent="0.25"/>
    <x:row r="2757" ht="11.45" customHeight="1" x14ac:dyDescent="0.25"/>
    <x:row r="2758" ht="11.45" customHeight="1" x14ac:dyDescent="0.25"/>
    <x:row r="2759" ht="11.45" customHeight="1" x14ac:dyDescent="0.25"/>
    <x:row r="2760" ht="11.45" customHeight="1" x14ac:dyDescent="0.25"/>
    <x:row r="2761" ht="11.45" customHeight="1" x14ac:dyDescent="0.25"/>
    <x:row r="2762" ht="11.45" customHeight="1" x14ac:dyDescent="0.25"/>
    <x:row r="2763" ht="11.45" customHeight="1" x14ac:dyDescent="0.25"/>
    <x:row r="2764" ht="11.45" customHeight="1" x14ac:dyDescent="0.25"/>
    <x:row r="2765" ht="11.45" customHeight="1" x14ac:dyDescent="0.25"/>
    <x:row r="2766" ht="11.45" customHeight="1" x14ac:dyDescent="0.25"/>
    <x:row r="2767" ht="11.45" customHeight="1" x14ac:dyDescent="0.25"/>
    <x:row r="2768" ht="11.45" customHeight="1" x14ac:dyDescent="0.25"/>
    <x:row r="2769" ht="11.45" customHeight="1" x14ac:dyDescent="0.25"/>
    <x:row r="2770" ht="11.45" customHeight="1" x14ac:dyDescent="0.25"/>
    <x:row r="2771" ht="11.45" customHeight="1" x14ac:dyDescent="0.25"/>
    <x:row r="2772" ht="11.45" customHeight="1" x14ac:dyDescent="0.25"/>
    <x:row r="2773" ht="11.45" customHeight="1" x14ac:dyDescent="0.25"/>
    <x:row r="2774" ht="11.45" customHeight="1" x14ac:dyDescent="0.25"/>
    <x:row r="2775" ht="11.45" customHeight="1" x14ac:dyDescent="0.25"/>
    <x:row r="2776" ht="11.45" customHeight="1" x14ac:dyDescent="0.25"/>
    <x:row r="2777" ht="11.45" customHeight="1" x14ac:dyDescent="0.25"/>
    <x:row r="2778" ht="11.45" customHeight="1" x14ac:dyDescent="0.25"/>
    <x:row r="2779" ht="11.45" customHeight="1" x14ac:dyDescent="0.25"/>
    <x:row r="2780" ht="11.45" customHeight="1" x14ac:dyDescent="0.25"/>
    <x:row r="2781" ht="11.45" customHeight="1" x14ac:dyDescent="0.25"/>
    <x:row r="2782" ht="11.45" customHeight="1" x14ac:dyDescent="0.25"/>
    <x:row r="2783" ht="11.45" customHeight="1" x14ac:dyDescent="0.25"/>
    <x:row r="2784" ht="11.45" customHeight="1" x14ac:dyDescent="0.25"/>
    <x:row r="2785" ht="11.45" customHeight="1" x14ac:dyDescent="0.25"/>
    <x:row r="2786" ht="11.45" customHeight="1" x14ac:dyDescent="0.25"/>
    <x:row r="2787" ht="11.45" customHeight="1" x14ac:dyDescent="0.25"/>
    <x:row r="2788" ht="11.45" customHeight="1" x14ac:dyDescent="0.25"/>
    <x:row r="2789" ht="11.45" customHeight="1" x14ac:dyDescent="0.25"/>
    <x:row r="2790" ht="11.45" customHeight="1" x14ac:dyDescent="0.25"/>
    <x:row r="2791" ht="11.45" customHeight="1" x14ac:dyDescent="0.25"/>
    <x:row r="2792" ht="11.45" customHeight="1" x14ac:dyDescent="0.25"/>
    <x:row r="2793" ht="11.45" customHeight="1" x14ac:dyDescent="0.25"/>
    <x:row r="2794" ht="11.45" customHeight="1" x14ac:dyDescent="0.25"/>
    <x:row r="2795" ht="11.45" customHeight="1" x14ac:dyDescent="0.25"/>
    <x:row r="2796" ht="11.45" customHeight="1" x14ac:dyDescent="0.25"/>
    <x:row r="2797" ht="11.45" customHeight="1" x14ac:dyDescent="0.25"/>
    <x:row r="2798" ht="11.45" customHeight="1" x14ac:dyDescent="0.25"/>
    <x:row r="2799" ht="11.45" customHeight="1" x14ac:dyDescent="0.25"/>
    <x:row r="2800" ht="11.45" customHeight="1" x14ac:dyDescent="0.25"/>
    <x:row r="2801" ht="11.45" customHeight="1" x14ac:dyDescent="0.25"/>
    <x:row r="2802" ht="11.45" customHeight="1" x14ac:dyDescent="0.25"/>
    <x:row r="2803" ht="11.45" customHeight="1" x14ac:dyDescent="0.25"/>
    <x:row r="2804" ht="11.45" customHeight="1" x14ac:dyDescent="0.25"/>
    <x:row r="2805" ht="11.45" customHeight="1" x14ac:dyDescent="0.25"/>
    <x:row r="2806" ht="11.45" customHeight="1" x14ac:dyDescent="0.25"/>
    <x:row r="2807" ht="11.45" customHeight="1" x14ac:dyDescent="0.25"/>
    <x:row r="2808" ht="11.45" customHeight="1" x14ac:dyDescent="0.25"/>
    <x:row r="2809" ht="11.45" customHeight="1" x14ac:dyDescent="0.25"/>
    <x:row r="2810" ht="11.45" customHeight="1" x14ac:dyDescent="0.25"/>
    <x:row r="2811" ht="11.45" customHeight="1" x14ac:dyDescent="0.25"/>
    <x:row r="2812" ht="11.45" customHeight="1" x14ac:dyDescent="0.25"/>
    <x:row r="2813" ht="11.45" customHeight="1" x14ac:dyDescent="0.25"/>
    <x:row r="2814" ht="11.45" customHeight="1" x14ac:dyDescent="0.25"/>
    <x:row r="2815" ht="11.45" customHeight="1" x14ac:dyDescent="0.25"/>
    <x:row r="2816" ht="11.45" customHeight="1" x14ac:dyDescent="0.25"/>
    <x:row r="2817" ht="11.45" customHeight="1" x14ac:dyDescent="0.25"/>
    <x:row r="2818" ht="11.45" customHeight="1" x14ac:dyDescent="0.25"/>
    <x:row r="2819" ht="11.45" customHeight="1" x14ac:dyDescent="0.25"/>
    <x:row r="2820" ht="11.45" customHeight="1" x14ac:dyDescent="0.25"/>
    <x:row r="2821" ht="11.45" customHeight="1" x14ac:dyDescent="0.25"/>
    <x:row r="2822" ht="11.45" customHeight="1" x14ac:dyDescent="0.25"/>
    <x:row r="2823" ht="11.45" customHeight="1" x14ac:dyDescent="0.25"/>
    <x:row r="2824" ht="11.45" customHeight="1" x14ac:dyDescent="0.25"/>
    <x:row r="2825" ht="11.45" customHeight="1" x14ac:dyDescent="0.25"/>
    <x:row r="2826" ht="11.45" customHeight="1" x14ac:dyDescent="0.25"/>
    <x:row r="2827" ht="11.45" customHeight="1" x14ac:dyDescent="0.25"/>
    <x:row r="2828" ht="11.45" customHeight="1" x14ac:dyDescent="0.25"/>
    <x:row r="2829" ht="11.45" customHeight="1" x14ac:dyDescent="0.25"/>
    <x:row r="2830" ht="11.45" customHeight="1" x14ac:dyDescent="0.25"/>
    <x:row r="2831" ht="11.45" customHeight="1" x14ac:dyDescent="0.25"/>
    <x:row r="2832" ht="11.45" customHeight="1" x14ac:dyDescent="0.25"/>
    <x:row r="2833" ht="11.45" customHeight="1" x14ac:dyDescent="0.25"/>
    <x:row r="2834" ht="11.45" customHeight="1" x14ac:dyDescent="0.25"/>
    <x:row r="2835" ht="11.45" customHeight="1" x14ac:dyDescent="0.25"/>
    <x:row r="2836" ht="11.45" customHeight="1" x14ac:dyDescent="0.25"/>
    <x:row r="2837" ht="11.45" customHeight="1" x14ac:dyDescent="0.25"/>
    <x:row r="2838" ht="11.45" customHeight="1" x14ac:dyDescent="0.25"/>
    <x:row r="2839" ht="11.45" customHeight="1" x14ac:dyDescent="0.25"/>
    <x:row r="2840" ht="11.45" customHeight="1" x14ac:dyDescent="0.25"/>
    <x:row r="2841" ht="11.45" customHeight="1" x14ac:dyDescent="0.25"/>
    <x:row r="2842" ht="11.45" customHeight="1" x14ac:dyDescent="0.25"/>
    <x:row r="2843" ht="11.45" customHeight="1" x14ac:dyDescent="0.25"/>
    <x:row r="2844" ht="11.45" customHeight="1" x14ac:dyDescent="0.25"/>
    <x:row r="2845" ht="11.45" customHeight="1" x14ac:dyDescent="0.25"/>
    <x:row r="2846" ht="11.45" customHeight="1" x14ac:dyDescent="0.25"/>
    <x:row r="2847" ht="11.45" customHeight="1" x14ac:dyDescent="0.25"/>
    <x:row r="2848" ht="11.45" customHeight="1" x14ac:dyDescent="0.25"/>
    <x:row r="2849" ht="11.45" customHeight="1" x14ac:dyDescent="0.25"/>
    <x:row r="2850" ht="11.45" customHeight="1" x14ac:dyDescent="0.25"/>
    <x:row r="2851" ht="11.45" customHeight="1" x14ac:dyDescent="0.25"/>
    <x:row r="2852" ht="11.45" customHeight="1" x14ac:dyDescent="0.25"/>
    <x:row r="2853" ht="11.45" customHeight="1" x14ac:dyDescent="0.25"/>
    <x:row r="2854" ht="11.45" customHeight="1" x14ac:dyDescent="0.25"/>
    <x:row r="2855" ht="11.45" customHeight="1" x14ac:dyDescent="0.25"/>
    <x:row r="2856" ht="11.45" customHeight="1" x14ac:dyDescent="0.25"/>
    <x:row r="2857" ht="11.45" customHeight="1" x14ac:dyDescent="0.25"/>
    <x:row r="2858" ht="11.45" customHeight="1" x14ac:dyDescent="0.25"/>
    <x:row r="2859" ht="11.45" customHeight="1" x14ac:dyDescent="0.25"/>
    <x:row r="2860" ht="11.45" customHeight="1" x14ac:dyDescent="0.25"/>
    <x:row r="2861" ht="11.45" customHeight="1" x14ac:dyDescent="0.25"/>
    <x:row r="2862" ht="11.45" customHeight="1" x14ac:dyDescent="0.25"/>
    <x:row r="2863" ht="11.45" customHeight="1" x14ac:dyDescent="0.25"/>
    <x:row r="2864" ht="11.45" customHeight="1" x14ac:dyDescent="0.25"/>
    <x:row r="2865" ht="11.45" customHeight="1" x14ac:dyDescent="0.25"/>
    <x:row r="2866" ht="11.45" customHeight="1" x14ac:dyDescent="0.25"/>
    <x:row r="2867" ht="11.45" customHeight="1" x14ac:dyDescent="0.25"/>
    <x:row r="2868" ht="11.45" customHeight="1" x14ac:dyDescent="0.25"/>
    <x:row r="2869" ht="11.45" customHeight="1" x14ac:dyDescent="0.25"/>
    <x:row r="2870" ht="11.45" customHeight="1" x14ac:dyDescent="0.25"/>
    <x:row r="2871" ht="11.45" customHeight="1" x14ac:dyDescent="0.25"/>
    <x:row r="2872" ht="11.45" customHeight="1" x14ac:dyDescent="0.25"/>
    <x:row r="2873" ht="11.45" customHeight="1" x14ac:dyDescent="0.25"/>
    <x:row r="2874" ht="11.45" customHeight="1" x14ac:dyDescent="0.25"/>
    <x:row r="2875" ht="11.45" customHeight="1" x14ac:dyDescent="0.25"/>
    <x:row r="2876" ht="11.45" customHeight="1" x14ac:dyDescent="0.25"/>
    <x:row r="2877" ht="11.45" customHeight="1" x14ac:dyDescent="0.25"/>
    <x:row r="2878" ht="11.45" customHeight="1" x14ac:dyDescent="0.25"/>
    <x:row r="2879" ht="11.45" customHeight="1" x14ac:dyDescent="0.25"/>
    <x:row r="2880" ht="11.45" customHeight="1" x14ac:dyDescent="0.25"/>
    <x:row r="2881" ht="11.45" customHeight="1" x14ac:dyDescent="0.25"/>
    <x:row r="2882" ht="11.45" customHeight="1" x14ac:dyDescent="0.25"/>
    <x:row r="2883" ht="11.45" customHeight="1" x14ac:dyDescent="0.25"/>
    <x:row r="2884" ht="11.45" customHeight="1" x14ac:dyDescent="0.25"/>
    <x:row r="2885" ht="11.45" customHeight="1" x14ac:dyDescent="0.25"/>
    <x:row r="2886" ht="11.45" customHeight="1" x14ac:dyDescent="0.25"/>
    <x:row r="2887" ht="11.45" customHeight="1" x14ac:dyDescent="0.25"/>
    <x:row r="2888" ht="11.45" customHeight="1" x14ac:dyDescent="0.25"/>
    <x:row r="2889" ht="11.45" customHeight="1" x14ac:dyDescent="0.25"/>
    <x:row r="2890" ht="11.45" customHeight="1" x14ac:dyDescent="0.25"/>
    <x:row r="2891" ht="11.45" customHeight="1" x14ac:dyDescent="0.25"/>
    <x:row r="2892" ht="11.45" customHeight="1" x14ac:dyDescent="0.25"/>
    <x:row r="2893" ht="11.45" customHeight="1" x14ac:dyDescent="0.25"/>
    <x:row r="2894" ht="11.45" customHeight="1" x14ac:dyDescent="0.25"/>
    <x:row r="2895" ht="11.45" customHeight="1" x14ac:dyDescent="0.25"/>
    <x:row r="2896" ht="11.45" customHeight="1" x14ac:dyDescent="0.25"/>
    <x:row r="2897" ht="11.45" customHeight="1" x14ac:dyDescent="0.25"/>
    <x:row r="2898" ht="11.45" customHeight="1" x14ac:dyDescent="0.25"/>
    <x:row r="2899" ht="11.45" customHeight="1" x14ac:dyDescent="0.25"/>
    <x:row r="2900" ht="11.45" customHeight="1" x14ac:dyDescent="0.25"/>
    <x:row r="2901" ht="11.45" customHeight="1" x14ac:dyDescent="0.25"/>
    <x:row r="2902" ht="11.45" customHeight="1" x14ac:dyDescent="0.25"/>
    <x:row r="2903" ht="11.45" customHeight="1" x14ac:dyDescent="0.25"/>
    <x:row r="2904" ht="11.45" customHeight="1" x14ac:dyDescent="0.25"/>
    <x:row r="2905" ht="11.45" customHeight="1" x14ac:dyDescent="0.25"/>
    <x:row r="2906" ht="11.45" customHeight="1" x14ac:dyDescent="0.25"/>
    <x:row r="2907" ht="11.45" customHeight="1" x14ac:dyDescent="0.25"/>
    <x:row r="2908" ht="11.45" customHeight="1" x14ac:dyDescent="0.25"/>
    <x:row r="2909" ht="11.45" customHeight="1" x14ac:dyDescent="0.25"/>
    <x:row r="2910" ht="11.45" customHeight="1" x14ac:dyDescent="0.25"/>
    <x:row r="2911" ht="11.45" customHeight="1" x14ac:dyDescent="0.25"/>
    <x:row r="2912" ht="11.45" customHeight="1" x14ac:dyDescent="0.25"/>
    <x:row r="2913" ht="11.45" customHeight="1" x14ac:dyDescent="0.25"/>
    <x:row r="2914" ht="11.45" customHeight="1" x14ac:dyDescent="0.25"/>
    <x:row r="2915" ht="11.45" customHeight="1" x14ac:dyDescent="0.25"/>
    <x:row r="2916" ht="11.45" customHeight="1" x14ac:dyDescent="0.25"/>
    <x:row r="2917" ht="11.45" customHeight="1" x14ac:dyDescent="0.25"/>
    <x:row r="2918" ht="11.45" customHeight="1" x14ac:dyDescent="0.25"/>
    <x:row r="2919" ht="11.45" customHeight="1" x14ac:dyDescent="0.25"/>
    <x:row r="2920" ht="11.45" customHeight="1" x14ac:dyDescent="0.25"/>
    <x:row r="2921" ht="11.45" customHeight="1" x14ac:dyDescent="0.25"/>
    <x:row r="2922" ht="11.45" customHeight="1" x14ac:dyDescent="0.25"/>
    <x:row r="2923" ht="11.45" customHeight="1" x14ac:dyDescent="0.25"/>
    <x:row r="2924" ht="11.45" customHeight="1" x14ac:dyDescent="0.25"/>
    <x:row r="2925" ht="11.45" customHeight="1" x14ac:dyDescent="0.25"/>
    <x:row r="2926" ht="11.45" customHeight="1" x14ac:dyDescent="0.25"/>
    <x:row r="2927" ht="11.45" customHeight="1" x14ac:dyDescent="0.25"/>
    <x:row r="2928" ht="11.45" customHeight="1" x14ac:dyDescent="0.25"/>
    <x:row r="2929" ht="11.45" customHeight="1" x14ac:dyDescent="0.25"/>
    <x:row r="2930" ht="11.45" customHeight="1" x14ac:dyDescent="0.25"/>
    <x:row r="2931" ht="11.45" customHeight="1" x14ac:dyDescent="0.25"/>
    <x:row r="2932" ht="11.45" customHeight="1" x14ac:dyDescent="0.25"/>
    <x:row r="2933" ht="11.45" customHeight="1" x14ac:dyDescent="0.25"/>
    <x:row r="2934" ht="11.45" customHeight="1" x14ac:dyDescent="0.25"/>
    <x:row r="2935" ht="11.45" customHeight="1" x14ac:dyDescent="0.25"/>
    <x:row r="2936" ht="11.45" customHeight="1" x14ac:dyDescent="0.25"/>
    <x:row r="2937" ht="11.45" customHeight="1" x14ac:dyDescent="0.25"/>
    <x:row r="2938" ht="11.45" customHeight="1" x14ac:dyDescent="0.25"/>
    <x:row r="2939" ht="11.45" customHeight="1" x14ac:dyDescent="0.25"/>
    <x:row r="2940" ht="11.45" customHeight="1" x14ac:dyDescent="0.25"/>
    <x:row r="2941" ht="11.45" customHeight="1" x14ac:dyDescent="0.25"/>
    <x:row r="2942" ht="11.45" customHeight="1" x14ac:dyDescent="0.25"/>
    <x:row r="2943" ht="11.45" customHeight="1" x14ac:dyDescent="0.25"/>
    <x:row r="2944" ht="11.45" customHeight="1" x14ac:dyDescent="0.25"/>
    <x:row r="2945" ht="11.45" customHeight="1" x14ac:dyDescent="0.25"/>
    <x:row r="2946" ht="11.45" customHeight="1" x14ac:dyDescent="0.25"/>
    <x:row r="2947" ht="11.45" customHeight="1" x14ac:dyDescent="0.25"/>
    <x:row r="2948" ht="11.45" customHeight="1" x14ac:dyDescent="0.25"/>
    <x:row r="2949" ht="11.45" customHeight="1" x14ac:dyDescent="0.25"/>
    <x:row r="2950" ht="11.45" customHeight="1" x14ac:dyDescent="0.25"/>
    <x:row r="2951" ht="11.45" customHeight="1" x14ac:dyDescent="0.25"/>
    <x:row r="2952" ht="11.45" customHeight="1" x14ac:dyDescent="0.25"/>
    <x:row r="2953" ht="11.45" customHeight="1" x14ac:dyDescent="0.25"/>
    <x:row r="2954" ht="11.45" customHeight="1" x14ac:dyDescent="0.25"/>
    <x:row r="2955" ht="11.45" customHeight="1" x14ac:dyDescent="0.25"/>
    <x:row r="2956" ht="11.45" customHeight="1" x14ac:dyDescent="0.25"/>
    <x:row r="2957" ht="11.45" customHeight="1" x14ac:dyDescent="0.25"/>
    <x:row r="2958" ht="11.45" customHeight="1" x14ac:dyDescent="0.25"/>
    <x:row r="2959" ht="11.45" customHeight="1" x14ac:dyDescent="0.25"/>
    <x:row r="2960" ht="11.45" customHeight="1" x14ac:dyDescent="0.25"/>
    <x:row r="2961" ht="11.45" customHeight="1" x14ac:dyDescent="0.25"/>
    <x:row r="2962" ht="11.45" customHeight="1" x14ac:dyDescent="0.25"/>
    <x:row r="2963" ht="11.45" customHeight="1" x14ac:dyDescent="0.25"/>
    <x:row r="2964" ht="11.45" customHeight="1" x14ac:dyDescent="0.25"/>
    <x:row r="2965" ht="11.45" customHeight="1" x14ac:dyDescent="0.25"/>
    <x:row r="2966" ht="11.45" customHeight="1" x14ac:dyDescent="0.25"/>
    <x:row r="2967" ht="11.45" customHeight="1" x14ac:dyDescent="0.25"/>
    <x:row r="2968" ht="11.45" customHeight="1" x14ac:dyDescent="0.25"/>
    <x:row r="2969" ht="11.45" customHeight="1" x14ac:dyDescent="0.25"/>
    <x:row r="2970" ht="11.45" customHeight="1" x14ac:dyDescent="0.25"/>
    <x:row r="2971" ht="11.45" customHeight="1" x14ac:dyDescent="0.25"/>
    <x:row r="2972" ht="11.45" customHeight="1" x14ac:dyDescent="0.25"/>
    <x:row r="2973" ht="11.45" customHeight="1" x14ac:dyDescent="0.25"/>
    <x:row r="2974" ht="11.45" customHeight="1" x14ac:dyDescent="0.25"/>
    <x:row r="2975" ht="11.45" customHeight="1" x14ac:dyDescent="0.25"/>
    <x:row r="2976" ht="11.45" customHeight="1" x14ac:dyDescent="0.25"/>
    <x:row r="2977" ht="11.45" customHeight="1" x14ac:dyDescent="0.25"/>
    <x:row r="2978" ht="11.45" customHeight="1" x14ac:dyDescent="0.25"/>
    <x:row r="2979" ht="11.45" customHeight="1" x14ac:dyDescent="0.25"/>
    <x:row r="2980" ht="11.45" customHeight="1" x14ac:dyDescent="0.25"/>
    <x:row r="2981" ht="11.45" customHeight="1" x14ac:dyDescent="0.25"/>
    <x:row r="2982" ht="11.45" customHeight="1" x14ac:dyDescent="0.25"/>
    <x:row r="2983" ht="11.45" customHeight="1" x14ac:dyDescent="0.25"/>
    <x:row r="2984" ht="11.45" customHeight="1" x14ac:dyDescent="0.25"/>
    <x:row r="2985" ht="11.45" customHeight="1" x14ac:dyDescent="0.25"/>
    <x:row r="2986" ht="11.45" customHeight="1" x14ac:dyDescent="0.25"/>
    <x:row r="2987" ht="11.45" customHeight="1" x14ac:dyDescent="0.25"/>
    <x:row r="2988" ht="11.45" customHeight="1" x14ac:dyDescent="0.25"/>
    <x:row r="2989" ht="11.45" customHeight="1" x14ac:dyDescent="0.25"/>
    <x:row r="2990" ht="11.45" customHeight="1" x14ac:dyDescent="0.25"/>
    <x:row r="2991" ht="11.45" customHeight="1" x14ac:dyDescent="0.25"/>
    <x:row r="2992" ht="11.45" customHeight="1" x14ac:dyDescent="0.25"/>
    <x:row r="2993" ht="11.45" customHeight="1" x14ac:dyDescent="0.25"/>
    <x:row r="2994" ht="11.45" customHeight="1" x14ac:dyDescent="0.25"/>
  </x:sheetData>
  <x:autoFilter ref="A1:E948"/>
  <x:conditionalFormatting sqref="A1:A949">
    <x:cfRule type="duplicateValues" dxfId="0" priority="1"/>
  </x:conditionalFormatting>
  <x:conditionalFormatting sqref="A1:A948">
    <x:cfRule type="duplicateValues" dxfId="0" priority="2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L37"/>
  <x:sheetViews>
    <x:sheetView workbookViewId="0">
      <x:pane xSplit="2" ySplit="3" topLeftCell="C4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8.855469" style="5" customWidth="1"/>
    <x:col min="2" max="2" width="18.140625" style="5" customWidth="1"/>
    <x:col min="3" max="3" width="9" style="5" customWidth="1"/>
    <x:col min="4" max="4" width="10.425781" style="5" customWidth="1"/>
    <x:col min="5" max="5" width="10.570312" style="5" customWidth="1"/>
    <x:col min="6" max="7" width="9.140625" style="0" customWidth="1"/>
    <x:col min="8" max="8" width="9.710938" style="0" customWidth="1"/>
    <x:col min="9" max="10" width="9.140625" style="0" customWidth="1"/>
    <x:col min="11" max="11" width="9.855469" style="0" customWidth="1"/>
    <x:col min="12" max="13" width="9.140625" style="0" customWidth="1"/>
    <x:col min="14" max="14" width="10.140625" style="0" customWidth="1"/>
    <x:col min="15" max="16" width="9.140625" style="0" customWidth="1"/>
    <x:col min="17" max="17" width="9.710938" style="0" customWidth="1"/>
    <x:col min="18" max="19" width="9.140625" style="0" customWidth="1"/>
    <x:col min="20" max="20" width="10" style="0" customWidth="1"/>
    <x:col min="21" max="22" width="9.140625" style="0" customWidth="1"/>
    <x:col min="23" max="23" width="9.710938" style="0" customWidth="1"/>
    <x:col min="24" max="25" width="9.140625" style="0" customWidth="1"/>
    <x:col min="26" max="26" width="10.285156" style="0" customWidth="1"/>
    <x:col min="27" max="28" width="9.140625" style="0" customWidth="1"/>
    <x:col min="29" max="29" width="9.855469" style="0" customWidth="1"/>
    <x:col min="30" max="31" width="9.140625" style="0" customWidth="1"/>
    <x:col min="32" max="32" width="9.710938" style="0" customWidth="1"/>
    <x:col min="33" max="34" width="9.140625" style="0" customWidth="1"/>
    <x:col min="35" max="35" width="9.855469" style="0" customWidth="1"/>
    <x:col min="36" max="37" width="9.140625" style="0" customWidth="1"/>
    <x:col min="38" max="38" width="9.570312" style="0" customWidth="1"/>
  </x:cols>
  <x:sheetData>
    <x:row r="1" spans="1:38" x14ac:dyDescent="0.25">
      <x:c r="A1" s="557" t="s">
        <x:v>1045</x:v>
      </x:c>
      <x:c r="B1" s="221"/>
      <x:c r="C1" s="5">
        <x:v>2026</x:v>
      </x:c>
    </x:row>
    <x:row r="2" spans="1:38" x14ac:dyDescent="0.25">
      <x:c r="A2" s="558" t="s">
        <x:v>1046</x:v>
      </x:c>
      <x:c r="B2" s="221"/>
      <x:c r="C2" s="477" t="s">
        <x:v>1047</x:v>
      </x:c>
      <x:c r="D2" s="478"/>
      <x:c r="E2" s="221"/>
      <x:c r="F2" s="477" t="s">
        <x:v>1048</x:v>
      </x:c>
      <x:c r="G2" s="478"/>
      <x:c r="H2" s="221"/>
      <x:c r="I2" s="477" t="s">
        <x:v>1049</x:v>
      </x:c>
      <x:c r="J2" s="478"/>
      <x:c r="K2" s="221"/>
      <x:c r="L2" s="477" t="s">
        <x:v>1050</x:v>
      </x:c>
      <x:c r="M2" s="478"/>
      <x:c r="N2" s="221"/>
      <x:c r="O2" s="477" t="s">
        <x:v>1051</x:v>
      </x:c>
      <x:c r="P2" s="478"/>
      <x:c r="Q2" s="221"/>
      <x:c r="R2" s="477" t="s">
        <x:v>1052</x:v>
      </x:c>
      <x:c r="S2" s="478"/>
      <x:c r="T2" s="221"/>
      <x:c r="U2" s="477" t="s">
        <x:v>1053</x:v>
      </x:c>
      <x:c r="V2" s="478"/>
      <x:c r="W2" s="221"/>
      <x:c r="X2" s="477" t="s">
        <x:v>1054</x:v>
      </x:c>
      <x:c r="Y2" s="478"/>
      <x:c r="Z2" s="221"/>
      <x:c r="AA2" s="477" t="s">
        <x:v>1055</x:v>
      </x:c>
      <x:c r="AB2" s="478"/>
      <x:c r="AC2" s="221"/>
      <x:c r="AD2" s="477" t="s">
        <x:v>1056</x:v>
      </x:c>
      <x:c r="AE2" s="478"/>
      <x:c r="AF2" s="221"/>
      <x:c r="AG2" s="477" t="s">
        <x:v>1057</x:v>
      </x:c>
      <x:c r="AH2" s="478"/>
      <x:c r="AI2" s="221"/>
      <x:c r="AJ2" s="477" t="s">
        <x:v>1058</x:v>
      </x:c>
      <x:c r="AK2" s="478"/>
      <x:c r="AL2" s="221"/>
    </x:row>
    <x:row r="3" spans="1:38" ht="45" customHeight="1" x14ac:dyDescent="0.25">
      <x:c r="A3" s="487" t="s">
        <x:v>1059</x:v>
      </x:c>
      <x:c r="B3" s="221"/>
      <x:c r="C3" s="6" t="s">
        <x:v>1060</x:v>
      </x:c>
      <x:c r="D3" s="6" t="s">
        <x:v>1061</x:v>
      </x:c>
      <x:c r="E3" s="6" t="s">
        <x:v>1062</x:v>
      </x:c>
      <x:c r="F3" s="6" t="s">
        <x:v>1060</x:v>
      </x:c>
      <x:c r="G3" s="6" t="s">
        <x:v>1061</x:v>
      </x:c>
      <x:c r="H3" s="6" t="s">
        <x:v>1062</x:v>
      </x:c>
      <x:c r="I3" s="6" t="s">
        <x:v>1060</x:v>
      </x:c>
      <x:c r="J3" s="6" t="s">
        <x:v>1061</x:v>
      </x:c>
      <x:c r="K3" s="6" t="s">
        <x:v>1062</x:v>
      </x:c>
      <x:c r="L3" s="6" t="s">
        <x:v>1060</x:v>
      </x:c>
      <x:c r="M3" s="6" t="s">
        <x:v>1061</x:v>
      </x:c>
      <x:c r="N3" s="6" t="s">
        <x:v>1062</x:v>
      </x:c>
      <x:c r="O3" s="6" t="s">
        <x:v>1060</x:v>
      </x:c>
      <x:c r="P3" s="6" t="s">
        <x:v>1061</x:v>
      </x:c>
      <x:c r="Q3" s="6" t="s">
        <x:v>1062</x:v>
      </x:c>
      <x:c r="R3" s="6" t="s">
        <x:v>1060</x:v>
      </x:c>
      <x:c r="S3" s="6" t="s">
        <x:v>1061</x:v>
      </x:c>
      <x:c r="T3" s="6" t="s">
        <x:v>1062</x:v>
      </x:c>
      <x:c r="U3" s="6" t="s">
        <x:v>1060</x:v>
      </x:c>
      <x:c r="V3" s="6" t="s">
        <x:v>1061</x:v>
      </x:c>
      <x:c r="W3" s="6" t="s">
        <x:v>1062</x:v>
      </x:c>
      <x:c r="X3" s="6" t="s">
        <x:v>1060</x:v>
      </x:c>
      <x:c r="Y3" s="6" t="s">
        <x:v>1061</x:v>
      </x:c>
      <x:c r="Z3" s="6" t="s">
        <x:v>1062</x:v>
      </x:c>
      <x:c r="AA3" s="6" t="s">
        <x:v>1060</x:v>
      </x:c>
      <x:c r="AB3" s="6" t="s">
        <x:v>1061</x:v>
      </x:c>
      <x:c r="AC3" s="6" t="s">
        <x:v>1062</x:v>
      </x:c>
      <x:c r="AD3" s="6" t="s">
        <x:v>1060</x:v>
      </x:c>
      <x:c r="AE3" s="6" t="s">
        <x:v>1061</x:v>
      </x:c>
      <x:c r="AF3" s="6" t="s">
        <x:v>1062</x:v>
      </x:c>
      <x:c r="AG3" s="6" t="s">
        <x:v>1060</x:v>
      </x:c>
      <x:c r="AH3" s="6" t="s">
        <x:v>1061</x:v>
      </x:c>
      <x:c r="AI3" s="6" t="s">
        <x:v>1062</x:v>
      </x:c>
      <x:c r="AJ3" s="6" t="s">
        <x:v>1060</x:v>
      </x:c>
      <x:c r="AK3" s="6" t="s">
        <x:v>1061</x:v>
      </x:c>
      <x:c r="AL3" s="6" t="s">
        <x:v>1062</x:v>
      </x:c>
    </x:row>
    <x:row r="4" spans="1:38" ht="15" customHeight="1" x14ac:dyDescent="0.25">
      <x:c r="A4" s="559" t="s">
        <x:v>1063</x:v>
      </x:c>
      <x:c r="B4" s="560" t="s">
        <x:v>1064</x:v>
      </x:c>
      <x:c r="C4" s="8">
        <x:v>42</x:v>
      </x:c>
      <x:c r="D4" s="561">
        <x:f>IF(C4="",SUM('ЭЛОУ-АВТ-6'!C47:G47),IF(C4&lt;SUM('ЭЛОУ-АВТ-6'!C47:G47),C4,SUM('ЭЛОУ-АВТ-6'!C47:G47)))</x:f>
      </x:c>
      <x:c r="E4" s="76">
        <x:f>IFERROR(IF(ROUND((D4)/C4*100,0)&gt;100,100,ROUND((D4)/C4*100,0)),"-")</x:f>
      </x:c>
      <x:c r="F4" s="8">
        <x:v>42</x:v>
      </x:c>
      <x:c r="G4" s="561">
        <x:f>IF(F4="",SUM('ЭЛОУ-АВТ-6'!I47:M47),IF(F4&lt;SUM('ЭЛОУ-АВТ-6'!I47:M47),F4,SUM('ЭЛОУ-АВТ-6'!I47:M47)))</x:f>
      </x:c>
      <x:c r="H4" s="76">
        <x:f>IFERROR(IF(ROUND((G4)/F4*100,0)&gt;100,100,ROUND((G4)/F4*100,0)),"-")</x:f>
      </x:c>
      <x:c r="I4" s="8">
        <x:v>42</x:v>
      </x:c>
      <x:c r="J4" s="561">
        <x:f>IF(I4="",SUM('ЭЛОУ-АВТ-6'!O47:S47),IF(I4&lt;SUM('ЭЛОУ-АВТ-6'!O47:S47),I4,SUM('ЭЛОУ-АВТ-6'!O47:S47)))</x:f>
      </x:c>
      <x:c r="K4" s="76">
        <x:f>IFERROR(IF(ROUND((J4)/I4*100,0)&gt;100,100,ROUND((J4)/I4*100,0)),"-")</x:f>
      </x:c>
      <x:c r="L4" s="8">
        <x:v>42</x:v>
      </x:c>
      <x:c r="M4" s="561">
        <x:f>IF(L4="",SUM('ЭЛОУ-АВТ-6'!U47:Y47),IF(L4&lt;SUM('ЭЛОУ-АВТ-6'!U47:Y47),L4,SUM('ЭЛОУ-АВТ-6'!U47:Y47)))</x:f>
      </x:c>
      <x:c r="N4" s="76">
        <x:f>IFERROR(IF(ROUND((M4)/L4*100,0)&gt;100,100,ROUND((M4)/L4*100,0)),"-")</x:f>
      </x:c>
      <x:c r="O4" s="8">
        <x:v>42</x:v>
      </x:c>
      <x:c r="P4" s="561">
        <x:f>IF(O4="",SUM('ЭЛОУ-АВТ-6'!AA47:AE47),IF(O4&lt;SUM('ЭЛОУ-АВТ-6'!AA47:AE47),O4,SUM('ЭЛОУ-АВТ-6'!AA47:AE47)))</x:f>
      </x:c>
      <x:c r="Q4" s="76">
        <x:f>IFERROR(IF(ROUND((P4)/O4*100,0)&gt;100,100,ROUND((P4)/O4*100,0)),"-")</x:f>
      </x:c>
      <x:c r="R4" s="8">
        <x:v>42</x:v>
      </x:c>
      <x:c r="S4" s="561">
        <x:f>IF(R4="",SUM('ЭЛОУ-АВТ-6'!AG47:AK47),IF(R4&lt;SUM('ЭЛОУ-АВТ-6'!AG47:AK47),R4,SUM('ЭЛОУ-АВТ-6'!AG47:AK47)))</x:f>
      </x:c>
      <x:c r="T4" s="76">
        <x:f>IFERROR(IF(ROUND((S4)/R4*100,0)&gt;100,100,ROUND((S4)/R4*100,0)),"-")</x:f>
      </x:c>
      <x:c r="U4" s="8">
        <x:v>42</x:v>
      </x:c>
      <x:c r="V4" s="561">
        <x:f>IF(U4="",SUM('ЭЛОУ-АВТ-6'!AM47:AQ47),IF(U4&lt;SUM('ЭЛОУ-АВТ-6'!AM47:AQ47),U4,SUM('ЭЛОУ-АВТ-6'!AM47:AQ47)))</x:f>
      </x:c>
      <x:c r="W4" s="9">
        <x:f>IFERROR(IF(ROUND((V4)/U4*100,0)&gt;100,100,ROUND((V4)/U4*100,0)),"-")</x:f>
      </x:c>
      <x:c r="X4" s="8">
        <x:v>42</x:v>
      </x:c>
      <x:c r="Y4" s="561">
        <x:f>IF(X4="",SUM('ЭЛОУ-АВТ-6'!AS47:AW47),IF(X4&lt;SUM('ЭЛОУ-АВТ-6'!AS47:AW47),X4,SUM('ЭЛОУ-АВТ-6'!AS47:AW47)))</x:f>
      </x:c>
      <x:c r="Z4" s="76">
        <x:f>IFERROR(IF(ROUND((Y4)/X4*100,0)&gt;100,100,ROUND((Y4)/X4*100,0)),"-")</x:f>
      </x:c>
      <x:c r="AA4" s="8">
        <x:v>42</x:v>
      </x:c>
      <x:c r="AB4" s="561">
        <x:f>IF(AA4="",SUM('ЭЛОУ-АВТ-6'!AY47:BC47),IF(AA4&lt;SUM('ЭЛОУ-АВТ-6'!AY47:BC47),AA4,SUM('ЭЛОУ-АВТ-6'!AY47:BC47)))</x:f>
      </x:c>
      <x:c r="AC4" s="76">
        <x:f>IFERROR(IF(ROUND((AB4)/AA4*100,0)&gt;100,100,ROUND((AB4)/AA4*100,0)),"-")</x:f>
      </x:c>
      <x:c r="AD4" s="8">
        <x:v>42</x:v>
      </x:c>
      <x:c r="AE4" s="561">
        <x:f>IF(AD4="",SUM('ЭЛОУ-АВТ-6'!BE47:BI47),IF(AD4&lt;SUM('ЭЛОУ-АВТ-6'!BE47:BI47),AD4,SUM('ЭЛОУ-АВТ-6'!BE47:BI47)))</x:f>
      </x:c>
      <x:c r="AF4" s="76">
        <x:f>IFERROR(IF(ROUND((AE4)/AD4*100,0)&gt;100,100,ROUND((AE4)/AD4*100,0)),"-")</x:f>
      </x:c>
      <x:c r="AG4" s="8">
        <x:v>42</x:v>
      </x:c>
      <x:c r="AH4" s="561">
        <x:f>IF(AG4="",SUM('ЭЛОУ-АВТ-6'!BK47:BO47),IF(AG4&lt;SUM('ЭЛОУ-АВТ-6'!BK47:BO47),AG4,SUM('ЭЛОУ-АВТ-6'!BK47:BO47)))</x:f>
      </x:c>
      <x:c r="AI4" s="76">
        <x:f>IFERROR(IF(ROUND((AH4)/AG4*100,0)&gt;100,100,ROUND((AH4)/AG4*100,0)),"-")</x:f>
      </x:c>
      <x:c r="AJ4" s="8">
        <x:v>42</x:v>
      </x:c>
      <x:c r="AK4" s="561">
        <x:f>IF(AJ4="",SUM('ЭЛОУ-АВТ-6'!BQ47:BU47),IF(AJ4&lt;SUM('ЭЛОУ-АВТ-6'!BQ47:BU47),AJ4,SUM('ЭЛОУ-АВТ-6'!BQ47:BU47)))</x:f>
      </x:c>
      <x:c r="AL4" s="76">
        <x:f>IFERROR(IF(ROUND((AK4)/AJ4*100,0)&gt;100,100,ROUND((AK4)/AJ4*100,0)),"-")</x:f>
      </x:c>
    </x:row>
    <x:row r="5" spans="1:38" x14ac:dyDescent="0.25">
      <x:c r="A5" s="562"/>
      <x:c r="B5" s="560" t="s">
        <x:v>1065</x:v>
      </x:c>
      <x:c r="C5" s="563">
        <x:v>21</x:v>
      </x:c>
      <x:c r="D5" s="561">
        <x:f>IF(C5="",SUM('ГФУ-2'!C24:G24),IF(C5&lt;SUM('ГФУ-2'!C24:G24),C5,SUM('ГФУ-2'!C24:G24)))</x:f>
      </x:c>
      <x:c r="E5" s="76">
        <x:f>IFERROR(IF(ROUND((D5)/C5*100,0)&gt;100,100,ROUND((D5)/C5*100,0)),"-")</x:f>
      </x:c>
      <x:c r="F5" s="563">
        <x:v>21</x:v>
      </x:c>
      <x:c r="G5" s="561">
        <x:f>IF(F5="",SUM('ГФУ-2'!I24:M24),IF(F5&lt;SUM('ГФУ-2'!I24:M24),F5,SUM('ГФУ-2'!I24:M24)))</x:f>
      </x:c>
      <x:c r="H5" s="76">
        <x:f>IFERROR(IF(ROUND((G5)/F5*100,0)&gt;100,100,ROUND((G5)/F5*100,0)),"-")</x:f>
      </x:c>
      <x:c r="I5" s="563">
        <x:v>21</x:v>
      </x:c>
      <x:c r="J5" s="561">
        <x:f>IF(I5="",SUM('ГФУ-2'!O24:S24),IF(I5&lt;SUM('ГФУ-2'!O24:S24),I5,SUM('ГФУ-2'!O24:S24)))</x:f>
      </x:c>
      <x:c r="K5" s="76">
        <x:f>IFERROR(IF(ROUND((J5)/I5*100,0)&gt;100,100,ROUND((J5)/I5*100,0)),"-")</x:f>
      </x:c>
      <x:c r="L5" s="563">
        <x:v>21</x:v>
      </x:c>
      <x:c r="M5" s="561">
        <x:f>IF(L5="",SUM('ГФУ-2'!U24:Y24),IF(L5&lt;SUM('ГФУ-2'!U24:Y24),L5,SUM('ГФУ-2'!U24:Y24)))</x:f>
      </x:c>
      <x:c r="N5" s="76">
        <x:f>IFERROR(IF(ROUND((M5)/L5*100,0)&gt;100,100,ROUND((M5)/L5*100,0)),"-")</x:f>
      </x:c>
      <x:c r="O5" s="563">
        <x:v>21</x:v>
      </x:c>
      <x:c r="P5" s="561">
        <x:f>IF(O5="",SUM('ГФУ-2'!AA24:AE24),IF(O5&lt;SUM('ГФУ-2'!AA24:AE24),O5,SUM('ГФУ-2'!AA24:AE24)))</x:f>
      </x:c>
      <x:c r="Q5" s="76">
        <x:f>IFERROR(IF(ROUND((P5)/O5*100,0)&gt;100,100,ROUND((P5)/O5*100,0)),"-")</x:f>
      </x:c>
      <x:c r="R5" s="563">
        <x:v>21</x:v>
      </x:c>
      <x:c r="S5" s="561">
        <x:f>IF(R5="",SUM('ГФУ-2'!AG24:AK24),IF(R5&lt;SUM('ГФУ-2'!AG24:AK24),R5,SUM('ГФУ-2'!AG24:AK24)))</x:f>
      </x:c>
      <x:c r="T5" s="76">
        <x:f>IFERROR(IF(ROUND((S5)/R5*100,0)&gt;100,100,ROUND((S5)/R5*100,0)),"-")</x:f>
      </x:c>
      <x:c r="U5" s="563">
        <x:v>21</x:v>
      </x:c>
      <x:c r="V5" s="561">
        <x:f>IF(U5="",SUM('ГФУ-2'!AM24:AQ24),IF(U5&lt;SUM('ГФУ-2'!AM24:AQ24),U5,SUM('ГФУ-2'!AM24:AQ24)))</x:f>
      </x:c>
      <x:c r="W5" s="9">
        <x:f>IFERROR(IF(ROUND((V5)/U5*100,0)&gt;100,100,ROUND((V5)/U5*100,0)),"-")</x:f>
      </x:c>
      <x:c r="X5" s="563">
        <x:v>21</x:v>
      </x:c>
      <x:c r="Y5" s="561">
        <x:f>IF(X5="",SUM('ГФУ-2'!AS24:AW24),IF(X5&lt;SUM('ГФУ-2'!AS24:AW24),X5,SUM('ГФУ-2'!AS24:AW24)))</x:f>
      </x:c>
      <x:c r="Z5" s="76">
        <x:f>IFERROR(IF(ROUND((Y5)/X5*100,0)&gt;100,100,ROUND((Y5)/X5*100,0)),"-")</x:f>
      </x:c>
      <x:c r="AA5" s="563">
        <x:v>21</x:v>
      </x:c>
      <x:c r="AB5" s="561">
        <x:f>IF(AA5="",SUM('ГФУ-2'!AY24:BC24),IF(AA5&lt;SUM('ГФУ-2'!AY24:BC24),AA5,SUM('ГФУ-2'!AY24:BC24)))</x:f>
      </x:c>
      <x:c r="AC5" s="76">
        <x:f>IFERROR(IF(ROUND((AB5)/AA5*100,0)&gt;100,100,ROUND((AB5)/AA5*100,0)),"-")</x:f>
      </x:c>
      <x:c r="AD5" s="563">
        <x:v>21</x:v>
      </x:c>
      <x:c r="AE5" s="561">
        <x:f>IF(AD5="",SUM('ГФУ-2'!BE24:BI24),IF(AD5&lt;SUM('ГФУ-2'!BE24:BI24),AD5,SUM('ГФУ-2'!BE24:BI24)))</x:f>
      </x:c>
      <x:c r="AF5" s="76">
        <x:f>IFERROR(IF(ROUND((AE5)/AD5*100,0)&gt;100,100,ROUND((AE5)/AD5*100,0)),"-")</x:f>
      </x:c>
      <x:c r="AG5" s="563">
        <x:v>21</x:v>
      </x:c>
      <x:c r="AH5" s="561">
        <x:f>IF(AG5="",SUM('ГФУ-2'!BK24:BO24),IF(AG5&lt;SUM('ГФУ-2'!BK24:BO24),AG5,SUM('ГФУ-2'!BK24:BO24)))</x:f>
      </x:c>
      <x:c r="AI5" s="76">
        <x:f>IFERROR(IF(ROUND((AH5)/AG5*100,0)&gt;100,100,ROUND((AH5)/AG5*100,0)),"-")</x:f>
      </x:c>
      <x:c r="AJ5" s="563">
        <x:v>21</x:v>
      </x:c>
      <x:c r="AK5" s="561">
        <x:f>IF(AJ5="",SUM('ГФУ-2'!BQ24:BU24),IF(AJ5&lt;SUM('ГФУ-2'!BQ24:BU24),AJ5,SUM('ГФУ-2'!BQ24:BU24)))</x:f>
      </x:c>
      <x:c r="AL5" s="76">
        <x:f>IFERROR(IF(ROUND((AK5)/AJ5*100,0)&gt;100,100,ROUND((AK5)/AJ5*100,0)),"-")</x:f>
      </x:c>
    </x:row>
    <x:row r="6" spans="1:38" x14ac:dyDescent="0.25">
      <x:c r="A6" s="562"/>
      <x:c r="B6" s="560" t="s">
        <x:v>1066</x:v>
      </x:c>
      <x:c r="C6" s="563">
        <x:v>23</x:v>
      </x:c>
      <x:c r="D6" s="561">
        <x:f>IF(C6="",SUM('ВБ'!C31:G31),IF(C6&lt;SUM('ВБ'!C31:G31),C6,SUM('ВБ'!C31:G31)))</x:f>
      </x:c>
      <x:c r="E6" s="76">
        <x:f>IFERROR(IF(ROUND((D6)/C6*100,0)&gt;100,100,ROUND((D6)/C6*100,0)),"-")</x:f>
      </x:c>
      <x:c r="F6" s="563">
        <x:v>23</x:v>
      </x:c>
      <x:c r="G6" s="561">
        <x:f>IF(F6="",SUM('ВБ'!I31:M31),IF(F6&lt;SUM('ВБ'!I31:M31),F6,SUM('ВБ'!I31:M31)))</x:f>
      </x:c>
      <x:c r="H6" s="76">
        <x:f>IFERROR(IF(ROUND((G6)/F6*100,0)&gt;100,100,ROUND((G6)/F6*100,0)),"-")</x:f>
      </x:c>
      <x:c r="I6" s="563">
        <x:v>23</x:v>
      </x:c>
      <x:c r="J6" s="561">
        <x:f>IF(I6="",SUM('ВБ'!O31:S31),IF(I6&lt;SUM('ВБ'!O31:S31),I6,SUM('ВБ'!O31:S31)))</x:f>
      </x:c>
      <x:c r="K6" s="76">
        <x:f>IFERROR(IF(ROUND((J6)/I6*100,0)&gt;100,100,ROUND((J6)/I6*100,0)),"-")</x:f>
      </x:c>
      <x:c r="L6" s="563">
        <x:v>23</x:v>
      </x:c>
      <x:c r="M6" s="561">
        <x:f>IF(L6="",SUM('ВБ'!U31:Y31),IF(L6&lt;SUM('ВБ'!U31:Y31),L6,SUM('ВБ'!U31:Y31)))</x:f>
      </x:c>
      <x:c r="N6" s="76">
        <x:f>IFERROR(IF(ROUND((M6)/L6*100,0)&gt;100,100,ROUND((M6)/L6*100,0)),"-")</x:f>
      </x:c>
      <x:c r="O6" s="563">
        <x:v>23</x:v>
      </x:c>
      <x:c r="P6" s="561">
        <x:f>IF(O6="",SUM('ВБ'!AA31:AE31),IF(O6&lt;SUM('ВБ'!AA31:AE31),O6,SUM('ВБ'!AA31:AE31)))</x:f>
      </x:c>
      <x:c r="Q6" s="76">
        <x:f>IFERROR(IF(ROUND((P6)/O6*100,0)&gt;100,100,ROUND((P6)/O6*100,0)),"-")</x:f>
      </x:c>
      <x:c r="R6" s="563">
        <x:v>23</x:v>
      </x:c>
      <x:c r="S6" s="561">
        <x:f>IF(R6="",SUM('ВБ'!AG31:AK31),IF(R6&lt;SUM('ВБ'!AG31:AK31),R6,SUM('ВБ'!AG31:AK31)))</x:f>
      </x:c>
      <x:c r="T6" s="76">
        <x:f>IFERROR(IF(ROUND((S6)/R6*100,0)&gt;100,100,ROUND((S6)/R6*100,0)),"-")</x:f>
      </x:c>
      <x:c r="U6" s="563">
        <x:v>23</x:v>
      </x:c>
      <x:c r="V6" s="561">
        <x:f>IF(U6="",SUM('ВБ'!AM31:AQ31),IF(U6&lt;SUM('ВБ'!AM31:AQ31),U6,SUM('ВБ'!AM31:AQ31)))</x:f>
      </x:c>
      <x:c r="W6" s="9">
        <x:f>IFERROR(IF(ROUND((V6)/U6*100,0)&gt;100,100,ROUND((V6)/U6*100,0)),"-")</x:f>
      </x:c>
      <x:c r="X6" s="563">
        <x:v>23</x:v>
      </x:c>
      <x:c r="Y6" s="561">
        <x:f>IF(X6="",SUM('ВБ'!AS31:AW31),IF(X6&lt;SUM('ВБ'!AS31:AW31),X6,SUM('ВБ'!AS31:AW31)))</x:f>
      </x:c>
      <x:c r="Z6" s="76">
        <x:f>IFERROR(IF(ROUND((Y6)/X6*100,0)&gt;100,100,ROUND((Y6)/X6*100,0)),"-")</x:f>
      </x:c>
      <x:c r="AA6" s="563">
        <x:v>23</x:v>
      </x:c>
      <x:c r="AB6" s="561">
        <x:f>IF(AA6="",SUM('ВБ'!AY31:BC31),IF(AA6&lt;SUM('ВБ'!AY31:BC31),AA6,SUM('ВБ'!AY31:BC31)))</x:f>
      </x:c>
      <x:c r="AC6" s="76">
        <x:f>IFERROR(IF(ROUND((AB6)/AA6*100,0)&gt;100,100,ROUND((AB6)/AA6*100,0)),"-")</x:f>
      </x:c>
      <x:c r="AD6" s="563">
        <x:v>23</x:v>
      </x:c>
      <x:c r="AE6" s="561">
        <x:f>IF(AD6="",SUM('ВБ'!BE31:BI31),IF(AD6&lt;SUM('ВБ'!BE31:BI31),AD6,SUM('ВБ'!BE31:BI31)))</x:f>
      </x:c>
      <x:c r="AF6" s="76">
        <x:f>IFERROR(IF(ROUND((AE6)/AD6*100,0)&gt;100,100,ROUND((AE6)/AD6*100,0)),"-")</x:f>
      </x:c>
      <x:c r="AG6" s="563">
        <x:v>23</x:v>
      </x:c>
      <x:c r="AH6" s="561">
        <x:f>IF(AG6="",SUM('ВБ'!BK31:BO31),IF(AG6&lt;SUM('ВБ'!BK31:BO31),AG6,SUM('ВБ'!BK31:BO31)))</x:f>
      </x:c>
      <x:c r="AI6" s="76">
        <x:f>IFERROR(IF(ROUND((AH6)/AG6*100,0)&gt;100,100,ROUND((AH6)/AG6*100,0)),"-")</x:f>
      </x:c>
      <x:c r="AJ6" s="563">
        <x:v>23</x:v>
      </x:c>
      <x:c r="AK6" s="561">
        <x:f>IF(AJ6="",SUM('ВБ'!BQ31:BU31),IF(AJ6&lt;SUM('ВБ'!BQ31:BU31),AJ6,SUM('ВБ'!BQ31:BU31)))</x:f>
      </x:c>
      <x:c r="AL6" s="76">
        <x:f>IFERROR(IF(ROUND((AK6)/AJ6*100,0)&gt;100,100,ROUND((AK6)/AJ6*100,0)),"-")</x:f>
      </x:c>
    </x:row>
    <x:row r="7" spans="1:38" x14ac:dyDescent="0.25">
      <x:c r="A7" s="562"/>
      <x:c r="B7" s="560" t="s">
        <x:v>1067</x:v>
      </x:c>
      <x:c r="C7" s="563">
        <x:v>41</x:v>
      </x:c>
      <x:c r="D7" s="561">
        <x:f>IF(C7="",SUM('УПБ'!C50:G50),IF(C7&lt;SUM('УПБ'!C50:G50),C7,SUM('УПБ'!C50:G50)))</x:f>
      </x:c>
      <x:c r="E7" s="76">
        <x:f>IFERROR(IF(ROUND((D7)/C7*100,0)&gt;100,100,ROUND((D7)/C7*100,0)),"-")</x:f>
      </x:c>
      <x:c r="F7" s="563">
        <x:v>41</x:v>
      </x:c>
      <x:c r="G7" s="561">
        <x:f>IF(F7="",SUM('УПБ'!I50:M50),IF(F7&lt;SUM('УПБ'!I50:M50),F7,SUM('УПБ'!I50:M50)))</x:f>
      </x:c>
      <x:c r="H7" s="76">
        <x:f>IFERROR(IF(ROUND((G7)/F7*100,0)&gt;100,100,ROUND((G7)/F7*100,0)),"-")</x:f>
      </x:c>
      <x:c r="I7" s="563">
        <x:v>41</x:v>
      </x:c>
      <x:c r="J7" s="561">
        <x:f>IF(I7="",SUM('УПБ'!O50:S50),IF(I7&lt;SUM('УПБ'!O50:S50),I7,SUM('УПБ'!O50:S50)))</x:f>
      </x:c>
      <x:c r="K7" s="76">
        <x:f>IFERROR(IF(ROUND((J7)/I7*100,0)&gt;100,100,ROUND((J7)/I7*100,0)),"-")</x:f>
      </x:c>
      <x:c r="L7" s="563">
        <x:v>41</x:v>
      </x:c>
      <x:c r="M7" s="561">
        <x:f>IF(L7="",SUM('УПБ'!U50:Y50),IF(L7&lt;SUM('УПБ'!U50:Y50),L7,SUM('УПБ'!U50:Y50)))</x:f>
      </x:c>
      <x:c r="N7" s="76">
        <x:f>IFERROR(IF(ROUND((M7)/L7*100,0)&gt;100,100,ROUND((M7)/L7*100,0)),"-")</x:f>
      </x:c>
      <x:c r="O7" s="563">
        <x:v>41</x:v>
      </x:c>
      <x:c r="P7" s="561">
        <x:f>IF(O7="",SUM('УПБ'!AA50:AE50),IF(O7&lt;SUM('УПБ'!AA50:AE50),O7,SUM('УПБ'!AA50:AE50)))</x:f>
      </x:c>
      <x:c r="Q7" s="76">
        <x:f>IFERROR(IF(ROUND((P7)/O7*100,0)&gt;100,100,ROUND((P7)/O7*100,0)),"-")</x:f>
      </x:c>
      <x:c r="R7" s="563">
        <x:v>41</x:v>
      </x:c>
      <x:c r="S7" s="561">
        <x:f>IF(R7="",SUM('УПБ'!AG50:AK50),IF(R7&lt;SUM('УПБ'!AG50:AK50),R7,SUM('УПБ'!AG50:AK50)))</x:f>
      </x:c>
      <x:c r="T7" s="76">
        <x:f>IFERROR(IF(ROUND((S7)/R7*100,0)&gt;100,100,ROUND((S7)/R7*100,0)),"-")</x:f>
      </x:c>
      <x:c r="U7" s="563">
        <x:v>41</x:v>
      </x:c>
      <x:c r="V7" s="561">
        <x:f>IF(U7="",SUM('УПБ'!AM50:AQ50),IF(U7&lt;SUM('УПБ'!AM50:AQ50),U7,SUM('УПБ'!AM50:AQ50)))</x:f>
      </x:c>
      <x:c r="W7" s="9">
        <x:f>IFERROR(IF(ROUND((V7)/U7*100,0)&gt;100,100,ROUND((V7)/U7*100,0)),"-")</x:f>
      </x:c>
      <x:c r="X7" s="563">
        <x:v>41</x:v>
      </x:c>
      <x:c r="Y7" s="561">
        <x:f>IF(X7="",SUM('УПБ'!AS50:AW50),IF(X7&lt;SUM('УПБ'!AS50:AW50),X7,SUM('УПБ'!AS50:AW50)))</x:f>
      </x:c>
      <x:c r="Z7" s="76">
        <x:f>IFERROR(IF(ROUND((Y7)/X7*100,0)&gt;100,100,ROUND((Y7)/X7*100,0)),"-")</x:f>
      </x:c>
      <x:c r="AA7" s="563">
        <x:v>41</x:v>
      </x:c>
      <x:c r="AB7" s="561">
        <x:f>IF(AA7="",SUM('УПБ'!AY50:BC50),IF(AA7&lt;SUM('УПБ'!AY50:BC50),AA7,SUM('УПБ'!AY50:BC50)))</x:f>
      </x:c>
      <x:c r="AC7" s="76">
        <x:f>IFERROR(IF(ROUND((AB7)/AA7*100,0)&gt;100,100,ROUND((AB7)/AA7*100,0)),"-")</x:f>
      </x:c>
      <x:c r="AD7" s="563">
        <x:v>41</x:v>
      </x:c>
      <x:c r="AE7" s="561">
        <x:f>IF(AD7="",SUM('УПБ'!BE50:BI50),IF(AD7&lt;SUM('УПБ'!BE50:BI50),AD7,SUM('УПБ'!BE50:BI50)))</x:f>
      </x:c>
      <x:c r="AF7" s="76">
        <x:f>IFERROR(IF(ROUND((AE7)/AD7*100,0)&gt;100,100,ROUND((AE7)/AD7*100,0)),"-")</x:f>
      </x:c>
      <x:c r="AG7" s="563">
        <x:v>41</x:v>
      </x:c>
      <x:c r="AH7" s="561">
        <x:f>IF(AG7="",SUM('УПБ'!BK50:BO50),IF(AG7&lt;SUM('УПБ'!BK50:BO50),AG7,SUM('УПБ'!BK50:BO50)))</x:f>
      </x:c>
      <x:c r="AI7" s="76">
        <x:f>IFERROR(IF(ROUND((AH7)/AG7*100,0)&gt;100,100,ROUND((AH7)/AG7*100,0)),"-")</x:f>
      </x:c>
      <x:c r="AJ7" s="563">
        <x:v>41</x:v>
      </x:c>
      <x:c r="AK7" s="561">
        <x:f>IF(AJ7="",SUM('УПБ'!BQ50:BU50),IF(AJ7&lt;SUM('УПБ'!BQ50:BU50),AJ7,SUM('УПБ'!BQ50:BU50)))</x:f>
      </x:c>
      <x:c r="AL7" s="76">
        <x:f>IFERROR(IF(ROUND((AK7)/AJ7*100,0)&gt;100,100,ROUND((AK7)/AJ7*100,0)),"-")</x:f>
      </x:c>
    </x:row>
    <x:row r="8" spans="1:38" x14ac:dyDescent="0.25">
      <x:c r="A8" s="562"/>
      <x:c r="B8" s="560" t="s">
        <x:v>1068</x:v>
      </x:c>
      <x:c r="C8" s="563">
        <x:v>42</x:v>
      </x:c>
      <x:c r="D8" s="561">
        <x:f>IF(C8="",SUM('ЛЧ_35_11_1000'!C46:G46),IF(C8&lt;SUM('ЛЧ_35_11_1000'!C46:G46),C8,SUM('ЛЧ_35_11_1000'!C46:G46)))</x:f>
      </x:c>
      <x:c r="E8" s="76">
        <x:f>IFERROR(IF(ROUND((D8)/C8*100,0)&gt;100,100,ROUND((D8)/C8*100,0)),"-")</x:f>
      </x:c>
      <x:c r="F8" s="563">
        <x:v>42</x:v>
      </x:c>
      <x:c r="G8" s="561">
        <x:f>IF(F8="",SUM('ЛЧ_35_11_1000'!I46:M46),IF(F8&lt;SUM('ЛЧ_35_11_1000'!I46:M46),F8,SUM('ЛЧ_35_11_1000'!I46:M46)))</x:f>
      </x:c>
      <x:c r="H8" s="76">
        <x:f>IFERROR(IF(ROUND((G8)/F8*100,0)&gt;100,100,ROUND((G8)/F8*100,0)),"-")</x:f>
      </x:c>
      <x:c r="I8" s="563">
        <x:v>42</x:v>
      </x:c>
      <x:c r="J8" s="561">
        <x:f>IF(I8="",SUM('ЛЧ_35_11_1000'!O46:S46),IF(I8&lt;SUM('ЛЧ_35_11_1000'!O46:S46),I8,SUM('ЛЧ_35_11_1000'!O46:S46)))</x:f>
      </x:c>
      <x:c r="K8" s="76">
        <x:f>IFERROR(IF(ROUND((J8)/I8*100,0)&gt;100,100,ROUND((J8)/I8*100,0)),"-")</x:f>
      </x:c>
      <x:c r="L8" s="563">
        <x:v>42</x:v>
      </x:c>
      <x:c r="M8" s="561">
        <x:f>IF(L8="",SUM('ЛЧ_35_11_1000'!U46:Y46),IF(L8&lt;SUM('ЛЧ_35_11_1000'!U46:Y46),L8,SUM('ЛЧ_35_11_1000'!U46:Y46)))</x:f>
      </x:c>
      <x:c r="N8" s="76">
        <x:f>IFERROR(IF(ROUND((M8)/L8*100,0)&gt;100,100,ROUND((M8)/L8*100,0)),"-")</x:f>
      </x:c>
      <x:c r="O8" s="563">
        <x:v>42</x:v>
      </x:c>
      <x:c r="P8" s="561">
        <x:f>IF(O8="",SUM('ЛЧ_35_11_1000'!AA46:AE46),IF(O8&lt;SUM('ЛЧ_35_11_1000'!AA46:AE46),O8,SUM('ЛЧ_35_11_1000'!AA46:AE46)))</x:f>
      </x:c>
      <x:c r="Q8" s="76">
        <x:f>IFERROR(IF(ROUND((P8)/O8*100,0)&gt;100,100,ROUND((P8)/O8*100,0)),"-")</x:f>
      </x:c>
      <x:c r="R8" s="563">
        <x:v>42</x:v>
      </x:c>
      <x:c r="S8" s="561">
        <x:f>IF(R8="",SUM('ЛЧ_35_11_1000'!AG46:AK46),IF(R8&lt;SUM('ЛЧ_35_11_1000'!AG46:AK46),R8,SUM('ЛЧ_35_11_1000'!AG46:AK46)))</x:f>
      </x:c>
      <x:c r="T8" s="76">
        <x:f>IFERROR(IF(ROUND((S8)/R8*100,0)&gt;100,100,ROUND((S8)/R8*100,0)),"-")</x:f>
      </x:c>
      <x:c r="U8" s="563">
        <x:v>39</x:v>
      </x:c>
      <x:c r="V8" s="561">
        <x:f>IF(U8="",SUM('ЛЧ_35_11_1000'!AM46:AQ46),IF(U8&lt;SUM('ЛЧ_35_11_1000'!AM46:AQ46),U8,SUM('ЛЧ_35_11_1000'!AM46:AQ46)))</x:f>
      </x:c>
      <x:c r="W8" s="9">
        <x:f>IFERROR(IF(ROUND((V8)/U8*100,0)&gt;100,100,ROUND((V8)/U8*100,0)),"-")</x:f>
      </x:c>
      <x:c r="X8" s="563">
        <x:v>42</x:v>
      </x:c>
      <x:c r="Y8" s="561">
        <x:f>IF(X8="",SUM('ЛЧ_35_11_1000'!AS46:AW46),IF(X8&lt;SUM('ЛЧ_35_11_1000'!AS46:AW46),X8,SUM('ЛЧ_35_11_1000'!AS46:AW46)))</x:f>
      </x:c>
      <x:c r="Z8" s="76">
        <x:f>IFERROR(IF(ROUND((Y8)/X8*100,0)&gt;100,100,ROUND((Y8)/X8*100,0)),"-")</x:f>
      </x:c>
      <x:c r="AA8" s="563">
        <x:v>42</x:v>
      </x:c>
      <x:c r="AB8" s="561">
        <x:f>IF(AA8="",SUM('ЛЧ_35_11_1000'!AY46:BC46),IF(AA8&lt;SUM('ЛЧ_35_11_1000'!AY46:BC46),AA8,SUM('ЛЧ_35_11_1000'!AY46:BC46)))</x:f>
      </x:c>
      <x:c r="AC8" s="76">
        <x:f>IFERROR(IF(ROUND((AB8)/AA8*100,0)&gt;100,100,ROUND((AB8)/AA8*100,0)),"-")</x:f>
      </x:c>
      <x:c r="AD8" s="563">
        <x:v>42</x:v>
      </x:c>
      <x:c r="AE8" s="561">
        <x:f>IF(AD8="",SUM('ЛЧ_35_11_1000'!BE46:BI46),IF(AD8&lt;SUM('ЛЧ_35_11_1000'!BE46:BI46),AD8,SUM('ЛЧ_35_11_1000'!BE46:BI46)))</x:f>
      </x:c>
      <x:c r="AF8" s="76">
        <x:f>IFERROR(IF(ROUND((AE8)/AD8*100,0)&gt;100,100,ROUND((AE8)/AD8*100,0)),"-")</x:f>
      </x:c>
      <x:c r="AG8" s="563">
        <x:v>42</x:v>
      </x:c>
      <x:c r="AH8" s="561">
        <x:f>IF(AG8="",SUM('ЛЧ_35_11_1000'!BK46:BO46),IF(AG8&lt;SUM('ЛЧ_35_11_1000'!BK46:BO46),AG8,SUM('ЛЧ_35_11_1000'!BK46:BO46)))</x:f>
      </x:c>
      <x:c r="AI8" s="76">
        <x:f>IFERROR(IF(ROUND((AH8)/AG8*100,0)&gt;100,100,ROUND((AH8)/AG8*100,0)),"-")</x:f>
      </x:c>
      <x:c r="AJ8" s="563">
        <x:v>42</x:v>
      </x:c>
      <x:c r="AK8" s="561">
        <x:f>IF(AJ8="",SUM('ЛЧ_35_11_1000'!BQ46:BU46),IF(AJ8&lt;SUM('ЛЧ_35_11_1000'!BQ46:BU46),AJ8,SUM('ЛЧ_35_11_1000'!BQ46:BU46)))</x:f>
      </x:c>
      <x:c r="AL8" s="76">
        <x:f>IFERROR(IF(ROUND((AK8)/AJ8*100,0)&gt;100,100,ROUND((AK8)/AJ8*100,0)),"-")</x:f>
      </x:c>
    </x:row>
    <x:row r="9" spans="1:38" x14ac:dyDescent="0.25">
      <x:c r="A9" s="562"/>
      <x:c r="B9" s="560" t="s">
        <x:v>1069</x:v>
      </x:c>
      <x:c r="C9" s="563">
        <x:v>30</x:v>
      </x:c>
      <x:c r="D9" s="561">
        <x:f>IF(C9="",SUM('УИЛН+КЦА'!C35:G35),IF(C9&lt;SUM('УИЛН+КЦА'!C35:G35),C9,SUM('УИЛН+КЦА'!C35:G35)))</x:f>
      </x:c>
      <x:c r="E9" s="76">
        <x:f>IFERROR(IF(ROUND((D9)/C9*100,0)&gt;100,100,ROUND((D9)/C9*100,0)),"-")</x:f>
      </x:c>
      <x:c r="F9" s="563">
        <x:v>30</x:v>
      </x:c>
      <x:c r="G9" s="561">
        <x:f>IF(F9="",SUM('УИЛН+КЦА'!I35:M35),IF(F9&lt;SUM('УИЛН+КЦА'!I35:M35),F9,SUM('УИЛН+КЦА'!I35:M35)))</x:f>
      </x:c>
      <x:c r="H9" s="76">
        <x:f>IFERROR(IF(ROUND((G9)/F9*100,0)&gt;100,100,ROUND((G9)/F9*100,0)),"-")</x:f>
      </x:c>
      <x:c r="I9" s="563">
        <x:v>30</x:v>
      </x:c>
      <x:c r="J9" s="561">
        <x:f>IF(I9="",SUM('УИЛН+КЦА'!O35:S35),IF(I9&lt;SUM('УИЛН+КЦА'!O35:S35),I9,SUM('УИЛН+КЦА'!O35:S35)))</x:f>
      </x:c>
      <x:c r="K9" s="76">
        <x:f>IFERROR(IF(ROUND((J9)/I9*100,0)&gt;100,100,ROUND((J9)/I9*100,0)),"-")</x:f>
      </x:c>
      <x:c r="L9" s="563">
        <x:v>30</x:v>
      </x:c>
      <x:c r="M9" s="561">
        <x:f>IF(L9="",SUM('УИЛН+КЦА'!U35:Y35),IF(L9&lt;SUM('УИЛН+КЦА'!U35:Y35),L9,SUM('УИЛН+КЦА'!U35:Y35)))</x:f>
      </x:c>
      <x:c r="N9" s="76">
        <x:f>IFERROR(IF(ROUND((M9)/L9*100,0)&gt;100,100,ROUND((M9)/L9*100,0)),"-")</x:f>
      </x:c>
      <x:c r="O9" s="563">
        <x:v>30</x:v>
      </x:c>
      <x:c r="P9" s="561">
        <x:f>IF(O9="",SUM('УИЛН+КЦА'!AA35:AE35),IF(O9&lt;SUM('УИЛН+КЦА'!AA35:AE35),O9,SUM('УИЛН+КЦА'!AA35:AE35)))</x:f>
      </x:c>
      <x:c r="Q9" s="76">
        <x:f>IFERROR(IF(ROUND((P9)/O9*100,0)&gt;100,100,ROUND((P9)/O9*100,0)),"-")</x:f>
      </x:c>
      <x:c r="R9" s="563">
        <x:v>30</x:v>
      </x:c>
      <x:c r="S9" s="561">
        <x:f>IF(R9="",SUM('УИЛН+КЦА'!AG35:AK35),IF(R9&lt;SUM('УИЛН+КЦА'!AG35:AK35),R9,SUM('УИЛН+КЦА'!AG35:AK35)))</x:f>
      </x:c>
      <x:c r="T9" s="76">
        <x:f>IFERROR(IF(ROUND((S9)/R9*100,0)&gt;100,100,ROUND((S9)/R9*100,0)),"-")</x:f>
      </x:c>
      <x:c r="U9" s="563">
        <x:v>30</x:v>
      </x:c>
      <x:c r="V9" s="561">
        <x:f>IF(U9="",SUM('УИЛН+КЦА'!AM35:AQ35),IF(U9&lt;SUM('УИЛН+КЦА'!AM35:AQ35),U9,SUM('УИЛН+КЦА'!AM35:AQ35)))</x:f>
      </x:c>
      <x:c r="W9" s="9">
        <x:f>IFERROR(IF(ROUND((V9)/U9*100,0)&gt;100,100,ROUND((V9)/U9*100,0)),"-")</x:f>
      </x:c>
      <x:c r="X9" s="563">
        <x:v>30</x:v>
      </x:c>
      <x:c r="Y9" s="561">
        <x:f>IF(X9="",SUM('УИЛН+КЦА'!AS35:AW35),IF(X9&lt;SUM('УИЛН+КЦА'!AS35:AW35),X9,SUM('УИЛН+КЦА'!AS35:AW35)))</x:f>
      </x:c>
      <x:c r="Z9" s="76">
        <x:f>IFERROR(IF(ROUND((Y9)/X9*100,0)&gt;100,100,ROUND((Y9)/X9*100,0)),"-")</x:f>
      </x:c>
      <x:c r="AA9" s="563">
        <x:v>30</x:v>
      </x:c>
      <x:c r="AB9" s="561">
        <x:f>IF(AA9="",SUM('УИЛН+КЦА'!AY35:BC35),IF(AA9&lt;SUM('УИЛН+КЦА'!AY35:BC35),AA9,SUM('УИЛН+КЦА'!AY35:BC35)))</x:f>
      </x:c>
      <x:c r="AC9" s="76">
        <x:f>IFERROR(IF(ROUND((AB9)/AA9*100,0)&gt;100,100,ROUND((AB9)/AA9*100,0)),"-")</x:f>
      </x:c>
      <x:c r="AD9" s="563">
        <x:v>30</x:v>
      </x:c>
      <x:c r="AE9" s="561">
        <x:f>IF(AD9="",SUM('УИЛН+КЦА'!BE35:BI35),IF(AD9&lt;SUM('УИЛН+КЦА'!BE35:BI35),AD9,SUM('УИЛН+КЦА'!BE35:BI35)))</x:f>
      </x:c>
      <x:c r="AF9" s="76">
        <x:f>IFERROR(IF(ROUND((AE9)/AD9*100,0)&gt;100,100,ROUND((AE9)/AD9*100,0)),"-")</x:f>
      </x:c>
      <x:c r="AG9" s="563">
        <x:v>30</x:v>
      </x:c>
      <x:c r="AH9" s="561">
        <x:f>IF(AG9="",SUM('УИЛН+КЦА'!BK35:BO35),IF(AG9&lt;SUM('УИЛН+КЦА'!BK35:BO35),AG9,SUM('УИЛН+КЦА'!BK35:BO35)))</x:f>
      </x:c>
      <x:c r="AI9" s="76">
        <x:f>IFERROR(IF(ROUND((AH9)/AG9*100,0)&gt;100,100,ROUND((AH9)/AG9*100,0)),"-")</x:f>
      </x:c>
      <x:c r="AJ9" s="563">
        <x:v>30</x:v>
      </x:c>
      <x:c r="AK9" s="561">
        <x:f>IF(AJ9="",SUM('УИЛН+КЦА'!BQ35:BU35),IF(AJ9&lt;SUM('УИЛН+КЦА'!BQ35:BU35),AJ9,SUM('УИЛН+КЦА'!BQ35:BU35)))</x:f>
      </x:c>
      <x:c r="AL9" s="76">
        <x:f>IFERROR(IF(ROUND((AK9)/AJ9*100,0)&gt;100,100,ROUND((AK9)/AJ9*100,0)),"-")</x:f>
      </x:c>
    </x:row>
    <x:row r="10" spans="1:38" x14ac:dyDescent="0.25">
      <x:c r="A10" s="562"/>
      <x:c r="B10" s="560" t="s">
        <x:v>1070</x:v>
      </x:c>
      <x:c r="C10" s="563">
        <x:v>20</x:v>
      </x:c>
      <x:c r="D10" s="561">
        <x:f>IF(C10="",SUM('ЛЧ_24_2000'!C25:G25),IF(C10&lt;SUM('ЛЧ_24_2000'!C25:G25),C10,SUM('ЛЧ_24_2000'!C25:G25)))</x:f>
      </x:c>
      <x:c r="E10" s="76">
        <x:f>IFERROR(IF(ROUND((D10)/C10*100,0)&gt;100,100,ROUND((D10)/C10*100,0)),"-")</x:f>
      </x:c>
      <x:c r="F10" s="563">
        <x:v>20</x:v>
      </x:c>
      <x:c r="G10" s="561">
        <x:f>IF(F10="",SUM('ЛЧ_24_2000'!I25:M25),IF(F10&lt;SUM('ЛЧ_24_2000'!I25:M25),F10,SUM('ЛЧ_24_2000'!I25:M25)))</x:f>
      </x:c>
      <x:c r="H10" s="76">
        <x:f>IFERROR(IF(ROUND((G10)/F10*100,0)&gt;100,100,ROUND((G10)/F10*100,0)),"-")</x:f>
      </x:c>
      <x:c r="I10" s="563">
        <x:v>20</x:v>
      </x:c>
      <x:c r="J10" s="561">
        <x:f>IF(I10="",SUM('ЛЧ_24_2000'!O25:S25),IF(I10&lt;SUM('ЛЧ_24_2000'!O25:S25),I10,SUM('ЛЧ_24_2000'!O25:S25)))</x:f>
      </x:c>
      <x:c r="K10" s="76">
        <x:f>IFERROR(IF(ROUND((J10)/I10*100,0)&gt;100,100,ROUND((J10)/I10*100,0)),"-")</x:f>
      </x:c>
      <x:c r="L10" s="563">
        <x:v>20</x:v>
      </x:c>
      <x:c r="M10" s="561">
        <x:f>IF(L10="",SUM('ЛЧ_24_2000'!U25:Y25),IF(L10&lt;SUM('ЛЧ_24_2000'!U25:Y25),L10,SUM('ЛЧ_24_2000'!U25:Y25)))</x:f>
      </x:c>
      <x:c r="N10" s="76">
        <x:f>IFERROR(IF(ROUND((M10)/L10*100,0)&gt;100,100,ROUND((M10)/L10*100,0)),"-")</x:f>
      </x:c>
      <x:c r="O10" s="563">
        <x:v>20</x:v>
      </x:c>
      <x:c r="P10" s="561">
        <x:f>IF(O10="",SUM('ЛЧ_24_2000'!AA25:AE25),IF(O10&lt;SUM('ЛЧ_24_2000'!AA25:AE25),O10,SUM('ЛЧ_24_2000'!AA25:AE25)))</x:f>
      </x:c>
      <x:c r="Q10" s="76">
        <x:f>IFERROR(IF(ROUND((P10)/O10*100,0)&gt;100,100,ROUND((P10)/O10*100,0)),"-")</x:f>
      </x:c>
      <x:c r="R10" s="563">
        <x:v>20</x:v>
      </x:c>
      <x:c r="S10" s="561">
        <x:f>IF(R10="",SUM('ЛЧ_24_2000'!AG25:AK25),IF(R10&lt;SUM('ЛЧ_24_2000'!AG25:AK25),R10,SUM('ЛЧ_24_2000'!AG25:AK25)))</x:f>
      </x:c>
      <x:c r="T10" s="76">
        <x:f>IFERROR(IF(ROUND((S10)/R10*100,0)&gt;100,100,ROUND((S10)/R10*100,0)),"-")</x:f>
      </x:c>
      <x:c r="U10" s="563">
        <x:v>20</x:v>
      </x:c>
      <x:c r="V10" s="561">
        <x:f>IF(U10="",SUM('ЛЧ_24_2000'!AM25:AQ25),IF(U10&lt;SUM('ЛЧ_24_2000'!AM25:AQ25),U10,SUM('ЛЧ_24_2000'!AM25:AQ25)))</x:f>
      </x:c>
      <x:c r="W10" s="9">
        <x:f>IFERROR(IF(ROUND((V10)/U10*100,0)&gt;100,100,ROUND((V10)/U10*100,0)),"-")</x:f>
      </x:c>
      <x:c r="X10" s="563">
        <x:v>20</x:v>
      </x:c>
      <x:c r="Y10" s="561">
        <x:f>IF(X10="",SUM('ЛЧ_24_2000'!AS25:AW25),IF(X10&lt;SUM('ЛЧ_24_2000'!AS25:AW25),X10,SUM('ЛЧ_24_2000'!AS25:AW25)))</x:f>
      </x:c>
      <x:c r="Z10" s="76">
        <x:f>IFERROR(IF(ROUND((Y10)/X10*100,0)&gt;100,100,ROUND((Y10)/X10*100,0)),"-")</x:f>
      </x:c>
      <x:c r="AA10" s="563">
        <x:v>20</x:v>
      </x:c>
      <x:c r="AB10" s="561">
        <x:f>IF(AA10="",SUM('ЛЧ_24_2000'!AY25:BC25),IF(AA10&lt;SUM('ЛЧ_24_2000'!AY25:BC25),AA10,SUM('ЛЧ_24_2000'!AY25:BC25)))</x:f>
      </x:c>
      <x:c r="AC10" s="76">
        <x:f>IFERROR(IF(ROUND((AB10)/AA10*100,0)&gt;100,100,ROUND((AB10)/AA10*100,0)),"-")</x:f>
      </x:c>
      <x:c r="AD10" s="563">
        <x:v>20</x:v>
      </x:c>
      <x:c r="AE10" s="561">
        <x:f>IF(AD10="",SUM('ЛЧ_24_2000'!BE25:BI25),IF(AD10&lt;SUM('ЛЧ_24_2000'!BE25:BI25),AD10,SUM('ЛЧ_24_2000'!BE25:BI25)))</x:f>
      </x:c>
      <x:c r="AF10" s="76">
        <x:f>IFERROR(IF(ROUND((AE10)/AD10*100,0)&gt;100,100,ROUND((AE10)/AD10*100,0)),"-")</x:f>
      </x:c>
      <x:c r="AG10" s="563">
        <x:v>20</x:v>
      </x:c>
      <x:c r="AH10" s="561">
        <x:f>IF(AG10="",SUM('ЛЧ_24_2000'!BK25:BO25),IF(AG10&lt;SUM('ЛЧ_24_2000'!BK25:BO25),AG10,SUM('ЛЧ_24_2000'!BK25:BO25)))</x:f>
      </x:c>
      <x:c r="AI10" s="76">
        <x:f>IFERROR(IF(ROUND((AH10)/AG10*100,0)&gt;100,100,ROUND((AH10)/AG10*100,0)),"-")</x:f>
      </x:c>
      <x:c r="AJ10" s="563">
        <x:v>20</x:v>
      </x:c>
      <x:c r="AK10" s="561">
        <x:f>IF(AJ10="",SUM('ЛЧ_24_2000'!BQ25:BU25),IF(AJ10&lt;SUM('ЛЧ_24_2000'!BQ25:BU25),AJ10,SUM('ЛЧ_24_2000'!BQ25:BU25)))</x:f>
      </x:c>
      <x:c r="AL10" s="76">
        <x:f>IFERROR(IF(ROUND((AK10)/AJ10*100,0)&gt;100,100,ROUND((AK10)/AJ10*100,0)),"-")</x:f>
      </x:c>
    </x:row>
    <x:row r="11" spans="1:38" x14ac:dyDescent="0.25">
      <x:c r="A11" s="564"/>
      <x:c r="B11" s="560" t="s">
        <x:v>1071</x:v>
      </x:c>
      <x:c r="C11" s="563"/>
      <x:c r="D11" s="561">
        <x:f>IF(C11="",SUM('Л 24_5'!C30:G30),IF(C11&lt;SUM('Л 24_5'!C30:G30),C11,SUM('Л 24_5'!C30:G30)))</x:f>
      </x:c>
      <x:c r="E11" s="76">
        <x:f>IFERROR(IF(ROUND((D11)/C11*100,0)&gt;100,100,ROUND((D11)/C11*100,0)),"-")</x:f>
      </x:c>
      <x:c r="F11" s="563"/>
      <x:c r="G11" s="561">
        <x:f>IF(F11="",SUM('Л 24_5'!I30:M30),IF(F11&lt;SUM('Л 24_5'!I30:M30),F11,SUM('Л 24_5'!I30:M30)))</x:f>
      </x:c>
      <x:c r="H11" s="76">
        <x:f>IFERROR(IF(ROUND((G11)/F11*100,0)&gt;100,100,ROUND((G11)/F11*100,0)),"-")</x:f>
      </x:c>
      <x:c r="I11" s="563"/>
      <x:c r="J11" s="561">
        <x:f>IF(I11="",SUM('Л 24_5'!O30:S30),IF(I11&lt;SUM('Л 24_5'!O30:S30),I11,SUM('Л 24_5'!O30:S30)))</x:f>
      </x:c>
      <x:c r="K11" s="76">
        <x:f>IFERROR(IF(ROUND((J11)/I11*100,0)&gt;100,100,ROUND((J11)/I11*100,0)),"-")</x:f>
      </x:c>
      <x:c r="L11" s="563"/>
      <x:c r="M11" s="561">
        <x:f>IF(L11="",SUM('Л 24_5'!U30:Y30),IF(L11&lt;SUM('Л 24_5'!U30:Y30),L11,SUM('Л 24_5'!U30:Y30)))</x:f>
      </x:c>
      <x:c r="N11" s="76">
        <x:f>IFERROR(IF(ROUND((M11)/L11*100,0)&gt;100,100,ROUND((M11)/L11*100,0)),"-")</x:f>
      </x:c>
      <x:c r="O11" s="563"/>
      <x:c r="P11" s="561">
        <x:f>IF(O11="",SUM('Л 24_5'!AA30:AE30),IF(O11&lt;SUM('Л 24_5'!AA30:AE30),O11,SUM('Л 24_5'!AA30:AE30)))</x:f>
      </x:c>
      <x:c r="Q11" s="76">
        <x:f>IFERROR(IF(ROUND((P11)/O11*100,0)&gt;100,100,ROUND((P11)/O11*100,0)),"-")</x:f>
      </x:c>
      <x:c r="R11" s="563"/>
      <x:c r="S11" s="561">
        <x:f>IF(R11="",SUM('Л 24_5'!AG30:AK30),IF(R11&lt;SUM('Л 24_5'!AG30:AK30),R11,SUM('Л 24_5'!AG30:AK30)))</x:f>
      </x:c>
      <x:c r="T11" s="76">
        <x:f>IFERROR(IF(ROUND((S11)/R11*100,0)&gt;100,100,ROUND((S11)/R11*100,0)),"-")</x:f>
      </x:c>
      <x:c r="U11" s="563"/>
      <x:c r="V11" s="561">
        <x:f>IF(U11="",SUM('Л 24_5'!AM30:AQ30),IF(U11&lt;SUM('Л 24_5'!AM30:AQ30),U11,SUM('Л 24_5'!AM30:AQ30)))</x:f>
      </x:c>
      <x:c r="W11" s="9">
        <x:f>IFERROR(IF(ROUND((V11)/U11*100,0)&gt;100,100,ROUND((V11)/U11*100,0)),"-")</x:f>
      </x:c>
      <x:c r="X11" s="563"/>
      <x:c r="Y11" s="561">
        <x:f>IF(X11="",SUM('Л 24_5'!AS30:AW30),IF(X11&lt;SUM('Л 24_5'!AS30:AW30),X11,SUM('Л 24_5'!AS30:AW30)))</x:f>
      </x:c>
      <x:c r="Z11" s="76">
        <x:f>IFERROR(IF(ROUND((Y11)/X11*100,0)&gt;100,100,ROUND((Y11)/X11*100,0)),"-")</x:f>
      </x:c>
      <x:c r="AA11" s="563"/>
      <x:c r="AB11" s="561">
        <x:f>IF(AA11="",SUM('Л 24_5'!AY30:BC30),IF(AA11&lt;SUM('Л 24_5'!AY30:BC30),AA11,SUM('Л 24_5'!AY30:BC30)))</x:f>
      </x:c>
      <x:c r="AC11" s="76">
        <x:f>IFERROR(IF(ROUND((AB11)/AA11*100,0)&gt;100,100,ROUND((AB11)/AA11*100,0)),"-")</x:f>
      </x:c>
      <x:c r="AD11" s="563"/>
      <x:c r="AE11" s="561">
        <x:f>IF(AD11="",SUM('Л 24_5'!BE30:BI30),IF(AD11&lt;SUM('Л 24_5'!BE30:BI30),AD11,SUM('Л 24_5'!BE30:BI30)))</x:f>
      </x:c>
      <x:c r="AF11" s="76">
        <x:f>IFERROR(IF(ROUND((AE11)/AD11*100,0)&gt;100,100,ROUND((AE11)/AD11*100,0)),"-")</x:f>
      </x:c>
      <x:c r="AG11" s="563"/>
      <x:c r="AH11" s="561">
        <x:f>IF(AG11="",SUM('Л 24_5'!BK30:BO30),IF(AG11&lt;SUM('Л 24_5'!BK30:BO30),AG11,SUM('Л 24_5'!BK30:BO30)))</x:f>
      </x:c>
      <x:c r="AI11" s="76">
        <x:f>IFERROR(IF(ROUND((AH11)/AG11*100,0)&gt;100,100,ROUND((AH11)/AG11*100,0)),"-")</x:f>
      </x:c>
      <x:c r="AJ11" s="563"/>
      <x:c r="AK11" s="561">
        <x:f>IF(AJ11="",SUM('Л 24_5'!BQ30:BU30),IF(AJ11&lt;SUM('Л 24_5'!BQ30:BU30),AJ11,SUM('Л 24_5'!BQ30:BU30)))</x:f>
      </x:c>
      <x:c r="AL11" s="76">
        <x:f>IFERROR(IF(ROUND((AK11)/AJ11*100,0)&gt;100,100,ROUND((AK11)/AJ11*100,0)),"-")</x:f>
      </x:c>
    </x:row>
    <x:row r="12" spans="1:38" x14ac:dyDescent="0.25">
      <x:c r="A12" s="565" t="s">
        <x:v>1072</x:v>
      </x:c>
      <x:c r="B12" s="566" t="s">
        <x:v>1073</x:v>
      </x:c>
      <x:c r="C12" s="563">
        <x:v>21</x:v>
      </x:c>
      <x:c r="D12" s="561">
        <x:f>IF(C12="",SUM('МТБЭ'!C25:G25),IF(C12&lt;SUM('МТБЭ'!C25:G25),C12,SUM('МТБЭ'!C25:G25)))</x:f>
      </x:c>
      <x:c r="E12" s="76">
        <x:f>IFERROR(IF(ROUND((D12)/C12*100,0)&gt;100,100,ROUND((D12)/C12*100,0)),"-")</x:f>
      </x:c>
      <x:c r="F12" s="563">
        <x:v>21</x:v>
      </x:c>
      <x:c r="G12" s="561">
        <x:f>IF(F12="",SUM('МТБЭ'!I25:M25),IF(F12&lt;SUM('МТБЭ'!I25:M25),F12,SUM('МТБЭ'!I25:M25)))</x:f>
      </x:c>
      <x:c r="H12" s="76">
        <x:f>IFERROR(IF(ROUND((G12)/F12*100,0)&gt;100,100,ROUND((G12)/F12*100,0)),"-")</x:f>
      </x:c>
      <x:c r="I12" s="563">
        <x:v>21</x:v>
      </x:c>
      <x:c r="J12" s="561">
        <x:f>IF(I12="",SUM('МТБЭ'!O25:S25),IF(I12&lt;SUM('МТБЭ'!O25:S25),I12,SUM('МТБЭ'!O25:S25)))</x:f>
      </x:c>
      <x:c r="K12" s="76">
        <x:f>IFERROR(IF(ROUND((J12)/I12*100,0)&gt;100,100,ROUND((J12)/I12*100,0)),"-")</x:f>
      </x:c>
      <x:c r="L12" s="563">
        <x:v>21</x:v>
      </x:c>
      <x:c r="M12" s="561">
        <x:f>IF(L12="",SUM('МТБЭ'!U25:Y25),IF(L12&lt;SUM('МТБЭ'!U25:Y25),L12,SUM('МТБЭ'!U25:Y25)))</x:f>
      </x:c>
      <x:c r="N12" s="76">
        <x:f>IFERROR(IF(ROUND((M12)/L12*100,0)&gt;100,100,ROUND((M12)/L12*100,0)),"-")</x:f>
      </x:c>
      <x:c r="O12" s="563">
        <x:v>21</x:v>
      </x:c>
      <x:c r="P12" s="561">
        <x:f>IF(O12="",SUM('МТБЭ'!AA25:AE25),IF(O12&lt;SUM('МТБЭ'!AA25:AE25),O12,SUM('МТБЭ'!AA25:AE25)))</x:f>
      </x:c>
      <x:c r="Q12" s="76">
        <x:f>IFERROR(IF(ROUND((P12)/O12*100,0)&gt;100,100,ROUND((P12)/O12*100,0)),"-")</x:f>
      </x:c>
      <x:c r="R12" s="563">
        <x:v>21</x:v>
      </x:c>
      <x:c r="S12" s="561">
        <x:f>IF(R12="",SUM('МТБЭ'!AG25:AK25),IF(R12&lt;SUM('МТБЭ'!AG25:AK25),R12,SUM('МТБЭ'!AG25:AK25)))</x:f>
      </x:c>
      <x:c r="T12" s="76">
        <x:f>IFERROR(IF(ROUND((S12)/R12*100,0)&gt;100,100,ROUND((S12)/R12*100,0)),"-")</x:f>
      </x:c>
      <x:c r="U12" s="563">
        <x:v>20</x:v>
      </x:c>
      <x:c r="V12" s="561">
        <x:f>IF(U12="",SUM('МТБЭ'!AM25:AQ25),IF(U12&lt;SUM('МТБЭ'!AM25:AQ25),U12,SUM('МТБЭ'!AM25:AQ25)))</x:f>
      </x:c>
      <x:c r="W12" s="9">
        <x:f>IFERROR(IF(ROUND((V12)/U12*100,0)&gt;100,100,ROUND((V12)/U12*100,0)),"-")</x:f>
      </x:c>
      <x:c r="X12" s="563">
        <x:v>21</x:v>
      </x:c>
      <x:c r="Y12" s="561">
        <x:f>IF(X12="",SUM('МТБЭ'!AS25:AW25),IF(X12&lt;SUM('МТБЭ'!AS25:AW25),X12,SUM('МТБЭ'!AS25:AW25)))</x:f>
      </x:c>
      <x:c r="Z12" s="76">
        <x:f>IFERROR(IF(ROUND((Y12)/X12*100,0)&gt;100,100,ROUND((Y12)/X12*100,0)),"-")</x:f>
      </x:c>
      <x:c r="AA12" s="563">
        <x:v>21</x:v>
      </x:c>
      <x:c r="AB12" s="561">
        <x:f>IF(AA12="",SUM('МТБЭ'!AY25:BC25),IF(AA12&lt;SUM('МТБЭ'!AY25:BC25),AA12,SUM('МТБЭ'!AY25:BC25)))</x:f>
      </x:c>
      <x:c r="AC12" s="76">
        <x:f>IFERROR(IF(ROUND((AB12)/AA12*100,0)&gt;100,100,ROUND((AB12)/AA12*100,0)),"-")</x:f>
      </x:c>
      <x:c r="AD12" s="563">
        <x:v>21</x:v>
      </x:c>
      <x:c r="AE12" s="561">
        <x:f>IF(AD12="",SUM('МТБЭ'!BE25:BI25),IF(AD12&lt;SUM('МТБЭ'!BE25:BI25),AD12,SUM('МТБЭ'!BE25:BI25)))</x:f>
      </x:c>
      <x:c r="AF12" s="76">
        <x:f>IFERROR(IF(ROUND((AE12)/AD12*100,0)&gt;100,100,ROUND((AE12)/AD12*100,0)),"-")</x:f>
      </x:c>
      <x:c r="AG12" s="563">
        <x:v>21</x:v>
      </x:c>
      <x:c r="AH12" s="561">
        <x:f>IF(AG12="",SUM('МТБЭ'!BK25:BO25),IF(AG12&lt;SUM('МТБЭ'!BK25:BO25),AG12,SUM('МТБЭ'!BK25:BO25)))</x:f>
      </x:c>
      <x:c r="AI12" s="76">
        <x:f>IFERROR(IF(ROUND((AH12)/AG12*100,0)&gt;100,100,ROUND((AH12)/AG12*100,0)),"-")</x:f>
      </x:c>
      <x:c r="AJ12" s="563">
        <x:v>21</x:v>
      </x:c>
      <x:c r="AK12" s="561">
        <x:f>IF(AJ12="",SUM('МТБЭ'!BQ25:BU25),IF(AJ12&lt;SUM('МТБЭ'!BQ25:BU25),AJ12,SUM('МТБЭ'!BQ25:BU25)))</x:f>
      </x:c>
      <x:c r="AL12" s="76">
        <x:f>IFERROR(IF(ROUND((AK12)/AJ12*100,0)&gt;100,100,ROUND((AK12)/AJ12*100,0)),"-")</x:f>
      </x:c>
    </x:row>
    <x:row r="13" spans="1:38" x14ac:dyDescent="0.25">
      <x:c r="A13" s="483"/>
      <x:c r="B13" s="566" t="s">
        <x:v>1074</x:v>
      </x:c>
      <x:c r="C13" s="563">
        <x:v>20</x:v>
      </x:c>
      <x:c r="D13" s="561">
        <x:f>IF(C13="",SUM('ГОБКК'!C25:G25),IF(C13&lt;SUM('ГОБКК'!C25:G25),C13,SUM('ГОБКК'!C25:G25)))</x:f>
      </x:c>
      <x:c r="E13" s="76">
        <x:f>IFERROR(IF(ROUND((D13)/C13*100,0)&gt;100,100,ROUND((D13)/C13*100,0)),"-")</x:f>
      </x:c>
      <x:c r="F13" s="563">
        <x:v>20</x:v>
      </x:c>
      <x:c r="G13" s="561">
        <x:f>IF(F13="",SUM('ГОБКК'!I25:M25),IF(F13&lt;SUM('ГОБКК'!I25:M25),F13,SUM('ГОБКК'!I25:M25)))</x:f>
      </x:c>
      <x:c r="H13" s="76">
        <x:f>IFERROR(IF(ROUND((G13)/F13*100,0)&gt;100,100,ROUND((G13)/F13*100,0)),"-")</x:f>
      </x:c>
      <x:c r="I13" s="563">
        <x:v>20</x:v>
      </x:c>
      <x:c r="J13" s="561">
        <x:f>IF(I13="",SUM('ГОБКК'!O25:S25),IF(I13&lt;SUM('ГОБКК'!O25:S25),I13,SUM('ГОБКК'!O25:S25)))</x:f>
      </x:c>
      <x:c r="K13" s="76">
        <x:f>IFERROR(IF(ROUND((J13)/I13*100,0)&gt;100,100,ROUND((J13)/I13*100,0)),"-")</x:f>
      </x:c>
      <x:c r="L13" s="563">
        <x:v>20</x:v>
      </x:c>
      <x:c r="M13" s="561">
        <x:f>IF(L13="",SUM('ГОБКК'!U25:Y25),IF(L13&lt;SUM('ГОБКК'!U25:Y25),L13,SUM('ГОБКК'!U25:Y25)))</x:f>
      </x:c>
      <x:c r="N13" s="76">
        <x:f>IFERROR(IF(ROUND((M13)/L13*100,0)&gt;100,100,ROUND((M13)/L13*100,0)),"-")</x:f>
      </x:c>
      <x:c r="O13" s="563">
        <x:v>20</x:v>
      </x:c>
      <x:c r="P13" s="561">
        <x:f>IF(O13="",SUM('ГОБКК'!AA25:AE25),IF(O13&lt;SUM('ГОБКК'!AA25:AE25),O13,SUM('ГОБКК'!AA25:AE25)))</x:f>
      </x:c>
      <x:c r="Q13" s="76">
        <x:f>IFERROR(IF(ROUND((P13)/O13*100,0)&gt;100,100,ROUND((P13)/O13*100,0)),"-")</x:f>
      </x:c>
      <x:c r="R13" s="563">
        <x:v>20</x:v>
      </x:c>
      <x:c r="S13" s="561">
        <x:f>IF(R13="",SUM('ГОБКК'!AG25:AK25),IF(R13&lt;SUM('ГОБКК'!AG25:AK25),R13,SUM('ГОБКК'!AG25:AK25)))</x:f>
      </x:c>
      <x:c r="T13" s="76">
        <x:f>IFERROR(IF(ROUND((S13)/R13*100,0)&gt;100,100,ROUND((S13)/R13*100,0)),"-")</x:f>
      </x:c>
      <x:c r="U13" s="563">
        <x:v>20</x:v>
      </x:c>
      <x:c r="V13" s="561">
        <x:f>IF(U13="",SUM('ГОБКК'!AM25:AQ25),IF(U13&lt;SUM('ГОБКК'!AM25:AQ25),U13,SUM('ГОБКК'!AM25:AQ25)))</x:f>
      </x:c>
      <x:c r="W13" s="9">
        <x:f>IFERROR(IF(ROUND((V13)/U13*100,0)&gt;100,100,ROUND((V13)/U13*100,0)),"-")</x:f>
      </x:c>
      <x:c r="X13" s="563">
        <x:v>20</x:v>
      </x:c>
      <x:c r="Y13" s="561">
        <x:f>IF(X13="",SUM('ГОБКК'!AS25:AW25),IF(X13&lt;SUM('ГОБКК'!AS25:AW25),X13,SUM('ГОБКК'!AS25:AW25)))</x:f>
      </x:c>
      <x:c r="Z13" s="76">
        <x:f>IFERROR(IF(ROUND((Y13)/X13*100,0)&gt;100,100,ROUND((Y13)/X13*100,0)),"-")</x:f>
      </x:c>
      <x:c r="AA13" s="563">
        <x:v>20</x:v>
      </x:c>
      <x:c r="AB13" s="561">
        <x:f>IF(AA13="",SUM('ГОБКК'!AY25:BC25),IF(AA13&lt;SUM('ГОБКК'!AY25:BC25),AA13,SUM('ГОБКК'!AY25:BC25)))</x:f>
      </x:c>
      <x:c r="AC13" s="76">
        <x:f>IFERROR(IF(ROUND((AB13)/AA13*100,0)&gt;100,100,ROUND((AB13)/AA13*100,0)),"-")</x:f>
      </x:c>
      <x:c r="AD13" s="563">
        <x:v>20</x:v>
      </x:c>
      <x:c r="AE13" s="561">
        <x:f>IF(AD13="",SUM('ГОБКК'!BE25:BI25),IF(AD13&lt;SUM('ГОБКК'!BE25:BI25),AD13,SUM('ГОБКК'!BE25:BI25)))</x:f>
      </x:c>
      <x:c r="AF13" s="76">
        <x:f>IFERROR(IF(ROUND((AE13)/AD13*100,0)&gt;100,100,ROUND((AE13)/AD13*100,0)),"-")</x:f>
      </x:c>
      <x:c r="AG13" s="563">
        <x:v>20</x:v>
      </x:c>
      <x:c r="AH13" s="561">
        <x:f>IF(AG13="",SUM('ГОБКК'!BK25:BO25),IF(AG13&lt;SUM('ГОБКК'!BK25:BO25),AG13,SUM('ГОБКК'!BK25:BO25)))</x:f>
      </x:c>
      <x:c r="AI13" s="76">
        <x:f>IFERROR(IF(ROUND((AH13)/AG13*100,0)&gt;100,100,ROUND((AH13)/AG13*100,0)),"-")</x:f>
      </x:c>
      <x:c r="AJ13" s="563">
        <x:v>20</x:v>
      </x:c>
      <x:c r="AK13" s="561">
        <x:f>IF(AJ13="",SUM('ГОБКК'!BQ25:BU25),IF(AJ13&lt;SUM('ГОБКК'!BQ25:BU25),AJ13,SUM('ГОБКК'!BQ25:BU25)))</x:f>
      </x:c>
      <x:c r="AL13" s="76">
        <x:f>IFERROR(IF(ROUND((AK13)/AJ13*100,0)&gt;100,100,ROUND((AK13)/AJ13*100,0)),"-")</x:f>
      </x:c>
    </x:row>
    <x:row r="14" spans="1:38" x14ac:dyDescent="0.25">
      <x:c r="A14" s="483"/>
      <x:c r="B14" s="566" t="s">
        <x:v>1075</x:v>
      </x:c>
      <x:c r="C14" s="563">
        <x:v>40</x:v>
      </x:c>
      <x:c r="D14" s="561">
        <x:f>IF(C14="",SUM('УПС'!C55:G55),IF(C14&lt;SUM('УПС'!C55:G55),C14,SUM('УПС'!C55:G55)))</x:f>
      </x:c>
      <x:c r="E14" s="76">
        <x:f>IFERROR(IF(ROUND((D14)/C14*100,0)&gt;100,100,ROUND((D14)/C14*100,0)),"-")</x:f>
      </x:c>
      <x:c r="F14" s="563">
        <x:v>40</x:v>
      </x:c>
      <x:c r="G14" s="561">
        <x:f>IF(F14="",SUM('УПС'!I55:M55),IF(F14&lt;SUM('УПС'!I55:M55),F14,SUM('УПС'!I55:M55)))</x:f>
      </x:c>
      <x:c r="H14" s="76">
        <x:f>IFERROR(IF(ROUND((G14)/F14*100,0)&gt;100,100,ROUND((G14)/F14*100,0)),"-")</x:f>
      </x:c>
      <x:c r="I14" s="563">
        <x:v>40</x:v>
      </x:c>
      <x:c r="J14" s="561">
        <x:f>IF(I14="",SUM('УПС'!O55:S55),IF(I14&lt;SUM('УПС'!O55:S55),I14,SUM('УПС'!O55:S55)))</x:f>
      </x:c>
      <x:c r="K14" s="76">
        <x:f>IFERROR(IF(ROUND((J14)/I14*100,0)&gt;100,100,ROUND((J14)/I14*100,0)),"-")</x:f>
      </x:c>
      <x:c r="L14" s="563">
        <x:v>40</x:v>
      </x:c>
      <x:c r="M14" s="561">
        <x:f>IF(L14="",SUM('УПС'!U55:Y55),IF(L14&lt;SUM('УПС'!U55:Y55),L14,SUM('УПС'!U55:Y55)))</x:f>
      </x:c>
      <x:c r="N14" s="76">
        <x:f>IFERROR(IF(ROUND((M14)/L14*100,0)&gt;100,100,ROUND((M14)/L14*100,0)),"-")</x:f>
      </x:c>
      <x:c r="O14" s="563">
        <x:v>40</x:v>
      </x:c>
      <x:c r="P14" s="561">
        <x:f>IF(O14="",SUM('УПС'!AA55:AE55),IF(O14&lt;SUM('УПС'!AA55:AE55),O14,SUM('УПС'!AA55:AE55)))</x:f>
      </x:c>
      <x:c r="Q14" s="76">
        <x:f>IFERROR(IF(ROUND((P14)/O14*100,0)&gt;100,100,ROUND((P14)/O14*100,0)),"-")</x:f>
      </x:c>
      <x:c r="R14" s="563">
        <x:v>40</x:v>
      </x:c>
      <x:c r="S14" s="561">
        <x:f>IF(R14="",SUM('УПС'!AG55:AK55),IF(R14&lt;SUM('УПС'!AG55:AK55),R14,SUM('УПС'!AG55:AK55)))</x:f>
      </x:c>
      <x:c r="T14" s="76">
        <x:f>IFERROR(IF(ROUND((S14)/R14*100,0)&gt;100,100,ROUND((S14)/R14*100,0)),"-")</x:f>
      </x:c>
      <x:c r="U14" s="563">
        <x:v>42</x:v>
      </x:c>
      <x:c r="V14" s="561">
        <x:f>IF(U14="",SUM('УПС'!AM55:AQ55),IF(U14&lt;SUM('УПС'!AM55:AQ55),U14,SUM('УПС'!AM55:AQ55)))</x:f>
      </x:c>
      <x:c r="W14" s="9">
        <x:f>IFERROR(IF(ROUND((V14)/U14*100,0)&gt;100,100,ROUND((V14)/U14*100,0)),"-")</x:f>
      </x:c>
      <x:c r="X14" s="563">
        <x:v>40</x:v>
      </x:c>
      <x:c r="Y14" s="561">
        <x:f>IF(X14="",SUM('УПС'!AS55:AW55),IF(X14&lt;SUM('УПС'!AS55:AW55),X14,SUM('УПС'!AS55:AW55)))</x:f>
      </x:c>
      <x:c r="Z14" s="76">
        <x:f>IFERROR(IF(ROUND((Y14)/X14*100,0)&gt;100,100,ROUND((Y14)/X14*100,0)),"-")</x:f>
      </x:c>
      <x:c r="AA14" s="563">
        <x:v>40</x:v>
      </x:c>
      <x:c r="AB14" s="561">
        <x:f>IF(AA14="",SUM('УПС'!AY55:BC55),IF(AA14&lt;SUM('УПС'!AY55:BC55),AA14,SUM('УПС'!AY55:BC55)))</x:f>
      </x:c>
      <x:c r="AC14" s="76">
        <x:f>IFERROR(IF(ROUND((AB14)/AA14*100,0)&gt;100,100,ROUND((AB14)/AA14*100,0)),"-")</x:f>
      </x:c>
      <x:c r="AD14" s="563">
        <x:v>40</x:v>
      </x:c>
      <x:c r="AE14" s="561">
        <x:f>IF(AD14="",SUM('УПС'!BE55:BI55),IF(AD14&lt;SUM('УПС'!BE55:BI55),AD14,SUM('УПС'!BE55:BI55)))</x:f>
      </x:c>
      <x:c r="AF14" s="76">
        <x:f>IFERROR(IF(ROUND((AE14)/AD14*100,0)&gt;100,100,ROUND((AE14)/AD14*100,0)),"-")</x:f>
      </x:c>
      <x:c r="AG14" s="563">
        <x:v>40</x:v>
      </x:c>
      <x:c r="AH14" s="561">
        <x:f>IF(AG14="",SUM('УПС'!BK55:BO55),IF(AG14&lt;SUM('УПС'!BK55:BO55),AG14,SUM('УПС'!BK55:BO55)))</x:f>
      </x:c>
      <x:c r="AI14" s="76">
        <x:f>IFERROR(IF(ROUND((AH14)/AG14*100,0)&gt;100,100,ROUND((AH14)/AG14*100,0)),"-")</x:f>
      </x:c>
      <x:c r="AJ14" s="563">
        <x:v>40</x:v>
      </x:c>
      <x:c r="AK14" s="561">
        <x:f>IF(AJ14="",SUM('УПС'!BQ55:BU55),IF(AJ14&lt;SUM('УПС'!BQ55:BU55),AJ14,SUM('УПС'!BQ55:BU55)))</x:f>
      </x:c>
      <x:c r="AL14" s="76">
        <x:f>IFERROR(IF(ROUND((AK14)/AJ14*100,0)&gt;100,100,ROUND((AK14)/AJ14*100,0)),"-")</x:f>
      </x:c>
    </x:row>
    <x:row r="15" spans="1:38" ht="17.25" customHeight="1" x14ac:dyDescent="0.25">
      <x:c r="A15" s="483"/>
      <x:c r="B15" s="566" t="s">
        <x:v>1076</x:v>
      </x:c>
      <x:c r="C15" s="563">
        <x:v>21</x:v>
      </x:c>
      <x:c r="D15" s="561">
        <x:f>IF(C15="",SUM('УПВ'!C23:G23),IF(C15&lt;SUM('УПВ'!C23:G23),C15,SUM('УПВ'!C23:G23)))</x:f>
      </x:c>
      <x:c r="E15" s="76">
        <x:f>IFERROR(IF(ROUND((D15)/C15*100,0)&gt;100,100,ROUND((D15)/C15*100,0)),"-")</x:f>
      </x:c>
      <x:c r="F15" s="563">
        <x:v>21</x:v>
      </x:c>
      <x:c r="G15" s="561">
        <x:f>IF(F15="",SUM('УПВ'!I23:M23),IF(F15&lt;SUM('УПВ'!I23:M23),F15,SUM('УПВ'!I23:M23)))</x:f>
      </x:c>
      <x:c r="H15" s="76">
        <x:f>IFERROR(IF(ROUND((G15)/F15*100,0)&gt;100,100,ROUND((G15)/F15*100,0)),"-")</x:f>
      </x:c>
      <x:c r="I15" s="563">
        <x:v>21</x:v>
      </x:c>
      <x:c r="J15" s="561">
        <x:f>IF(I15="",SUM('УПВ'!O23:S23),IF(I15&lt;SUM('УПВ'!O23:S23),I15,SUM('УПВ'!O23:S23)))</x:f>
      </x:c>
      <x:c r="K15" s="76">
        <x:f>IFERROR(IF(ROUND((J15)/I15*100,0)&gt;100,100,ROUND((J15)/I15*100,0)),"-")</x:f>
      </x:c>
      <x:c r="L15" s="563">
        <x:v>21</x:v>
      </x:c>
      <x:c r="M15" s="561">
        <x:f>IF(L15="",SUM('УПВ'!U23:Y23),IF(L15&lt;SUM('УПВ'!U23:Y23),L15,SUM('УПВ'!U23:Y23)))</x:f>
      </x:c>
      <x:c r="N15" s="76">
        <x:f>IFERROR(IF(ROUND((M15)/L15*100,0)&gt;100,100,ROUND((M15)/L15*100,0)),"-")</x:f>
      </x:c>
      <x:c r="O15" s="563">
        <x:v>21</x:v>
      </x:c>
      <x:c r="P15" s="561">
        <x:f>IF(O15="",SUM('УПВ'!AA23:AE23),IF(O15&lt;SUM('УПВ'!AA23:AE23),O15,SUM('УПВ'!AA23:AE23)))</x:f>
      </x:c>
      <x:c r="Q15" s="76">
        <x:f>IFERROR(IF(ROUND((P15)/O15*100,0)&gt;100,100,ROUND((P15)/O15*100,0)),"-")</x:f>
      </x:c>
      <x:c r="R15" s="563">
        <x:v>21</x:v>
      </x:c>
      <x:c r="S15" s="561">
        <x:f>IF(R15="",SUM('УПВ'!AG23:AK23),IF(R15&lt;SUM('УПВ'!AG23:AK23),R15,SUM('УПВ'!AG23:AK23)))</x:f>
      </x:c>
      <x:c r="T15" s="76">
        <x:f>IFERROR(IF(ROUND((S15)/R15*100,0)&gt;100,100,ROUND((S15)/R15*100,0)),"-")</x:f>
      </x:c>
      <x:c r="U15" s="563">
        <x:v>20</x:v>
      </x:c>
      <x:c r="V15" s="561">
        <x:f>IF(U15="",SUM('УПВ'!AM23:AQ23),IF(U15&lt;SUM('УПВ'!AM23:AQ23),U15,SUM('УПВ'!AM23:AQ23)))</x:f>
      </x:c>
      <x:c r="W15" s="9">
        <x:f>IFERROR(IF(ROUND((V15)/U15*100,0)&gt;100,100,ROUND((V15)/U15*100,0)),"-")</x:f>
      </x:c>
      <x:c r="X15" s="563">
        <x:v>21</x:v>
      </x:c>
      <x:c r="Y15" s="561">
        <x:f>IF(X15="",SUM('УПВ'!AS23:AW23),IF(X15&lt;SUM('УПВ'!AS23:AW23),X15,SUM('УПВ'!AS23:AW23)))</x:f>
      </x:c>
      <x:c r="Z15" s="76">
        <x:f>IFERROR(IF(ROUND((Y15)/X15*100,0)&gt;100,100,ROUND((Y15)/X15*100,0)),"-")</x:f>
      </x:c>
      <x:c r="AA15" s="563">
        <x:v>21</x:v>
      </x:c>
      <x:c r="AB15" s="561">
        <x:f>IF(AA15="",SUM('УПВ'!AY23:BC23),IF(AA15&lt;SUM('УПВ'!AY23:BC23),AA15,SUM('УПВ'!AY23:BC23)))</x:f>
      </x:c>
      <x:c r="AC15" s="76">
        <x:f>IFERROR(IF(ROUND((AB15)/AA15*100,0)&gt;100,100,ROUND((AB15)/AA15*100,0)),"-")</x:f>
      </x:c>
      <x:c r="AD15" s="563">
        <x:v>21</x:v>
      </x:c>
      <x:c r="AE15" s="561">
        <x:f>IF(AD15="",SUM('УПВ'!BE23:BI23),IF(AD15&lt;SUM('УПВ'!BE23:BI23),AD15,SUM('УПВ'!BE23:BI23)))</x:f>
      </x:c>
      <x:c r="AF15" s="76">
        <x:f>IFERROR(IF(ROUND((AE15)/AD15*100,0)&gt;100,100,ROUND((AE15)/AD15*100,0)),"-")</x:f>
      </x:c>
      <x:c r="AG15" s="563">
        <x:v>21</x:v>
      </x:c>
      <x:c r="AH15" s="561">
        <x:f>IF(AG15="",SUM('УПВ'!BK23:BO23),IF(AG15&lt;SUM('УПВ'!BK23:BO23),AG15,SUM('УПВ'!BK23:BO23)))</x:f>
      </x:c>
      <x:c r="AI15" s="76">
        <x:f>IFERROR(IF(ROUND((AH15)/AG15*100,0)&gt;100,100,ROUND((AH15)/AG15*100,0)),"-")</x:f>
      </x:c>
      <x:c r="AJ15" s="563">
        <x:v>21</x:v>
      </x:c>
      <x:c r="AK15" s="561">
        <x:f>IF(AJ15="",SUM('УПВ'!BQ23:BU23),IF(AJ15&lt;SUM('УПВ'!BQ23:BU23),AJ15,SUM('УПВ'!BQ23:BU23)))</x:f>
      </x:c>
      <x:c r="AL15" s="76">
        <x:f>IFERROR(IF(ROUND((AK15)/AJ15*100,0)&gt;100,100,ROUND((AK15)/AJ15*100,0)),"-")</x:f>
      </x:c>
    </x:row>
    <x:row r="16" spans="1:38" ht="18" customHeight="1" x14ac:dyDescent="0.25">
      <x:c r="A16" s="483"/>
      <x:c r="B16" s="566" t="s">
        <x:v>1077</x:v>
      </x:c>
      <x:c r="C16" s="563">
        <x:v>10</x:v>
      </x:c>
      <x:c r="D16" s="561">
        <x:f>IF(C16="",SUM('ФУиУСУГиП'!C15:G15),IF(C16&lt;SUM('ФУиУСУГиП'!C15:G15),C16,SUM('ФУиУСУГиП'!C15:G15)))</x:f>
      </x:c>
      <x:c r="E16" s="76">
        <x:f>IFERROR(IF(ROUND((D16)/C16*100,0)&gt;100,100,ROUND((D16)/C16*100,0)),"-")</x:f>
      </x:c>
      <x:c r="F16" s="563">
        <x:v>10</x:v>
      </x:c>
      <x:c r="G16" s="561">
        <x:f>IF(F16="",SUM('ФУиУСУГиП'!I15:M15),IF(F16&lt;SUM('ФУиУСУГиП'!I15:M15),F16,SUM('ФУиУСУГиП'!I15:M15)))</x:f>
      </x:c>
      <x:c r="H16" s="76">
        <x:f>IFERROR(IF(ROUND((G16)/F16*100,0)&gt;100,100,ROUND((G16)/F16*100,0)),"-")</x:f>
      </x:c>
      <x:c r="I16" s="563">
        <x:v>10</x:v>
      </x:c>
      <x:c r="J16" s="561">
        <x:f>IF(I16="",SUM('ФУиУСУГиП'!O15:S15),IF(I16&lt;SUM('ФУиУСУГиП'!O15:S15),I16,SUM('ФУиУСУГиП'!O15:S15)))</x:f>
      </x:c>
      <x:c r="K16" s="76">
        <x:f>IFERROR(IF(ROUND((J16)/I16*100,0)&gt;100,100,ROUND((J16)/I16*100,0)),"-")</x:f>
      </x:c>
      <x:c r="L16" s="563">
        <x:v>10</x:v>
      </x:c>
      <x:c r="M16" s="561">
        <x:f>IF(L16="",SUM('ФУиУСУГиП'!U15:Y15),IF(L16&lt;SUM('ФУиУСУГиП'!U15:Y15),L16,SUM('ФУиУСУГиП'!U15:Y15)))</x:f>
      </x:c>
      <x:c r="N16" s="76">
        <x:f>IFERROR(IF(ROUND((M16)/L16*100,0)&gt;100,100,ROUND((M16)/L16*100,0)),"-")</x:f>
      </x:c>
      <x:c r="O16" s="563">
        <x:v>10</x:v>
      </x:c>
      <x:c r="P16" s="561">
        <x:f>IF(O16="",SUM('ФУиУСУГиП'!AA15:AE15),IF(O16&lt;SUM('ФУиУСУГиП'!AA15:AE15),O16,SUM('ФУиУСУГиП'!AA15:AE15)))</x:f>
      </x:c>
      <x:c r="Q16" s="76">
        <x:f>IFERROR(IF(ROUND((P16)/O16*100,0)&gt;100,100,ROUND((P16)/O16*100,0)),"-")</x:f>
      </x:c>
      <x:c r="R16" s="563">
        <x:v>10</x:v>
      </x:c>
      <x:c r="S16" s="561">
        <x:f>IF(R16="",SUM('ФУиУСУГиП'!AG15:AK15),IF(R16&lt;SUM('ФУиУСУГиП'!AG15:AK15),R16,SUM('ФУиУСУГиП'!AG15:AK15)))</x:f>
      </x:c>
      <x:c r="T16" s="76">
        <x:f>IFERROR(IF(ROUND((S16)/R16*100,0)&gt;100,100,ROUND((S16)/R16*100,0)),"-")</x:f>
      </x:c>
      <x:c r="U16" s="563">
        <x:v>10</x:v>
      </x:c>
      <x:c r="V16" s="561">
        <x:f>IF(U16="",SUM('ФУиУСУГиП'!AM15:AQ15),IF(U16&lt;SUM('ФУиУСУГиП'!AM15:AQ15),U16,SUM('ФУиУСУГиП'!AM15:AQ15)))</x:f>
      </x:c>
      <x:c r="W16" s="9">
        <x:f>IFERROR(IF(ROUND((V16)/U16*100,0)&gt;100,100,ROUND((V16)/U16*100,0)),"-")</x:f>
      </x:c>
      <x:c r="X16" s="563">
        <x:v>10</x:v>
      </x:c>
      <x:c r="Y16" s="561">
        <x:f>IF(X16="",SUM('ФУиУСУГиП'!AS15:AW15),IF(X16&lt;SUM('ФУиУСУГиП'!AS15:AW15),X16,SUM('ФУиУСУГиП'!AS15:AW15)))</x:f>
      </x:c>
      <x:c r="Z16" s="76">
        <x:f>IFERROR(IF(ROUND((Y16)/X16*100,0)&gt;100,100,ROUND((Y16)/X16*100,0)),"-")</x:f>
      </x:c>
      <x:c r="AA16" s="563">
        <x:v>10</x:v>
      </x:c>
      <x:c r="AB16" s="561">
        <x:f>IF(AA16="",SUM('ФУиУСУГиП'!AY15:BC15),IF(AA16&lt;SUM('ФУиУСУГиП'!AY15:BC15),AA16,SUM('ФУиУСУГиП'!AY15:BC15)))</x:f>
      </x:c>
      <x:c r="AC16" s="76">
        <x:f>IFERROR(IF(ROUND((AB16)/AA16*100,0)&gt;100,100,ROUND((AB16)/AA16*100,0)),"-")</x:f>
      </x:c>
      <x:c r="AD16" s="563">
        <x:v>10</x:v>
      </x:c>
      <x:c r="AE16" s="561">
        <x:f>IF(AD16="",SUM('ФУиУСУГиП'!BE15:BI15),IF(AD16&lt;SUM('ФУиУСУГиП'!BE15:BI15),AD16,SUM('ФУиУСУГиП'!BE15:BI15)))</x:f>
      </x:c>
      <x:c r="AF16" s="76">
        <x:f>IFERROR(IF(ROUND((AE16)/AD16*100,0)&gt;100,100,ROUND((AE16)/AD16*100,0)),"-")</x:f>
      </x:c>
      <x:c r="AG16" s="563">
        <x:v>10</x:v>
      </x:c>
      <x:c r="AH16" s="561">
        <x:f>IF(AG16="",SUM('ФУиУСУГиП'!BK15:BO15),IF(AG16&lt;SUM('ФУиУСУГиП'!BK15:BO15),AG16,SUM('ФУиУСУГиП'!BK15:BO15)))</x:f>
      </x:c>
      <x:c r="AI16" s="76">
        <x:f>IFERROR(IF(ROUND((AH16)/AG16*100,0)&gt;100,100,ROUND((AH16)/AG16*100,0)),"-")</x:f>
      </x:c>
      <x:c r="AJ16" s="563">
        <x:v>10</x:v>
      </x:c>
      <x:c r="AK16" s="561">
        <x:f>IF(AJ16="",SUM('ФУиУСУГиП'!BQ15:BU15),IF(AJ16&lt;SUM('ФУиУСУГиП'!BQ15:BU15),AJ16,SUM('ФУиУСУГиП'!BQ15:BU15)))</x:f>
      </x:c>
      <x:c r="AL16" s="76">
        <x:f>IFERROR(IF(ROUND((AK16)/AJ16*100,0)&gt;100,100,ROUND((AK16)/AJ16*100,0)),"-")</x:f>
      </x:c>
    </x:row>
    <x:row r="17" spans="1:38" ht="18" customHeight="1" x14ac:dyDescent="0.25">
      <x:c r="A17" s="483"/>
      <x:c r="B17" s="566" t="s">
        <x:v>1078</x:v>
      </x:c>
      <x:c r="C17" s="563"/>
      <x:c r="D17" s="561">
        <x:f>IF(C17="",SUM('ТАМЕ'!C24:G24),IF(C17&lt;SUM('ТАМЕ'!C24:G24),C17,SUM('ТАМЕ'!C24:G24)))</x:f>
      </x:c>
      <x:c r="E17" s="76">
        <x:f>IFERROR(IF(ROUND((D17)/C17*100,0)&gt;100,100,ROUND((D17)/C17*100,0)),"-")</x:f>
      </x:c>
      <x:c r="F17" s="563"/>
      <x:c r="G17" s="561">
        <x:f>IF(F17="",SUM('ТАМЕ'!I24:M24),IF(F17&lt;SUM('ТАМЕ'!I24:M24),F17,SUM('ТАМЕ'!I24:M24)))</x:f>
      </x:c>
      <x:c r="H17" s="76">
        <x:f>IFERROR(IF(ROUND((G17)/F17*100,0)&gt;100,100,ROUND((G17)/F17*100,0)),"-")</x:f>
      </x:c>
      <x:c r="I17" s="563"/>
      <x:c r="J17" s="561">
        <x:f>IF(I17="",SUM('ТАМЕ'!O24:S24),IF(I17&lt;SUM('ТАМЕ'!O24:S24),I17,SUM('ТАМЕ'!O24:S24)))</x:f>
      </x:c>
      <x:c r="K17" s="76">
        <x:f>IFERROR(IF(ROUND((J17)/I17*100,0)&gt;100,100,ROUND((J17)/I17*100,0)),"-")</x:f>
      </x:c>
      <x:c r="L17" s="563"/>
      <x:c r="M17" s="561">
        <x:f>IF(L17="",SUM('ТАМЕ'!U24:Y24),IF(L17&lt;SUM('ТАМЕ'!U24:Y24),L17,SUM('ТАМЕ'!U24:Y24)))</x:f>
      </x:c>
      <x:c r="N17" s="76">
        <x:f>IFERROR(IF(ROUND((M17)/L17*100,0)&gt;100,100,ROUND((M17)/L17*100,0)),"-")</x:f>
      </x:c>
      <x:c r="O17" s="563"/>
      <x:c r="P17" s="561">
        <x:f>IF(O17="",SUM('ТАМЕ'!AA24:AE24),IF(O17&lt;SUM('ТАМЕ'!AA24:AE24),O17,SUM('ТАМЕ'!AA24:AE24)))</x:f>
      </x:c>
      <x:c r="Q17" s="76">
        <x:f>IFERROR(IF(ROUND((P17)/O17*100,0)&gt;100,100,ROUND((P17)/O17*100,0)),"-")</x:f>
      </x:c>
      <x:c r="R17" s="563"/>
      <x:c r="S17" s="561">
        <x:f>IF(R17="",SUM('ТАМЕ'!AG24:AK24),IF(R17&lt;SUM('ТАМЕ'!AG24:AK24),R17,SUM('ТАМЕ'!AG24:AK24)))</x:f>
      </x:c>
      <x:c r="T17" s="76">
        <x:f>IFERROR(IF(ROUND((S17)/R17*100,0)&gt;100,100,ROUND((S17)/R17*100,0)),"-")</x:f>
      </x:c>
      <x:c r="U17" s="563"/>
      <x:c r="V17" s="561">
        <x:f>IF(U17="",SUM('ТАМЕ'!AM24:AQ24),IF(U17&lt;SUM('ТАМЕ'!AM24:AQ24),U17,SUM('ТАМЕ'!AM24:AQ24)))</x:f>
      </x:c>
      <x:c r="W17" s="9">
        <x:f>IFERROR(IF(ROUND((V17)/U17*100,0)&gt;100,100,ROUND((V17)/U17*100,0)),"-")</x:f>
      </x:c>
      <x:c r="X17" s="563"/>
      <x:c r="Y17" s="561">
        <x:f>IF(X17="",SUM('ТАМЕ'!AS24:AW24),IF(X17&lt;SUM('ТАМЕ'!AS24:AW24),X17,SUM('ТАМЕ'!AS24:AW24)))</x:f>
      </x:c>
      <x:c r="Z17" s="76">
        <x:f>IFERROR(IF(ROUND((Y17)/X17*100,0)&gt;100,100,ROUND((Y17)/X17*100,0)),"-")</x:f>
      </x:c>
      <x:c r="AA17" s="563"/>
      <x:c r="AB17" s="561">
        <x:f>IF(AA17="",SUM('ТАМЕ'!AY24:BC24),IF(AA17&lt;SUM('ТАМЕ'!AY24:BC24),AA17,SUM('ТАМЕ'!AY24:BC24)))</x:f>
      </x:c>
      <x:c r="AC17" s="76">
        <x:f>IFERROR(IF(ROUND((AB17)/AA17*100,0)&gt;100,100,ROUND((AB17)/AA17*100,0)),"-")</x:f>
      </x:c>
      <x:c r="AD17" s="563"/>
      <x:c r="AE17" s="561">
        <x:f>IF(AD17="",SUM('ТАМЕ'!BE24:BI24),IF(AD17&lt;SUM('ТАМЕ'!BE24:BI24),AD17,SUM('ТАМЕ'!BE24:BI24)))</x:f>
      </x:c>
      <x:c r="AF17" s="76">
        <x:f>IFERROR(IF(ROUND((AE17)/AD17*100,0)&gt;100,100,ROUND((AE17)/AD17*100,0)),"-")</x:f>
      </x:c>
      <x:c r="AG17" s="563"/>
      <x:c r="AH17" s="561">
        <x:f>IF(AG17="",SUM('ТАМЕ'!BK24:BO24),IF(AG17&lt;SUM('ТАМЕ'!BK24:BO24),AG17,SUM('ТАМЕ'!BK24:BO24)))</x:f>
      </x:c>
      <x:c r="AI17" s="76">
        <x:f>IFERROR(IF(ROUND((AH17)/AG17*100,0)&gt;100,100,ROUND((AH17)/AG17*100,0)),"-")</x:f>
      </x:c>
      <x:c r="AJ17" s="563"/>
      <x:c r="AK17" s="561">
        <x:f>IF(AJ17="",SUM('ТАМЕ'!BQ24:BU24),IF(AJ17&lt;SUM('ТАМЕ'!BQ24:BU24),AJ17,SUM('ТАМЕ'!BQ24:BU24)))</x:f>
      </x:c>
      <x:c r="AL17" s="76">
        <x:f>IFERROR(IF(ROUND((AK17)/AJ17*100,0)&gt;100,100,ROUND((AK17)/AJ17*100,0)),"-")</x:f>
      </x:c>
    </x:row>
    <x:row r="18" spans="1:38" ht="18.75" customHeight="1" x14ac:dyDescent="0.25">
      <x:c r="A18" s="222"/>
      <x:c r="B18" s="566" t="s">
        <x:v>1079</x:v>
      </x:c>
      <x:c r="C18" s="567">
        <x:v>83</x:v>
      </x:c>
      <x:c r="D18" s="561">
        <x:f>IF(C18="",SUM('Г-43-107'!C96:G96),IF(C18&lt;SUM('Г-43-107'!C96:G96),C18,SUM('Г-43-107'!C96:G96)))</x:f>
      </x:c>
      <x:c r="E18" s="76">
        <x:f>IFERROR(IF(ROUND((D18)/C18*100,0)&gt;100,100,ROUND((D18)/C18*100,0)),"-")</x:f>
      </x:c>
      <x:c r="F18" s="567">
        <x:v>83</x:v>
      </x:c>
      <x:c r="G18" s="561">
        <x:f>IF(F18="",SUM('Г-43-107'!I96:M96),IF(F18&lt;SUM('Г-43-107'!I96:M96),F18,SUM('Г-43-107'!I96:M96)))</x:f>
      </x:c>
      <x:c r="H18" s="76">
        <x:f>IFERROR(IF(ROUND((G18)/F18*100,0)&gt;100,100,ROUND((G18)/F18*100,0)),"-")</x:f>
      </x:c>
      <x:c r="I18" s="567">
        <x:v>83</x:v>
      </x:c>
      <x:c r="J18" s="561">
        <x:f>IF(I18="",SUM('Г-43-107'!O96:S96),IF(I18&lt;SUM('Г-43-107'!O96:S96),I18,SUM('Г-43-107'!O96:S96)))</x:f>
      </x:c>
      <x:c r="K18" s="76">
        <x:f>IFERROR(IF(ROUND((J18)/I18*100,0)&gt;100,100,ROUND((J18)/I18*100,0)),"-")</x:f>
      </x:c>
      <x:c r="L18" s="567">
        <x:v>83</x:v>
      </x:c>
      <x:c r="M18" s="561">
        <x:f>IF(L18="",SUM('Г-43-107'!U96:Y96),IF(L18&lt;SUM('Г-43-107'!U96:Y96),L18,SUM('Г-43-107'!U96:Y96)))</x:f>
      </x:c>
      <x:c r="N18" s="76">
        <x:f>IFERROR(IF(ROUND((M18)/L18*100,0)&gt;100,100,ROUND((M18)/L18*100,0)),"-")</x:f>
      </x:c>
      <x:c r="O18" s="567">
        <x:v>83</x:v>
      </x:c>
      <x:c r="P18" s="561">
        <x:f>IF(O18="",SUM('Г-43-107'!AA96:AE96),IF(O18&lt;SUM('Г-43-107'!AA96:AE96),O18,SUM('Г-43-107'!AA96:AE96)))</x:f>
      </x:c>
      <x:c r="Q18" s="76">
        <x:f>IFERROR(IF(ROUND((P18)/O18*100,0)&gt;100,100,ROUND((P18)/O18*100,0)),"-")</x:f>
      </x:c>
      <x:c r="R18" s="567">
        <x:v>83</x:v>
      </x:c>
      <x:c r="S18" s="561">
        <x:f>IF(R18="",SUM('Г-43-107'!AG96:AK96),IF(R18&lt;SUM('Г-43-107'!AG96:AK96),R18,SUM('Г-43-107'!AG96:AK96)))</x:f>
      </x:c>
      <x:c r="T18" s="76">
        <x:f>IFERROR(IF(ROUND((S18)/R18*100,0)&gt;100,100,ROUND((S18)/R18*100,0)),"-")</x:f>
      </x:c>
      <x:c r="U18" s="567">
        <x:v>83</x:v>
      </x:c>
      <x:c r="V18" s="561">
        <x:f>IF(U18="",SUM('Г-43-107'!AM96:AQ96),IF(U18&lt;SUM('Г-43-107'!AM96:AQ96),U18,SUM('Г-43-107'!AM96:AQ96)))</x:f>
      </x:c>
      <x:c r="W18" s="9">
        <x:f>IFERROR(IF(ROUND((V18)/U18*100,0)&gt;100,100,ROUND((V18)/U18*100,0)),"-")</x:f>
      </x:c>
      <x:c r="X18" s="567">
        <x:v>84</x:v>
      </x:c>
      <x:c r="Y18" s="561">
        <x:f>IF(X18="",SUM('Г-43-107'!AS96:AW96),IF(X18&lt;SUM('Г-43-107'!AS96:AW96),X18,SUM('Г-43-107'!AS96:AW96)))</x:f>
      </x:c>
      <x:c r="Z18" s="76">
        <x:f>IFERROR(IF(ROUND((Y18)/X18*100,0)&gt;100,100,ROUND((Y18)/X18*100,0)),"-")</x:f>
      </x:c>
      <x:c r="AA18" s="567">
        <x:v>83</x:v>
      </x:c>
      <x:c r="AB18" s="561">
        <x:f>IF(AA18="",SUM('Г-43-107'!AY96:BC96),IF(AA18&lt;SUM('Г-43-107'!AY96:BC96),AA18,SUM('Г-43-107'!AY96:BC96)))</x:f>
      </x:c>
      <x:c r="AC18" s="76">
        <x:f>IFERROR(IF(ROUND((AB18)/AA18*100,0)&gt;100,100,ROUND((AB18)/AA18*100,0)),"-")</x:f>
      </x:c>
      <x:c r="AD18" s="567">
        <x:v>83</x:v>
      </x:c>
      <x:c r="AE18" s="561">
        <x:f>IF(AD18="",SUM('Г-43-107'!BE96:BI96),IF(AD18&lt;SUM('Г-43-107'!BE96:BI96),AD18,SUM('Г-43-107'!BE96:BI96)))</x:f>
      </x:c>
      <x:c r="AF18" s="76">
        <x:f>IFERROR(IF(ROUND((AE18)/AD18*100,0)&gt;100,100,ROUND((AE18)/AD18*100,0)),"-")</x:f>
      </x:c>
      <x:c r="AG18" s="567">
        <x:v>83</x:v>
      </x:c>
      <x:c r="AH18" s="561">
        <x:f>IF(AG18="",SUM('Г-43-107'!BK96:BO96),IF(AG18&lt;SUM('Г-43-107'!BK96:BO96),AG18,SUM('Г-43-107'!BK96:BO96)))</x:f>
      </x:c>
      <x:c r="AI18" s="76">
        <x:f>IFERROR(IF(ROUND((AH18)/AG18*100,0)&gt;100,100,ROUND((AH18)/AG18*100,0)),"-")</x:f>
      </x:c>
      <x:c r="AJ18" s="567">
        <x:v>83</x:v>
      </x:c>
      <x:c r="AK18" s="561">
        <x:f>IF(AJ18="",SUM('Г-43-107'!BQ96:BU96),IF(AJ18&lt;SUM('Г-43-107'!BQ96:BU96),AJ18,SUM('Г-43-107'!BQ96:BU96)))</x:f>
      </x:c>
      <x:c r="AL18" s="76">
        <x:f>IFERROR(IF(ROUND((AK18)/AJ18*100,0)&gt;100,100,ROUND((AK18)/AJ18*100,0)),"-")</x:f>
      </x:c>
    </x:row>
    <x:row r="19" spans="1:38" ht="72.75" customHeight="1" x14ac:dyDescent="0.25">
      <x:c r="A19" s="568" t="s">
        <x:v>1080</x:v>
      </x:c>
      <x:c r="B19" s="569" t="s">
        <x:v>1081</x:v>
      </x:c>
      <x:c r="C19" s="570">
        <x:v>100</x:v>
      </x:c>
      <x:c r="D19" s="561">
        <x:f>IF(C19="",SUM('КУПН'!C109:G109),IF(C19&lt;SUM('КУПН'!C109:G109),C19,SUM('КУПН'!C109:G109)))</x:f>
      </x:c>
      <x:c r="E19" s="76">
        <x:f>IFERROR(IF(ROUND((D19)/C19*100,0)&gt;100,100,ROUND((D19)/C19*100,0)),"-")</x:f>
      </x:c>
      <x:c r="F19" s="570">
        <x:v>100</x:v>
      </x:c>
      <x:c r="G19" s="561">
        <x:f>IF(F19="",SUM('КУПН'!I109:M109),IF(F19&lt;SUM('КУПН'!I109:M109),F19,SUM('КУПН'!I109:M109)))</x:f>
      </x:c>
      <x:c r="H19" s="76">
        <x:f>IFERROR(IF(ROUND((G19)/F19*100,0)&gt;100,100,ROUND((G19)/F19*100,0)),"-")</x:f>
      </x:c>
      <x:c r="I19" s="570">
        <x:v>100</x:v>
      </x:c>
      <x:c r="J19" s="561">
        <x:f>IF(I19="",SUM('КУПН'!O109:S109),IF(I19&lt;SUM('КУПН'!O109:S109),I19,SUM('КУПН'!O109:S109)))</x:f>
      </x:c>
      <x:c r="K19" s="76">
        <x:f>IFERROR(IF(ROUND((J19)/I19*100,0)&gt;100,100,ROUND((J19)/I19*100,0)),"-")</x:f>
      </x:c>
      <x:c r="L19" s="570">
        <x:v>100</x:v>
      </x:c>
      <x:c r="M19" s="561">
        <x:f>IF(L19="",SUM('КУПН'!U109:Y109),IF(L19&lt;SUM('КУПН'!U109:Y109),L19,SUM('КУПН'!U109:Y109)))</x:f>
      </x:c>
      <x:c r="N19" s="76">
        <x:f>IFERROR(IF(ROUND((M19)/L19*100,0)&gt;100,100,ROUND((M19)/L19*100,0)),"-")</x:f>
      </x:c>
      <x:c r="O19" s="570">
        <x:v>100</x:v>
      </x:c>
      <x:c r="P19" s="561">
        <x:f>IF(O19="",SUM('КУПН'!AA109:AE109),IF(O19&lt;SUM('КУПН'!AA109:AE109),O19,SUM('КУПН'!AA109:AE109)))</x:f>
      </x:c>
      <x:c r="Q19" s="76">
        <x:f>IFERROR(IF(ROUND((P19)/O19*100,0)&gt;100,100,ROUND((P19)/O19*100,0)),"-")</x:f>
      </x:c>
      <x:c r="R19" s="570">
        <x:v>100</x:v>
      </x:c>
      <x:c r="S19" s="561">
        <x:f>IF(R19="",SUM('КУПН'!AG109:AK109),IF(R19&lt;SUM('КУПН'!AG109:AK109),R19,SUM('КУПН'!AG109:AK109)))</x:f>
      </x:c>
      <x:c r="T19" s="76">
        <x:f>IFERROR(IF(ROUND((S19)/R19*100,0)&gt;100,100,ROUND((S19)/R19*100,0)),"-")</x:f>
      </x:c>
      <x:c r="U19" s="570">
        <x:v>100</x:v>
      </x:c>
      <x:c r="V19" s="561">
        <x:f>IF(U19="",SUM('КУПН'!AM109:AQ109),IF(U19&lt;SUM('КУПН'!AM109:AQ109),U19,SUM('КУПН'!AM109:AQ109)))</x:f>
      </x:c>
      <x:c r="W19" s="9">
        <x:f>IFERROR(IF(ROUND((V19)/U19*100,0)&gt;100,100,ROUND((V19)/U19*100,0)),"-")</x:f>
      </x:c>
      <x:c r="X19" s="570">
        <x:v>100</x:v>
      </x:c>
      <x:c r="Y19" s="561">
        <x:f>IF(X19="",SUM('КУПН'!AS109:AW109),IF(X19&lt;SUM('КУПН'!AS109:AW109),X19,SUM('КУПН'!AS109:AW109)))</x:f>
      </x:c>
      <x:c r="Z19" s="76">
        <x:f>IFERROR(IF(ROUND((Y19)/X19*100,0)&gt;100,100,ROUND((Y19)/X19*100,0)),"-")</x:f>
      </x:c>
      <x:c r="AA19" s="570">
        <x:v>100</x:v>
      </x:c>
      <x:c r="AB19" s="561">
        <x:f>IF(AA19="",SUM('КУПН'!AY109:BC109),IF(AA19&lt;SUM('КУПН'!AY109:BC109),AA19,SUM('КУПН'!AY109:BC109)))</x:f>
      </x:c>
      <x:c r="AC19" s="76">
        <x:f>IFERROR(IF(ROUND((AB19)/AA19*100,0)&gt;100,100,ROUND((AB19)/AA19*100,0)),"-")</x:f>
      </x:c>
      <x:c r="AD19" s="570">
        <x:v>100</x:v>
      </x:c>
      <x:c r="AE19" s="561">
        <x:f>IF(AD19="",SUM('КУПН'!BE109:BI109),IF(AD19&lt;SUM('КУПН'!BE109:BI109),AD19,SUM('КУПН'!BE109:BI109)))</x:f>
      </x:c>
      <x:c r="AF19" s="76">
        <x:f>IFERROR(IF(ROUND((AE19)/AD19*100,0)&gt;100,100,ROUND((AE19)/AD19*100,0)),"-")</x:f>
      </x:c>
      <x:c r="AG19" s="570">
        <x:v>100</x:v>
      </x:c>
      <x:c r="AH19" s="561">
        <x:f>IF(AG19="",SUM('КУПН'!BK109:BO109),IF(AG19&lt;SUM('КУПН'!BK109:BO109),AG19,SUM('КУПН'!BK109:BO109)))</x:f>
      </x:c>
      <x:c r="AI19" s="76">
        <x:f>IFERROR(IF(ROUND((AH19)/AG19*100,0)&gt;100,100,ROUND((AH19)/AG19*100,0)),"-")</x:f>
      </x:c>
      <x:c r="AJ19" s="570">
        <x:v>100</x:v>
      </x:c>
      <x:c r="AK19" s="561">
        <x:f>IF(AJ19="",SUM('КУПН'!BQ109:BU109),IF(AJ19&lt;SUM('КУПН'!BQ109:BU109),AJ19,SUM('КУПН'!BQ109:BU109)))</x:f>
      </x:c>
      <x:c r="AL19" s="76">
        <x:f>IFERROR(IF(ROUND((AK19)/AJ19*100,0)&gt;100,100,ROUND((AK19)/AJ19*100,0)),"-")</x:f>
      </x:c>
    </x:row>
    <x:row r="20" spans="1:38" x14ac:dyDescent="0.25">
      <x:c r="A20" s="571" t="s">
        <x:v>1082</x:v>
      </x:c>
      <x:c r="B20" s="572" t="s">
        <x:v>1083</x:v>
      </x:c>
      <x:c r="C20" s="563">
        <x:v>10</x:v>
      </x:c>
      <x:c r="D20" s="561">
        <x:f>IF(C20="",SUM('УПА'!C14:G14),IF(C20&lt;SUM('УПА'!C14:G14),C20,SUM('УПА'!C14:G14)))</x:f>
      </x:c>
      <x:c r="E20" s="76">
        <x:f>IFERROR(IF(ROUND((D20)/C20*100,0)&gt;100,100,ROUND((D20)/C20*100,0)),"-")</x:f>
      </x:c>
      <x:c r="F20" s="563">
        <x:v>10</x:v>
      </x:c>
      <x:c r="G20" s="561">
        <x:f>IF(F20="",SUM('УПА'!I14:M14),IF(F20&lt;SUM('УПА'!I14:M14),F20,SUM('УПА'!I14:M14)))</x:f>
      </x:c>
      <x:c r="H20" s="76">
        <x:f>IFERROR(IF(ROUND((G20)/F20*100,0)&gt;100,100,ROUND((G20)/F20*100,0)),"-")</x:f>
      </x:c>
      <x:c r="I20" s="563">
        <x:v>10</x:v>
      </x:c>
      <x:c r="J20" s="561">
        <x:f>IF(I20="",SUM('УПА'!O14:S14),IF(I20&lt;SUM('УПА'!O14:S14),I20,SUM('УПА'!O14:S14)))</x:f>
      </x:c>
      <x:c r="K20" s="76">
        <x:f>IFERROR(IF(ROUND((J20)/I20*100,0)&gt;100,100,ROUND((J20)/I20*100,0)),"-")</x:f>
      </x:c>
      <x:c r="L20" s="563">
        <x:v>10</x:v>
      </x:c>
      <x:c r="M20" s="561">
        <x:f>IF(L20="",SUM('УПА'!U14:Y14),IF(L20&lt;SUM('УПА'!U14:Y14),L20,SUM('УПА'!U14:Y14)))</x:f>
      </x:c>
      <x:c r="N20" s="76">
        <x:f>IFERROR(IF(ROUND((M20)/L20*100,0)&gt;100,100,ROUND((M20)/L20*100,0)),"-")</x:f>
      </x:c>
      <x:c r="O20" s="563">
        <x:v>10</x:v>
      </x:c>
      <x:c r="P20" s="561">
        <x:f>IF(O20="",SUM('УПА'!AA14:AE14),IF(O20&lt;SUM('УПА'!AA14:AE14),O20,SUM('УПА'!AA14:AE14)))</x:f>
      </x:c>
      <x:c r="Q20" s="76">
        <x:f>IFERROR(IF(ROUND((P20)/O20*100,0)&gt;100,100,ROUND((P20)/O20*100,0)),"-")</x:f>
      </x:c>
      <x:c r="R20" s="563">
        <x:v>10</x:v>
      </x:c>
      <x:c r="S20" s="561">
        <x:f>IF(R20="",SUM('УПА'!AG14:AK14),IF(R20&lt;SUM('УПА'!AG14:AK14),R20,SUM('УПА'!AG14:AK14)))</x:f>
      </x:c>
      <x:c r="T20" s="76">
        <x:f>IFERROR(IF(ROUND((S20)/R20*100,0)&gt;100,100,ROUND((S20)/R20*100,0)),"-")</x:f>
      </x:c>
      <x:c r="U20" s="563">
        <x:v>10</x:v>
      </x:c>
      <x:c r="V20" s="561">
        <x:f>IF(U20="",SUM('УПА'!AM14:AQ14),IF(U20&lt;SUM('УПА'!AM14:AQ14),U20,SUM('УПА'!AM14:AQ14)))</x:f>
      </x:c>
      <x:c r="W20" s="9">
        <x:f>IFERROR(IF(ROUND((V20)/U20*100,0)&gt;100,100,ROUND((V20)/U20*100,0)),"-")</x:f>
      </x:c>
      <x:c r="X20" s="563">
        <x:v>10</x:v>
      </x:c>
      <x:c r="Y20" s="561">
        <x:f>IF(X20="",SUM('УПА'!AS14:AW14),IF(X20&lt;SUM('УПА'!AS14:AW14),X20,SUM('УПА'!AS14:AW14)))</x:f>
      </x:c>
      <x:c r="Z20" s="76">
        <x:f>IFERROR(IF(ROUND((Y20)/X20*100,0)&gt;100,100,ROUND((Y20)/X20*100,0)),"-")</x:f>
      </x:c>
      <x:c r="AA20" s="563">
        <x:v>10</x:v>
      </x:c>
      <x:c r="AB20" s="561">
        <x:f>IF(AA20="",SUM('УПА'!AY14:BC14),IF(AA20&lt;SUM('УПА'!AY14:BC14),AA20,SUM('УПА'!AY14:BC14)))</x:f>
      </x:c>
      <x:c r="AC20" s="76">
        <x:f>IFERROR(IF(ROUND((AB20)/AA20*100,0)&gt;100,100,ROUND((AB20)/AA20*100,0)),"-")</x:f>
      </x:c>
      <x:c r="AD20" s="563">
        <x:v>10</x:v>
      </x:c>
      <x:c r="AE20" s="561">
        <x:f>IF(AD20="",SUM('УПА'!BE14:BI14),IF(AD20&lt;SUM('УПА'!BE14:BI14),AD20,SUM('УПА'!BE14:BI14)))</x:f>
      </x:c>
      <x:c r="AF20" s="76">
        <x:f>IFERROR(IF(ROUND((AE20)/AD20*100,0)&gt;100,100,ROUND((AE20)/AD20*100,0)),"-")</x:f>
      </x:c>
      <x:c r="AG20" s="563">
        <x:v>10</x:v>
      </x:c>
      <x:c r="AH20" s="561">
        <x:f>IF(AG20="",SUM('УПА'!BK14:BO14),IF(AG20&lt;SUM('УПА'!BK14:BO14),AG20,SUM('УПА'!BK14:BO14)))</x:f>
      </x:c>
      <x:c r="AI20" s="76">
        <x:f>IFERROR(IF(ROUND((AH20)/AG20*100,0)&gt;100,100,ROUND((AH20)/AG20*100,0)),"-")</x:f>
      </x:c>
      <x:c r="AJ20" s="563">
        <x:v>10</x:v>
      </x:c>
      <x:c r="AK20" s="561">
        <x:f>IF(AJ20="",SUM('УПА'!BQ14:BU14),IF(AJ20&lt;SUM('УПА'!BQ14:BU14),AJ20,SUM('УПА'!BQ14:BU14)))</x:f>
      </x:c>
      <x:c r="AL20" s="76">
        <x:f>IFERROR(IF(ROUND((AK20)/AJ20*100,0)&gt;100,100,ROUND((AK20)/AJ20*100,0)),"-")</x:f>
      </x:c>
    </x:row>
    <x:row r="21" spans="1:38" x14ac:dyDescent="0.25">
      <x:c r="A21" s="483"/>
      <x:c r="B21" s="572" t="s">
        <x:v>1084</x:v>
      </x:c>
      <x:c r="C21" s="563">
        <x:v>24</x:v>
      </x:c>
      <x:c r="D21" s="561">
        <x:f>IF(C21="",SUM('Котельные'!C30:G30),IF(C21&lt;SUM('Котельные'!C30:G30),C21,SUM('Котельные'!C30:G30)))</x:f>
      </x:c>
      <x:c r="E21" s="76">
        <x:f>IFERROR(IF(ROUND((D21)/C21*100,0)&gt;100,100,ROUND((D21)/C21*100,0)),"-")</x:f>
      </x:c>
      <x:c r="F21" s="563">
        <x:v>24</x:v>
      </x:c>
      <x:c r="G21" s="561">
        <x:f>IF(F21="",SUM('Котельные'!I30:M30),IF(F21&lt;SUM('Котельные'!I30:M30),F21,SUM('Котельные'!I30:M30)))</x:f>
      </x:c>
      <x:c r="H21" s="76">
        <x:f>IFERROR(IF(ROUND((G21)/F21*100,0)&gt;100,100,ROUND((G21)/F21*100,0)),"-")</x:f>
      </x:c>
      <x:c r="I21" s="563">
        <x:v>24</x:v>
      </x:c>
      <x:c r="J21" s="561">
        <x:f>IF(I21="",SUM('Котельные'!O30:S30),IF(I21&lt;SUM('Котельные'!O30:S30),I21,SUM('Котельные'!O30:S30)))</x:f>
      </x:c>
      <x:c r="K21" s="76">
        <x:f>IFERROR(IF(ROUND((J21)/I21*100,0)&gt;100,100,ROUND((J21)/I21*100,0)),"-")</x:f>
      </x:c>
      <x:c r="L21" s="563">
        <x:v>24</x:v>
      </x:c>
      <x:c r="M21" s="561">
        <x:f>IF(L21="",SUM('Котельные'!U30:Y30),IF(L21&lt;SUM('Котельные'!U30:Y30),L21,SUM('Котельные'!U30:Y30)))</x:f>
      </x:c>
      <x:c r="N21" s="76">
        <x:f>IFERROR(IF(ROUND((M21)/L21*100,0)&gt;100,100,ROUND((M21)/L21*100,0)),"-")</x:f>
      </x:c>
      <x:c r="O21" s="563">
        <x:v>24</x:v>
      </x:c>
      <x:c r="P21" s="561">
        <x:f>IF(O21="",SUM('Котельные'!AA30:AE30),IF(O21&lt;SUM('Котельные'!AA30:AE30),O21,SUM('Котельные'!AA30:AE30)))</x:f>
      </x:c>
      <x:c r="Q21" s="76">
        <x:f>IFERROR(IF(ROUND((P21)/O21*100,0)&gt;100,100,ROUND((P21)/O21*100,0)),"-")</x:f>
      </x:c>
      <x:c r="R21" s="563">
        <x:v>24</x:v>
      </x:c>
      <x:c r="S21" s="561">
        <x:f>IF(R21="",SUM('Котельные'!AG30:AK30),IF(R21&lt;SUM('Котельные'!AG30:AK30),R21,SUM('Котельные'!AG30:AK30)))</x:f>
      </x:c>
      <x:c r="T21" s="76">
        <x:f>IFERROR(IF(ROUND((S21)/R21*100,0)&gt;100,100,ROUND((S21)/R21*100,0)),"-")</x:f>
      </x:c>
      <x:c r="U21" s="563">
        <x:v>24</x:v>
      </x:c>
      <x:c r="V21" s="561">
        <x:f>IF(U21="",SUM('Котельные'!AM30:AQ30),IF(U21&lt;SUM('Котельные'!AM30:AQ30),U21,SUM('Котельные'!AM30:AQ30)))</x:f>
      </x:c>
      <x:c r="W21" s="9">
        <x:f>IFERROR(IF(ROUND((V21)/U21*100,0)&gt;100,100,ROUND((V21)/U21*100,0)),"-")</x:f>
      </x:c>
      <x:c r="X21" s="563">
        <x:v>24</x:v>
      </x:c>
      <x:c r="Y21" s="561">
        <x:f>IF(X21="",SUM('Котельные'!AS30:AW30),IF(X21&lt;SUM('Котельные'!AS30:AW30),X21,SUM('Котельные'!AS30:AW30)))</x:f>
      </x:c>
      <x:c r="Z21" s="76">
        <x:f>IFERROR(IF(ROUND((Y21)/X21*100,0)&gt;100,100,ROUND((Y21)/X21*100,0)),"-")</x:f>
      </x:c>
      <x:c r="AA21" s="563">
        <x:v>24</x:v>
      </x:c>
      <x:c r="AB21" s="561">
        <x:f>IF(AA21="",SUM('Котельные'!AY30:BC30),IF(AA21&lt;SUM('Котельные'!AY30:BC30),AA21,SUM('Котельные'!AY30:BC30)))</x:f>
      </x:c>
      <x:c r="AC21" s="76">
        <x:f>IFERROR(IF(ROUND((AB21)/AA21*100,0)&gt;100,100,ROUND((AB21)/AA21*100,0)),"-")</x:f>
      </x:c>
      <x:c r="AD21" s="563">
        <x:v>24</x:v>
      </x:c>
      <x:c r="AE21" s="561">
        <x:f>IF(AD21="",SUM('Котельные'!BE30:BI30),IF(AD21&lt;SUM('Котельные'!BE30:BI30),AD21,SUM('Котельные'!BE30:BI30)))</x:f>
      </x:c>
      <x:c r="AF21" s="76">
        <x:f>IFERROR(IF(ROUND((AE21)/AD21*100,0)&gt;100,100,ROUND((AE21)/AD21*100,0)),"-")</x:f>
      </x:c>
      <x:c r="AG21" s="563">
        <x:v>24</x:v>
      </x:c>
      <x:c r="AH21" s="561">
        <x:f>IF(AG21="",SUM('Котельные'!BK30:BO30),IF(AG21&lt;SUM('Котельные'!BK30:BO30),AG21,SUM('Котельные'!BK30:BO30)))</x:f>
      </x:c>
      <x:c r="AI21" s="76">
        <x:f>IFERROR(IF(ROUND((AH21)/AG21*100,0)&gt;100,100,ROUND((AH21)/AG21*100,0)),"-")</x:f>
      </x:c>
      <x:c r="AJ21" s="563">
        <x:v>24</x:v>
      </x:c>
      <x:c r="AK21" s="561">
        <x:f>IF(AJ21="",SUM('Котельные'!BQ30:BU30),IF(AJ21&lt;SUM('Котельные'!BQ30:BU30),AJ21,SUM('Котельные'!BQ30:BU30)))</x:f>
      </x:c>
      <x:c r="AL21" s="76">
        <x:f>IFERROR(IF(ROUND((AK21)/AJ21*100,0)&gt;100,100,ROUND((AK21)/AJ21*100,0)),"-")</x:f>
      </x:c>
    </x:row>
    <x:row r="22" spans="1:38" x14ac:dyDescent="0.25">
      <x:c r="A22" s="483"/>
      <x:c r="B22" s="572" t="s">
        <x:v>1085</x:v>
      </x:c>
      <x:c r="C22" s="563">
        <x:v>9</x:v>
      </x:c>
      <x:c r="D22" s="561">
        <x:f>IF(C22="",SUM('ЦВК'!C13:G13),IF(C22&lt;SUM('ЦВК'!C13:G13),C22,SUM('ЦВК'!C13:G13)))</x:f>
      </x:c>
      <x:c r="E22" s="76">
        <x:f>IFERROR(IF(ROUND((D22)/C22*100,0)&gt;100,100,ROUND((D22)/C22*100,0)),"-")</x:f>
      </x:c>
      <x:c r="F22" s="563">
        <x:v>9</x:v>
      </x:c>
      <x:c r="G22" s="561">
        <x:f>IF(F22="",SUM('ЦВК'!I13:M13),IF(F22&lt;SUM('ЦВК'!I13:M13),F22,SUM('ЦВК'!I13:M13)))</x:f>
      </x:c>
      <x:c r="H22" s="76">
        <x:f>IFERROR(IF(ROUND((G22)/F22*100,0)&gt;100,100,ROUND((G22)/F22*100,0)),"-")</x:f>
      </x:c>
      <x:c r="I22" s="563">
        <x:v>9</x:v>
      </x:c>
      <x:c r="J22" s="561">
        <x:f>IF(I22="",SUM('ЦВК'!O13:S13),IF(I22&lt;SUM('ЦВК'!O13:S13),I22,SUM('ЦВК'!O13:S13)))</x:f>
      </x:c>
      <x:c r="K22" s="76">
        <x:f>IFERROR(IF(ROUND((J22)/I22*100,0)&gt;100,100,ROUND((J22)/I22*100,0)),"-")</x:f>
      </x:c>
      <x:c r="L22" s="563">
        <x:v>9</x:v>
      </x:c>
      <x:c r="M22" s="561">
        <x:f>IF(L22="",SUM('ЦВК'!U13:Y13),IF(L22&lt;SUM('ЦВК'!U13:Y13),L22,SUM('ЦВК'!U13:Y13)))</x:f>
      </x:c>
      <x:c r="N22" s="76">
        <x:f>IFERROR(IF(ROUND((M22)/L22*100,0)&gt;100,100,ROUND((M22)/L22*100,0)),"-")</x:f>
      </x:c>
      <x:c r="O22" s="563">
        <x:v>9</x:v>
      </x:c>
      <x:c r="P22" s="561">
        <x:f>IF(O22="",SUM('ЦВК'!AA13:AE13),IF(O22&lt;SUM('ЦВК'!AA13:AE13),O22,SUM('ЦВК'!AA13:AE13)))</x:f>
      </x:c>
      <x:c r="Q22" s="76">
        <x:f>IFERROR(IF(ROUND((P22)/O22*100,0)&gt;100,100,ROUND((P22)/O22*100,0)),"-")</x:f>
      </x:c>
      <x:c r="R22" s="563">
        <x:v>9</x:v>
      </x:c>
      <x:c r="S22" s="561">
        <x:f>IF(R22="",SUM('ЦВК'!AG13:AK13),IF(R22&lt;SUM('ЦВК'!AG13:AK13),R22,SUM('ЦВК'!AG13:AK13)))</x:f>
      </x:c>
      <x:c r="T22" s="76">
        <x:f>IFERROR(IF(ROUND((S22)/R22*100,0)&gt;100,100,ROUND((S22)/R22*100,0)),"-")</x:f>
      </x:c>
      <x:c r="U22" s="563">
        <x:v>9</x:v>
      </x:c>
      <x:c r="V22" s="561">
        <x:f>IF(U22="",SUM('ЦВК'!AM13:AQ13),IF(U22&lt;SUM('ЦВК'!AM13:AQ13),U22,SUM('ЦВК'!AM13:AQ13)))</x:f>
      </x:c>
      <x:c r="W22" s="9">
        <x:f>IFERROR(IF(ROUND((V22)/U22*100,0)&gt;100,100,ROUND((V22)/U22*100,0)),"-")</x:f>
      </x:c>
      <x:c r="X22" s="563">
        <x:v>9</x:v>
      </x:c>
      <x:c r="Y22" s="561">
        <x:f>IF(X22="",SUM('ЦВК'!AS13:AW13),IF(X22&lt;SUM('ЦВК'!AS13:AW13),X22,SUM('ЦВК'!AS13:AW13)))</x:f>
      </x:c>
      <x:c r="Z22" s="76">
        <x:f>IFERROR(IF(ROUND((Y22)/X22*100,0)&gt;100,100,ROUND((Y22)/X22*100,0)),"-")</x:f>
      </x:c>
      <x:c r="AA22" s="563">
        <x:v>9</x:v>
      </x:c>
      <x:c r="AB22" s="561">
        <x:f>IF(AA22="",SUM('ЦВК'!AY13:BC13),IF(AA22&lt;SUM('ЦВК'!AY13:BC13),AA22,SUM('ЦВК'!AY13:BC13)))</x:f>
      </x:c>
      <x:c r="AC22" s="76">
        <x:f>IFERROR(IF(ROUND((AB22)/AA22*100,0)&gt;100,100,ROUND((AB22)/AA22*100,0)),"-")</x:f>
      </x:c>
      <x:c r="AD22" s="563">
        <x:v>9</x:v>
      </x:c>
      <x:c r="AE22" s="561">
        <x:f>IF(AD22="",SUM('ЦВК'!BE13:BI13),IF(AD22&lt;SUM('ЦВК'!BE13:BI13),AD22,SUM('ЦВК'!BE13:BI13)))</x:f>
      </x:c>
      <x:c r="AF22" s="76">
        <x:f>IFERROR(IF(ROUND((AE22)/AD22*100,0)&gt;100,100,ROUND((AE22)/AD22*100,0)),"-")</x:f>
      </x:c>
      <x:c r="AG22" s="563">
        <x:v>9</x:v>
      </x:c>
      <x:c r="AH22" s="561">
        <x:f>IF(AG22="",SUM('ЦВК'!BK13:BO13),IF(AG22&lt;SUM('ЦВК'!BK13:BO13),AG22,SUM('ЦВК'!BK13:BO13)))</x:f>
      </x:c>
      <x:c r="AI22" s="76">
        <x:f>IFERROR(IF(ROUND((AH22)/AG22*100,0)&gt;100,100,ROUND((AH22)/AG22*100,0)),"-")</x:f>
      </x:c>
      <x:c r="AJ22" s="563">
        <x:v>9</x:v>
      </x:c>
      <x:c r="AK22" s="561">
        <x:f>IF(AJ22="",SUM('ЦВК'!BQ13:BU13),IF(AJ22&lt;SUM('ЦВК'!BQ13:BU13),AJ22,SUM('ЦВК'!BQ13:BU13)))</x:f>
      </x:c>
      <x:c r="AL22" s="76">
        <x:f>IFERROR(IF(ROUND((AK22)/AJ22*100,0)&gt;100,100,ROUND((AK22)/AJ22*100,0)),"-")</x:f>
      </x:c>
    </x:row>
    <x:row r="23" spans="1:38" x14ac:dyDescent="0.25">
      <x:c r="A23" s="222"/>
      <x:c r="B23" s="572" t="s">
        <x:v>1086</x:v>
      </x:c>
      <x:c r="C23" s="563">
        <x:v>20</x:v>
      </x:c>
      <x:c r="D23" s="561">
        <x:f>IF(C23="",SUM('ХВП'!C24:G24),IF(C23&lt;SUM('ХВП'!C24:G24),C23,SUM('ХВП'!C24:G24)))</x:f>
      </x:c>
      <x:c r="E23" s="76">
        <x:f>IFERROR(IF(ROUND((D23)/C23*100,0)&gt;100,100,ROUND((D23)/C23*100,0)),"-")</x:f>
      </x:c>
      <x:c r="F23" s="563">
        <x:v>20</x:v>
      </x:c>
      <x:c r="G23" s="561">
        <x:f>IF(F23="",SUM('ХВП'!I24:M24),IF(F23&lt;SUM('ХВП'!I24:M24),F23,SUM('ХВП'!I24:M24)))</x:f>
      </x:c>
      <x:c r="H23" s="76">
        <x:f>IFERROR(IF(ROUND((G23)/F23*100,0)&gt;100,100,ROUND((G23)/F23*100,0)),"-")</x:f>
      </x:c>
      <x:c r="I23" s="563">
        <x:v>20</x:v>
      </x:c>
      <x:c r="J23" s="561">
        <x:f>IF(I23="",SUM('ХВП'!O24:S24),IF(I23&lt;SUM('ХВП'!O24:S24),I23,SUM('ХВП'!O24:S24)))</x:f>
      </x:c>
      <x:c r="K23" s="76">
        <x:f>IFERROR(IF(ROUND((J23)/I23*100,0)&gt;100,100,ROUND((J23)/I23*100,0)),"-")</x:f>
      </x:c>
      <x:c r="L23" s="563">
        <x:v>20</x:v>
      </x:c>
      <x:c r="M23" s="561">
        <x:f>IF(L23="",SUM('ХВП'!U24:Y24),IF(L23&lt;SUM('ХВП'!U24:Y24),L23,SUM('ХВП'!U24:Y24)))</x:f>
      </x:c>
      <x:c r="N23" s="76">
        <x:f>IFERROR(IF(ROUND((M23)/L23*100,0)&gt;100,100,ROUND((M23)/L23*100,0)),"-")</x:f>
      </x:c>
      <x:c r="O23" s="563">
        <x:v>20</x:v>
      </x:c>
      <x:c r="P23" s="561">
        <x:f>IF(O23="",SUM('ХВП'!AA24:AE24),IF(O23&lt;SUM('ХВП'!AA24:AE24),O23,SUM('ХВП'!AA24:AE24)))</x:f>
      </x:c>
      <x:c r="Q23" s="76">
        <x:f>IFERROR(IF(ROUND((P23)/O23*100,0)&gt;100,100,ROUND((P23)/O23*100,0)),"-")</x:f>
      </x:c>
      <x:c r="R23" s="563">
        <x:v>20</x:v>
      </x:c>
      <x:c r="S23" s="561">
        <x:f>IF(R23="",SUM('ХВП'!AG24:AK24),IF(R23&lt;SUM('ХВП'!AG24:AK24),R23,SUM('ХВП'!AG24:AK24)))</x:f>
      </x:c>
      <x:c r="T23" s="76">
        <x:f>IFERROR(IF(ROUND((S23)/R23*100,0)&gt;100,100,ROUND((S23)/R23*100,0)),"-")</x:f>
      </x:c>
      <x:c r="U23" s="563">
        <x:v>20</x:v>
      </x:c>
      <x:c r="V23" s="561">
        <x:f>IF(U23="",SUM('ХВП'!AM24:AQ24),IF(U23&lt;SUM('ХВП'!AM24:AQ24),U23,SUM('ХВП'!AM24:AQ24)))</x:f>
      </x:c>
      <x:c r="W23" s="9">
        <x:f>IFERROR(IF(ROUND((V23)/U23*100,0)&gt;100,100,ROUND((V23)/U23*100,0)),"-")</x:f>
      </x:c>
      <x:c r="X23" s="563">
        <x:v>20</x:v>
      </x:c>
      <x:c r="Y23" s="561">
        <x:f>IF(X23="",SUM('ХВП'!AS24:AW24),IF(X23&lt;SUM('ХВП'!AS24:AW24),X23,SUM('ХВП'!AS24:AW24)))</x:f>
      </x:c>
      <x:c r="Z23" s="76">
        <x:f>IFERROR(IF(ROUND((Y23)/X23*100,0)&gt;100,100,ROUND((Y23)/X23*100,0)),"-")</x:f>
      </x:c>
      <x:c r="AA23" s="563">
        <x:v>20</x:v>
      </x:c>
      <x:c r="AB23" s="561">
        <x:f>IF(AA23="",SUM('ХВП'!AY24:BC24),IF(AA23&lt;SUM('ХВП'!AY24:BC24),AA23,SUM('ХВП'!AY24:BC24)))</x:f>
      </x:c>
      <x:c r="AC23" s="76">
        <x:f>IFERROR(IF(ROUND((AB23)/AA23*100,0)&gt;100,100,ROUND((AB23)/AA23*100,0)),"-")</x:f>
      </x:c>
      <x:c r="AD23" s="563">
        <x:v>20</x:v>
      </x:c>
      <x:c r="AE23" s="561">
        <x:f>IF(AD23="",SUM('ХВП'!BE24:BI24),IF(AD23&lt;SUM('ХВП'!BE24:BI24),AD23,SUM('ХВП'!BE24:BI24)))</x:f>
      </x:c>
      <x:c r="AF23" s="76">
        <x:f>IFERROR(IF(ROUND((AE23)/AD23*100,0)&gt;100,100,ROUND((AE23)/AD23*100,0)),"-")</x:f>
      </x:c>
      <x:c r="AG23" s="563">
        <x:v>20</x:v>
      </x:c>
      <x:c r="AH23" s="561">
        <x:f>IF(AG23="",SUM('ХВП'!BK24:BO24),IF(AG23&lt;SUM('ХВП'!BK24:BO24),AG23,SUM('ХВП'!BK24:BO24)))</x:f>
      </x:c>
      <x:c r="AI23" s="76">
        <x:f>IFERROR(IF(ROUND((AH23)/AG23*100,0)&gt;100,100,ROUND((AH23)/AG23*100,0)),"-")</x:f>
      </x:c>
      <x:c r="AJ23" s="563">
        <x:v>20</x:v>
      </x:c>
      <x:c r="AK23" s="561">
        <x:f>IF(AJ23="",SUM('ХВП'!BQ24:BU24),IF(AJ23&lt;SUM('ХВП'!BQ24:BU24),AJ23,SUM('ХВП'!BQ24:BU24)))</x:f>
      </x:c>
      <x:c r="AL23" s="76">
        <x:f>IFERROR(IF(ROUND((AK23)/AJ23*100,0)&gt;100,100,ROUND((AK23)/AJ23*100,0)),"-")</x:f>
      </x:c>
    </x:row>
    <x:row r="24" spans="1:38" x14ac:dyDescent="0.25">
      <x:c r="A24" s="573" t="s">
        <x:v>756</x:v>
      </x:c>
      <x:c r="B24" s="574" t="s">
        <x:v>1087</x:v>
      </x:c>
      <x:c r="C24" s="563">
        <x:v>20</x:v>
      </x:c>
      <x:c r="D24" s="561">
        <x:f>IF(C24="",SUM('ГРС'!C24:G24),IF(C24&lt;SUM('ГРС'!C24:G24),C24,SUM('ГРС'!C24:G24)))</x:f>
      </x:c>
      <x:c r="E24" s="76">
        <x:f>IFERROR(IF(ROUND((D24)/C24*100,0)&gt;100,100,ROUND((D24)/C24*100,0)),"-")</x:f>
      </x:c>
      <x:c r="F24" s="563">
        <x:v>20</x:v>
      </x:c>
      <x:c r="G24" s="561">
        <x:f>IF(F24="",SUM('ГРС'!I24:M24),IF(F24&lt;SUM('ГРС'!I24:M24),F24,SUM('ГРС'!I24:M24)))</x:f>
      </x:c>
      <x:c r="H24" s="76">
        <x:f>IFERROR(IF(ROUND((G24)/F24*100,0)&gt;100,100,ROUND((G24)/F24*100,0)),"-")</x:f>
      </x:c>
      <x:c r="I24" s="563">
        <x:v>20</x:v>
      </x:c>
      <x:c r="J24" s="561">
        <x:f>IF(I24="",SUM('ГРС'!O24:S24),IF(I24&lt;SUM('ГРС'!O24:S24),I24,SUM('ГРС'!O24:S24)))</x:f>
      </x:c>
      <x:c r="K24" s="76">
        <x:f>IFERROR(IF(ROUND((J24)/I24*100,0)&gt;100,100,ROUND((J24)/I24*100,0)),"-")</x:f>
      </x:c>
      <x:c r="L24" s="563">
        <x:v>20</x:v>
      </x:c>
      <x:c r="M24" s="561">
        <x:f>IF(L24="",SUM('ГРС'!U24:Y24),IF(L24&lt;SUM('ГРС'!U24:Y24),L24,SUM('ГРС'!U24:Y24)))</x:f>
      </x:c>
      <x:c r="N24" s="76">
        <x:f>IFERROR(IF(ROUND((M24)/L24*100,0)&gt;100,100,ROUND((M24)/L24*100,0)),"-")</x:f>
      </x:c>
      <x:c r="O24" s="563">
        <x:v>20</x:v>
      </x:c>
      <x:c r="P24" s="561">
        <x:f>IF(O24="",SUM('ГРС'!AA24:AE24),IF(O24&lt;SUM('ГРС'!AA24:AE24),O24,SUM('ГРС'!AA24:AE24)))</x:f>
      </x:c>
      <x:c r="Q24" s="76">
        <x:f>IFERROR(IF(ROUND((P24)/O24*100,0)&gt;100,100,ROUND((P24)/O24*100,0)),"-")</x:f>
      </x:c>
      <x:c r="R24" s="563">
        <x:v>20</x:v>
      </x:c>
      <x:c r="S24" s="561">
        <x:f>IF(R24="",SUM('ГРС'!AG24:AK24),IF(R24&lt;SUM('ГРС'!AG24:AK24),R24,SUM('ГРС'!AG24:AK24)))</x:f>
      </x:c>
      <x:c r="T24" s="76">
        <x:f>IFERROR(IF(ROUND((S24)/R24*100,0)&gt;100,100,ROUND((S24)/R24*100,0)),"-")</x:f>
      </x:c>
      <x:c r="U24" s="563">
        <x:v>20</x:v>
      </x:c>
      <x:c r="V24" s="561">
        <x:f>IF(U24="",SUM('ГРС'!AM24:AQ24),IF(U24&lt;SUM('ГРС'!AM24:AQ24),U24,SUM('ГРС'!AM24:AQ24)))</x:f>
      </x:c>
      <x:c r="W24" s="9">
        <x:f>IFERROR(IF(ROUND((V24)/U24*100,0)&gt;100,100,ROUND((V24)/U24*100,0)),"-")</x:f>
      </x:c>
      <x:c r="X24" s="563">
        <x:v>20</x:v>
      </x:c>
      <x:c r="Y24" s="561">
        <x:f>IF(X24="",SUM('ГРС'!AS24:AW24),IF(X24&lt;SUM('ГРС'!AS24:AW24),X24,SUM('ГРС'!AS24:AW24)))</x:f>
      </x:c>
      <x:c r="Z24" s="76">
        <x:f>IFERROR(IF(ROUND((Y24)/X24*100,0)&gt;100,100,ROUND((Y24)/X24*100,0)),"-")</x:f>
      </x:c>
      <x:c r="AA24" s="563">
        <x:v>20</x:v>
      </x:c>
      <x:c r="AB24" s="561">
        <x:f>IF(AA24="",SUM('ГРС'!AY24:BC24),IF(AA24&lt;SUM('ГРС'!AY24:BC24),AA24,SUM('ГРС'!AY24:BC24)))</x:f>
      </x:c>
      <x:c r="AC24" s="76">
        <x:f>IFERROR(IF(ROUND((AB24)/AA24*100,0)&gt;100,100,ROUND((AB24)/AA24*100,0)),"-")</x:f>
      </x:c>
      <x:c r="AD24" s="563">
        <x:v>20</x:v>
      </x:c>
      <x:c r="AE24" s="561">
        <x:f>IF(AD24="",SUM('ГРС'!BE24:BI24),IF(AD24&lt;SUM('ГРС'!BE24:BI24),AD24,SUM('ГРС'!BE24:BI24)))</x:f>
      </x:c>
      <x:c r="AF24" s="76">
        <x:f>IFERROR(IF(ROUND((AE24)/AD24*100,0)&gt;100,100,ROUND((AE24)/AD24*100,0)),"-")</x:f>
      </x:c>
      <x:c r="AG24" s="563">
        <x:v>20</x:v>
      </x:c>
      <x:c r="AH24" s="561">
        <x:f>IF(AG24="",SUM('ГРС'!BK24:BO24),IF(AG24&lt;SUM('ГРС'!BK24:BO24),AG24,SUM('ГРС'!BK24:BO24)))</x:f>
      </x:c>
      <x:c r="AI24" s="76">
        <x:f>IFERROR(IF(ROUND((AH24)/AG24*100,0)&gt;100,100,ROUND((AH24)/AG24*100,0)),"-")</x:f>
      </x:c>
      <x:c r="AJ24" s="563">
        <x:v>20</x:v>
      </x:c>
      <x:c r="AK24" s="561">
        <x:f>IF(AJ24="",SUM('ГРС'!BQ24:BU24),IF(AJ24&lt;SUM('ГРС'!BQ24:BU24),AJ24,SUM('ГРС'!BQ24:BU24)))</x:f>
      </x:c>
      <x:c r="AL24" s="76">
        <x:f>IFERROR(IF(ROUND((AK24)/AJ24*100,0)&gt;100,100,ROUND((AK24)/AJ24*100,0)),"-")</x:f>
      </x:c>
    </x:row>
    <x:row r="25" spans="1:38" x14ac:dyDescent="0.25">
      <x:c r="A25" s="475"/>
      <x:c r="B25" s="574" t="s">
        <x:v>1088</x:v>
      </x:c>
      <x:c r="C25" s="563">
        <x:v>15</x:v>
      </x:c>
      <x:c r="D25" s="561">
        <x:f>IF(C25="",SUM('АСБиКТ'!C18:G18),IF(C25&lt;SUM('АСБиКТ'!C18:G18),C25,SUM('АСБиКТ'!C18:G18)))</x:f>
      </x:c>
      <x:c r="E25" s="76">
        <x:f>IFERROR(IF(ROUND((D25)/C25*100,0)&gt;100,100,ROUND((D25)/C25*100,0)),"-")</x:f>
      </x:c>
      <x:c r="F25" s="563">
        <x:v>15</x:v>
      </x:c>
      <x:c r="G25" s="561">
        <x:f>IF(F25="",SUM('АСБиКТ'!I18:M18),IF(F25&lt;SUM('АСБиКТ'!I18:M18),F25,SUM('АСБиКТ'!I18:M18)))</x:f>
      </x:c>
      <x:c r="H25" s="76">
        <x:f>IFERROR(IF(ROUND((G25)/F25*100,0)&gt;100,100,ROUND((G25)/F25*100,0)),"-")</x:f>
      </x:c>
      <x:c r="I25" s="563">
        <x:v>15</x:v>
      </x:c>
      <x:c r="J25" s="561">
        <x:f>IF(I25="",SUM('АСБиКТ'!O18:S18),IF(I25&lt;SUM('АСБиКТ'!O18:S18),I25,SUM('АСБиКТ'!O18:S18)))</x:f>
      </x:c>
      <x:c r="K25" s="76">
        <x:f>IFERROR(IF(ROUND((J25)/I25*100,0)&gt;100,100,ROUND((J25)/I25*100,0)),"-")</x:f>
      </x:c>
      <x:c r="L25" s="563">
        <x:v>15</x:v>
      </x:c>
      <x:c r="M25" s="561">
        <x:f>IF(L25="",SUM('АСБиКТ'!U18:Y18),IF(L25&lt;SUM('АСБиКТ'!U18:Y18),L25,SUM('АСБиКТ'!U18:Y18)))</x:f>
      </x:c>
      <x:c r="N25" s="76">
        <x:f>IFERROR(IF(ROUND((M25)/L25*100,0)&gt;100,100,ROUND((M25)/L25*100,0)),"-")</x:f>
      </x:c>
      <x:c r="O25" s="563">
        <x:v>15</x:v>
      </x:c>
      <x:c r="P25" s="561">
        <x:f>IF(O25="",SUM('АСБиКТ'!AA18:AE18),IF(O25&lt;SUM('АСБиКТ'!AA18:AE18),O25,SUM('АСБиКТ'!AA18:AE18)))</x:f>
      </x:c>
      <x:c r="Q25" s="76">
        <x:f>IFERROR(IF(ROUND((P25)/O25*100,0)&gt;100,100,ROUND((P25)/O25*100,0)),"-")</x:f>
      </x:c>
      <x:c r="R25" s="563">
        <x:v>15</x:v>
      </x:c>
      <x:c r="S25" s="561">
        <x:f>IF(R25="",SUM('АСБиКТ'!AG18:AK18),IF(R25&lt;SUM('АСБиКТ'!AG18:AK18),R25,SUM('АСБиКТ'!AG18:AK18)))</x:f>
      </x:c>
      <x:c r="T25" s="76">
        <x:f>IFERROR(IF(ROUND((S25)/R25*100,0)&gt;100,100,ROUND((S25)/R25*100,0)),"-")</x:f>
      </x:c>
      <x:c r="U25" s="563">
        <x:v>15</x:v>
      </x:c>
      <x:c r="V25" s="561">
        <x:f>IF(U25="",SUM('АСБиКТ'!AM18:AQ18),IF(U25&lt;SUM('АСБиКТ'!AM18:AQ18),U25,SUM('АСБиКТ'!AM18:AQ18)))</x:f>
      </x:c>
      <x:c r="W25" s="9">
        <x:f>IFERROR(IF(ROUND((V25)/U25*100,0)&gt;100,100,ROUND((V25)/U25*100,0)),"-")</x:f>
      </x:c>
      <x:c r="X25" s="563">
        <x:v>15</x:v>
      </x:c>
      <x:c r="Y25" s="561">
        <x:f>IF(X25="",SUM('АСБиКТ'!AS18:AW18),IF(X25&lt;SUM('АСБиКТ'!AS18:AW18),X25,SUM('АСБиКТ'!AS18:AW18)))</x:f>
      </x:c>
      <x:c r="Z25" s="76">
        <x:f>IFERROR(IF(ROUND((Y25)/X25*100,0)&gt;100,100,ROUND((Y25)/X25*100,0)),"-")</x:f>
      </x:c>
      <x:c r="AA25" s="563">
        <x:v>15</x:v>
      </x:c>
      <x:c r="AB25" s="561">
        <x:f>IF(AA25="",SUM('АСБиКТ'!AY18:BC18),IF(AA25&lt;SUM('АСБиКТ'!AY18:BC18),AA25,SUM('АСБиКТ'!AY18:BC18)))</x:f>
      </x:c>
      <x:c r="AC25" s="76">
        <x:f>IFERROR(IF(ROUND((AB25)/AA25*100,0)&gt;100,100,ROUND((AB25)/AA25*100,0)),"-")</x:f>
      </x:c>
      <x:c r="AD25" s="563">
        <x:v>15</x:v>
      </x:c>
      <x:c r="AE25" s="561">
        <x:f>IF(AD25="",SUM('АСБиКТ'!BE18:BI18),IF(AD25&lt;SUM('АСБиКТ'!BE18:BI18),AD25,SUM('АСБиКТ'!BE18:BI18)))</x:f>
      </x:c>
      <x:c r="AF25" s="76">
        <x:f>IFERROR(IF(ROUND((AE25)/AD25*100,0)&gt;100,100,ROUND((AE25)/AD25*100,0)),"-")</x:f>
      </x:c>
      <x:c r="AG25" s="563">
        <x:v>15</x:v>
      </x:c>
      <x:c r="AH25" s="561">
        <x:f>IF(AG25="",SUM('АСБиКТ'!BK18:BO18),IF(AG25&lt;SUM('АСБиКТ'!BK18:BO18),AG25,SUM('АСБиКТ'!BK18:BO18)))</x:f>
      </x:c>
      <x:c r="AI25" s="76">
        <x:f>IFERROR(IF(ROUND((AH25)/AG25*100,0)&gt;100,100,ROUND((AH25)/AG25*100,0)),"-")</x:f>
      </x:c>
      <x:c r="AJ25" s="563">
        <x:v>15</x:v>
      </x:c>
      <x:c r="AK25" s="561">
        <x:f>IF(AJ25="",SUM('АСБиКТ'!BQ18:BU18),IF(AJ25&lt;SUM('АСБиКТ'!BQ18:BU18),AJ25,SUM('АСБиКТ'!BQ18:BU18)))</x:f>
      </x:c>
      <x:c r="AL25" s="76">
        <x:f>IFERROR(IF(ROUND((AK25)/AJ25*100,0)&gt;100,100,ROUND((AK25)/AJ25*100,0)),"-")</x:f>
      </x:c>
    </x:row>
    <x:row r="26" spans="1:38" x14ac:dyDescent="0.25">
      <x:c r="A26" s="475"/>
      <x:c r="B26" s="574" t="s">
        <x:v>1089</x:v>
      </x:c>
      <x:c r="C26" s="563">
        <x:v>25</x:v>
      </x:c>
      <x:c r="D26" s="561">
        <x:f>IF(C26="",SUM('СНМиВГ'!C29:G29),IF(C26&lt;SUM('СНМиВГ'!C29:G29),C26,SUM('СНМиВГ'!C29:G29)))</x:f>
      </x:c>
      <x:c r="E26" s="76">
        <x:f>IFERROR(IF(ROUND((D26)/C26*100,0)&gt;100,100,ROUND((D26)/C26*100,0)),"-")</x:f>
      </x:c>
      <x:c r="F26" s="563">
        <x:v>25</x:v>
      </x:c>
      <x:c r="G26" s="561">
        <x:f>IF(F26="",SUM('СНМиВГ'!I29:M29),IF(F26&lt;SUM('СНМиВГ'!I29:M29),F26,SUM('СНМиВГ'!I29:M29)))</x:f>
      </x:c>
      <x:c r="H26" s="76">
        <x:f>IFERROR(IF(ROUND((G26)/F26*100,0)&gt;100,100,ROUND((G26)/F26*100,0)),"-")</x:f>
      </x:c>
      <x:c r="I26" s="563">
        <x:v>25</x:v>
      </x:c>
      <x:c r="J26" s="561">
        <x:f>IF(I26="",SUM('СНМиВГ'!O29:S29),IF(I26&lt;SUM('СНМиВГ'!O29:S29),I26,SUM('СНМиВГ'!O29:S29)))</x:f>
      </x:c>
      <x:c r="K26" s="76">
        <x:f>IFERROR(IF(ROUND((J26)/I26*100,0)&gt;100,100,ROUND((J26)/I26*100,0)),"-")</x:f>
      </x:c>
      <x:c r="L26" s="563">
        <x:v>25</x:v>
      </x:c>
      <x:c r="M26" s="561">
        <x:f>IF(L26="",SUM('СНМиВГ'!U29:Y29),IF(L26&lt;SUM('СНМиВГ'!U29:Y29),L26,SUM('СНМиВГ'!U29:Y29)))</x:f>
      </x:c>
      <x:c r="N26" s="76">
        <x:f>IFERROR(IF(ROUND((M26)/L26*100,0)&gt;100,100,ROUND((M26)/L26*100,0)),"-")</x:f>
      </x:c>
      <x:c r="O26" s="563">
        <x:v>25</x:v>
      </x:c>
      <x:c r="P26" s="561">
        <x:f>IF(O26="",SUM('СНМиВГ'!AA29:AE29),IF(O26&lt;SUM('СНМиВГ'!AA29:AE29),O26,SUM('СНМиВГ'!AA29:AE29)))</x:f>
      </x:c>
      <x:c r="Q26" s="76">
        <x:f>IFERROR(IF(ROUND((P26)/O26*100,0)&gt;100,100,ROUND((P26)/O26*100,0)),"-")</x:f>
      </x:c>
      <x:c r="R26" s="563">
        <x:v>25</x:v>
      </x:c>
      <x:c r="S26" s="561">
        <x:f>IF(R26="",SUM('СНМиВГ'!AG29:AK29),IF(R26&lt;SUM('СНМиВГ'!AG29:AK29),R26,SUM('СНМиВГ'!AG29:AK29)))</x:f>
      </x:c>
      <x:c r="T26" s="76">
        <x:f>IFERROR(IF(ROUND((S26)/R26*100,0)&gt;100,100,ROUND((S26)/R26*100,0)),"-")</x:f>
      </x:c>
      <x:c r="U26" s="563">
        <x:v>25</x:v>
      </x:c>
      <x:c r="V26" s="561">
        <x:f>IF(U26="",SUM('СНМиВГ'!AM29:AQ29),IF(U26&lt;SUM('СНМиВГ'!AM29:AQ29),U26,SUM('СНМиВГ'!AM29:AQ29)))</x:f>
      </x:c>
      <x:c r="W26" s="9">
        <x:f>IFERROR(IF(ROUND((V26)/U26*100,0)&gt;100,100,ROUND((V26)/U26*100,0)),"-")</x:f>
      </x:c>
      <x:c r="X26" s="563">
        <x:v>25</x:v>
      </x:c>
      <x:c r="Y26" s="561">
        <x:f>IF(X26="",SUM('СНМиВГ'!AS29:AW29),IF(X26&lt;SUM('СНМиВГ'!AS29:AW29),X26,SUM('СНМиВГ'!AS29:AW29)))</x:f>
      </x:c>
      <x:c r="Z26" s="76">
        <x:f>IFERROR(IF(ROUND((Y26)/X26*100,0)&gt;100,100,ROUND((Y26)/X26*100,0)),"-")</x:f>
      </x:c>
      <x:c r="AA26" s="563">
        <x:v>25</x:v>
      </x:c>
      <x:c r="AB26" s="561">
        <x:f>IF(AA26="",SUM('СНМиВГ'!AY29:BC29),IF(AA26&lt;SUM('СНМиВГ'!AY29:BC29),AA26,SUM('СНМиВГ'!AY29:BC29)))</x:f>
      </x:c>
      <x:c r="AC26" s="76">
        <x:f>IFERROR(IF(ROUND((AB26)/AA26*100,0)&gt;100,100,ROUND((AB26)/AA26*100,0)),"-")</x:f>
      </x:c>
      <x:c r="AD26" s="563">
        <x:v>25</x:v>
      </x:c>
      <x:c r="AE26" s="561">
        <x:f>IF(AD26="",SUM('СНМиВГ'!BE29:BI29),IF(AD26&lt;SUM('СНМиВГ'!BE29:BI29),AD26,SUM('СНМиВГ'!BE29:BI29)))</x:f>
      </x:c>
      <x:c r="AF26" s="76">
        <x:f>IFERROR(IF(ROUND((AE26)/AD26*100,0)&gt;100,100,ROUND((AE26)/AD26*100,0)),"-")</x:f>
      </x:c>
      <x:c r="AG26" s="563">
        <x:v>25</x:v>
      </x:c>
      <x:c r="AH26" s="561">
        <x:f>IF(AG26="",SUM('СНМиВГ'!BK29:BO29),IF(AG26&lt;SUM('СНМиВГ'!BK29:BO29),AG26,SUM('СНМиВГ'!BK29:BO29)))</x:f>
      </x:c>
      <x:c r="AI26" s="76">
        <x:f>IFERROR(IF(ROUND((AH26)/AG26*100,0)&gt;100,100,ROUND((AH26)/AG26*100,0)),"-")</x:f>
      </x:c>
      <x:c r="AJ26" s="563">
        <x:v>25</x:v>
      </x:c>
      <x:c r="AK26" s="561">
        <x:f>IF(AJ26="",SUM('СНМиВГ'!BQ29:BU29),IF(AJ26&lt;SUM('СНМиВГ'!BQ29:BU29),AJ26,SUM('СНМиВГ'!BQ29:BU29)))</x:f>
      </x:c>
      <x:c r="AL26" s="76">
        <x:f>IFERROR(IF(ROUND((AK26)/AJ26*100,0)&gt;100,100,ROUND((AK26)/AJ26*100,0)),"-")</x:f>
      </x:c>
    </x:row>
    <x:row r="27" spans="1:38" x14ac:dyDescent="0.25">
      <x:c r="A27" s="475"/>
      <x:c r="B27" s="574" t="s">
        <x:v>1090</x:v>
      </x:c>
      <x:c r="C27" s="563">
        <x:v>29</x:v>
      </x:c>
      <x:c r="D27" s="561">
        <x:f>IF(C27="",SUM('БРиДТ'!C32:G32),IF(C27&lt;SUM('БРиДТ'!C32:G32),C27,SUM('БРиДТ'!C32:G32)))</x:f>
      </x:c>
      <x:c r="E27" s="76">
        <x:f>IFERROR(IF(ROUND((D27)/C27*100,0)&gt;100,100,ROUND((D27)/C27*100,0)),"-")</x:f>
      </x:c>
      <x:c r="F27" s="563">
        <x:v>29</x:v>
      </x:c>
      <x:c r="G27" s="561">
        <x:f>IF(F27="",SUM('БРиДТ'!I32:M32),IF(F27&lt;SUM('БРиДТ'!I32:M32),F27,SUM('БРиДТ'!I32:M32)))</x:f>
      </x:c>
      <x:c r="H27" s="76">
        <x:f>IFERROR(IF(ROUND((G27)/F27*100,0)&gt;100,100,ROUND((G27)/F27*100,0)),"-")</x:f>
      </x:c>
      <x:c r="I27" s="563">
        <x:v>29</x:v>
      </x:c>
      <x:c r="J27" s="561">
        <x:f>IF(I27="",SUM('БРиДТ'!O32:S32),IF(I27&lt;SUM('БРиДТ'!O32:S32),I27,SUM('БРиДТ'!O32:S32)))</x:f>
      </x:c>
      <x:c r="K27" s="76">
        <x:f>IFERROR(IF(ROUND((J27)/I27*100,0)&gt;100,100,ROUND((J27)/I27*100,0)),"-")</x:f>
      </x:c>
      <x:c r="L27" s="563">
        <x:v>29</x:v>
      </x:c>
      <x:c r="M27" s="561">
        <x:f>IF(L27="",SUM('БРиДТ'!U32:Y32),IF(L27&lt;SUM('БРиДТ'!U32:Y32),L27,SUM('БРиДТ'!U32:Y32)))</x:f>
      </x:c>
      <x:c r="N27" s="76">
        <x:f>IFERROR(IF(ROUND((M27)/L27*100,0)&gt;100,100,ROUND((M27)/L27*100,0)),"-")</x:f>
      </x:c>
      <x:c r="O27" s="563">
        <x:v>29</x:v>
      </x:c>
      <x:c r="P27" s="561">
        <x:f>IF(O27="",SUM('БРиДТ'!AA32:AE32),IF(O27&lt;SUM('БРиДТ'!AA32:AE32),O27,SUM('БРиДТ'!AA32:AE32)))</x:f>
      </x:c>
      <x:c r="Q27" s="76">
        <x:f>IFERROR(IF(ROUND((P27)/O27*100,0)&gt;100,100,ROUND((P27)/O27*100,0)),"-")</x:f>
      </x:c>
      <x:c r="R27" s="563">
        <x:v>29</x:v>
      </x:c>
      <x:c r="S27" s="561">
        <x:f>IF(R27="",SUM('БРиДТ'!AG32:AK32),IF(R27&lt;SUM('БРиДТ'!AG32:AK32),R27,SUM('БРиДТ'!AG32:AK32)))</x:f>
      </x:c>
      <x:c r="T27" s="76">
        <x:f>IFERROR(IF(ROUND((S27)/R27*100,0)&gt;100,100,ROUND((S27)/R27*100,0)),"-")</x:f>
      </x:c>
      <x:c r="U27" s="563">
        <x:v>29</x:v>
      </x:c>
      <x:c r="V27" s="561">
        <x:f>IF(U27="",SUM('БРиДТ'!AM32:AQ32),IF(U27&lt;SUM('БРиДТ'!AM32:AQ32),U27,SUM('БРиДТ'!AM32:AQ32)))</x:f>
      </x:c>
      <x:c r="W27" s="9">
        <x:f>IFERROR(IF(ROUND((V27)/U27*100,0)&gt;100,100,ROUND((V27)/U27*100,0)),"-")</x:f>
      </x:c>
      <x:c r="X27" s="563">
        <x:v>29</x:v>
      </x:c>
      <x:c r="Y27" s="561">
        <x:f>IF(X27="",SUM('БРиДТ'!AS32:AW32),IF(X27&lt;SUM('БРиДТ'!AS32:AW32),X27,SUM('БРиДТ'!AS32:AW32)))</x:f>
      </x:c>
      <x:c r="Z27" s="76">
        <x:f>IFERROR(IF(ROUND((Y27)/X27*100,0)&gt;100,100,ROUND((Y27)/X27*100,0)),"-")</x:f>
      </x:c>
      <x:c r="AA27" s="563">
        <x:v>29</x:v>
      </x:c>
      <x:c r="AB27" s="561">
        <x:f>IF(AA27="",SUM('БРиДТ'!AY32:BC32),IF(AA27&lt;SUM('БРиДТ'!AY32:BC32),AA27,SUM('БРиДТ'!AY32:BC32)))</x:f>
      </x:c>
      <x:c r="AC27" s="76">
        <x:f>IFERROR(IF(ROUND((AB27)/AA27*100,0)&gt;100,100,ROUND((AB27)/AA27*100,0)),"-")</x:f>
      </x:c>
      <x:c r="AD27" s="563">
        <x:v>29</x:v>
      </x:c>
      <x:c r="AE27" s="561">
        <x:f>IF(AD27="",SUM('БРиДТ'!BE32:BI32),IF(AD27&lt;SUM('БРиДТ'!BE32:BI32),AD27,SUM('БРиДТ'!BE32:BI32)))</x:f>
      </x:c>
      <x:c r="AF27" s="76">
        <x:f>IFERROR(IF(ROUND((AE27)/AD27*100,0)&gt;100,100,ROUND((AE27)/AD27*100,0)),"-")</x:f>
      </x:c>
      <x:c r="AG27" s="563">
        <x:v>29</x:v>
      </x:c>
      <x:c r="AH27" s="561">
        <x:f>IF(AG27="",SUM('БРиДТ'!BK32:BO32),IF(AG27&lt;SUM('БРиДТ'!BK32:BO32),AG27,SUM('БРиДТ'!BK32:BO32)))</x:f>
      </x:c>
      <x:c r="AI27" s="76">
        <x:f>IFERROR(IF(ROUND((AH27)/AG27*100,0)&gt;100,100,ROUND((AH27)/AG27*100,0)),"-")</x:f>
      </x:c>
      <x:c r="AJ27" s="563">
        <x:v>29</x:v>
      </x:c>
      <x:c r="AK27" s="561">
        <x:f>IF(AJ27="",SUM('БРиДТ'!BQ32:BU32),IF(AJ27&lt;SUM('БРиДТ'!BQ32:BU32),AJ27,SUM('БРиДТ'!BQ32:BU32)))</x:f>
      </x:c>
      <x:c r="AL27" s="76">
        <x:f>IFERROR(IF(ROUND((AK27)/AJ27*100,0)&gt;100,100,ROUND((AK27)/AJ27*100,0)),"-")</x:f>
      </x:c>
    </x:row>
    <x:row r="28" spans="1:38" x14ac:dyDescent="0.25">
      <x:c r="A28" s="475"/>
      <x:c r="B28" s="574" t="s">
        <x:v>1091</x:v>
      </x:c>
      <x:c r="C28" s="563">
        <x:v>20</x:v>
      </x:c>
      <x:c r="D28" s="561">
        <x:f>IF(C28="",SUM('РХиПНО'!C24:G24),IF(C28&lt;SUM('РХиПНО'!C24:G24),C28,SUM('РХиПНО'!C24:G24)))</x:f>
      </x:c>
      <x:c r="E28" s="76">
        <x:f>IFERROR(IF(ROUND((D28)/C28*100,0)&gt;100,100,ROUND((D28)/C28*100,0)),"-")</x:f>
      </x:c>
      <x:c r="F28" s="563">
        <x:v>20</x:v>
      </x:c>
      <x:c r="G28" s="561">
        <x:f>IF(F28="",SUM('РХиПНО'!I24:M24),IF(F28&lt;SUM('РХиПНО'!I24:M24),F28,SUM('РХиПНО'!I24:M24)))</x:f>
      </x:c>
      <x:c r="H28" s="76">
        <x:f>IFERROR(IF(ROUND((G28)/F28*100,0)&gt;100,100,ROUND((G28)/F28*100,0)),"-")</x:f>
      </x:c>
      <x:c r="I28" s="563">
        <x:v>20</x:v>
      </x:c>
      <x:c r="J28" s="561">
        <x:f>IF(I28="",SUM('РХиПНО'!O24:S24),IF(I28&lt;SUM('РХиПНО'!O24:S24),I28,SUM('РХиПНО'!O24:S24)))</x:f>
      </x:c>
      <x:c r="K28" s="76">
        <x:f>IFERROR(IF(ROUND((J28)/I28*100,0)&gt;100,100,ROUND((J28)/I28*100,0)),"-")</x:f>
      </x:c>
      <x:c r="L28" s="563">
        <x:v>20</x:v>
      </x:c>
      <x:c r="M28" s="561">
        <x:f>IF(L28="",SUM('РХиПНО'!U24:Y24),IF(L28&lt;SUM('РХиПНО'!U24:Y24),L28,SUM('РХиПНО'!U24:Y24)))</x:f>
      </x:c>
      <x:c r="N28" s="76">
        <x:f>IFERROR(IF(ROUND((M28)/L28*100,0)&gt;100,100,ROUND((M28)/L28*100,0)),"-")</x:f>
      </x:c>
      <x:c r="O28" s="563">
        <x:v>20</x:v>
      </x:c>
      <x:c r="P28" s="561">
        <x:f>IF(O28="",SUM('РХиПНО'!AA24:AE24),IF(O28&lt;SUM('РХиПНО'!AA24:AE24),O28,SUM('РХиПНО'!AA24:AE24)))</x:f>
      </x:c>
      <x:c r="Q28" s="76">
        <x:f>IFERROR(IF(ROUND((P28)/O28*100,0)&gt;100,100,ROUND((P28)/O28*100,0)),"-")</x:f>
      </x:c>
      <x:c r="R28" s="563">
        <x:v>20</x:v>
      </x:c>
      <x:c r="S28" s="561">
        <x:f>IF(R28="",SUM('РХиПНО'!AG24:AK24),IF(R28&lt;SUM('РХиПНО'!AG24:AK24),R28,SUM('РХиПНО'!AG24:AK24)))</x:f>
      </x:c>
      <x:c r="T28" s="76">
        <x:f>IFERROR(IF(ROUND((S28)/R28*100,0)&gt;100,100,ROUND((S28)/R28*100,0)),"-")</x:f>
      </x:c>
      <x:c r="U28" s="563">
        <x:v>20</x:v>
      </x:c>
      <x:c r="V28" s="561">
        <x:f>IF(U28="",SUM('РХиПНО'!AM24:AQ24),IF(U28&lt;SUM('РХиПНО'!AM24:AQ24),U28,SUM('РХиПНО'!AM24:AQ24)))</x:f>
      </x:c>
      <x:c r="W28" s="9">
        <x:f>IFERROR(IF(ROUND((V28)/U28*100,0)&gt;100,100,ROUND((V28)/U28*100,0)),"-")</x:f>
      </x:c>
      <x:c r="X28" s="563">
        <x:v>20</x:v>
      </x:c>
      <x:c r="Y28" s="561">
        <x:f>IF(X28="",SUM('РХиПНО'!AS24:AW24),IF(X28&lt;SUM('РХиПНО'!AS24:AW24),X28,SUM('РХиПНО'!AS24:AW24)))</x:f>
      </x:c>
      <x:c r="Z28" s="76">
        <x:f>IFERROR(IF(ROUND((Y28)/X28*100,0)&gt;100,100,ROUND((Y28)/X28*100,0)),"-")</x:f>
      </x:c>
      <x:c r="AA28" s="563">
        <x:v>20</x:v>
      </x:c>
      <x:c r="AB28" s="561">
        <x:f>IF(AA28="",SUM('РХиПНО'!AY24:BC24),IF(AA28&lt;SUM('РХиПНО'!AY24:BC24),AA28,SUM('РХиПНО'!AY24:BC24)))</x:f>
      </x:c>
      <x:c r="AC28" s="76">
        <x:f>IFERROR(IF(ROUND((AB28)/AA28*100,0)&gt;100,100,ROUND((AB28)/AA28*100,0)),"-")</x:f>
      </x:c>
      <x:c r="AD28" s="563">
        <x:v>20</x:v>
      </x:c>
      <x:c r="AE28" s="561">
        <x:f>IF(AD28="",SUM('РХиПНО'!BE24:BI24),IF(AD28&lt;SUM('РХиПНО'!BE24:BI24),AD28,SUM('РХиПНО'!BE24:BI24)))</x:f>
      </x:c>
      <x:c r="AF28" s="76">
        <x:f>IFERROR(IF(ROUND((AE28)/AD28*100,0)&gt;100,100,ROUND((AE28)/AD28*100,0)),"-")</x:f>
      </x:c>
      <x:c r="AG28" s="563">
        <x:v>20</x:v>
      </x:c>
      <x:c r="AH28" s="561">
        <x:f>IF(AG28="",SUM('РХиПНО'!BK24:BO24),IF(AG28&lt;SUM('РХиПНО'!BK24:BO24),AG28,SUM('РХиПНО'!BK24:BO24)))</x:f>
      </x:c>
      <x:c r="AI28" s="76">
        <x:f>IFERROR(IF(ROUND((AH28)/AG28*100,0)&gt;100,100,ROUND((AH28)/AG28*100,0)),"-")</x:f>
      </x:c>
      <x:c r="AJ28" s="563">
        <x:v>20</x:v>
      </x:c>
      <x:c r="AK28" s="561">
        <x:f>IF(AJ28="",SUM('РХиПНО'!BQ24:BU24),IF(AJ28&lt;SUM('РХиПНО'!BQ24:BU24),AJ28,SUM('РХиПНО'!BQ24:BU24)))</x:f>
      </x:c>
      <x:c r="AL28" s="76">
        <x:f>IFERROR(IF(ROUND((AK28)/AJ28*100,0)&gt;100,100,ROUND((AK28)/AJ28*100,0)),"-")</x:f>
      </x:c>
    </x:row>
    <x:row r="29" spans="1:38" x14ac:dyDescent="0.25">
      <x:c r="A29" s="223"/>
      <x:c r="B29" s="574" t="s">
        <x:v>1092</x:v>
      </x:c>
      <x:c r="C29" s="563">
        <x:v>15</x:v>
      </x:c>
      <x:c r="D29" s="561">
        <x:f>IF(C29="",SUM('ЭНСН'!C18:G18),IF(C29&lt;SUM('ЭНСН'!C18:G18),C29,SUM('ЭНСН'!C18:G18)))</x:f>
      </x:c>
      <x:c r="E29" s="76">
        <x:f>IFERROR(IF(ROUND((D29)/C29*100,0)&gt;100,100,ROUND((D29)/C29*100,0)),"-")</x:f>
      </x:c>
      <x:c r="F29" s="563">
        <x:v>15</x:v>
      </x:c>
      <x:c r="G29" s="561">
        <x:f>IF(F29="",SUM('ЭНСН'!I18:M18),IF(F29&lt;SUM('ЭНСН'!I18:M18),F29,SUM('ЭНСН'!I18:M18)))</x:f>
      </x:c>
      <x:c r="H29" s="76">
        <x:f>IFERROR(IF(ROUND((G29)/F29*100,0)&gt;100,100,ROUND((G29)/F29*100,0)),"-")</x:f>
      </x:c>
      <x:c r="I29" s="563">
        <x:v>15</x:v>
      </x:c>
      <x:c r="J29" s="561">
        <x:f>IF(I29="",SUM('ЭНСН'!O18:S18),IF(I29&lt;SUM('ЭНСН'!O18:S18),I29,SUM('ЭНСН'!O18:S18)))</x:f>
      </x:c>
      <x:c r="K29" s="76">
        <x:f>IFERROR(IF(ROUND((J29)/I29*100,0)&gt;100,100,ROUND((J29)/I29*100,0)),"-")</x:f>
      </x:c>
      <x:c r="L29" s="563">
        <x:v>15</x:v>
      </x:c>
      <x:c r="M29" s="561">
        <x:f>IF(L29="",SUM('ЭНСН'!U18:Y18),IF(L29&lt;SUM('ЭНСН'!U18:Y18),L29,SUM('ЭНСН'!U18:Y18)))</x:f>
      </x:c>
      <x:c r="N29" s="76">
        <x:f>IFERROR(IF(ROUND((M29)/L29*100,0)&gt;100,100,ROUND((M29)/L29*100,0)),"-")</x:f>
      </x:c>
      <x:c r="O29" s="563">
        <x:v>15</x:v>
      </x:c>
      <x:c r="P29" s="561">
        <x:f>IF(O29="",SUM('ЭНСН'!AA18:AE18),IF(O29&lt;SUM('ЭНСН'!AA18:AE18),O29,SUM('ЭНСН'!AA18:AE18)))</x:f>
      </x:c>
      <x:c r="Q29" s="76">
        <x:f>IFERROR(IF(ROUND((P29)/O29*100,0)&gt;100,100,ROUND((P29)/O29*100,0)),"-")</x:f>
      </x:c>
      <x:c r="R29" s="563">
        <x:v>15</x:v>
      </x:c>
      <x:c r="S29" s="561">
        <x:f>IF(R29="",SUM('ЭНСН'!AG18:AK18),IF(R29&lt;SUM('ЭНСН'!AG18:AK18),R29,SUM('ЭНСН'!AG18:AK18)))</x:f>
      </x:c>
      <x:c r="T29" s="76">
        <x:f>IFERROR(IF(ROUND((S29)/R29*100,0)&gt;100,100,ROUND((S29)/R29*100,0)),"-")</x:f>
      </x:c>
      <x:c r="U29" s="563">
        <x:v>15</x:v>
      </x:c>
      <x:c r="V29" s="561">
        <x:f>IF(U29="",SUM('ЭНСН'!AM18:AQ18),IF(U29&lt;SUM('ЭНСН'!AM18:AQ18),U29,SUM('ЭНСН'!AM18:AQ18)))</x:f>
      </x:c>
      <x:c r="W29" s="9">
        <x:f>IFERROR(IF(ROUND((V29)/U29*100,0)&gt;100,100,ROUND((V29)/U29*100,0)),"-")</x:f>
      </x:c>
      <x:c r="X29" s="563">
        <x:v>15</x:v>
      </x:c>
      <x:c r="Y29" s="561">
        <x:f>IF(X29="",SUM('ЭНСН'!AS18:AW18),IF(X29&lt;SUM('ЭНСН'!AS18:AW18),X29,SUM('ЭНСН'!AS18:AW18)))</x:f>
      </x:c>
      <x:c r="Z29" s="76">
        <x:f>IFERROR(IF(ROUND((Y29)/X29*100,0)&gt;100,100,ROUND((Y29)/X29*100,0)),"-")</x:f>
      </x:c>
      <x:c r="AA29" s="563">
        <x:v>15</x:v>
      </x:c>
      <x:c r="AB29" s="561">
        <x:f>IF(AA29="",SUM('ЭНСН'!AY18:BC18),IF(AA29&lt;SUM('ЭНСН'!AY18:BC18),AA29,SUM('ЭНСН'!AY18:BC18)))</x:f>
      </x:c>
      <x:c r="AC29" s="76">
        <x:f>IFERROR(IF(ROUND((AB29)/AA29*100,0)&gt;100,100,ROUND((AB29)/AA29*100,0)),"-")</x:f>
      </x:c>
      <x:c r="AD29" s="563">
        <x:v>15</x:v>
      </x:c>
      <x:c r="AE29" s="561">
        <x:f>IF(AD29="",SUM('ЭНСН'!BE18:BI18),IF(AD29&lt;SUM('ЭНСН'!BE18:BI18),AD29,SUM('ЭНСН'!BE18:BI18)))</x:f>
      </x:c>
      <x:c r="AF29" s="76">
        <x:f>IFERROR(IF(ROUND((AE29)/AD29*100,0)&gt;100,100,ROUND((AE29)/AD29*100,0)),"-")</x:f>
      </x:c>
      <x:c r="AG29" s="563">
        <x:v>15</x:v>
      </x:c>
      <x:c r="AH29" s="561">
        <x:f>IF(AG29="",SUM('ЭНСН'!BK18:BO18),IF(AG29&lt;SUM('ЭНСН'!BK18:BO18),AG29,SUM('ЭНСН'!BK18:BO18)))</x:f>
      </x:c>
      <x:c r="AI29" s="76">
        <x:f>IFERROR(IF(ROUND((AH29)/AG29*100,0)&gt;100,100,ROUND((AH29)/AG29*100,0)),"-")</x:f>
      </x:c>
      <x:c r="AJ29" s="563">
        <x:v>15</x:v>
      </x:c>
      <x:c r="AK29" s="561">
        <x:f>IF(AJ29="",SUM('ЭНСН'!BQ18:BU18),IF(AJ29&lt;SUM('ЭНСН'!BQ18:BU18),AJ29,SUM('ЭНСН'!BQ18:BU18)))</x:f>
      </x:c>
      <x:c r="AL29" s="76">
        <x:f>IFERROR(IF(ROUND((AK29)/AJ29*100,0)&gt;100,100,ROUND((AK29)/AJ29*100,0)),"-")</x:f>
      </x:c>
    </x:row>
    <x:row r="30" spans="1:38" ht="30.75" customHeight="1" x14ac:dyDescent="0.25">
      <x:c r="A30" s="575" t="s">
        <x:v>396</x:v>
      </x:c>
      <x:c r="B30" s="576" t="s">
        <x:v>1093</x:v>
      </x:c>
      <x:c r="C30" s="570">
        <x:v>43</x:v>
      </x:c>
      <x:c r="D30" s="561">
        <x:f>IF(C30="",SUM('КОС'!C58:G58),IF(C30&lt;SUM('КОС'!C58:G58),C30,SUM('КОС'!C58:G58)))</x:f>
      </x:c>
      <x:c r="E30" s="76">
        <x:f>IFERROR(IF(ROUND((D30)/C30*100,0)&gt;100,100,ROUND((D30)/C30*100,0)),"-")</x:f>
      </x:c>
      <x:c r="F30" s="570">
        <x:v>43</x:v>
      </x:c>
      <x:c r="G30" s="561">
        <x:f>IF(F30="",SUM('КОС'!I58:M58),IF(F30&lt;SUM('КОС'!I58:M58),F30,SUM('КОС'!I58:M58)))</x:f>
      </x:c>
      <x:c r="H30" s="76">
        <x:f>IFERROR(IF(ROUND((G30)/F30*100,0)&gt;100,100,ROUND((G30)/F30*100,0)),"-")</x:f>
      </x:c>
      <x:c r="I30" s="570">
        <x:v>43</x:v>
      </x:c>
      <x:c r="J30" s="561">
        <x:f>IF(I30="",SUM('КОС'!O58:S58),IF(I30&lt;SUM('КОС'!O58:S58),I30,SUM('КОС'!O58:S58)))</x:f>
      </x:c>
      <x:c r="K30" s="76">
        <x:f>IFERROR(IF(ROUND((J30)/I30*100,0)&gt;100,100,ROUND((J30)/I30*100,0)),"-")</x:f>
      </x:c>
      <x:c r="L30" s="570">
        <x:v>43</x:v>
      </x:c>
      <x:c r="M30" s="561">
        <x:f>IF(L30="",SUM('КОС'!U58:Y58),IF(L30&lt;SUM('КОС'!U58:Y58),L30,SUM('КОС'!U58:Y58)))</x:f>
      </x:c>
      <x:c r="N30" s="76">
        <x:f>IFERROR(IF(ROUND((M30)/L30*100,0)&gt;100,100,ROUND((M30)/L30*100,0)),"-")</x:f>
      </x:c>
      <x:c r="O30" s="570">
        <x:v>43</x:v>
      </x:c>
      <x:c r="P30" s="561">
        <x:f>IF(O30="",SUM('КОС'!AA58:AE58),IF(O30&lt;SUM('КОС'!AA58:AE58),O30,SUM('КОС'!AA58:AE58)))</x:f>
      </x:c>
      <x:c r="Q30" s="76">
        <x:f>IFERROR(IF(ROUND((P30)/O30*100,0)&gt;100,100,ROUND((P30)/O30*100,0)),"-")</x:f>
      </x:c>
      <x:c r="R30" s="570">
        <x:v>43</x:v>
      </x:c>
      <x:c r="S30" s="561">
        <x:f>IF(R30="",SUM('КОС'!AG58:AK58),IF(R30&lt;SUM('КОС'!AG58:AK58),R30,SUM('КОС'!AG58:AK58)))</x:f>
      </x:c>
      <x:c r="T30" s="76">
        <x:f>IFERROR(IF(ROUND((S30)/R30*100,0)&gt;100,100,ROUND((S30)/R30*100,0)),"-")</x:f>
      </x:c>
      <x:c r="U30" s="570">
        <x:v>43</x:v>
      </x:c>
      <x:c r="V30" s="561">
        <x:f>IF(U30="",SUM('КОС'!AM58:AQ58),IF(U30&lt;SUM('КОС'!AM58:AQ58),U30,SUM('КОС'!AM58:AQ58)))</x:f>
      </x:c>
      <x:c r="W30" s="9">
        <x:f>IFERROR(IF(ROUND((V30)/U30*100,0)&gt;100,100,ROUND((V30)/U30*100,0)),"-")</x:f>
      </x:c>
      <x:c r="X30" s="570">
        <x:v>43</x:v>
      </x:c>
      <x:c r="Y30" s="561">
        <x:f>IF(X30="",SUM('КОС'!AS58:AW58),IF(X30&lt;SUM('КОС'!AS58:AW58),X30,SUM('КОС'!AS58:AW58)))</x:f>
      </x:c>
      <x:c r="Z30" s="76">
        <x:f>IFERROR(IF(ROUND((Y30)/X30*100,0)&gt;100,100,ROUND((Y30)/X30*100,0)),"-")</x:f>
      </x:c>
      <x:c r="AA30" s="570">
        <x:v>43</x:v>
      </x:c>
      <x:c r="AB30" s="561">
        <x:f>IF(AA30="",SUM('КОС'!AY58:BC58),IF(AA30&lt;SUM('КОС'!AY58:BC58),AA30,SUM('КОС'!AY58:BC58)))</x:f>
      </x:c>
      <x:c r="AC30" s="76">
        <x:f>IFERROR(IF(ROUND((AB30)/AA30*100,0)&gt;100,100,ROUND((AB30)/AA30*100,0)),"-")</x:f>
      </x:c>
      <x:c r="AD30" s="570">
        <x:v>43</x:v>
      </x:c>
      <x:c r="AE30" s="561">
        <x:f>IF(AD30="",SUM('КОС'!BE58:BI58),IF(AD30&lt;SUM('КОС'!BE58:BI58),AD30,SUM('КОС'!BE58:BI58)))</x:f>
      </x:c>
      <x:c r="AF30" s="76">
        <x:f>IFERROR(IF(ROUND((AE30)/AD30*100,0)&gt;100,100,ROUND((AE30)/AD30*100,0)),"-")</x:f>
      </x:c>
      <x:c r="AG30" s="570">
        <x:v>43</x:v>
      </x:c>
      <x:c r="AH30" s="561">
        <x:f>IF(AG30="",SUM('КОС'!BK58:BO58),IF(AG30&lt;SUM('КОС'!BK58:BO58),AG30,SUM('КОС'!BK58:BO58)))</x:f>
      </x:c>
      <x:c r="AI30" s="76">
        <x:f>IFERROR(IF(ROUND((AH30)/AG30*100,0)&gt;100,100,ROUND((AH30)/AG30*100,0)),"-")</x:f>
      </x:c>
      <x:c r="AJ30" s="570">
        <x:v>43</x:v>
      </x:c>
      <x:c r="AK30" s="561">
        <x:f>IF(AJ30="",SUM('КОС'!BQ58:BU58),IF(AJ30&lt;SUM('КОС'!BQ58:BU58),AJ30,SUM('КОС'!BQ58:BU58)))</x:f>
      </x:c>
      <x:c r="AL30" s="76">
        <x:f>IFERROR(IF(ROUND((AK30)/AJ30*100,0)&gt;100,100,ROUND((AK30)/AJ30*100,0)),"-")</x:f>
      </x:c>
    </x:row>
    <x:row r="31" spans="1:38" ht="30.75" customHeight="1" x14ac:dyDescent="0.25">
      <x:c r="A31" s="222"/>
      <x:c r="B31" s="576" t="s">
        <x:v>1094</x:v>
      </x:c>
      <x:c r="C31" s="570">
        <x:v>45</x:v>
      </x:c>
      <x:c r="D31" s="561">
        <x:f>IF(C31="",SUM('БОВ-8а'!C50:G50),IF(C31&lt;SUM('БОВ-8а'!C50:G50),C31,SUM('БОВ-8а'!C50:G50)))</x:f>
      </x:c>
      <x:c r="E31" s="76">
        <x:f>IFERROR(IF(ROUND((D31)/C31*100,0)&gt;100,100,ROUND((D31)/C31*100,0)),"-")</x:f>
      </x:c>
      <x:c r="F31" s="570">
        <x:v>45</x:v>
      </x:c>
      <x:c r="G31" s="561">
        <x:f>IF(F31="",SUM('БОВ-8а'!I50:M50),IF(F31&lt;SUM('БОВ-8а'!I50:M50),F31,SUM('БОВ-8а'!I50:M50)))</x:f>
      </x:c>
      <x:c r="H31" s="76">
        <x:f>IFERROR(IF(ROUND((G31)/F31*100,0)&gt;100,100,ROUND((G31)/F31*100,0)),"-")</x:f>
      </x:c>
      <x:c r="I31" s="570">
        <x:v>45</x:v>
      </x:c>
      <x:c r="J31" s="561">
        <x:f>IF(I31="",SUM('БОВ-8а'!O50:S50),IF(I31&lt;SUM('БОВ-8а'!O50:S50),I31,SUM('БОВ-8а'!O50:S50)))</x:f>
      </x:c>
      <x:c r="K31" s="76">
        <x:f>IFERROR(IF(ROUND((J31)/I31*100,0)&gt;100,100,ROUND((J31)/I31*100,0)),"-")</x:f>
      </x:c>
      <x:c r="L31" s="570">
        <x:v>45</x:v>
      </x:c>
      <x:c r="M31" s="561">
        <x:f>IF(L31="",SUM('БОВ-8а'!U50:Y50),IF(L31&lt;SUM('БОВ-8а'!U50:Y50),L31,SUM('БОВ-8а'!U50:Y50)))</x:f>
      </x:c>
      <x:c r="N31" s="76">
        <x:f>IFERROR(IF(ROUND((M31)/L31*100,0)&gt;100,100,ROUND((M31)/L31*100,0)),"-")</x:f>
      </x:c>
      <x:c r="O31" s="570">
        <x:v>45</x:v>
      </x:c>
      <x:c r="P31" s="561">
        <x:f>IF(O31="",SUM('БОВ-8а'!AA50:AE50),IF(O31&lt;SUM('БОВ-8а'!AA50:AE50),O31,SUM('БОВ-8а'!AA50:AE50)))</x:f>
      </x:c>
      <x:c r="Q31" s="76">
        <x:f>IFERROR(IF(ROUND((P31)/O31*100,0)&gt;100,100,ROUND((P31)/O31*100,0)),"-")</x:f>
      </x:c>
      <x:c r="R31" s="570">
        <x:v>45</x:v>
      </x:c>
      <x:c r="S31" s="561">
        <x:f>IF(R31="",SUM('БОВ-8а'!AG50:AK50),IF(R31&lt;SUM('БОВ-8а'!AG50:AK50),R31,SUM('БОВ-8а'!AG50:AK50)))</x:f>
      </x:c>
      <x:c r="T31" s="76">
        <x:f>IFERROR(IF(ROUND((S31)/R31*100,0)&gt;100,100,ROUND((S31)/R31*100,0)),"-")</x:f>
      </x:c>
      <x:c r="U31" s="577">
        <x:v>45</x:v>
      </x:c>
      <x:c r="V31" s="561">
        <x:f>IF(U31="",SUM('БОВ-8а'!AM50:AQ50),IF(U31&lt;SUM('БОВ-8а'!AM50:AQ50),U31,SUM('БОВ-8а'!AM50:AQ50)))</x:f>
      </x:c>
      <x:c r="W31" s="9">
        <x:f>IFERROR(IF(ROUND((V31)/U31*100,0)&gt;100,100,ROUND((V31)/U31*100,0)),"-")</x:f>
      </x:c>
      <x:c r="X31" s="570">
        <x:v>45</x:v>
      </x:c>
      <x:c r="Y31" s="561">
        <x:f>IF(X31="",SUM('БОВ-8а'!AS50:AW50),IF(X31&lt;SUM('БОВ-8а'!AS50:AW50),X31,SUM('БОВ-8а'!AS50:AW50)))</x:f>
      </x:c>
      <x:c r="Z31" s="76">
        <x:f>IFERROR(IF(ROUND((Y31)/X31*100,0)&gt;100,100,ROUND((Y31)/X31*100,0)),"-")</x:f>
      </x:c>
      <x:c r="AA31" s="570">
        <x:v>45</x:v>
      </x:c>
      <x:c r="AB31" s="561">
        <x:f>IF(AA31="",SUM('БОВ-8а'!AY50:BC50),IF(AA31&lt;SUM('БОВ-8а'!AY50:BC50),AA31,SUM('БОВ-8а'!AY50:BC50)))</x:f>
      </x:c>
      <x:c r="AC31" s="76">
        <x:f>IFERROR(IF(ROUND((AB31)/AA31*100,0)&gt;100,100,ROUND((AB31)/AA31*100,0)),"-")</x:f>
      </x:c>
      <x:c r="AD31" s="570">
        <x:v>45</x:v>
      </x:c>
      <x:c r="AE31" s="561">
        <x:f>IF(AD31="",SUM('БОВ-8а'!BE50:BI50),IF(AD31&lt;SUM('БОВ-8а'!BE50:BI50),AD31,SUM('БОВ-8а'!BE50:BI50)))</x:f>
      </x:c>
      <x:c r="AF31" s="76">
        <x:f>IFERROR(IF(ROUND((AE31)/AD31*100,0)&gt;100,100,ROUND((AE31)/AD31*100,0)),"-")</x:f>
      </x:c>
      <x:c r="AG31" s="570">
        <x:v>45</x:v>
      </x:c>
      <x:c r="AH31" s="561">
        <x:f>IF(AG31="",SUM('БОВ-8а'!BK50:BO50),IF(AG31&lt;SUM('БОВ-8а'!BK50:BO50),AG31,SUM('БОВ-8а'!BK50:BO50)))</x:f>
      </x:c>
      <x:c r="AI31" s="76">
        <x:f>IFERROR(IF(ROUND((AH31)/AG31*100,0)&gt;100,100,ROUND((AH31)/AG31*100,0)),"-")</x:f>
      </x:c>
      <x:c r="AJ31" s="570">
        <x:v>45</x:v>
      </x:c>
      <x:c r="AK31" s="561">
        <x:f>IF(AJ31="",SUM('БОВ-8а'!BQ50:BU50),IF(AJ31&lt;SUM('БОВ-8а'!BQ50:BU50),AJ31,SUM('БОВ-8а'!BQ50:BU50)))</x:f>
      </x:c>
      <x:c r="AL31" s="76">
        <x:f>IFERROR(IF(ROUND((AK31)/AJ31*100,0)&gt;100,100,ROUND((AK31)/AJ31*100,0)),"-")</x:f>
      </x:c>
    </x:row>
    <x:row r="32" spans="1:38" ht="96" customHeight="1" x14ac:dyDescent="0.25">
      <x:c r="A32" s="578" t="s">
        <x:v>6</x:v>
      </x:c>
      <x:c r="B32" s="560" t="s">
        <x:v>1095</x:v>
      </x:c>
      <x:c r="C32" s="567">
        <x:v>19</x:v>
      </x:c>
      <x:c r="D32" s="561">
        <x:f>IF(C32="",SUM('ЦУП'!C22:G22),IF(C32&lt;SUM('ЦУП'!C22:G22),C32,SUM('ЦУП'!C22:G22)))</x:f>
      </x:c>
      <x:c r="E32" s="76">
        <x:f>IFERROR(IF(ROUND((D32)/C32*100,0)&gt;100,100,ROUND((D32)/C32*100,0)),"-")</x:f>
      </x:c>
      <x:c r="F32" s="567">
        <x:v>19</x:v>
      </x:c>
      <x:c r="G32" s="561">
        <x:f>IF(F32="",SUM('ЦУП'!I22:M22),IF(F32&lt;SUM('ЦУП'!I22:M22),F32,SUM('ЦУП'!I22:M22)))</x:f>
      </x:c>
      <x:c r="H32" s="76">
        <x:f>IFERROR(IF(ROUND((G32)/F32*100,0)&gt;100,100,ROUND((G32)/F32*100,0)),"-")</x:f>
      </x:c>
      <x:c r="I32" s="567">
        <x:v>19</x:v>
      </x:c>
      <x:c r="J32" s="561">
        <x:f>IF(I32="",SUM('ЦУП'!O22:S22),IF(I32&lt;SUM('ЦУП'!O22:S22),I32,SUM('ЦУП'!O22:S22)))</x:f>
      </x:c>
      <x:c r="K32" s="76">
        <x:f>IFERROR(IF(ROUND((J32)/I32*100,0)&gt;100,100,ROUND((J32)/I32*100,0)),"-")</x:f>
      </x:c>
      <x:c r="L32" s="567">
        <x:v>19</x:v>
      </x:c>
      <x:c r="M32" s="561">
        <x:f>IF(L32="",SUM('ЦУП'!U22:Y22),IF(L32&lt;SUM('ЦУП'!U22:Y22),L32,SUM('ЦУП'!U22:Y22)))</x:f>
      </x:c>
      <x:c r="N32" s="76">
        <x:f>IFERROR(IF(ROUND((M32)/L32*100,0)&gt;100,100,ROUND((M32)/L32*100,0)),"-")</x:f>
      </x:c>
      <x:c r="O32" s="567">
        <x:v>19</x:v>
      </x:c>
      <x:c r="P32" s="561">
        <x:f>IF(O32="",SUM('ЦУП'!AA22:AE22),IF(O32&lt;SUM('ЦУП'!AA22:AE22),O32,SUM('ЦУП'!AA22:AE22)))</x:f>
      </x:c>
      <x:c r="Q32" s="76">
        <x:f>IFERROR(IF(ROUND((P32)/O32*100,0)&gt;100,100,ROUND((P32)/O32*100,0)),"-")</x:f>
      </x:c>
      <x:c r="R32" s="567">
        <x:v>19</x:v>
      </x:c>
      <x:c r="S32" s="561">
        <x:f>IF(R32="",SUM('ЦУП'!AG22:AK22),IF(R32&lt;SUM('ЦУП'!AG22:AK22),R32,SUM('ЦУП'!AG22:AK22)))</x:f>
      </x:c>
      <x:c r="T32" s="76">
        <x:f>IFERROR(IF(ROUND((S32)/R32*100,0)&gt;100,100,ROUND((S32)/R32*100,0)),"-")</x:f>
      </x:c>
      <x:c r="U32" s="567">
        <x:v>19</x:v>
      </x:c>
      <x:c r="V32" s="561">
        <x:f>IF(U32="",SUM('ЦУП'!AM22:AQ22),IF(U32&lt;SUM('ЦУП'!AM22:AQ22),U32,SUM('ЦУП'!AM22:AQ22)))</x:f>
      </x:c>
      <x:c r="W32" s="9">
        <x:f>IFERROR(IF(ROUND((V32)/U32*100,0)&gt;100,100,ROUND((V32)/U32*100,0)),"-")</x:f>
      </x:c>
      <x:c r="X32" s="567">
        <x:v>19</x:v>
      </x:c>
      <x:c r="Y32" s="561">
        <x:f>IF(X32="",SUM('ЦУП'!AS22:AW22),IF(X32&lt;SUM('ЦУП'!AS22:AW22),X32,SUM('ЦУП'!AS22:AW22)))</x:f>
      </x:c>
      <x:c r="Z32" s="76">
        <x:f>IFERROR(IF(ROUND((Y32)/X32*100,0)&gt;100,100,ROUND((Y32)/X32*100,0)),"-")</x:f>
      </x:c>
      <x:c r="AA32" s="567">
        <x:v>19</x:v>
      </x:c>
      <x:c r="AB32" s="561">
        <x:f>IF(AA32="",SUM('ЦУП'!AY22:BC22),IF(AA32&lt;SUM('ЦУП'!AY22:BC22),AA32,SUM('ЦУП'!AY22:BC22)))</x:f>
      </x:c>
      <x:c r="AC32" s="76">
        <x:f>IFERROR(IF(ROUND((AB32)/AA32*100,0)&gt;100,100,ROUND((AB32)/AA32*100,0)),"-")</x:f>
      </x:c>
      <x:c r="AD32" s="567">
        <x:v>19</x:v>
      </x:c>
      <x:c r="AE32" s="561">
        <x:f>IF(AD32="",SUM('ЦУП'!BE22:BI22),IF(AD32&lt;SUM('ЦУП'!BE22:BI22),AD32,SUM('ЦУП'!BE22:BI22)))</x:f>
      </x:c>
      <x:c r="AF32" s="76">
        <x:f>IFERROR(IF(ROUND((AE32)/AD32*100,0)&gt;100,100,ROUND((AE32)/AD32*100,0)),"-")</x:f>
      </x:c>
      <x:c r="AG32" s="567">
        <x:v>19</x:v>
      </x:c>
      <x:c r="AH32" s="561">
        <x:f>IF(AG32="",SUM('ЦУП'!BK22:BO22),IF(AG32&lt;SUM('ЦУП'!BK22:BO22),AG32,SUM('ЦУП'!BK22:BO22)))</x:f>
      </x:c>
      <x:c r="AI32" s="76">
        <x:f>IFERROR(IF(ROUND((AH32)/AG32*100,0)&gt;100,100,ROUND((AH32)/AG32*100,0)),"-")</x:f>
      </x:c>
      <x:c r="AJ32" s="567">
        <x:v>19</x:v>
      </x:c>
      <x:c r="AK32" s="561">
        <x:f>IF(AJ32="",SUM('ЦУП'!BQ22:BU22),IF(AJ32&lt;SUM('ЦУП'!BQ22:BU22),AJ32,SUM('ЦУП'!BQ22:BU22)))</x:f>
      </x:c>
      <x:c r="AL32" s="76">
        <x:f>IFERROR(IF(ROUND((AK32)/AJ32*100,0)&gt;100,100,ROUND((AK32)/AJ32*100,0)),"-")</x:f>
      </x:c>
    </x:row>
    <x:row r="35" spans="1:38" x14ac:dyDescent="0.25">
      <x:c r="A35" s="579"/>
      <x:c r="B35" s="0" t="s">
        <x:v>1096</x:v>
      </x:c>
    </x:row>
    <x:row r="36" spans="1:38" x14ac:dyDescent="0.25">
      <x:c r="A36" s="580"/>
      <x:c r="B36" s="0" t="s">
        <x:v>1097</x:v>
      </x:c>
    </x:row>
    <x:row r="37" spans="1:38" x14ac:dyDescent="0.25">
      <x:c r="A37" s="581"/>
      <x:c r="B37" s="0" t="s">
        <x:v>1098</x:v>
      </x:c>
    </x:row>
  </x:sheetData>
  <x:mergeCells count="20">
    <x:mergeCell ref="A1:B1"/>
    <x:mergeCell ref="A2:B2"/>
    <x:mergeCell ref="C2:E2"/>
    <x:mergeCell ref="F2:H2"/>
    <x:mergeCell ref="I2:K2"/>
    <x:mergeCell ref="L2:N2"/>
    <x:mergeCell ref="O2:Q2"/>
    <x:mergeCell ref="R2:T2"/>
    <x:mergeCell ref="U2:W2"/>
    <x:mergeCell ref="X2:Z2"/>
    <x:mergeCell ref="AA2:AC2"/>
    <x:mergeCell ref="AD2:AF2"/>
    <x:mergeCell ref="AG2:AI2"/>
    <x:mergeCell ref="AJ2:AL2"/>
    <x:mergeCell ref="A3:B3"/>
    <x:mergeCell ref="A4:A11"/>
    <x:mergeCell ref="A12:A18"/>
    <x:mergeCell ref="A20:A23"/>
    <x:mergeCell ref="A24:A29"/>
    <x:mergeCell ref="A30:A31"/>
  </x:mergeCells>
  <x:conditionalFormatting sqref="E4:E32 H4:H32 K4:K32 N4:N32 Q4:Q32 T4:T32 W4:W32 Z4:Z32 AC4:AC32 AF4:AF32 AI4:AI32 AL4:AL32">
    <x:cfRule type="cellIs" dxfId="1" priority="1" operator="between">
      <x:formula>86</x:formula>
      <x:formula>100</x:formula>
    </x:cfRule>
    <x:cfRule type="cellIs" dxfId="2" priority="2" operator="between">
      <x:formula>50.00001</x:formula>
      <x:formula>85.99999</x:formula>
    </x:cfRule>
    <x:cfRule type="cellIs" dxfId="3" priority="3" operator="between">
      <x:formula>0</x:formula>
      <x:formula>50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V47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9.570312" style="0" customWidth="1"/>
    <x:col min="45" max="49" width="9.140625" style="0" customWidth="1"/>
    <x:col min="50" max="50" width="9.855469" style="0" customWidth="1"/>
    <x:col min="51" max="55" width="9.140625" style="0" customWidth="1"/>
    <x:col min="56" max="56" width="9.285156" style="0" customWidth="1"/>
    <x:col min="57" max="61" width="9.140625" style="0" customWidth="1"/>
    <x:col min="62" max="62" width="9.855469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9.710938" style="0" customWidth="1"/>
  </x:cols>
  <x:sheetData>
    <x:row r="1" spans="1:74" ht="23.25" customHeight="1" x14ac:dyDescent="0.3">
      <x:c r="A1" s="22" t="s">
        <x:v>1064</x:v>
      </x:c>
      <x:c r="B1" s="496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6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4.75" customHeight="1" x14ac:dyDescent="0.25">
      <x:c r="A3" s="28" t="s">
        <x:v>78</x:v>
      </x:c>
      <x:c r="B3" s="28" t="s">
        <x:v>23</x:v>
      </x:c>
      <x:c r="C3" s="154"/>
      <x:c r="D3" s="155"/>
      <x:c r="E3" s="155"/>
      <x:c r="F3" s="155"/>
      <x:c r="G3" s="155"/>
      <x:c r="H3" s="156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154">
        <x:v>100</x:v>
      </x:c>
      <x:c r="AN3" s="155">
        <x:v>100</x:v>
      </x:c>
      <x:c r="AO3" s="155">
        <x:v>100</x:v>
      </x:c>
      <x:c r="AP3" s="155">
        <x:v>100</x:v>
      </x:c>
      <x:c r="AQ3" s="155">
        <x:v>100</x:v>
      </x:c>
      <x:c r="AR3" s="582" t="s">
        <x:v>1102</x:v>
      </x:c>
      <x:c r="AS3" s="154">
        <x:v>100</x:v>
      </x:c>
      <x:c r="AT3" s="155">
        <x:v>100</x:v>
      </x:c>
      <x:c r="AU3" s="155">
        <x:v>100</x:v>
      </x:c>
      <x:c r="AV3" s="155">
        <x:v>100</x:v>
      </x:c>
      <x:c r="AW3" s="228">
        <x:v>100</x:v>
      </x:c>
      <x:c r="AX3" s="583" t="s">
        <x:v>1102</x:v>
      </x:c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ht="22.5" customHeight="1" x14ac:dyDescent="0.25">
      <x:c r="A4" s="32" t="s">
        <x:v>61</x:v>
      </x:c>
      <x:c r="B4" s="32" t="s">
        <x:v>16</x:v>
      </x:c>
      <x:c r="C4" s="157"/>
      <x:c r="D4" s="158"/>
      <x:c r="E4" s="158"/>
      <x:c r="F4" s="158"/>
      <x:c r="G4" s="158"/>
      <x:c r="H4" s="159"/>
      <x:c r="I4" s="33"/>
      <x:c r="J4" s="185"/>
      <x:c r="K4" s="185"/>
      <x:c r="L4" s="185"/>
      <x:c r="M4" s="35"/>
      <x:c r="N4" s="36"/>
      <x:c r="O4" s="33"/>
      <x:c r="P4" s="185"/>
      <x:c r="Q4" s="185"/>
      <x:c r="R4" s="185"/>
      <x:c r="S4" s="35"/>
      <x:c r="T4" s="36"/>
      <x:c r="U4" s="33"/>
      <x:c r="V4" s="185"/>
      <x:c r="W4" s="185"/>
      <x:c r="X4" s="185"/>
      <x:c r="Y4" s="35"/>
      <x:c r="Z4" s="36"/>
      <x:c r="AA4" s="33"/>
      <x:c r="AB4" s="185"/>
      <x:c r="AC4" s="185"/>
      <x:c r="AD4" s="185"/>
      <x:c r="AE4" s="35"/>
      <x:c r="AF4" s="36"/>
      <x:c r="AG4" s="33"/>
      <x:c r="AH4" s="185"/>
      <x:c r="AI4" s="185"/>
      <x:c r="AJ4" s="185"/>
      <x:c r="AK4" s="3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98</x:v>
      </x:c>
      <x:c r="AR4" s="584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230">
        <x:v>100</x:v>
      </x:c>
      <x:c r="AX4" s="585" t="s">
        <x:v>1102</x:v>
      </x:c>
      <x:c r="AY4" s="33"/>
      <x:c r="AZ4" s="185"/>
      <x:c r="BA4" s="185"/>
      <x:c r="BB4" s="185"/>
      <x:c r="BC4" s="35"/>
      <x:c r="BD4" s="36"/>
      <x:c r="BE4" s="33"/>
      <x:c r="BF4" s="185"/>
      <x:c r="BG4" s="185"/>
      <x:c r="BH4" s="185"/>
      <x:c r="BI4" s="35"/>
      <x:c r="BJ4" s="36"/>
      <x:c r="BK4" s="33"/>
      <x:c r="BL4" s="185"/>
      <x:c r="BM4" s="185"/>
      <x:c r="BN4" s="185"/>
      <x:c r="BO4" s="35"/>
      <x:c r="BP4" s="36"/>
      <x:c r="BQ4" s="33"/>
      <x:c r="BR4" s="185"/>
      <x:c r="BS4" s="185"/>
      <x:c r="BT4" s="185"/>
      <x:c r="BU4" s="35"/>
      <x:c r="BV4" s="36"/>
    </x:row>
    <x:row r="5" spans="1:74" ht="22.5" customHeight="1" x14ac:dyDescent="0.25">
      <x:c r="A5" s="586" t="s">
        <x:v>40</x:v>
      </x:c>
      <x:c r="B5" s="32" t="s">
        <x:v>14</x:v>
      </x:c>
      <x:c r="C5" s="157"/>
      <x:c r="D5" s="158"/>
      <x:c r="E5" s="158"/>
      <x:c r="F5" s="158"/>
      <x:c r="G5" s="158"/>
      <x:c r="H5" s="159"/>
      <x:c r="I5" s="33"/>
      <x:c r="J5" s="185"/>
      <x:c r="K5" s="185"/>
      <x:c r="L5" s="185"/>
      <x:c r="M5" s="35"/>
      <x:c r="N5" s="36"/>
      <x:c r="O5" s="33"/>
      <x:c r="P5" s="185"/>
      <x:c r="Q5" s="185"/>
      <x:c r="R5" s="185"/>
      <x:c r="S5" s="35"/>
      <x:c r="T5" s="36"/>
      <x:c r="U5" s="33"/>
      <x:c r="V5" s="185"/>
      <x:c r="W5" s="185"/>
      <x:c r="X5" s="185"/>
      <x:c r="Y5" s="35"/>
      <x:c r="Z5" s="36"/>
      <x:c r="AA5" s="33"/>
      <x:c r="AB5" s="185"/>
      <x:c r="AC5" s="185"/>
      <x:c r="AD5" s="185"/>
      <x:c r="AE5" s="35"/>
      <x:c r="AF5" s="36"/>
      <x:c r="AG5" s="33"/>
      <x:c r="AH5" s="185"/>
      <x:c r="AI5" s="185"/>
      <x:c r="AJ5" s="185"/>
      <x:c r="AK5" s="3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584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230">
        <x:v>100</x:v>
      </x:c>
      <x:c r="AX5" s="585" t="s">
        <x:v>1102</x:v>
      </x:c>
      <x:c r="AY5" s="33"/>
      <x:c r="AZ5" s="185"/>
      <x:c r="BA5" s="185"/>
      <x:c r="BB5" s="185"/>
      <x:c r="BC5" s="35"/>
      <x:c r="BD5" s="36"/>
      <x:c r="BE5" s="33"/>
      <x:c r="BF5" s="185"/>
      <x:c r="BG5" s="185"/>
      <x:c r="BH5" s="185"/>
      <x:c r="BI5" s="35"/>
      <x:c r="BJ5" s="36"/>
      <x:c r="BK5" s="33"/>
      <x:c r="BL5" s="185"/>
      <x:c r="BM5" s="185"/>
      <x:c r="BN5" s="185"/>
      <x:c r="BO5" s="35"/>
      <x:c r="BP5" s="36"/>
      <x:c r="BQ5" s="33"/>
      <x:c r="BR5" s="185"/>
      <x:c r="BS5" s="185"/>
      <x:c r="BT5" s="185"/>
      <x:c r="BU5" s="35"/>
      <x:c r="BV5" s="36"/>
    </x:row>
    <x:row r="6" spans="1:74" ht="22.5" customHeight="1" x14ac:dyDescent="0.25">
      <x:c r="A6" s="32" t="s">
        <x:v>81</x:v>
      </x:c>
      <x:c r="B6" s="32" t="s">
        <x:v>23</x:v>
      </x:c>
      <x:c r="C6" s="157"/>
      <x:c r="D6" s="158"/>
      <x:c r="E6" s="158"/>
      <x:c r="F6" s="158"/>
      <x:c r="G6" s="158"/>
      <x:c r="H6" s="159"/>
      <x:c r="I6" s="33"/>
      <x:c r="J6" s="185"/>
      <x:c r="K6" s="185"/>
      <x:c r="L6" s="185"/>
      <x:c r="M6" s="35"/>
      <x:c r="N6" s="36"/>
      <x:c r="O6" s="33"/>
      <x:c r="P6" s="185"/>
      <x:c r="Q6" s="185"/>
      <x:c r="R6" s="185"/>
      <x:c r="S6" s="35"/>
      <x:c r="T6" s="36"/>
      <x:c r="U6" s="33"/>
      <x:c r="V6" s="185"/>
      <x:c r="W6" s="185"/>
      <x:c r="X6" s="185"/>
      <x:c r="Y6" s="35"/>
      <x:c r="Z6" s="36"/>
      <x:c r="AA6" s="33"/>
      <x:c r="AB6" s="185"/>
      <x:c r="AC6" s="185"/>
      <x:c r="AD6" s="185"/>
      <x:c r="AE6" s="35"/>
      <x:c r="AF6" s="36"/>
      <x:c r="AG6" s="33"/>
      <x:c r="AH6" s="185"/>
      <x:c r="AI6" s="185"/>
      <x:c r="AJ6" s="185"/>
      <x:c r="AK6" s="3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584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230">
        <x:v>100</x:v>
      </x:c>
      <x:c r="AX6" s="585" t="s">
        <x:v>1102</x:v>
      </x:c>
      <x:c r="AY6" s="33"/>
      <x:c r="AZ6" s="185"/>
      <x:c r="BA6" s="185"/>
      <x:c r="BB6" s="185"/>
      <x:c r="BC6" s="35"/>
      <x:c r="BD6" s="36"/>
      <x:c r="BE6" s="33"/>
      <x:c r="BF6" s="185"/>
      <x:c r="BG6" s="185"/>
      <x:c r="BH6" s="185"/>
      <x:c r="BI6" s="35"/>
      <x:c r="BJ6" s="36"/>
      <x:c r="BK6" s="33"/>
      <x:c r="BL6" s="185"/>
      <x:c r="BM6" s="185"/>
      <x:c r="BN6" s="185"/>
      <x:c r="BO6" s="35"/>
      <x:c r="BP6" s="36"/>
      <x:c r="BQ6" s="33"/>
      <x:c r="BR6" s="185"/>
      <x:c r="BS6" s="185"/>
      <x:c r="BT6" s="185"/>
      <x:c r="BU6" s="35"/>
      <x:c r="BV6" s="36"/>
    </x:row>
    <x:row r="7" spans="1:74" ht="22.5" customHeight="1" x14ac:dyDescent="0.25">
      <x:c r="A7" s="32" t="s">
        <x:v>85</x:v>
      </x:c>
      <x:c r="B7" s="32" t="s">
        <x:v>23</x:v>
      </x:c>
      <x:c r="C7" s="157"/>
      <x:c r="D7" s="158"/>
      <x:c r="E7" s="158"/>
      <x:c r="F7" s="158"/>
      <x:c r="G7" s="158"/>
      <x:c r="H7" s="159"/>
      <x:c r="I7" s="33"/>
      <x:c r="J7" s="185"/>
      <x:c r="K7" s="185"/>
      <x:c r="L7" s="185"/>
      <x:c r="M7" s="35"/>
      <x:c r="N7" s="36"/>
      <x:c r="O7" s="33"/>
      <x:c r="P7" s="185"/>
      <x:c r="Q7" s="185"/>
      <x:c r="R7" s="185"/>
      <x:c r="S7" s="35"/>
      <x:c r="T7" s="36"/>
      <x:c r="U7" s="33"/>
      <x:c r="V7" s="185"/>
      <x:c r="W7" s="185"/>
      <x:c r="X7" s="185"/>
      <x:c r="Y7" s="35"/>
      <x:c r="Z7" s="36"/>
      <x:c r="AA7" s="33"/>
      <x:c r="AB7" s="185"/>
      <x:c r="AC7" s="185"/>
      <x:c r="AD7" s="185"/>
      <x:c r="AE7" s="35"/>
      <x:c r="AF7" s="36"/>
      <x:c r="AG7" s="33"/>
      <x:c r="AH7" s="185"/>
      <x:c r="AI7" s="185"/>
      <x:c r="AJ7" s="185"/>
      <x:c r="AK7" s="3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584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230">
        <x:v>100</x:v>
      </x:c>
      <x:c r="AX7" s="585" t="s">
        <x:v>1102</x:v>
      </x:c>
      <x:c r="AY7" s="33"/>
      <x:c r="AZ7" s="185"/>
      <x:c r="BA7" s="185"/>
      <x:c r="BB7" s="185"/>
      <x:c r="BC7" s="35"/>
      <x:c r="BD7" s="36"/>
      <x:c r="BE7" s="33"/>
      <x:c r="BF7" s="185"/>
      <x:c r="BG7" s="185"/>
      <x:c r="BH7" s="185"/>
      <x:c r="BI7" s="35"/>
      <x:c r="BJ7" s="36"/>
      <x:c r="BK7" s="33"/>
      <x:c r="BL7" s="185"/>
      <x:c r="BM7" s="185"/>
      <x:c r="BN7" s="185"/>
      <x:c r="BO7" s="35"/>
      <x:c r="BP7" s="36"/>
      <x:c r="BQ7" s="33"/>
      <x:c r="BR7" s="185"/>
      <x:c r="BS7" s="185"/>
      <x:c r="BT7" s="185"/>
      <x:c r="BU7" s="35"/>
      <x:c r="BV7" s="36"/>
    </x:row>
    <x:row r="8" spans="1:74" ht="22.5" customHeight="1" x14ac:dyDescent="0.25">
      <x:c r="A8" s="32" t="s">
        <x:v>79</x:v>
      </x:c>
      <x:c r="B8" s="32" t="s">
        <x:v>23</x:v>
      </x:c>
      <x:c r="C8" s="157"/>
      <x:c r="D8" s="158"/>
      <x:c r="E8" s="158"/>
      <x:c r="F8" s="158"/>
      <x:c r="G8" s="158"/>
      <x:c r="H8" s="159"/>
      <x:c r="I8" s="33"/>
      <x:c r="J8" s="185"/>
      <x:c r="K8" s="185"/>
      <x:c r="L8" s="185"/>
      <x:c r="M8" s="35"/>
      <x:c r="N8" s="36"/>
      <x:c r="O8" s="33"/>
      <x:c r="P8" s="185"/>
      <x:c r="Q8" s="185"/>
      <x:c r="R8" s="185"/>
      <x:c r="S8" s="35"/>
      <x:c r="T8" s="36"/>
      <x:c r="U8" s="33"/>
      <x:c r="V8" s="185"/>
      <x:c r="W8" s="185"/>
      <x:c r="X8" s="185"/>
      <x:c r="Y8" s="35"/>
      <x:c r="Z8" s="36"/>
      <x:c r="AA8" s="33"/>
      <x:c r="AB8" s="185"/>
      <x:c r="AC8" s="185"/>
      <x:c r="AD8" s="185"/>
      <x:c r="AE8" s="35"/>
      <x:c r="AF8" s="36"/>
      <x:c r="AG8" s="33"/>
      <x:c r="AH8" s="185"/>
      <x:c r="AI8" s="185"/>
      <x:c r="AJ8" s="185"/>
      <x:c r="AK8" s="3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584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230">
        <x:v>99</x:v>
      </x:c>
      <x:c r="AX8" s="585" t="s">
        <x:v>1102</x:v>
      </x:c>
      <x:c r="AY8" s="33"/>
      <x:c r="AZ8" s="185"/>
      <x:c r="BA8" s="185"/>
      <x:c r="BB8" s="185"/>
      <x:c r="BC8" s="35"/>
      <x:c r="BD8" s="36"/>
      <x:c r="BE8" s="33"/>
      <x:c r="BF8" s="185"/>
      <x:c r="BG8" s="185"/>
      <x:c r="BH8" s="185"/>
      <x:c r="BI8" s="35"/>
      <x:c r="BJ8" s="36"/>
      <x:c r="BK8" s="33"/>
      <x:c r="BL8" s="185"/>
      <x:c r="BM8" s="185"/>
      <x:c r="BN8" s="185"/>
      <x:c r="BO8" s="35"/>
      <x:c r="BP8" s="36"/>
      <x:c r="BQ8" s="33"/>
      <x:c r="BR8" s="185"/>
      <x:c r="BS8" s="185"/>
      <x:c r="BT8" s="185"/>
      <x:c r="BU8" s="35"/>
      <x:c r="BV8" s="36"/>
    </x:row>
    <x:row r="9" spans="1:74" ht="22.5" customHeight="1" x14ac:dyDescent="0.25">
      <x:c r="A9" s="32" t="s">
        <x:v>64</x:v>
      </x:c>
      <x:c r="B9" s="32" t="s">
        <x:v>21</x:v>
      </x:c>
      <x:c r="C9" s="157"/>
      <x:c r="D9" s="158"/>
      <x:c r="E9" s="158"/>
      <x:c r="F9" s="158"/>
      <x:c r="G9" s="158"/>
      <x:c r="H9" s="159"/>
      <x:c r="I9" s="33"/>
      <x:c r="J9" s="185"/>
      <x:c r="K9" s="185"/>
      <x:c r="L9" s="185"/>
      <x:c r="M9" s="35"/>
      <x:c r="N9" s="36"/>
      <x:c r="O9" s="33"/>
      <x:c r="P9" s="185"/>
      <x:c r="Q9" s="185"/>
      <x:c r="R9" s="185"/>
      <x:c r="S9" s="35"/>
      <x:c r="T9" s="36"/>
      <x:c r="U9" s="33"/>
      <x:c r="V9" s="185"/>
      <x:c r="W9" s="185"/>
      <x:c r="X9" s="185"/>
      <x:c r="Y9" s="35"/>
      <x:c r="Z9" s="36"/>
      <x:c r="AA9" s="33"/>
      <x:c r="AB9" s="185"/>
      <x:c r="AC9" s="185"/>
      <x:c r="AD9" s="185"/>
      <x:c r="AE9" s="35"/>
      <x:c r="AF9" s="36"/>
      <x:c r="AG9" s="33"/>
      <x:c r="AH9" s="185"/>
      <x:c r="AI9" s="185"/>
      <x:c r="AJ9" s="185"/>
      <x:c r="AK9" s="3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584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230">
        <x:v>99</x:v>
      </x:c>
      <x:c r="AX9" s="585" t="s">
        <x:v>1102</x:v>
      </x:c>
      <x:c r="AY9" s="33"/>
      <x:c r="AZ9" s="185"/>
      <x:c r="BA9" s="185"/>
      <x:c r="BB9" s="185"/>
      <x:c r="BC9" s="35"/>
      <x:c r="BD9" s="36"/>
      <x:c r="BE9" s="33"/>
      <x:c r="BF9" s="185"/>
      <x:c r="BG9" s="185"/>
      <x:c r="BH9" s="185"/>
      <x:c r="BI9" s="35"/>
      <x:c r="BJ9" s="36"/>
      <x:c r="BK9" s="33"/>
      <x:c r="BL9" s="185"/>
      <x:c r="BM9" s="185"/>
      <x:c r="BN9" s="185"/>
      <x:c r="BO9" s="35"/>
      <x:c r="BP9" s="36"/>
      <x:c r="BQ9" s="33"/>
      <x:c r="BR9" s="185"/>
      <x:c r="BS9" s="185"/>
      <x:c r="BT9" s="185"/>
      <x:c r="BU9" s="35"/>
      <x:c r="BV9" s="36"/>
    </x:row>
    <x:row r="10" spans="1:74" ht="22.5" customHeight="1" x14ac:dyDescent="0.25">
      <x:c r="A10" s="32" t="s">
        <x:v>74</x:v>
      </x:c>
      <x:c r="B10" s="32" t="s">
        <x:v>37</x:v>
      </x:c>
      <x:c r="C10" s="157"/>
      <x:c r="D10" s="158"/>
      <x:c r="E10" s="158"/>
      <x:c r="F10" s="158"/>
      <x:c r="G10" s="158"/>
      <x:c r="H10" s="159"/>
      <x:c r="I10" s="33"/>
      <x:c r="J10" s="185"/>
      <x:c r="K10" s="185"/>
      <x:c r="L10" s="185"/>
      <x:c r="M10" s="35"/>
      <x:c r="N10" s="36"/>
      <x:c r="O10" s="33"/>
      <x:c r="P10" s="185"/>
      <x:c r="Q10" s="185"/>
      <x:c r="R10" s="185"/>
      <x:c r="S10" s="35"/>
      <x:c r="T10" s="36"/>
      <x:c r="U10" s="33"/>
      <x:c r="V10" s="185"/>
      <x:c r="W10" s="185"/>
      <x:c r="X10" s="185"/>
      <x:c r="Y10" s="35"/>
      <x:c r="Z10" s="36"/>
      <x:c r="AA10" s="33"/>
      <x:c r="AB10" s="185"/>
      <x:c r="AC10" s="185"/>
      <x:c r="AD10" s="185"/>
      <x:c r="AE10" s="35"/>
      <x:c r="AF10" s="36"/>
      <x:c r="AG10" s="33"/>
      <x:c r="AH10" s="185"/>
      <x:c r="AI10" s="185"/>
      <x:c r="AJ10" s="185"/>
      <x:c r="AK10" s="3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584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230">
        <x:v>100</x:v>
      </x:c>
      <x:c r="AX10" s="585" t="s">
        <x:v>1102</x:v>
      </x:c>
      <x:c r="AY10" s="33"/>
      <x:c r="AZ10" s="185"/>
      <x:c r="BA10" s="185"/>
      <x:c r="BB10" s="185"/>
      <x:c r="BC10" s="35"/>
      <x:c r="BD10" s="36"/>
      <x:c r="BE10" s="33"/>
      <x:c r="BF10" s="185"/>
      <x:c r="BG10" s="185"/>
      <x:c r="BH10" s="185"/>
      <x:c r="BI10" s="35"/>
      <x:c r="BJ10" s="36"/>
      <x:c r="BK10" s="33"/>
      <x:c r="BL10" s="185"/>
      <x:c r="BM10" s="185"/>
      <x:c r="BN10" s="185"/>
      <x:c r="BO10" s="35"/>
      <x:c r="BP10" s="36"/>
      <x:c r="BQ10" s="33"/>
      <x:c r="BR10" s="185"/>
      <x:c r="BS10" s="185"/>
      <x:c r="BT10" s="185"/>
      <x:c r="BU10" s="35"/>
      <x:c r="BV10" s="36"/>
    </x:row>
    <x:row r="11" spans="1:74" ht="22.5" customHeight="1" x14ac:dyDescent="0.25">
      <x:c r="A11" s="32" t="s">
        <x:v>53</x:v>
      </x:c>
      <x:c r="B11" s="32" t="s">
        <x:v>23</x:v>
      </x:c>
      <x:c r="C11" s="157"/>
      <x:c r="D11" s="158"/>
      <x:c r="E11" s="158"/>
      <x:c r="F11" s="158"/>
      <x:c r="G11" s="158"/>
      <x:c r="H11" s="159"/>
      <x:c r="I11" s="33"/>
      <x:c r="J11" s="185"/>
      <x:c r="K11" s="185"/>
      <x:c r="L11" s="185"/>
      <x:c r="M11" s="35"/>
      <x:c r="N11" s="36"/>
      <x:c r="O11" s="33"/>
      <x:c r="P11" s="185"/>
      <x:c r="Q11" s="185"/>
      <x:c r="R11" s="185"/>
      <x:c r="S11" s="35"/>
      <x:c r="T11" s="36"/>
      <x:c r="U11" s="33"/>
      <x:c r="V11" s="185"/>
      <x:c r="W11" s="185"/>
      <x:c r="X11" s="185"/>
      <x:c r="Y11" s="35"/>
      <x:c r="Z11" s="36"/>
      <x:c r="AA11" s="33"/>
      <x:c r="AB11" s="185"/>
      <x:c r="AC11" s="185"/>
      <x:c r="AD11" s="185"/>
      <x:c r="AE11" s="35"/>
      <x:c r="AF11" s="36"/>
      <x:c r="AG11" s="33"/>
      <x:c r="AH11" s="185"/>
      <x:c r="AI11" s="185"/>
      <x:c r="AJ11" s="185"/>
      <x:c r="AK11" s="3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96</x:v>
      </x:c>
      <x:c r="AR11" s="584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98</x:v>
      </x:c>
      <x:c r="AW11" s="230">
        <x:v>98</x:v>
      </x:c>
      <x:c r="AX11" s="585" t="s">
        <x:v>1102</x:v>
      </x:c>
      <x:c r="AY11" s="33"/>
      <x:c r="AZ11" s="185"/>
      <x:c r="BA11" s="185"/>
      <x:c r="BB11" s="185"/>
      <x:c r="BC11" s="35"/>
      <x:c r="BD11" s="36"/>
      <x:c r="BE11" s="33"/>
      <x:c r="BF11" s="185"/>
      <x:c r="BG11" s="185"/>
      <x:c r="BH11" s="185"/>
      <x:c r="BI11" s="35"/>
      <x:c r="BJ11" s="36"/>
      <x:c r="BK11" s="33"/>
      <x:c r="BL11" s="185"/>
      <x:c r="BM11" s="185"/>
      <x:c r="BN11" s="185"/>
      <x:c r="BO11" s="35"/>
      <x:c r="BP11" s="36"/>
      <x:c r="BQ11" s="33"/>
      <x:c r="BR11" s="185"/>
      <x:c r="BS11" s="185"/>
      <x:c r="BT11" s="185"/>
      <x:c r="BU11" s="35"/>
      <x:c r="BV11" s="36"/>
    </x:row>
    <x:row r="12" spans="1:74" ht="22.5" customHeight="1" x14ac:dyDescent="0.25">
      <x:c r="A12" s="32" t="s">
        <x:v>54</x:v>
      </x:c>
      <x:c r="B12" s="32" t="s">
        <x:v>23</x:v>
      </x:c>
      <x:c r="C12" s="157"/>
      <x:c r="D12" s="158"/>
      <x:c r="E12" s="158"/>
      <x:c r="F12" s="158"/>
      <x:c r="G12" s="158"/>
      <x:c r="H12" s="159"/>
      <x:c r="I12" s="33"/>
      <x:c r="J12" s="185"/>
      <x:c r="K12" s="185"/>
      <x:c r="L12" s="185"/>
      <x:c r="M12" s="35"/>
      <x:c r="N12" s="36"/>
      <x:c r="O12" s="33"/>
      <x:c r="P12" s="185"/>
      <x:c r="Q12" s="185"/>
      <x:c r="R12" s="185"/>
      <x:c r="S12" s="35"/>
      <x:c r="T12" s="36"/>
      <x:c r="U12" s="33"/>
      <x:c r="V12" s="185"/>
      <x:c r="W12" s="185"/>
      <x:c r="X12" s="185"/>
      <x:c r="Y12" s="35"/>
      <x:c r="Z12" s="36"/>
      <x:c r="AA12" s="33"/>
      <x:c r="AB12" s="185"/>
      <x:c r="AC12" s="185"/>
      <x:c r="AD12" s="185"/>
      <x:c r="AE12" s="35"/>
      <x:c r="AF12" s="36"/>
      <x:c r="AG12" s="33"/>
      <x:c r="AH12" s="185"/>
      <x:c r="AI12" s="185"/>
      <x:c r="AJ12" s="185"/>
      <x:c r="AK12" s="3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584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230">
        <x:v>98</x:v>
      </x:c>
      <x:c r="AX12" s="585" t="s">
        <x:v>1102</x:v>
      </x:c>
      <x:c r="AY12" s="33"/>
      <x:c r="AZ12" s="185"/>
      <x:c r="BA12" s="185"/>
      <x:c r="BB12" s="185"/>
      <x:c r="BC12" s="35"/>
      <x:c r="BD12" s="36"/>
      <x:c r="BE12" s="33"/>
      <x:c r="BF12" s="185"/>
      <x:c r="BG12" s="185"/>
      <x:c r="BH12" s="185"/>
      <x:c r="BI12" s="35"/>
      <x:c r="BJ12" s="36"/>
      <x:c r="BK12" s="33"/>
      <x:c r="BL12" s="185"/>
      <x:c r="BM12" s="185"/>
      <x:c r="BN12" s="185"/>
      <x:c r="BO12" s="35"/>
      <x:c r="BP12" s="36"/>
      <x:c r="BQ12" s="33"/>
      <x:c r="BR12" s="185"/>
      <x:c r="BS12" s="185"/>
      <x:c r="BT12" s="185"/>
      <x:c r="BU12" s="35"/>
      <x:c r="BV12" s="36"/>
    </x:row>
    <x:row r="13" spans="1:74" ht="22.5" customHeight="1" x14ac:dyDescent="0.25">
      <x:c r="A13" s="32" t="s">
        <x:v>83</x:v>
      </x:c>
      <x:c r="B13" s="32" t="s">
        <x:v>23</x:v>
      </x:c>
      <x:c r="C13" s="157"/>
      <x:c r="D13" s="158"/>
      <x:c r="E13" s="158"/>
      <x:c r="F13" s="158"/>
      <x:c r="G13" s="158"/>
      <x:c r="H13" s="159"/>
      <x:c r="I13" s="33"/>
      <x:c r="J13" s="185"/>
      <x:c r="K13" s="185"/>
      <x:c r="L13" s="185"/>
      <x:c r="M13" s="35"/>
      <x:c r="N13" s="36"/>
      <x:c r="O13" s="33"/>
      <x:c r="P13" s="185"/>
      <x:c r="Q13" s="185"/>
      <x:c r="R13" s="185"/>
      <x:c r="S13" s="35"/>
      <x:c r="T13" s="36"/>
      <x:c r="U13" s="33"/>
      <x:c r="V13" s="185"/>
      <x:c r="W13" s="185"/>
      <x:c r="X13" s="185"/>
      <x:c r="Y13" s="35"/>
      <x:c r="Z13" s="36"/>
      <x:c r="AA13" s="33"/>
      <x:c r="AB13" s="185"/>
      <x:c r="AC13" s="185"/>
      <x:c r="AD13" s="185"/>
      <x:c r="AE13" s="35"/>
      <x:c r="AF13" s="36"/>
      <x:c r="AG13" s="33"/>
      <x:c r="AH13" s="185"/>
      <x:c r="AI13" s="185"/>
      <x:c r="AJ13" s="185"/>
      <x:c r="AK13" s="3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584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230">
        <x:v>100</x:v>
      </x:c>
      <x:c r="AX13" s="585" t="s">
        <x:v>1102</x:v>
      </x:c>
      <x:c r="AY13" s="33"/>
      <x:c r="AZ13" s="185"/>
      <x:c r="BA13" s="185"/>
      <x:c r="BB13" s="185"/>
      <x:c r="BC13" s="35"/>
      <x:c r="BD13" s="36"/>
      <x:c r="BE13" s="33"/>
      <x:c r="BF13" s="185"/>
      <x:c r="BG13" s="185"/>
      <x:c r="BH13" s="185"/>
      <x:c r="BI13" s="35"/>
      <x:c r="BJ13" s="36"/>
      <x:c r="BK13" s="33"/>
      <x:c r="BL13" s="185"/>
      <x:c r="BM13" s="185"/>
      <x:c r="BN13" s="185"/>
      <x:c r="BO13" s="35"/>
      <x:c r="BP13" s="36"/>
      <x:c r="BQ13" s="33"/>
      <x:c r="BR13" s="185"/>
      <x:c r="BS13" s="185"/>
      <x:c r="BT13" s="185"/>
      <x:c r="BU13" s="35"/>
      <x:c r="BV13" s="36"/>
    </x:row>
    <x:row r="14" spans="1:74" ht="22.5" customHeight="1" x14ac:dyDescent="0.25">
      <x:c r="A14" s="32" t="s">
        <x:v>70</x:v>
      </x:c>
      <x:c r="B14" s="32" t="s">
        <x:v>23</x:v>
      </x:c>
      <x:c r="C14" s="157"/>
      <x:c r="D14" s="158"/>
      <x:c r="E14" s="158"/>
      <x:c r="F14" s="158"/>
      <x:c r="G14" s="158"/>
      <x:c r="H14" s="159"/>
      <x:c r="I14" s="33"/>
      <x:c r="J14" s="185"/>
      <x:c r="K14" s="185"/>
      <x:c r="L14" s="185"/>
      <x:c r="M14" s="35"/>
      <x:c r="N14" s="36"/>
      <x:c r="O14" s="33"/>
      <x:c r="P14" s="185"/>
      <x:c r="Q14" s="185"/>
      <x:c r="R14" s="185"/>
      <x:c r="S14" s="35"/>
      <x:c r="T14" s="36"/>
      <x:c r="U14" s="33"/>
      <x:c r="V14" s="185"/>
      <x:c r="W14" s="185"/>
      <x:c r="X14" s="185"/>
      <x:c r="Y14" s="35"/>
      <x:c r="Z14" s="36"/>
      <x:c r="AA14" s="33"/>
      <x:c r="AB14" s="185"/>
      <x:c r="AC14" s="185"/>
      <x:c r="AD14" s="185"/>
      <x:c r="AE14" s="35"/>
      <x:c r="AF14" s="36"/>
      <x:c r="AG14" s="33"/>
      <x:c r="AH14" s="185"/>
      <x:c r="AI14" s="185"/>
      <x:c r="AJ14" s="185"/>
      <x:c r="AK14" s="3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584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230">
        <x:v>99</x:v>
      </x:c>
      <x:c r="AX14" s="585" t="s">
        <x:v>1102</x:v>
      </x:c>
      <x:c r="AY14" s="33"/>
      <x:c r="AZ14" s="185"/>
      <x:c r="BA14" s="185"/>
      <x:c r="BB14" s="185"/>
      <x:c r="BC14" s="35"/>
      <x:c r="BD14" s="36"/>
      <x:c r="BE14" s="33"/>
      <x:c r="BF14" s="185"/>
      <x:c r="BG14" s="185"/>
      <x:c r="BH14" s="185"/>
      <x:c r="BI14" s="35"/>
      <x:c r="BJ14" s="36"/>
      <x:c r="BK14" s="33"/>
      <x:c r="BL14" s="185"/>
      <x:c r="BM14" s="185"/>
      <x:c r="BN14" s="185"/>
      <x:c r="BO14" s="35"/>
      <x:c r="BP14" s="36"/>
      <x:c r="BQ14" s="33"/>
      <x:c r="BR14" s="185"/>
      <x:c r="BS14" s="185"/>
      <x:c r="BT14" s="185"/>
      <x:c r="BU14" s="35"/>
      <x:c r="BV14" s="36"/>
    </x:row>
    <x:row r="15" spans="1:74" ht="22.5" customHeight="1" x14ac:dyDescent="0.25">
      <x:c r="A15" s="587" t="s">
        <x:v>47</x:v>
      </x:c>
      <x:c r="B15" s="32" t="s">
        <x:v>37</x:v>
      </x:c>
      <x:c r="C15" s="157"/>
      <x:c r="D15" s="158"/>
      <x:c r="E15" s="158"/>
      <x:c r="F15" s="158"/>
      <x:c r="G15" s="158"/>
      <x:c r="H15" s="159"/>
      <x:c r="I15" s="33"/>
      <x:c r="J15" s="185"/>
      <x:c r="K15" s="185"/>
      <x:c r="L15" s="185"/>
      <x:c r="M15" s="35"/>
      <x:c r="N15" s="36"/>
      <x:c r="O15" s="33"/>
      <x:c r="P15" s="185"/>
      <x:c r="Q15" s="185"/>
      <x:c r="R15" s="185"/>
      <x:c r="S15" s="35"/>
      <x:c r="T15" s="36"/>
      <x:c r="U15" s="33"/>
      <x:c r="V15" s="185"/>
      <x:c r="W15" s="185"/>
      <x:c r="X15" s="185"/>
      <x:c r="Y15" s="35"/>
      <x:c r="Z15" s="36"/>
      <x:c r="AA15" s="33"/>
      <x:c r="AB15" s="185"/>
      <x:c r="AC15" s="185"/>
      <x:c r="AD15" s="185"/>
      <x:c r="AE15" s="35"/>
      <x:c r="AF15" s="36"/>
      <x:c r="AG15" s="33"/>
      <x:c r="AH15" s="185"/>
      <x:c r="AI15" s="185"/>
      <x:c r="AJ15" s="185"/>
      <x:c r="AK15" s="3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584" t="s">
        <x:v>1102</x:v>
      </x:c>
      <x:c r="AS15" s="588">
        <x:v>0</x:v>
      </x:c>
      <x:c r="AT15" s="589">
        <x:v>0</x:v>
      </x:c>
      <x:c r="AU15" s="589">
        <x:v>0</x:v>
      </x:c>
      <x:c r="AV15" s="589">
        <x:v>0</x:v>
      </x:c>
      <x:c r="AW15" s="590">
        <x:v>0</x:v>
      </x:c>
      <x:c r="AX15" s="591" t="s">
        <x:v>1103</x:v>
      </x:c>
      <x:c r="AY15" s="33"/>
      <x:c r="AZ15" s="185"/>
      <x:c r="BA15" s="185"/>
      <x:c r="BB15" s="185"/>
      <x:c r="BC15" s="35"/>
      <x:c r="BD15" s="36"/>
      <x:c r="BE15" s="33"/>
      <x:c r="BF15" s="185"/>
      <x:c r="BG15" s="185"/>
      <x:c r="BH15" s="185"/>
      <x:c r="BI15" s="35"/>
      <x:c r="BJ15" s="36"/>
      <x:c r="BK15" s="33"/>
      <x:c r="BL15" s="185"/>
      <x:c r="BM15" s="185"/>
      <x:c r="BN15" s="185"/>
      <x:c r="BO15" s="35"/>
      <x:c r="BP15" s="36"/>
      <x:c r="BQ15" s="33"/>
      <x:c r="BR15" s="185"/>
      <x:c r="BS15" s="185"/>
      <x:c r="BT15" s="185"/>
      <x:c r="BU15" s="35"/>
      <x:c r="BV15" s="36"/>
    </x:row>
    <x:row r="16" spans="1:74" ht="22.5" customHeight="1" x14ac:dyDescent="0.25">
      <x:c r="A16" s="32" t="s">
        <x:v>44</x:v>
      </x:c>
      <x:c r="B16" s="32" t="s">
        <x:v>23</x:v>
      </x:c>
      <x:c r="C16" s="157"/>
      <x:c r="D16" s="158"/>
      <x:c r="E16" s="158"/>
      <x:c r="F16" s="158"/>
      <x:c r="G16" s="158"/>
      <x:c r="H16" s="159"/>
      <x:c r="I16" s="33"/>
      <x:c r="J16" s="185"/>
      <x:c r="K16" s="185"/>
      <x:c r="L16" s="185"/>
      <x:c r="M16" s="35"/>
      <x:c r="N16" s="36"/>
      <x:c r="O16" s="33"/>
      <x:c r="P16" s="185"/>
      <x:c r="Q16" s="185"/>
      <x:c r="R16" s="185"/>
      <x:c r="S16" s="35"/>
      <x:c r="T16" s="36"/>
      <x:c r="U16" s="33"/>
      <x:c r="V16" s="185"/>
      <x:c r="W16" s="185"/>
      <x:c r="X16" s="185"/>
      <x:c r="Y16" s="35"/>
      <x:c r="Z16" s="36"/>
      <x:c r="AA16" s="33"/>
      <x:c r="AB16" s="185"/>
      <x:c r="AC16" s="185"/>
      <x:c r="AD16" s="185"/>
      <x:c r="AE16" s="35"/>
      <x:c r="AF16" s="36"/>
      <x:c r="AG16" s="33"/>
      <x:c r="AH16" s="185"/>
      <x:c r="AI16" s="185"/>
      <x:c r="AJ16" s="185"/>
      <x:c r="AK16" s="3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584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99</x:v>
      </x:c>
      <x:c r="AW16" s="230">
        <x:v>99</x:v>
      </x:c>
      <x:c r="AX16" s="585" t="s">
        <x:v>1102</x:v>
      </x:c>
      <x:c r="AY16" s="33"/>
      <x:c r="AZ16" s="185"/>
      <x:c r="BA16" s="185"/>
      <x:c r="BB16" s="185"/>
      <x:c r="BC16" s="35"/>
      <x:c r="BD16" s="36"/>
      <x:c r="BE16" s="33"/>
      <x:c r="BF16" s="185"/>
      <x:c r="BG16" s="185"/>
      <x:c r="BH16" s="185"/>
      <x:c r="BI16" s="35"/>
      <x:c r="BJ16" s="36"/>
      <x:c r="BK16" s="33"/>
      <x:c r="BL16" s="185"/>
      <x:c r="BM16" s="185"/>
      <x:c r="BN16" s="185"/>
      <x:c r="BO16" s="35"/>
      <x:c r="BP16" s="36"/>
      <x:c r="BQ16" s="33"/>
      <x:c r="BR16" s="185"/>
      <x:c r="BS16" s="185"/>
      <x:c r="BT16" s="185"/>
      <x:c r="BU16" s="35"/>
      <x:c r="BV16" s="36"/>
    </x:row>
    <x:row r="17" spans="1:74" ht="22.5" customHeight="1" x14ac:dyDescent="0.25">
      <x:c r="A17" s="32" t="s">
        <x:v>84</x:v>
      </x:c>
      <x:c r="B17" s="32" t="s">
        <x:v>23</x:v>
      </x:c>
      <x:c r="C17" s="157"/>
      <x:c r="D17" s="158"/>
      <x:c r="E17" s="158"/>
      <x:c r="F17" s="158"/>
      <x:c r="G17" s="158"/>
      <x:c r="H17" s="159"/>
      <x:c r="I17" s="33"/>
      <x:c r="J17" s="185"/>
      <x:c r="K17" s="185"/>
      <x:c r="L17" s="185"/>
      <x:c r="M17" s="35"/>
      <x:c r="N17" s="36"/>
      <x:c r="O17" s="33"/>
      <x:c r="P17" s="185"/>
      <x:c r="Q17" s="185"/>
      <x:c r="R17" s="185"/>
      <x:c r="S17" s="35"/>
      <x:c r="T17" s="36"/>
      <x:c r="U17" s="33"/>
      <x:c r="V17" s="185"/>
      <x:c r="W17" s="185"/>
      <x:c r="X17" s="185"/>
      <x:c r="Y17" s="35"/>
      <x:c r="Z17" s="36"/>
      <x:c r="AA17" s="33"/>
      <x:c r="AB17" s="185"/>
      <x:c r="AC17" s="185"/>
      <x:c r="AD17" s="185"/>
      <x:c r="AE17" s="35"/>
      <x:c r="AF17" s="36"/>
      <x:c r="AG17" s="33"/>
      <x:c r="AH17" s="185"/>
      <x:c r="AI17" s="185"/>
      <x:c r="AJ17" s="185"/>
      <x:c r="AK17" s="3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584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230">
        <x:v>100</x:v>
      </x:c>
      <x:c r="AX17" s="585" t="s">
        <x:v>1102</x:v>
      </x:c>
      <x:c r="AY17" s="33"/>
      <x:c r="AZ17" s="185"/>
      <x:c r="BA17" s="185"/>
      <x:c r="BB17" s="185"/>
      <x:c r="BC17" s="35"/>
      <x:c r="BD17" s="36"/>
      <x:c r="BE17" s="33"/>
      <x:c r="BF17" s="185"/>
      <x:c r="BG17" s="185"/>
      <x:c r="BH17" s="185"/>
      <x:c r="BI17" s="35"/>
      <x:c r="BJ17" s="36"/>
      <x:c r="BK17" s="33"/>
      <x:c r="BL17" s="185"/>
      <x:c r="BM17" s="185"/>
      <x:c r="BN17" s="185"/>
      <x:c r="BO17" s="35"/>
      <x:c r="BP17" s="36"/>
      <x:c r="BQ17" s="33"/>
      <x:c r="BR17" s="185"/>
      <x:c r="BS17" s="185"/>
      <x:c r="BT17" s="185"/>
      <x:c r="BU17" s="35"/>
      <x:c r="BV17" s="36"/>
    </x:row>
    <x:row r="18" spans="1:74" ht="22.5" customHeight="1" x14ac:dyDescent="0.25">
      <x:c r="A18" s="32" t="s">
        <x:v>48</x:v>
      </x:c>
      <x:c r="B18" s="32" t="s">
        <x:v>37</x:v>
      </x:c>
      <x:c r="C18" s="157"/>
      <x:c r="D18" s="158"/>
      <x:c r="E18" s="158"/>
      <x:c r="F18" s="158"/>
      <x:c r="G18" s="158"/>
      <x:c r="H18" s="159"/>
      <x:c r="I18" s="33"/>
      <x:c r="J18" s="185"/>
      <x:c r="K18" s="185"/>
      <x:c r="L18" s="185"/>
      <x:c r="M18" s="35"/>
      <x:c r="N18" s="36"/>
      <x:c r="O18" s="33"/>
      <x:c r="P18" s="185"/>
      <x:c r="Q18" s="185"/>
      <x:c r="R18" s="185"/>
      <x:c r="S18" s="35"/>
      <x:c r="T18" s="36"/>
      <x:c r="U18" s="33"/>
      <x:c r="V18" s="185"/>
      <x:c r="W18" s="185"/>
      <x:c r="X18" s="185"/>
      <x:c r="Y18" s="35"/>
      <x:c r="Z18" s="36"/>
      <x:c r="AA18" s="33"/>
      <x:c r="AB18" s="185"/>
      <x:c r="AC18" s="185"/>
      <x:c r="AD18" s="185"/>
      <x:c r="AE18" s="35"/>
      <x:c r="AF18" s="36"/>
      <x:c r="AG18" s="33"/>
      <x:c r="AH18" s="185"/>
      <x:c r="AI18" s="185"/>
      <x:c r="AJ18" s="185"/>
      <x:c r="AK18" s="3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84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230">
        <x:v>100</x:v>
      </x:c>
      <x:c r="AX18" s="585" t="s">
        <x:v>1102</x:v>
      </x:c>
      <x:c r="AY18" s="33"/>
      <x:c r="AZ18" s="185"/>
      <x:c r="BA18" s="185"/>
      <x:c r="BB18" s="185"/>
      <x:c r="BC18" s="35"/>
      <x:c r="BD18" s="36"/>
      <x:c r="BE18" s="33"/>
      <x:c r="BF18" s="185"/>
      <x:c r="BG18" s="185"/>
      <x:c r="BH18" s="185"/>
      <x:c r="BI18" s="35"/>
      <x:c r="BJ18" s="36"/>
      <x:c r="BK18" s="33"/>
      <x:c r="BL18" s="185"/>
      <x:c r="BM18" s="185"/>
      <x:c r="BN18" s="185"/>
      <x:c r="BO18" s="35"/>
      <x:c r="BP18" s="36"/>
      <x:c r="BQ18" s="33"/>
      <x:c r="BR18" s="185"/>
      <x:c r="BS18" s="185"/>
      <x:c r="BT18" s="185"/>
      <x:c r="BU18" s="35"/>
      <x:c r="BV18" s="36"/>
    </x:row>
    <x:row r="19" spans="1:74" ht="22.5" customHeight="1" x14ac:dyDescent="0.25">
      <x:c r="A19" s="32" t="s">
        <x:v>59</x:v>
      </x:c>
      <x:c r="B19" s="32" t="s">
        <x:v>16</x:v>
      </x:c>
      <x:c r="C19" s="157"/>
      <x:c r="D19" s="158"/>
      <x:c r="E19" s="158"/>
      <x:c r="F19" s="158"/>
      <x:c r="G19" s="158"/>
      <x:c r="H19" s="159"/>
      <x:c r="I19" s="33"/>
      <x:c r="J19" s="185"/>
      <x:c r="K19" s="185"/>
      <x:c r="L19" s="185"/>
      <x:c r="M19" s="35"/>
      <x:c r="N19" s="36"/>
      <x:c r="O19" s="33"/>
      <x:c r="P19" s="185"/>
      <x:c r="Q19" s="185"/>
      <x:c r="R19" s="185"/>
      <x:c r="S19" s="35"/>
      <x:c r="T19" s="36"/>
      <x:c r="U19" s="33"/>
      <x:c r="V19" s="185"/>
      <x:c r="W19" s="185"/>
      <x:c r="X19" s="185"/>
      <x:c r="Y19" s="35"/>
      <x:c r="Z19" s="36"/>
      <x:c r="AA19" s="33"/>
      <x:c r="AB19" s="185"/>
      <x:c r="AC19" s="185"/>
      <x:c r="AD19" s="185"/>
      <x:c r="AE19" s="35"/>
      <x:c r="AF19" s="36"/>
      <x:c r="AG19" s="33"/>
      <x:c r="AH19" s="185"/>
      <x:c r="AI19" s="185"/>
      <x:c r="AJ19" s="185"/>
      <x:c r="AK19" s="3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584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230">
        <x:v>100</x:v>
      </x:c>
      <x:c r="AX19" s="585" t="s">
        <x:v>1102</x:v>
      </x:c>
      <x:c r="AY19" s="33"/>
      <x:c r="AZ19" s="185"/>
      <x:c r="BA19" s="185"/>
      <x:c r="BB19" s="185"/>
      <x:c r="BC19" s="35"/>
      <x:c r="BD19" s="36"/>
      <x:c r="BE19" s="33"/>
      <x:c r="BF19" s="185"/>
      <x:c r="BG19" s="185"/>
      <x:c r="BH19" s="185"/>
      <x:c r="BI19" s="35"/>
      <x:c r="BJ19" s="36"/>
      <x:c r="BK19" s="33"/>
      <x:c r="BL19" s="185"/>
      <x:c r="BM19" s="185"/>
      <x:c r="BN19" s="185"/>
      <x:c r="BO19" s="35"/>
      <x:c r="BP19" s="36"/>
      <x:c r="BQ19" s="33"/>
      <x:c r="BR19" s="185"/>
      <x:c r="BS19" s="185"/>
      <x:c r="BT19" s="185"/>
      <x:c r="BU19" s="35"/>
      <x:c r="BV19" s="36"/>
    </x:row>
    <x:row r="20" spans="1:74" ht="22.5" customHeight="1" x14ac:dyDescent="0.25">
      <x:c r="A20" s="32" t="s">
        <x:v>56</x:v>
      </x:c>
      <x:c r="B20" s="32" t="s">
        <x:v>23</x:v>
      </x:c>
      <x:c r="C20" s="157"/>
      <x:c r="D20" s="158"/>
      <x:c r="E20" s="158"/>
      <x:c r="F20" s="158"/>
      <x:c r="G20" s="158"/>
      <x:c r="H20" s="159"/>
      <x:c r="I20" s="33"/>
      <x:c r="J20" s="185"/>
      <x:c r="K20" s="185"/>
      <x:c r="L20" s="185"/>
      <x:c r="M20" s="35"/>
      <x:c r="N20" s="36"/>
      <x:c r="O20" s="33"/>
      <x:c r="P20" s="185"/>
      <x:c r="Q20" s="185"/>
      <x:c r="R20" s="185"/>
      <x:c r="S20" s="35"/>
      <x:c r="T20" s="36"/>
      <x:c r="U20" s="33"/>
      <x:c r="V20" s="185"/>
      <x:c r="W20" s="185"/>
      <x:c r="X20" s="185"/>
      <x:c r="Y20" s="35"/>
      <x:c r="Z20" s="36"/>
      <x:c r="AA20" s="33"/>
      <x:c r="AB20" s="185"/>
      <x:c r="AC20" s="185"/>
      <x:c r="AD20" s="185"/>
      <x:c r="AE20" s="35"/>
      <x:c r="AF20" s="36"/>
      <x:c r="AG20" s="33"/>
      <x:c r="AH20" s="185"/>
      <x:c r="AI20" s="185"/>
      <x:c r="AJ20" s="185"/>
      <x:c r="AK20" s="3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584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230">
        <x:v>99</x:v>
      </x:c>
      <x:c r="AX20" s="585" t="s">
        <x:v>1102</x:v>
      </x:c>
      <x:c r="AY20" s="33"/>
      <x:c r="AZ20" s="185"/>
      <x:c r="BA20" s="185"/>
      <x:c r="BB20" s="185"/>
      <x:c r="BC20" s="35"/>
      <x:c r="BD20" s="36"/>
      <x:c r="BE20" s="33"/>
      <x:c r="BF20" s="185"/>
      <x:c r="BG20" s="185"/>
      <x:c r="BH20" s="185"/>
      <x:c r="BI20" s="35"/>
      <x:c r="BJ20" s="36"/>
      <x:c r="BK20" s="33"/>
      <x:c r="BL20" s="185"/>
      <x:c r="BM20" s="185"/>
      <x:c r="BN20" s="185"/>
      <x:c r="BO20" s="35"/>
      <x:c r="BP20" s="36"/>
      <x:c r="BQ20" s="33"/>
      <x:c r="BR20" s="185"/>
      <x:c r="BS20" s="185"/>
      <x:c r="BT20" s="185"/>
      <x:c r="BU20" s="35"/>
      <x:c r="BV20" s="36"/>
    </x:row>
    <x:row r="21" spans="1:74" ht="22.5" customHeight="1" x14ac:dyDescent="0.25">
      <x:c r="A21" s="32" t="s">
        <x:v>67</x:v>
      </x:c>
      <x:c r="B21" s="32" t="s">
        <x:v>23</x:v>
      </x:c>
      <x:c r="C21" s="157"/>
      <x:c r="D21" s="158"/>
      <x:c r="E21" s="158"/>
      <x:c r="F21" s="158"/>
      <x:c r="G21" s="158"/>
      <x:c r="H21" s="159"/>
      <x:c r="I21" s="33"/>
      <x:c r="J21" s="185"/>
      <x:c r="K21" s="185"/>
      <x:c r="L21" s="185"/>
      <x:c r="M21" s="35"/>
      <x:c r="N21" s="36"/>
      <x:c r="O21" s="33"/>
      <x:c r="P21" s="185"/>
      <x:c r="Q21" s="185"/>
      <x:c r="R21" s="185"/>
      <x:c r="S21" s="35"/>
      <x:c r="T21" s="36"/>
      <x:c r="U21" s="33"/>
      <x:c r="V21" s="185"/>
      <x:c r="W21" s="185"/>
      <x:c r="X21" s="185"/>
      <x:c r="Y21" s="35"/>
      <x:c r="Z21" s="36"/>
      <x:c r="AA21" s="33"/>
      <x:c r="AB21" s="185"/>
      <x:c r="AC21" s="185"/>
      <x:c r="AD21" s="185"/>
      <x:c r="AE21" s="35"/>
      <x:c r="AF21" s="36"/>
      <x:c r="AG21" s="33"/>
      <x:c r="AH21" s="185"/>
      <x:c r="AI21" s="185"/>
      <x:c r="AJ21" s="185"/>
      <x:c r="AK21" s="3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584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230">
        <x:v>100</x:v>
      </x:c>
      <x:c r="AX21" s="585" t="s">
        <x:v>1102</x:v>
      </x:c>
      <x:c r="AY21" s="33"/>
      <x:c r="AZ21" s="185"/>
      <x:c r="BA21" s="185"/>
      <x:c r="BB21" s="185"/>
      <x:c r="BC21" s="35"/>
      <x:c r="BD21" s="36"/>
      <x:c r="BE21" s="33"/>
      <x:c r="BF21" s="185"/>
      <x:c r="BG21" s="185"/>
      <x:c r="BH21" s="185"/>
      <x:c r="BI21" s="35"/>
      <x:c r="BJ21" s="36"/>
      <x:c r="BK21" s="33"/>
      <x:c r="BL21" s="185"/>
      <x:c r="BM21" s="185"/>
      <x:c r="BN21" s="185"/>
      <x:c r="BO21" s="35"/>
      <x:c r="BP21" s="36"/>
      <x:c r="BQ21" s="33"/>
      <x:c r="BR21" s="185"/>
      <x:c r="BS21" s="185"/>
      <x:c r="BT21" s="185"/>
      <x:c r="BU21" s="35"/>
      <x:c r="BV21" s="36"/>
    </x:row>
    <x:row r="22" spans="1:74" ht="22.5" customHeight="1" x14ac:dyDescent="0.25">
      <x:c r="A22" s="32" t="s">
        <x:v>50</x:v>
      </x:c>
      <x:c r="B22" s="32" t="s">
        <x:v>37</x:v>
      </x:c>
      <x:c r="C22" s="157"/>
      <x:c r="D22" s="158"/>
      <x:c r="E22" s="158"/>
      <x:c r="F22" s="158"/>
      <x:c r="G22" s="158"/>
      <x:c r="H22" s="159"/>
      <x:c r="I22" s="33"/>
      <x:c r="J22" s="185"/>
      <x:c r="K22" s="185"/>
      <x:c r="L22" s="185"/>
      <x:c r="M22" s="35"/>
      <x:c r="N22" s="36"/>
      <x:c r="O22" s="33"/>
      <x:c r="P22" s="185"/>
      <x:c r="Q22" s="185"/>
      <x:c r="R22" s="185"/>
      <x:c r="S22" s="35"/>
      <x:c r="T22" s="36"/>
      <x:c r="U22" s="33"/>
      <x:c r="V22" s="185"/>
      <x:c r="W22" s="185"/>
      <x:c r="X22" s="185"/>
      <x:c r="Y22" s="35"/>
      <x:c r="Z22" s="36"/>
      <x:c r="AA22" s="33"/>
      <x:c r="AB22" s="185"/>
      <x:c r="AC22" s="185"/>
      <x:c r="AD22" s="185"/>
      <x:c r="AE22" s="35"/>
      <x:c r="AF22" s="36"/>
      <x:c r="AG22" s="33"/>
      <x:c r="AH22" s="185"/>
      <x:c r="AI22" s="185"/>
      <x:c r="AJ22" s="185"/>
      <x:c r="AK22" s="3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94</x:v>
      </x:c>
      <x:c r="AR22" s="584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230">
        <x:v>100</x:v>
      </x:c>
      <x:c r="AX22" s="585" t="s">
        <x:v>1102</x:v>
      </x:c>
      <x:c r="AY22" s="33"/>
      <x:c r="AZ22" s="185"/>
      <x:c r="BA22" s="185"/>
      <x:c r="BB22" s="185"/>
      <x:c r="BC22" s="35"/>
      <x:c r="BD22" s="36"/>
      <x:c r="BE22" s="33"/>
      <x:c r="BF22" s="185"/>
      <x:c r="BG22" s="185"/>
      <x:c r="BH22" s="185"/>
      <x:c r="BI22" s="35"/>
      <x:c r="BJ22" s="36"/>
      <x:c r="BK22" s="33"/>
      <x:c r="BL22" s="185"/>
      <x:c r="BM22" s="185"/>
      <x:c r="BN22" s="185"/>
      <x:c r="BO22" s="35"/>
      <x:c r="BP22" s="36"/>
      <x:c r="BQ22" s="33"/>
      <x:c r="BR22" s="185"/>
      <x:c r="BS22" s="185"/>
      <x:c r="BT22" s="185"/>
      <x:c r="BU22" s="35"/>
      <x:c r="BV22" s="36"/>
    </x:row>
    <x:row r="23" spans="1:74" ht="22.5" customHeight="1" x14ac:dyDescent="0.25">
      <x:c r="A23" s="587" t="s">
        <x:v>46</x:v>
      </x:c>
      <x:c r="B23" s="32" t="s">
        <x:v>37</x:v>
      </x:c>
      <x:c r="C23" s="157"/>
      <x:c r="D23" s="158"/>
      <x:c r="E23" s="158"/>
      <x:c r="F23" s="158"/>
      <x:c r="G23" s="158"/>
      <x:c r="H23" s="159"/>
      <x:c r="I23" s="33"/>
      <x:c r="J23" s="185"/>
      <x:c r="K23" s="185"/>
      <x:c r="L23" s="185"/>
      <x:c r="M23" s="35"/>
      <x:c r="N23" s="36"/>
      <x:c r="O23" s="33"/>
      <x:c r="P23" s="185"/>
      <x:c r="Q23" s="185"/>
      <x:c r="R23" s="185"/>
      <x:c r="S23" s="35"/>
      <x:c r="T23" s="36"/>
      <x:c r="U23" s="33"/>
      <x:c r="V23" s="185"/>
      <x:c r="W23" s="185"/>
      <x:c r="X23" s="185"/>
      <x:c r="Y23" s="35"/>
      <x:c r="Z23" s="36"/>
      <x:c r="AA23" s="33"/>
      <x:c r="AB23" s="185"/>
      <x:c r="AC23" s="185"/>
      <x:c r="AD23" s="185"/>
      <x:c r="AE23" s="35"/>
      <x:c r="AF23" s="36"/>
      <x:c r="AG23" s="33"/>
      <x:c r="AH23" s="185"/>
      <x:c r="AI23" s="185"/>
      <x:c r="AJ23" s="185"/>
      <x:c r="AK23" s="35"/>
      <x:c r="AL23" s="36"/>
      <x:c r="AM23" s="588">
        <x:v>0</x:v>
      </x:c>
      <x:c r="AN23" s="589">
        <x:v>0</x:v>
      </x:c>
      <x:c r="AO23" s="589">
        <x:v>0</x:v>
      </x:c>
      <x:c r="AP23" s="589">
        <x:v>0</x:v>
      </x:c>
      <x:c r="AQ23" s="589">
        <x:v>0</x:v>
      </x:c>
      <x:c r="AR23" s="592" t="s">
        <x:v>1103</x:v>
      </x:c>
      <x:c r="AS23" s="588">
        <x:v>0</x:v>
      </x:c>
      <x:c r="AT23" s="589">
        <x:v>0</x:v>
      </x:c>
      <x:c r="AU23" s="589">
        <x:v>0</x:v>
      </x:c>
      <x:c r="AV23" s="589">
        <x:v>0</x:v>
      </x:c>
      <x:c r="AW23" s="590">
        <x:v>0</x:v>
      </x:c>
      <x:c r="AX23" s="591" t="s">
        <x:v>1103</x:v>
      </x:c>
      <x:c r="AY23" s="33"/>
      <x:c r="AZ23" s="185"/>
      <x:c r="BA23" s="185"/>
      <x:c r="BB23" s="185"/>
      <x:c r="BC23" s="35"/>
      <x:c r="BD23" s="36"/>
      <x:c r="BE23" s="33"/>
      <x:c r="BF23" s="185"/>
      <x:c r="BG23" s="185"/>
      <x:c r="BH23" s="185"/>
      <x:c r="BI23" s="35"/>
      <x:c r="BJ23" s="36"/>
      <x:c r="BK23" s="33"/>
      <x:c r="BL23" s="185"/>
      <x:c r="BM23" s="185"/>
      <x:c r="BN23" s="185"/>
      <x:c r="BO23" s="35"/>
      <x:c r="BP23" s="36"/>
      <x:c r="BQ23" s="33"/>
      <x:c r="BR23" s="185"/>
      <x:c r="BS23" s="185"/>
      <x:c r="BT23" s="185"/>
      <x:c r="BU23" s="35"/>
      <x:c r="BV23" s="36"/>
    </x:row>
    <x:row r="24" spans="1:74" ht="22.5" customHeight="1" x14ac:dyDescent="0.25">
      <x:c r="A24" s="32" t="s">
        <x:v>73</x:v>
      </x:c>
      <x:c r="B24" s="32" t="s">
        <x:v>23</x:v>
      </x:c>
      <x:c r="C24" s="157"/>
      <x:c r="D24" s="158"/>
      <x:c r="E24" s="158"/>
      <x:c r="F24" s="158"/>
      <x:c r="G24" s="158"/>
      <x:c r="H24" s="159"/>
      <x:c r="I24" s="33"/>
      <x:c r="J24" s="185"/>
      <x:c r="K24" s="185"/>
      <x:c r="L24" s="185"/>
      <x:c r="M24" s="35"/>
      <x:c r="N24" s="36"/>
      <x:c r="O24" s="33"/>
      <x:c r="P24" s="185"/>
      <x:c r="Q24" s="185"/>
      <x:c r="R24" s="185"/>
      <x:c r="S24" s="35"/>
      <x:c r="T24" s="36"/>
      <x:c r="U24" s="33"/>
      <x:c r="V24" s="185"/>
      <x:c r="W24" s="185"/>
      <x:c r="X24" s="185"/>
      <x:c r="Y24" s="35"/>
      <x:c r="Z24" s="36"/>
      <x:c r="AA24" s="33"/>
      <x:c r="AB24" s="185"/>
      <x:c r="AC24" s="185"/>
      <x:c r="AD24" s="185"/>
      <x:c r="AE24" s="35"/>
      <x:c r="AF24" s="36"/>
      <x:c r="AG24" s="33"/>
      <x:c r="AH24" s="185"/>
      <x:c r="AI24" s="185"/>
      <x:c r="AJ24" s="185"/>
      <x:c r="AK24" s="35"/>
      <x:c r="AL24" s="36"/>
      <x:c r="AM24" s="157">
        <x:v>100</x:v>
      </x:c>
      <x:c r="AN24" s="158">
        <x:v>100</x:v>
      </x:c>
      <x:c r="AO24" s="158">
        <x:v>100</x:v>
      </x:c>
      <x:c r="AP24" s="158">
        <x:v>100</x:v>
      </x:c>
      <x:c r="AQ24" s="158">
        <x:v>91</x:v>
      </x:c>
      <x:c r="AR24" s="584" t="s">
        <x:v>1102</x:v>
      </x:c>
      <x:c r="AS24" s="157">
        <x:v>100</x:v>
      </x:c>
      <x:c r="AT24" s="158">
        <x:v>100</x:v>
      </x:c>
      <x:c r="AU24" s="158">
        <x:v>100</x:v>
      </x:c>
      <x:c r="AV24" s="158">
        <x:v>100</x:v>
      </x:c>
      <x:c r="AW24" s="230">
        <x:v>100</x:v>
      </x:c>
      <x:c r="AX24" s="585" t="s">
        <x:v>1102</x:v>
      </x:c>
      <x:c r="AY24" s="33"/>
      <x:c r="AZ24" s="185"/>
      <x:c r="BA24" s="185"/>
      <x:c r="BB24" s="185"/>
      <x:c r="BC24" s="35"/>
      <x:c r="BD24" s="36"/>
      <x:c r="BE24" s="33"/>
      <x:c r="BF24" s="185"/>
      <x:c r="BG24" s="185"/>
      <x:c r="BH24" s="185"/>
      <x:c r="BI24" s="35"/>
      <x:c r="BJ24" s="36"/>
      <x:c r="BK24" s="33"/>
      <x:c r="BL24" s="185"/>
      <x:c r="BM24" s="185"/>
      <x:c r="BN24" s="185"/>
      <x:c r="BO24" s="35"/>
      <x:c r="BP24" s="36"/>
      <x:c r="BQ24" s="33"/>
      <x:c r="BR24" s="185"/>
      <x:c r="BS24" s="185"/>
      <x:c r="BT24" s="185"/>
      <x:c r="BU24" s="35"/>
      <x:c r="BV24" s="36"/>
    </x:row>
    <x:row r="25" spans="1:74" ht="22.5" customHeight="1" x14ac:dyDescent="0.25">
      <x:c r="A25" s="32" t="s">
        <x:v>62</x:v>
      </x:c>
      <x:c r="B25" s="32" t="s">
        <x:v>16</x:v>
      </x:c>
      <x:c r="C25" s="157"/>
      <x:c r="D25" s="158"/>
      <x:c r="E25" s="158"/>
      <x:c r="F25" s="158"/>
      <x:c r="G25" s="158"/>
      <x:c r="H25" s="159"/>
      <x:c r="I25" s="33"/>
      <x:c r="J25" s="185"/>
      <x:c r="K25" s="185"/>
      <x:c r="L25" s="185"/>
      <x:c r="M25" s="35"/>
      <x:c r="N25" s="36"/>
      <x:c r="O25" s="33"/>
      <x:c r="P25" s="185"/>
      <x:c r="Q25" s="185"/>
      <x:c r="R25" s="185"/>
      <x:c r="S25" s="35"/>
      <x:c r="T25" s="36"/>
      <x:c r="U25" s="33"/>
      <x:c r="V25" s="185"/>
      <x:c r="W25" s="185"/>
      <x:c r="X25" s="185"/>
      <x:c r="Y25" s="35"/>
      <x:c r="Z25" s="36"/>
      <x:c r="AA25" s="33"/>
      <x:c r="AB25" s="185"/>
      <x:c r="AC25" s="185"/>
      <x:c r="AD25" s="185"/>
      <x:c r="AE25" s="35"/>
      <x:c r="AF25" s="36"/>
      <x:c r="AG25" s="33"/>
      <x:c r="AH25" s="185"/>
      <x:c r="AI25" s="185"/>
      <x:c r="AJ25" s="185"/>
      <x:c r="AK25" s="35"/>
      <x:c r="AL25" s="36"/>
      <x:c r="AM25" s="157">
        <x:v>100</x:v>
      </x:c>
      <x:c r="AN25" s="158">
        <x:v>100</x:v>
      </x:c>
      <x:c r="AO25" s="158">
        <x:v>100</x:v>
      </x:c>
      <x:c r="AP25" s="158">
        <x:v>100</x:v>
      </x:c>
      <x:c r="AQ25" s="158">
        <x:v>100</x:v>
      </x:c>
      <x:c r="AR25" s="584" t="s">
        <x:v>1102</x:v>
      </x:c>
      <x:c r="AS25" s="157">
        <x:v>100</x:v>
      </x:c>
      <x:c r="AT25" s="158">
        <x:v>100</x:v>
      </x:c>
      <x:c r="AU25" s="158">
        <x:v>100</x:v>
      </x:c>
      <x:c r="AV25" s="158">
        <x:v>97</x:v>
      </x:c>
      <x:c r="AW25" s="230">
        <x:v>96</x:v>
      </x:c>
      <x:c r="AX25" s="585" t="s">
        <x:v>1102</x:v>
      </x:c>
      <x:c r="AY25" s="33"/>
      <x:c r="AZ25" s="185"/>
      <x:c r="BA25" s="185"/>
      <x:c r="BB25" s="185"/>
      <x:c r="BC25" s="35"/>
      <x:c r="BD25" s="36"/>
      <x:c r="BE25" s="33"/>
      <x:c r="BF25" s="185"/>
      <x:c r="BG25" s="185"/>
      <x:c r="BH25" s="185"/>
      <x:c r="BI25" s="35"/>
      <x:c r="BJ25" s="36"/>
      <x:c r="BK25" s="33"/>
      <x:c r="BL25" s="185"/>
      <x:c r="BM25" s="185"/>
      <x:c r="BN25" s="185"/>
      <x:c r="BO25" s="35"/>
      <x:c r="BP25" s="36"/>
      <x:c r="BQ25" s="33"/>
      <x:c r="BR25" s="185"/>
      <x:c r="BS25" s="185"/>
      <x:c r="BT25" s="185"/>
      <x:c r="BU25" s="35"/>
      <x:c r="BV25" s="36"/>
    </x:row>
    <x:row r="26" spans="1:74" ht="22.5" customHeight="1" x14ac:dyDescent="0.25">
      <x:c r="A26" s="32" t="s">
        <x:v>80</x:v>
      </x:c>
      <x:c r="B26" s="32" t="s">
        <x:v>23</x:v>
      </x:c>
      <x:c r="C26" s="157"/>
      <x:c r="D26" s="158"/>
      <x:c r="E26" s="158"/>
      <x:c r="F26" s="158"/>
      <x:c r="G26" s="158"/>
      <x:c r="H26" s="159"/>
      <x:c r="I26" s="33"/>
      <x:c r="J26" s="185"/>
      <x:c r="K26" s="185"/>
      <x:c r="L26" s="185"/>
      <x:c r="M26" s="35"/>
      <x:c r="N26" s="36"/>
      <x:c r="O26" s="33"/>
      <x:c r="P26" s="185"/>
      <x:c r="Q26" s="185"/>
      <x:c r="R26" s="185"/>
      <x:c r="S26" s="35"/>
      <x:c r="T26" s="36"/>
      <x:c r="U26" s="33"/>
      <x:c r="V26" s="185"/>
      <x:c r="W26" s="185"/>
      <x:c r="X26" s="185"/>
      <x:c r="Y26" s="35"/>
      <x:c r="Z26" s="36"/>
      <x:c r="AA26" s="33"/>
      <x:c r="AB26" s="185"/>
      <x:c r="AC26" s="185"/>
      <x:c r="AD26" s="185"/>
      <x:c r="AE26" s="35"/>
      <x:c r="AF26" s="36"/>
      <x:c r="AG26" s="33"/>
      <x:c r="AH26" s="185"/>
      <x:c r="AI26" s="185"/>
      <x:c r="AJ26" s="185"/>
      <x:c r="AK26" s="35"/>
      <x:c r="AL26" s="36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584" t="s">
        <x:v>1102</x:v>
      </x:c>
      <x:c r="AS26" s="157">
        <x:v>100</x:v>
      </x:c>
      <x:c r="AT26" s="158">
        <x:v>100</x:v>
      </x:c>
      <x:c r="AU26" s="158">
        <x:v>100</x:v>
      </x:c>
      <x:c r="AV26" s="158">
        <x:v>100</x:v>
      </x:c>
      <x:c r="AW26" s="230">
        <x:v>100</x:v>
      </x:c>
      <x:c r="AX26" s="585" t="s">
        <x:v>1102</x:v>
      </x:c>
      <x:c r="AY26" s="33"/>
      <x:c r="AZ26" s="185"/>
      <x:c r="BA26" s="185"/>
      <x:c r="BB26" s="185"/>
      <x:c r="BC26" s="35"/>
      <x:c r="BD26" s="36"/>
      <x:c r="BE26" s="33"/>
      <x:c r="BF26" s="185"/>
      <x:c r="BG26" s="185"/>
      <x:c r="BH26" s="185"/>
      <x:c r="BI26" s="35"/>
      <x:c r="BJ26" s="36"/>
      <x:c r="BK26" s="33"/>
      <x:c r="BL26" s="185"/>
      <x:c r="BM26" s="185"/>
      <x:c r="BN26" s="185"/>
      <x:c r="BO26" s="35"/>
      <x:c r="BP26" s="36"/>
      <x:c r="BQ26" s="33"/>
      <x:c r="BR26" s="185"/>
      <x:c r="BS26" s="185"/>
      <x:c r="BT26" s="185"/>
      <x:c r="BU26" s="35"/>
      <x:c r="BV26" s="36"/>
    </x:row>
    <x:row r="27" spans="1:74" ht="22.5" customHeight="1" x14ac:dyDescent="0.25">
      <x:c r="A27" s="32" t="s">
        <x:v>68</x:v>
      </x:c>
      <x:c r="B27" s="32" t="s">
        <x:v>23</x:v>
      </x:c>
      <x:c r="C27" s="157"/>
      <x:c r="D27" s="158"/>
      <x:c r="E27" s="158"/>
      <x:c r="F27" s="158"/>
      <x:c r="G27" s="158"/>
      <x:c r="H27" s="159"/>
      <x:c r="I27" s="33"/>
      <x:c r="J27" s="185"/>
      <x:c r="K27" s="185"/>
      <x:c r="L27" s="185"/>
      <x:c r="M27" s="35"/>
      <x:c r="N27" s="36"/>
      <x:c r="O27" s="33"/>
      <x:c r="P27" s="185"/>
      <x:c r="Q27" s="185"/>
      <x:c r="R27" s="185"/>
      <x:c r="S27" s="35"/>
      <x:c r="T27" s="36"/>
      <x:c r="U27" s="33"/>
      <x:c r="V27" s="185"/>
      <x:c r="W27" s="185"/>
      <x:c r="X27" s="185"/>
      <x:c r="Y27" s="35"/>
      <x:c r="Z27" s="36"/>
      <x:c r="AA27" s="33"/>
      <x:c r="AB27" s="185"/>
      <x:c r="AC27" s="185"/>
      <x:c r="AD27" s="185"/>
      <x:c r="AE27" s="35"/>
      <x:c r="AF27" s="36"/>
      <x:c r="AG27" s="33"/>
      <x:c r="AH27" s="185"/>
      <x:c r="AI27" s="185"/>
      <x:c r="AJ27" s="185"/>
      <x:c r="AK27" s="35"/>
      <x:c r="AL27" s="36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584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230">
        <x:v>99</x:v>
      </x:c>
      <x:c r="AX27" s="585" t="s">
        <x:v>1102</x:v>
      </x:c>
      <x:c r="AY27" s="33"/>
      <x:c r="AZ27" s="185"/>
      <x:c r="BA27" s="185"/>
      <x:c r="BB27" s="185"/>
      <x:c r="BC27" s="35"/>
      <x:c r="BD27" s="36"/>
      <x:c r="BE27" s="33"/>
      <x:c r="BF27" s="185"/>
      <x:c r="BG27" s="185"/>
      <x:c r="BH27" s="185"/>
      <x:c r="BI27" s="35"/>
      <x:c r="BJ27" s="36"/>
      <x:c r="BK27" s="33"/>
      <x:c r="BL27" s="185"/>
      <x:c r="BM27" s="185"/>
      <x:c r="BN27" s="185"/>
      <x:c r="BO27" s="35"/>
      <x:c r="BP27" s="36"/>
      <x:c r="BQ27" s="33"/>
      <x:c r="BR27" s="185"/>
      <x:c r="BS27" s="185"/>
      <x:c r="BT27" s="185"/>
      <x:c r="BU27" s="35"/>
      <x:c r="BV27" s="36"/>
    </x:row>
    <x:row r="28" spans="1:74" ht="22.5" customHeight="1" x14ac:dyDescent="0.25">
      <x:c r="A28" s="32" t="s">
        <x:v>52</x:v>
      </x:c>
      <x:c r="B28" s="32" t="s">
        <x:v>23</x:v>
      </x:c>
      <x:c r="C28" s="157"/>
      <x:c r="D28" s="158"/>
      <x:c r="E28" s="158"/>
      <x:c r="F28" s="158"/>
      <x:c r="G28" s="158"/>
      <x:c r="H28" s="159"/>
      <x:c r="I28" s="33"/>
      <x:c r="J28" s="185"/>
      <x:c r="K28" s="185"/>
      <x:c r="L28" s="185"/>
      <x:c r="M28" s="35"/>
      <x:c r="N28" s="36"/>
      <x:c r="O28" s="33"/>
      <x:c r="P28" s="185"/>
      <x:c r="Q28" s="185"/>
      <x:c r="R28" s="185"/>
      <x:c r="S28" s="35"/>
      <x:c r="T28" s="36"/>
      <x:c r="U28" s="33"/>
      <x:c r="V28" s="185"/>
      <x:c r="W28" s="185"/>
      <x:c r="X28" s="185"/>
      <x:c r="Y28" s="35"/>
      <x:c r="Z28" s="36"/>
      <x:c r="AA28" s="33"/>
      <x:c r="AB28" s="185"/>
      <x:c r="AC28" s="185"/>
      <x:c r="AD28" s="185"/>
      <x:c r="AE28" s="35"/>
      <x:c r="AF28" s="36"/>
      <x:c r="AG28" s="33"/>
      <x:c r="AH28" s="185"/>
      <x:c r="AI28" s="185"/>
      <x:c r="AJ28" s="185"/>
      <x:c r="AK28" s="35"/>
      <x:c r="AL28" s="36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95</x:v>
      </x:c>
      <x:c r="AR28" s="584" t="s">
        <x:v>1102</x:v>
      </x:c>
      <x:c r="AS28" s="157">
        <x:v>100</x:v>
      </x:c>
      <x:c r="AT28" s="158">
        <x:v>100</x:v>
      </x:c>
      <x:c r="AU28" s="158">
        <x:v>100</x:v>
      </x:c>
      <x:c r="AV28" s="158">
        <x:v>100</x:v>
      </x:c>
      <x:c r="AW28" s="230">
        <x:v>99</x:v>
      </x:c>
      <x:c r="AX28" s="585" t="s">
        <x:v>1102</x:v>
      </x:c>
      <x:c r="AY28" s="33"/>
      <x:c r="AZ28" s="185"/>
      <x:c r="BA28" s="185"/>
      <x:c r="BB28" s="185"/>
      <x:c r="BC28" s="35"/>
      <x:c r="BD28" s="36"/>
      <x:c r="BE28" s="33"/>
      <x:c r="BF28" s="185"/>
      <x:c r="BG28" s="185"/>
      <x:c r="BH28" s="185"/>
      <x:c r="BI28" s="35"/>
      <x:c r="BJ28" s="36"/>
      <x:c r="BK28" s="33"/>
      <x:c r="BL28" s="185"/>
      <x:c r="BM28" s="185"/>
      <x:c r="BN28" s="185"/>
      <x:c r="BO28" s="35"/>
      <x:c r="BP28" s="36"/>
      <x:c r="BQ28" s="33"/>
      <x:c r="BR28" s="185"/>
      <x:c r="BS28" s="185"/>
      <x:c r="BT28" s="185"/>
      <x:c r="BU28" s="35"/>
      <x:c r="BV28" s="36"/>
    </x:row>
    <x:row r="29" spans="1:74" ht="22.5" customHeight="1" x14ac:dyDescent="0.25">
      <x:c r="A29" s="32" t="s">
        <x:v>45</x:v>
      </x:c>
      <x:c r="B29" s="32" t="s">
        <x:v>23</x:v>
      </x:c>
      <x:c r="C29" s="157"/>
      <x:c r="D29" s="158"/>
      <x:c r="E29" s="158"/>
      <x:c r="F29" s="158"/>
      <x:c r="G29" s="158"/>
      <x:c r="H29" s="159"/>
      <x:c r="I29" s="33"/>
      <x:c r="J29" s="185"/>
      <x:c r="K29" s="185"/>
      <x:c r="L29" s="185"/>
      <x:c r="M29" s="35"/>
      <x:c r="N29" s="36"/>
      <x:c r="O29" s="33"/>
      <x:c r="P29" s="185"/>
      <x:c r="Q29" s="185"/>
      <x:c r="R29" s="185"/>
      <x:c r="S29" s="35"/>
      <x:c r="T29" s="36"/>
      <x:c r="U29" s="33"/>
      <x:c r="V29" s="185"/>
      <x:c r="W29" s="185"/>
      <x:c r="X29" s="185"/>
      <x:c r="Y29" s="35"/>
      <x:c r="Z29" s="36"/>
      <x:c r="AA29" s="33"/>
      <x:c r="AB29" s="185"/>
      <x:c r="AC29" s="185"/>
      <x:c r="AD29" s="185"/>
      <x:c r="AE29" s="35"/>
      <x:c r="AF29" s="36"/>
      <x:c r="AG29" s="33"/>
      <x:c r="AH29" s="185"/>
      <x:c r="AI29" s="185"/>
      <x:c r="AJ29" s="185"/>
      <x:c r="AK29" s="35"/>
      <x:c r="AL29" s="36"/>
      <x:c r="AM29" s="157">
        <x:v>100</x:v>
      </x:c>
      <x:c r="AN29" s="158">
        <x:v>100</x:v>
      </x:c>
      <x:c r="AO29" s="158">
        <x:v>100</x:v>
      </x:c>
      <x:c r="AP29" s="158">
        <x:v>100</x:v>
      </x:c>
      <x:c r="AQ29" s="158">
        <x:v>100</x:v>
      </x:c>
      <x:c r="AR29" s="584" t="s">
        <x:v>1102</x:v>
      </x:c>
      <x:c r="AS29" s="157">
        <x:v>100</x:v>
      </x:c>
      <x:c r="AT29" s="158">
        <x:v>100</x:v>
      </x:c>
      <x:c r="AU29" s="158">
        <x:v>100</x:v>
      </x:c>
      <x:c r="AV29" s="158">
        <x:v>100</x:v>
      </x:c>
      <x:c r="AW29" s="230">
        <x:v>99</x:v>
      </x:c>
      <x:c r="AX29" s="585" t="s">
        <x:v>1102</x:v>
      </x:c>
      <x:c r="AY29" s="33"/>
      <x:c r="AZ29" s="185"/>
      <x:c r="BA29" s="185"/>
      <x:c r="BB29" s="185"/>
      <x:c r="BC29" s="35"/>
      <x:c r="BD29" s="36"/>
      <x:c r="BE29" s="33"/>
      <x:c r="BF29" s="185"/>
      <x:c r="BG29" s="185"/>
      <x:c r="BH29" s="185"/>
      <x:c r="BI29" s="35"/>
      <x:c r="BJ29" s="36"/>
      <x:c r="BK29" s="33"/>
      <x:c r="BL29" s="185"/>
      <x:c r="BM29" s="185"/>
      <x:c r="BN29" s="185"/>
      <x:c r="BO29" s="35"/>
      <x:c r="BP29" s="36"/>
      <x:c r="BQ29" s="33"/>
      <x:c r="BR29" s="185"/>
      <x:c r="BS29" s="185"/>
      <x:c r="BT29" s="185"/>
      <x:c r="BU29" s="35"/>
      <x:c r="BV29" s="36"/>
    </x:row>
    <x:row r="30" spans="1:74" ht="22.5" customHeight="1" x14ac:dyDescent="0.25">
      <x:c r="A30" s="32" t="s">
        <x:v>86</x:v>
      </x:c>
      <x:c r="B30" s="32" t="s">
        <x:v>23</x:v>
      </x:c>
      <x:c r="C30" s="157"/>
      <x:c r="D30" s="158"/>
      <x:c r="E30" s="158"/>
      <x:c r="F30" s="158"/>
      <x:c r="G30" s="158"/>
      <x:c r="H30" s="159"/>
      <x:c r="I30" s="33"/>
      <x:c r="J30" s="185"/>
      <x:c r="K30" s="185"/>
      <x:c r="L30" s="185"/>
      <x:c r="M30" s="35"/>
      <x:c r="N30" s="36"/>
      <x:c r="O30" s="33"/>
      <x:c r="P30" s="185"/>
      <x:c r="Q30" s="185"/>
      <x:c r="R30" s="185"/>
      <x:c r="S30" s="35"/>
      <x:c r="T30" s="36"/>
      <x:c r="U30" s="33"/>
      <x:c r="V30" s="185"/>
      <x:c r="W30" s="185"/>
      <x:c r="X30" s="185"/>
      <x:c r="Y30" s="35"/>
      <x:c r="Z30" s="36"/>
      <x:c r="AA30" s="33"/>
      <x:c r="AB30" s="185"/>
      <x:c r="AC30" s="185"/>
      <x:c r="AD30" s="185"/>
      <x:c r="AE30" s="35"/>
      <x:c r="AF30" s="36"/>
      <x:c r="AG30" s="33"/>
      <x:c r="AH30" s="185"/>
      <x:c r="AI30" s="185"/>
      <x:c r="AJ30" s="185"/>
      <x:c r="AK30" s="35"/>
      <x:c r="AL30" s="36"/>
      <x:c r="AM30" s="157">
        <x:v>100</x:v>
      </x:c>
      <x:c r="AN30" s="158">
        <x:v>100</x:v>
      </x:c>
      <x:c r="AO30" s="158">
        <x:v>100</x:v>
      </x:c>
      <x:c r="AP30" s="158">
        <x:v>100</x:v>
      </x:c>
      <x:c r="AQ30" s="158">
        <x:v>98</x:v>
      </x:c>
      <x:c r="AR30" s="584" t="s">
        <x:v>1102</x:v>
      </x:c>
      <x:c r="AS30" s="157">
        <x:v>100</x:v>
      </x:c>
      <x:c r="AT30" s="158">
        <x:v>100</x:v>
      </x:c>
      <x:c r="AU30" s="158">
        <x:v>100</x:v>
      </x:c>
      <x:c r="AV30" s="158">
        <x:v>100</x:v>
      </x:c>
      <x:c r="AW30" s="230">
        <x:v>100</x:v>
      </x:c>
      <x:c r="AX30" s="585" t="s">
        <x:v>1102</x:v>
      </x:c>
      <x:c r="AY30" s="33"/>
      <x:c r="AZ30" s="185"/>
      <x:c r="BA30" s="185"/>
      <x:c r="BB30" s="185"/>
      <x:c r="BC30" s="35"/>
      <x:c r="BD30" s="36"/>
      <x:c r="BE30" s="33"/>
      <x:c r="BF30" s="185"/>
      <x:c r="BG30" s="185"/>
      <x:c r="BH30" s="185"/>
      <x:c r="BI30" s="35"/>
      <x:c r="BJ30" s="36"/>
      <x:c r="BK30" s="33"/>
      <x:c r="BL30" s="185"/>
      <x:c r="BM30" s="185"/>
      <x:c r="BN30" s="185"/>
      <x:c r="BO30" s="35"/>
      <x:c r="BP30" s="36"/>
      <x:c r="BQ30" s="33"/>
      <x:c r="BR30" s="185"/>
      <x:c r="BS30" s="185"/>
      <x:c r="BT30" s="185"/>
      <x:c r="BU30" s="35"/>
      <x:c r="BV30" s="36"/>
    </x:row>
    <x:row r="31" spans="1:74" ht="22.5" customHeight="1" x14ac:dyDescent="0.25">
      <x:c r="A31" s="32" t="s">
        <x:v>49</x:v>
      </x:c>
      <x:c r="B31" s="32" t="s">
        <x:v>37</x:v>
      </x:c>
      <x:c r="C31" s="157"/>
      <x:c r="D31" s="158"/>
      <x:c r="E31" s="158"/>
      <x:c r="F31" s="158"/>
      <x:c r="G31" s="158"/>
      <x:c r="H31" s="159"/>
      <x:c r="I31" s="33"/>
      <x:c r="J31" s="185"/>
      <x:c r="K31" s="185"/>
      <x:c r="L31" s="185"/>
      <x:c r="M31" s="35"/>
      <x:c r="N31" s="36"/>
      <x:c r="O31" s="33"/>
      <x:c r="P31" s="185"/>
      <x:c r="Q31" s="185"/>
      <x:c r="R31" s="185"/>
      <x:c r="S31" s="35"/>
      <x:c r="T31" s="36"/>
      <x:c r="U31" s="33"/>
      <x:c r="V31" s="185"/>
      <x:c r="W31" s="185"/>
      <x:c r="X31" s="185"/>
      <x:c r="Y31" s="35"/>
      <x:c r="Z31" s="36"/>
      <x:c r="AA31" s="33"/>
      <x:c r="AB31" s="185"/>
      <x:c r="AC31" s="185"/>
      <x:c r="AD31" s="185"/>
      <x:c r="AE31" s="35"/>
      <x:c r="AF31" s="36"/>
      <x:c r="AG31" s="33"/>
      <x:c r="AH31" s="185"/>
      <x:c r="AI31" s="185"/>
      <x:c r="AJ31" s="185"/>
      <x:c r="AK31" s="35"/>
      <x:c r="AL31" s="36"/>
      <x:c r="AM31" s="157">
        <x:v>100</x:v>
      </x:c>
      <x:c r="AN31" s="158">
        <x:v>100</x:v>
      </x:c>
      <x:c r="AO31" s="158">
        <x:v>100</x:v>
      </x:c>
      <x:c r="AP31" s="158">
        <x:v>100</x:v>
      </x:c>
      <x:c r="AQ31" s="158">
        <x:v>100</x:v>
      </x:c>
      <x:c r="AR31" s="584" t="s">
        <x:v>1102</x:v>
      </x:c>
      <x:c r="AS31" s="157">
        <x:v>100</x:v>
      </x:c>
      <x:c r="AT31" s="158">
        <x:v>100</x:v>
      </x:c>
      <x:c r="AU31" s="158">
        <x:v>100</x:v>
      </x:c>
      <x:c r="AV31" s="158">
        <x:v>100</x:v>
      </x:c>
      <x:c r="AW31" s="230">
        <x:v>98</x:v>
      </x:c>
      <x:c r="AX31" s="585" t="s">
        <x:v>1102</x:v>
      </x:c>
      <x:c r="AY31" s="33"/>
      <x:c r="AZ31" s="185"/>
      <x:c r="BA31" s="185"/>
      <x:c r="BB31" s="185"/>
      <x:c r="BC31" s="35"/>
      <x:c r="BD31" s="36"/>
      <x:c r="BE31" s="33"/>
      <x:c r="BF31" s="185"/>
      <x:c r="BG31" s="185"/>
      <x:c r="BH31" s="185"/>
      <x:c r="BI31" s="35"/>
      <x:c r="BJ31" s="36"/>
      <x:c r="BK31" s="33"/>
      <x:c r="BL31" s="185"/>
      <x:c r="BM31" s="185"/>
      <x:c r="BN31" s="185"/>
      <x:c r="BO31" s="35"/>
      <x:c r="BP31" s="36"/>
      <x:c r="BQ31" s="33"/>
      <x:c r="BR31" s="185"/>
      <x:c r="BS31" s="185"/>
      <x:c r="BT31" s="185"/>
      <x:c r="BU31" s="35"/>
      <x:c r="BV31" s="36"/>
    </x:row>
    <x:row r="32" spans="1:74" ht="22.5" customHeight="1" x14ac:dyDescent="0.25">
      <x:c r="A32" s="587" t="s">
        <x:v>42</x:v>
      </x:c>
      <x:c r="B32" s="32" t="s">
        <x:v>43</x:v>
      </x:c>
      <x:c r="C32" s="157"/>
      <x:c r="D32" s="158"/>
      <x:c r="E32" s="158"/>
      <x:c r="F32" s="158"/>
      <x:c r="G32" s="158"/>
      <x:c r="H32" s="159"/>
      <x:c r="I32" s="33"/>
      <x:c r="J32" s="185"/>
      <x:c r="K32" s="185"/>
      <x:c r="L32" s="185"/>
      <x:c r="M32" s="35"/>
      <x:c r="N32" s="36"/>
      <x:c r="O32" s="33"/>
      <x:c r="P32" s="185"/>
      <x:c r="Q32" s="185"/>
      <x:c r="R32" s="185"/>
      <x:c r="S32" s="35"/>
      <x:c r="T32" s="36"/>
      <x:c r="U32" s="33"/>
      <x:c r="V32" s="185"/>
      <x:c r="W32" s="185"/>
      <x:c r="X32" s="185"/>
      <x:c r="Y32" s="35"/>
      <x:c r="Z32" s="36"/>
      <x:c r="AA32" s="33"/>
      <x:c r="AB32" s="185"/>
      <x:c r="AC32" s="185"/>
      <x:c r="AD32" s="185"/>
      <x:c r="AE32" s="35"/>
      <x:c r="AF32" s="36"/>
      <x:c r="AG32" s="33"/>
      <x:c r="AH32" s="185"/>
      <x:c r="AI32" s="185"/>
      <x:c r="AJ32" s="185"/>
      <x:c r="AK32" s="35"/>
      <x:c r="AL32" s="36"/>
      <x:c r="AM32" s="157">
        <x:v>100</x:v>
      </x:c>
      <x:c r="AN32" s="158">
        <x:v>100</x:v>
      </x:c>
      <x:c r="AO32" s="158">
        <x:v>100</x:v>
      </x:c>
      <x:c r="AP32" s="158">
        <x:v>100</x:v>
      </x:c>
      <x:c r="AQ32" s="158">
        <x:v>95</x:v>
      </x:c>
      <x:c r="AR32" s="584" t="s">
        <x:v>1102</x:v>
      </x:c>
      <x:c r="AS32" s="588">
        <x:v>0</x:v>
      </x:c>
      <x:c r="AT32" s="589">
        <x:v>0</x:v>
      </x:c>
      <x:c r="AU32" s="589">
        <x:v>0</x:v>
      </x:c>
      <x:c r="AV32" s="589">
        <x:v>0</x:v>
      </x:c>
      <x:c r="AW32" s="590">
        <x:v>0</x:v>
      </x:c>
      <x:c r="AX32" s="591" t="s">
        <x:v>1103</x:v>
      </x:c>
      <x:c r="AY32" s="33"/>
      <x:c r="AZ32" s="185"/>
      <x:c r="BA32" s="185"/>
      <x:c r="BB32" s="185"/>
      <x:c r="BC32" s="35"/>
      <x:c r="BD32" s="36"/>
      <x:c r="BE32" s="33"/>
      <x:c r="BF32" s="185"/>
      <x:c r="BG32" s="185"/>
      <x:c r="BH32" s="185"/>
      <x:c r="BI32" s="35"/>
      <x:c r="BJ32" s="36"/>
      <x:c r="BK32" s="33"/>
      <x:c r="BL32" s="185"/>
      <x:c r="BM32" s="185"/>
      <x:c r="BN32" s="185"/>
      <x:c r="BO32" s="35"/>
      <x:c r="BP32" s="36"/>
      <x:c r="BQ32" s="33"/>
      <x:c r="BR32" s="185"/>
      <x:c r="BS32" s="185"/>
      <x:c r="BT32" s="185"/>
      <x:c r="BU32" s="35"/>
      <x:c r="BV32" s="36"/>
    </x:row>
    <x:row r="33" spans="1:74" ht="22.5" customHeight="1" x14ac:dyDescent="0.25">
      <x:c r="A33" s="32" t="s">
        <x:v>87</x:v>
      </x:c>
      <x:c r="B33" s="32" t="s">
        <x:v>37</x:v>
      </x:c>
      <x:c r="C33" s="157"/>
      <x:c r="D33" s="158"/>
      <x:c r="E33" s="158"/>
      <x:c r="F33" s="158"/>
      <x:c r="G33" s="158"/>
      <x:c r="H33" s="159"/>
      <x:c r="I33" s="33"/>
      <x:c r="J33" s="185"/>
      <x:c r="K33" s="185"/>
      <x:c r="L33" s="185"/>
      <x:c r="M33" s="35"/>
      <x:c r="N33" s="36"/>
      <x:c r="O33" s="33"/>
      <x:c r="P33" s="185"/>
      <x:c r="Q33" s="185"/>
      <x:c r="R33" s="185"/>
      <x:c r="S33" s="35"/>
      <x:c r="T33" s="36"/>
      <x:c r="U33" s="33"/>
      <x:c r="V33" s="185"/>
      <x:c r="W33" s="185"/>
      <x:c r="X33" s="185"/>
      <x:c r="Y33" s="35"/>
      <x:c r="Z33" s="36"/>
      <x:c r="AA33" s="33"/>
      <x:c r="AB33" s="185"/>
      <x:c r="AC33" s="185"/>
      <x:c r="AD33" s="185"/>
      <x:c r="AE33" s="35"/>
      <x:c r="AF33" s="36"/>
      <x:c r="AG33" s="33"/>
      <x:c r="AH33" s="185"/>
      <x:c r="AI33" s="185"/>
      <x:c r="AJ33" s="185"/>
      <x:c r="AK33" s="35"/>
      <x:c r="AL33" s="36"/>
      <x:c r="AM33" s="157">
        <x:v>100</x:v>
      </x:c>
      <x:c r="AN33" s="158">
        <x:v>100</x:v>
      </x:c>
      <x:c r="AO33" s="158">
        <x:v>100</x:v>
      </x:c>
      <x:c r="AP33" s="158">
        <x:v>98</x:v>
      </x:c>
      <x:c r="AQ33" s="158">
        <x:v>95</x:v>
      </x:c>
      <x:c r="AR33" s="584" t="s">
        <x:v>1102</x:v>
      </x:c>
      <x:c r="AS33" s="157">
        <x:v>100</x:v>
      </x:c>
      <x:c r="AT33" s="158">
        <x:v>100</x:v>
      </x:c>
      <x:c r="AU33" s="158">
        <x:v>100</x:v>
      </x:c>
      <x:c r="AV33" s="158">
        <x:v>100</x:v>
      </x:c>
      <x:c r="AW33" s="230">
        <x:v>99</x:v>
      </x:c>
      <x:c r="AX33" s="585" t="s">
        <x:v>1102</x:v>
      </x:c>
      <x:c r="AY33" s="33"/>
      <x:c r="AZ33" s="185"/>
      <x:c r="BA33" s="185"/>
      <x:c r="BB33" s="185"/>
      <x:c r="BC33" s="35"/>
      <x:c r="BD33" s="36"/>
      <x:c r="BE33" s="33"/>
      <x:c r="BF33" s="185"/>
      <x:c r="BG33" s="185"/>
      <x:c r="BH33" s="185"/>
      <x:c r="BI33" s="35"/>
      <x:c r="BJ33" s="36"/>
      <x:c r="BK33" s="33"/>
      <x:c r="BL33" s="185"/>
      <x:c r="BM33" s="185"/>
      <x:c r="BN33" s="185"/>
      <x:c r="BO33" s="35"/>
      <x:c r="BP33" s="36"/>
      <x:c r="BQ33" s="33"/>
      <x:c r="BR33" s="185"/>
      <x:c r="BS33" s="185"/>
      <x:c r="BT33" s="185"/>
      <x:c r="BU33" s="35"/>
      <x:c r="BV33" s="36"/>
    </x:row>
    <x:row r="34" spans="1:74" ht="22.5" customHeight="1" x14ac:dyDescent="0.25">
      <x:c r="A34" s="32" t="s">
        <x:v>76</x:v>
      </x:c>
      <x:c r="B34" s="32" t="s">
        <x:v>23</x:v>
      </x:c>
      <x:c r="C34" s="157"/>
      <x:c r="D34" s="158"/>
      <x:c r="E34" s="158"/>
      <x:c r="F34" s="158"/>
      <x:c r="G34" s="158"/>
      <x:c r="H34" s="159"/>
      <x:c r="I34" s="33"/>
      <x:c r="J34" s="185"/>
      <x:c r="K34" s="185"/>
      <x:c r="L34" s="185"/>
      <x:c r="M34" s="35"/>
      <x:c r="N34" s="36"/>
      <x:c r="O34" s="33"/>
      <x:c r="P34" s="185"/>
      <x:c r="Q34" s="185"/>
      <x:c r="R34" s="185"/>
      <x:c r="S34" s="35"/>
      <x:c r="T34" s="36"/>
      <x:c r="U34" s="33"/>
      <x:c r="V34" s="185"/>
      <x:c r="W34" s="185"/>
      <x:c r="X34" s="185"/>
      <x:c r="Y34" s="35"/>
      <x:c r="Z34" s="36"/>
      <x:c r="AA34" s="33"/>
      <x:c r="AB34" s="185"/>
      <x:c r="AC34" s="185"/>
      <x:c r="AD34" s="185"/>
      <x:c r="AE34" s="35"/>
      <x:c r="AF34" s="36"/>
      <x:c r="AG34" s="33"/>
      <x:c r="AH34" s="185"/>
      <x:c r="AI34" s="185"/>
      <x:c r="AJ34" s="185"/>
      <x:c r="AK34" s="35"/>
      <x:c r="AL34" s="36"/>
      <x:c r="AM34" s="157">
        <x:v>100</x:v>
      </x:c>
      <x:c r="AN34" s="158">
        <x:v>100</x:v>
      </x:c>
      <x:c r="AO34" s="158">
        <x:v>100</x:v>
      </x:c>
      <x:c r="AP34" s="158">
        <x:v>100</x:v>
      </x:c>
      <x:c r="AQ34" s="158">
        <x:v>96</x:v>
      </x:c>
      <x:c r="AR34" s="584" t="s">
        <x:v>1102</x:v>
      </x:c>
      <x:c r="AS34" s="157">
        <x:v>100</x:v>
      </x:c>
      <x:c r="AT34" s="158">
        <x:v>100</x:v>
      </x:c>
      <x:c r="AU34" s="158">
        <x:v>100</x:v>
      </x:c>
      <x:c r="AV34" s="158">
        <x:v>97</x:v>
      </x:c>
      <x:c r="AW34" s="230">
        <x:v>95</x:v>
      </x:c>
      <x:c r="AX34" s="585" t="s">
        <x:v>1102</x:v>
      </x:c>
      <x:c r="AY34" s="33"/>
      <x:c r="AZ34" s="185"/>
      <x:c r="BA34" s="185"/>
      <x:c r="BB34" s="185"/>
      <x:c r="BC34" s="35"/>
      <x:c r="BD34" s="36"/>
      <x:c r="BE34" s="33"/>
      <x:c r="BF34" s="185"/>
      <x:c r="BG34" s="185"/>
      <x:c r="BH34" s="185"/>
      <x:c r="BI34" s="35"/>
      <x:c r="BJ34" s="36"/>
      <x:c r="BK34" s="33"/>
      <x:c r="BL34" s="185"/>
      <x:c r="BM34" s="185"/>
      <x:c r="BN34" s="185"/>
      <x:c r="BO34" s="35"/>
      <x:c r="BP34" s="36"/>
      <x:c r="BQ34" s="33"/>
      <x:c r="BR34" s="185"/>
      <x:c r="BS34" s="185"/>
      <x:c r="BT34" s="185"/>
      <x:c r="BU34" s="35"/>
      <x:c r="BV34" s="36"/>
    </x:row>
    <x:row r="35" spans="1:74" ht="22.5" customHeight="1" x14ac:dyDescent="0.25">
      <x:c r="A35" s="32" t="s">
        <x:v>65</x:v>
      </x:c>
      <x:c r="B35" s="32" t="s">
        <x:v>23</x:v>
      </x:c>
      <x:c r="C35" s="157"/>
      <x:c r="D35" s="158"/>
      <x:c r="E35" s="158"/>
      <x:c r="F35" s="158"/>
      <x:c r="G35" s="158"/>
      <x:c r="H35" s="159"/>
      <x:c r="I35" s="33"/>
      <x:c r="J35" s="185"/>
      <x:c r="K35" s="185"/>
      <x:c r="L35" s="185"/>
      <x:c r="M35" s="35"/>
      <x:c r="N35" s="36"/>
      <x:c r="O35" s="33"/>
      <x:c r="P35" s="185"/>
      <x:c r="Q35" s="185"/>
      <x:c r="R35" s="185"/>
      <x:c r="S35" s="35"/>
      <x:c r="T35" s="36"/>
      <x:c r="U35" s="33"/>
      <x:c r="V35" s="185"/>
      <x:c r="W35" s="185"/>
      <x:c r="X35" s="185"/>
      <x:c r="Y35" s="35"/>
      <x:c r="Z35" s="36"/>
      <x:c r="AA35" s="33"/>
      <x:c r="AB35" s="185"/>
      <x:c r="AC35" s="185"/>
      <x:c r="AD35" s="185"/>
      <x:c r="AE35" s="35"/>
      <x:c r="AF35" s="36"/>
      <x:c r="AG35" s="33"/>
      <x:c r="AH35" s="185"/>
      <x:c r="AI35" s="185"/>
      <x:c r="AJ35" s="185"/>
      <x:c r="AK35" s="35"/>
      <x:c r="AL35" s="36"/>
      <x:c r="AM35" s="157">
        <x:v>100</x:v>
      </x:c>
      <x:c r="AN35" s="158">
        <x:v>100</x:v>
      </x:c>
      <x:c r="AO35" s="158">
        <x:v>100</x:v>
      </x:c>
      <x:c r="AP35" s="158">
        <x:v>100</x:v>
      </x:c>
      <x:c r="AQ35" s="158">
        <x:v>100</x:v>
      </x:c>
      <x:c r="AR35" s="584" t="s">
        <x:v>1102</x:v>
      </x:c>
      <x:c r="AS35" s="157">
        <x:v>100</x:v>
      </x:c>
      <x:c r="AT35" s="158">
        <x:v>100</x:v>
      </x:c>
      <x:c r="AU35" s="158">
        <x:v>100</x:v>
      </x:c>
      <x:c r="AV35" s="158">
        <x:v>100</x:v>
      </x:c>
      <x:c r="AW35" s="230">
        <x:v>100</x:v>
      </x:c>
      <x:c r="AX35" s="585" t="s">
        <x:v>1102</x:v>
      </x:c>
      <x:c r="AY35" s="33"/>
      <x:c r="AZ35" s="185"/>
      <x:c r="BA35" s="185"/>
      <x:c r="BB35" s="185"/>
      <x:c r="BC35" s="35"/>
      <x:c r="BD35" s="36"/>
      <x:c r="BE35" s="33"/>
      <x:c r="BF35" s="185"/>
      <x:c r="BG35" s="185"/>
      <x:c r="BH35" s="185"/>
      <x:c r="BI35" s="35"/>
      <x:c r="BJ35" s="36"/>
      <x:c r="BK35" s="33"/>
      <x:c r="BL35" s="185"/>
      <x:c r="BM35" s="185"/>
      <x:c r="BN35" s="185"/>
      <x:c r="BO35" s="35"/>
      <x:c r="BP35" s="36"/>
      <x:c r="BQ35" s="33"/>
      <x:c r="BR35" s="185"/>
      <x:c r="BS35" s="185"/>
      <x:c r="BT35" s="185"/>
      <x:c r="BU35" s="35"/>
      <x:c r="BV35" s="36"/>
    </x:row>
    <x:row r="36" spans="1:74" ht="22.5" customHeight="1" x14ac:dyDescent="0.25">
      <x:c r="A36" s="32" t="s">
        <x:v>71</x:v>
      </x:c>
      <x:c r="B36" s="32" t="s">
        <x:v>23</x:v>
      </x:c>
      <x:c r="C36" s="157"/>
      <x:c r="D36" s="158"/>
      <x:c r="E36" s="158"/>
      <x:c r="F36" s="158"/>
      <x:c r="G36" s="158"/>
      <x:c r="H36" s="159"/>
      <x:c r="I36" s="33"/>
      <x:c r="J36" s="185"/>
      <x:c r="K36" s="185"/>
      <x:c r="L36" s="185"/>
      <x:c r="M36" s="35"/>
      <x:c r="N36" s="36"/>
      <x:c r="O36" s="33"/>
      <x:c r="P36" s="185"/>
      <x:c r="Q36" s="185"/>
      <x:c r="R36" s="185"/>
      <x:c r="S36" s="35"/>
      <x:c r="T36" s="36"/>
      <x:c r="U36" s="33"/>
      <x:c r="V36" s="185"/>
      <x:c r="W36" s="185"/>
      <x:c r="X36" s="185"/>
      <x:c r="Y36" s="35"/>
      <x:c r="Z36" s="36"/>
      <x:c r="AA36" s="33"/>
      <x:c r="AB36" s="185"/>
      <x:c r="AC36" s="185"/>
      <x:c r="AD36" s="185"/>
      <x:c r="AE36" s="35"/>
      <x:c r="AF36" s="36"/>
      <x:c r="AG36" s="33"/>
      <x:c r="AH36" s="185"/>
      <x:c r="AI36" s="185"/>
      <x:c r="AJ36" s="185"/>
      <x:c r="AK36" s="35"/>
      <x:c r="AL36" s="36"/>
      <x:c r="AM36" s="157">
        <x:v>100</x:v>
      </x:c>
      <x:c r="AN36" s="158">
        <x:v>100</x:v>
      </x:c>
      <x:c r="AO36" s="158">
        <x:v>100</x:v>
      </x:c>
      <x:c r="AP36" s="158">
        <x:v>100</x:v>
      </x:c>
      <x:c r="AQ36" s="158">
        <x:v>84</x:v>
      </x:c>
      <x:c r="AR36" s="584" t="s">
        <x:v>1102</x:v>
      </x:c>
      <x:c r="AS36" s="157">
        <x:v>100</x:v>
      </x:c>
      <x:c r="AT36" s="158">
        <x:v>100</x:v>
      </x:c>
      <x:c r="AU36" s="158">
        <x:v>100</x:v>
      </x:c>
      <x:c r="AV36" s="158">
        <x:v>99</x:v>
      </x:c>
      <x:c r="AW36" s="230">
        <x:v>95</x:v>
      </x:c>
      <x:c r="AX36" s="585" t="s">
        <x:v>1102</x:v>
      </x:c>
      <x:c r="AY36" s="33"/>
      <x:c r="AZ36" s="185"/>
      <x:c r="BA36" s="185"/>
      <x:c r="BB36" s="185"/>
      <x:c r="BC36" s="35"/>
      <x:c r="BD36" s="36"/>
      <x:c r="BE36" s="33"/>
      <x:c r="BF36" s="185"/>
      <x:c r="BG36" s="185"/>
      <x:c r="BH36" s="185"/>
      <x:c r="BI36" s="35"/>
      <x:c r="BJ36" s="36"/>
      <x:c r="BK36" s="33"/>
      <x:c r="BL36" s="185"/>
      <x:c r="BM36" s="185"/>
      <x:c r="BN36" s="185"/>
      <x:c r="BO36" s="35"/>
      <x:c r="BP36" s="36"/>
      <x:c r="BQ36" s="33"/>
      <x:c r="BR36" s="185"/>
      <x:c r="BS36" s="185"/>
      <x:c r="BT36" s="185"/>
      <x:c r="BU36" s="35"/>
      <x:c r="BV36" s="36"/>
    </x:row>
    <x:row r="37" spans="1:74" ht="22.5" customHeight="1" x14ac:dyDescent="0.25">
      <x:c r="A37" s="32" t="s">
        <x:v>69</x:v>
      </x:c>
      <x:c r="B37" s="32" t="s">
        <x:v>23</x:v>
      </x:c>
      <x:c r="C37" s="157"/>
      <x:c r="D37" s="158"/>
      <x:c r="E37" s="158"/>
      <x:c r="F37" s="158"/>
      <x:c r="G37" s="158"/>
      <x:c r="H37" s="159"/>
      <x:c r="I37" s="33"/>
      <x:c r="J37" s="185"/>
      <x:c r="K37" s="185"/>
      <x:c r="L37" s="185"/>
      <x:c r="M37" s="35"/>
      <x:c r="N37" s="36"/>
      <x:c r="O37" s="33"/>
      <x:c r="P37" s="185"/>
      <x:c r="Q37" s="185"/>
      <x:c r="R37" s="185"/>
      <x:c r="S37" s="35"/>
      <x:c r="T37" s="36"/>
      <x:c r="U37" s="33"/>
      <x:c r="V37" s="185"/>
      <x:c r="W37" s="185"/>
      <x:c r="X37" s="185"/>
      <x:c r="Y37" s="35"/>
      <x:c r="Z37" s="36"/>
      <x:c r="AA37" s="33"/>
      <x:c r="AB37" s="185"/>
      <x:c r="AC37" s="185"/>
      <x:c r="AD37" s="185"/>
      <x:c r="AE37" s="35"/>
      <x:c r="AF37" s="36"/>
      <x:c r="AG37" s="33"/>
      <x:c r="AH37" s="185"/>
      <x:c r="AI37" s="185"/>
      <x:c r="AJ37" s="185"/>
      <x:c r="AK37" s="35"/>
      <x:c r="AL37" s="36"/>
      <x:c r="AM37" s="157">
        <x:v>100</x:v>
      </x:c>
      <x:c r="AN37" s="158">
        <x:v>100</x:v>
      </x:c>
      <x:c r="AO37" s="158">
        <x:v>100</x:v>
      </x:c>
      <x:c r="AP37" s="158">
        <x:v>100</x:v>
      </x:c>
      <x:c r="AQ37" s="158">
        <x:v>100</x:v>
      </x:c>
      <x:c r="AR37" s="584" t="s">
        <x:v>1102</x:v>
      </x:c>
      <x:c r="AS37" s="157">
        <x:v>100</x:v>
      </x:c>
      <x:c r="AT37" s="158">
        <x:v>100</x:v>
      </x:c>
      <x:c r="AU37" s="158">
        <x:v>100</x:v>
      </x:c>
      <x:c r="AV37" s="158">
        <x:v>100</x:v>
      </x:c>
      <x:c r="AW37" s="230">
        <x:v>99</x:v>
      </x:c>
      <x:c r="AX37" s="585" t="s">
        <x:v>1102</x:v>
      </x:c>
      <x:c r="AY37" s="33"/>
      <x:c r="AZ37" s="185"/>
      <x:c r="BA37" s="185"/>
      <x:c r="BB37" s="185"/>
      <x:c r="BC37" s="35"/>
      <x:c r="BD37" s="36"/>
      <x:c r="BE37" s="33"/>
      <x:c r="BF37" s="185"/>
      <x:c r="BG37" s="185"/>
      <x:c r="BH37" s="185"/>
      <x:c r="BI37" s="35"/>
      <x:c r="BJ37" s="36"/>
      <x:c r="BK37" s="33"/>
      <x:c r="BL37" s="185"/>
      <x:c r="BM37" s="185"/>
      <x:c r="BN37" s="185"/>
      <x:c r="BO37" s="35"/>
      <x:c r="BP37" s="36"/>
      <x:c r="BQ37" s="33"/>
      <x:c r="BR37" s="185"/>
      <x:c r="BS37" s="185"/>
      <x:c r="BT37" s="185"/>
      <x:c r="BU37" s="35"/>
      <x:c r="BV37" s="36"/>
    </x:row>
    <x:row r="38" spans="1:74" ht="22.5" customHeight="1" x14ac:dyDescent="0.25">
      <x:c r="A38" s="32" t="s">
        <x:v>72</x:v>
      </x:c>
      <x:c r="B38" s="32" t="s">
        <x:v>23</x:v>
      </x:c>
      <x:c r="C38" s="157"/>
      <x:c r="D38" s="158"/>
      <x:c r="E38" s="158"/>
      <x:c r="F38" s="158"/>
      <x:c r="G38" s="158"/>
      <x:c r="H38" s="159"/>
      <x:c r="I38" s="33"/>
      <x:c r="J38" s="185"/>
      <x:c r="K38" s="185"/>
      <x:c r="L38" s="185"/>
      <x:c r="M38" s="35"/>
      <x:c r="N38" s="36"/>
      <x:c r="O38" s="33"/>
      <x:c r="P38" s="185"/>
      <x:c r="Q38" s="185"/>
      <x:c r="R38" s="185"/>
      <x:c r="S38" s="35"/>
      <x:c r="T38" s="36"/>
      <x:c r="U38" s="33"/>
      <x:c r="V38" s="185"/>
      <x:c r="W38" s="185"/>
      <x:c r="X38" s="185"/>
      <x:c r="Y38" s="35"/>
      <x:c r="Z38" s="36"/>
      <x:c r="AA38" s="33"/>
      <x:c r="AB38" s="185"/>
      <x:c r="AC38" s="185"/>
      <x:c r="AD38" s="185"/>
      <x:c r="AE38" s="35"/>
      <x:c r="AF38" s="36"/>
      <x:c r="AG38" s="33"/>
      <x:c r="AH38" s="185"/>
      <x:c r="AI38" s="185"/>
      <x:c r="AJ38" s="185"/>
      <x:c r="AK38" s="35"/>
      <x:c r="AL38" s="36"/>
      <x:c r="AM38" s="157">
        <x:v>100</x:v>
      </x:c>
      <x:c r="AN38" s="158">
        <x:v>100</x:v>
      </x:c>
      <x:c r="AO38" s="158">
        <x:v>100</x:v>
      </x:c>
      <x:c r="AP38" s="158">
        <x:v>100</x:v>
      </x:c>
      <x:c r="AQ38" s="158">
        <x:v>100</x:v>
      </x:c>
      <x:c r="AR38" s="584" t="s">
        <x:v>1102</x:v>
      </x:c>
      <x:c r="AS38" s="157">
        <x:v>100</x:v>
      </x:c>
      <x:c r="AT38" s="158">
        <x:v>100</x:v>
      </x:c>
      <x:c r="AU38" s="158">
        <x:v>100</x:v>
      </x:c>
      <x:c r="AV38" s="158">
        <x:v>100</x:v>
      </x:c>
      <x:c r="AW38" s="230">
        <x:v>100</x:v>
      </x:c>
      <x:c r="AX38" s="585" t="s">
        <x:v>1102</x:v>
      </x:c>
      <x:c r="AY38" s="33"/>
      <x:c r="AZ38" s="185"/>
      <x:c r="BA38" s="185"/>
      <x:c r="BB38" s="185"/>
      <x:c r="BC38" s="35"/>
      <x:c r="BD38" s="36"/>
      <x:c r="BE38" s="33"/>
      <x:c r="BF38" s="185"/>
      <x:c r="BG38" s="185"/>
      <x:c r="BH38" s="185"/>
      <x:c r="BI38" s="35"/>
      <x:c r="BJ38" s="36"/>
      <x:c r="BK38" s="33"/>
      <x:c r="BL38" s="185"/>
      <x:c r="BM38" s="185"/>
      <x:c r="BN38" s="185"/>
      <x:c r="BO38" s="35"/>
      <x:c r="BP38" s="36"/>
      <x:c r="BQ38" s="33"/>
      <x:c r="BR38" s="185"/>
      <x:c r="BS38" s="185"/>
      <x:c r="BT38" s="185"/>
      <x:c r="BU38" s="35"/>
      <x:c r="BV38" s="36"/>
    </x:row>
    <x:row r="39" spans="1:74" ht="22.5" customHeight="1" x14ac:dyDescent="0.25">
      <x:c r="A39" s="32" t="s">
        <x:v>57</x:v>
      </x:c>
      <x:c r="B39" s="32" t="s">
        <x:v>23</x:v>
      </x:c>
      <x:c r="C39" s="157"/>
      <x:c r="D39" s="158"/>
      <x:c r="E39" s="158"/>
      <x:c r="F39" s="158"/>
      <x:c r="G39" s="158"/>
      <x:c r="H39" s="159"/>
      <x:c r="I39" s="33"/>
      <x:c r="J39" s="185"/>
      <x:c r="K39" s="185"/>
      <x:c r="L39" s="185"/>
      <x:c r="M39" s="35"/>
      <x:c r="N39" s="36"/>
      <x:c r="O39" s="33"/>
      <x:c r="P39" s="185"/>
      <x:c r="Q39" s="185"/>
      <x:c r="R39" s="185"/>
      <x:c r="S39" s="35"/>
      <x:c r="T39" s="36"/>
      <x:c r="U39" s="33"/>
      <x:c r="V39" s="185"/>
      <x:c r="W39" s="185"/>
      <x:c r="X39" s="185"/>
      <x:c r="Y39" s="35"/>
      <x:c r="Z39" s="36"/>
      <x:c r="AA39" s="33"/>
      <x:c r="AB39" s="185"/>
      <x:c r="AC39" s="185"/>
      <x:c r="AD39" s="185"/>
      <x:c r="AE39" s="35"/>
      <x:c r="AF39" s="36"/>
      <x:c r="AG39" s="33"/>
      <x:c r="AH39" s="185"/>
      <x:c r="AI39" s="185"/>
      <x:c r="AJ39" s="185"/>
      <x:c r="AK39" s="35"/>
      <x:c r="AL39" s="36"/>
      <x:c r="AM39" s="157">
        <x:v>100</x:v>
      </x:c>
      <x:c r="AN39" s="158">
        <x:v>100</x:v>
      </x:c>
      <x:c r="AO39" s="158">
        <x:v>100</x:v>
      </x:c>
      <x:c r="AP39" s="158">
        <x:v>93</x:v>
      </x:c>
      <x:c r="AQ39" s="158">
        <x:v>90</x:v>
      </x:c>
      <x:c r="AR39" s="584" t="s">
        <x:v>1102</x:v>
      </x:c>
      <x:c r="AS39" s="157">
        <x:v>100</x:v>
      </x:c>
      <x:c r="AT39" s="158">
        <x:v>100</x:v>
      </x:c>
      <x:c r="AU39" s="158">
        <x:v>100</x:v>
      </x:c>
      <x:c r="AV39" s="158">
        <x:v>98</x:v>
      </x:c>
      <x:c r="AW39" s="230">
        <x:v>92</x:v>
      </x:c>
      <x:c r="AX39" s="585" t="s">
        <x:v>1102</x:v>
      </x:c>
      <x:c r="AY39" s="33"/>
      <x:c r="AZ39" s="185"/>
      <x:c r="BA39" s="185"/>
      <x:c r="BB39" s="185"/>
      <x:c r="BC39" s="35"/>
      <x:c r="BD39" s="36"/>
      <x:c r="BE39" s="33"/>
      <x:c r="BF39" s="185"/>
      <x:c r="BG39" s="185"/>
      <x:c r="BH39" s="185"/>
      <x:c r="BI39" s="35"/>
      <x:c r="BJ39" s="36"/>
      <x:c r="BK39" s="33"/>
      <x:c r="BL39" s="185"/>
      <x:c r="BM39" s="185"/>
      <x:c r="BN39" s="185"/>
      <x:c r="BO39" s="35"/>
      <x:c r="BP39" s="36"/>
      <x:c r="BQ39" s="33"/>
      <x:c r="BR39" s="185"/>
      <x:c r="BS39" s="185"/>
      <x:c r="BT39" s="185"/>
      <x:c r="BU39" s="35"/>
      <x:c r="BV39" s="36"/>
    </x:row>
    <x:row r="40" spans="1:74" ht="22.5" customHeight="1" x14ac:dyDescent="0.25">
      <x:c r="A40" s="32" t="s">
        <x:v>58</x:v>
      </x:c>
      <x:c r="B40" s="32" t="s">
        <x:v>23</x:v>
      </x:c>
      <x:c r="C40" s="157"/>
      <x:c r="D40" s="158"/>
      <x:c r="E40" s="158"/>
      <x:c r="F40" s="158"/>
      <x:c r="G40" s="158"/>
      <x:c r="H40" s="159"/>
      <x:c r="I40" s="33"/>
      <x:c r="J40" s="185"/>
      <x:c r="K40" s="185"/>
      <x:c r="L40" s="185"/>
      <x:c r="M40" s="35"/>
      <x:c r="N40" s="36"/>
      <x:c r="O40" s="33"/>
      <x:c r="P40" s="185"/>
      <x:c r="Q40" s="185"/>
      <x:c r="R40" s="185"/>
      <x:c r="S40" s="35"/>
      <x:c r="T40" s="36"/>
      <x:c r="U40" s="33"/>
      <x:c r="V40" s="185"/>
      <x:c r="W40" s="185"/>
      <x:c r="X40" s="185"/>
      <x:c r="Y40" s="35"/>
      <x:c r="Z40" s="36"/>
      <x:c r="AA40" s="33"/>
      <x:c r="AB40" s="185"/>
      <x:c r="AC40" s="185"/>
      <x:c r="AD40" s="185"/>
      <x:c r="AE40" s="35"/>
      <x:c r="AF40" s="36"/>
      <x:c r="AG40" s="33"/>
      <x:c r="AH40" s="185"/>
      <x:c r="AI40" s="185"/>
      <x:c r="AJ40" s="185"/>
      <x:c r="AK40" s="35"/>
      <x:c r="AL40" s="36"/>
      <x:c r="AM40" s="157">
        <x:v>100</x:v>
      </x:c>
      <x:c r="AN40" s="158">
        <x:v>100</x:v>
      </x:c>
      <x:c r="AO40" s="158">
        <x:v>100</x:v>
      </x:c>
      <x:c r="AP40" s="158">
        <x:v>100</x:v>
      </x:c>
      <x:c r="AQ40" s="158">
        <x:v>100</x:v>
      </x:c>
      <x:c r="AR40" s="584" t="s">
        <x:v>1102</x:v>
      </x:c>
      <x:c r="AS40" s="157">
        <x:v>100</x:v>
      </x:c>
      <x:c r="AT40" s="158">
        <x:v>100</x:v>
      </x:c>
      <x:c r="AU40" s="158">
        <x:v>100</x:v>
      </x:c>
      <x:c r="AV40" s="158">
        <x:v>100</x:v>
      </x:c>
      <x:c r="AW40" s="230">
        <x:v>100</x:v>
      </x:c>
      <x:c r="AX40" s="585" t="s">
        <x:v>1102</x:v>
      </x:c>
      <x:c r="AY40" s="33"/>
      <x:c r="AZ40" s="185"/>
      <x:c r="BA40" s="185"/>
      <x:c r="BB40" s="185"/>
      <x:c r="BC40" s="35"/>
      <x:c r="BD40" s="36"/>
      <x:c r="BE40" s="33"/>
      <x:c r="BF40" s="185"/>
      <x:c r="BG40" s="185"/>
      <x:c r="BH40" s="185"/>
      <x:c r="BI40" s="35"/>
      <x:c r="BJ40" s="36"/>
      <x:c r="BK40" s="33"/>
      <x:c r="BL40" s="185"/>
      <x:c r="BM40" s="185"/>
      <x:c r="BN40" s="185"/>
      <x:c r="BO40" s="35"/>
      <x:c r="BP40" s="36"/>
      <x:c r="BQ40" s="33"/>
      <x:c r="BR40" s="185"/>
      <x:c r="BS40" s="185"/>
      <x:c r="BT40" s="185"/>
      <x:c r="BU40" s="35"/>
      <x:c r="BV40" s="36"/>
    </x:row>
    <x:row r="41" spans="1:74" ht="22.5" customHeight="1" x14ac:dyDescent="0.25">
      <x:c r="A41" s="32" t="s">
        <x:v>55</x:v>
      </x:c>
      <x:c r="B41" s="32" t="s">
        <x:v>23</x:v>
      </x:c>
      <x:c r="C41" s="157"/>
      <x:c r="D41" s="158"/>
      <x:c r="E41" s="158"/>
      <x:c r="F41" s="158"/>
      <x:c r="G41" s="158"/>
      <x:c r="H41" s="159"/>
      <x:c r="I41" s="33"/>
      <x:c r="J41" s="185"/>
      <x:c r="K41" s="185"/>
      <x:c r="L41" s="185"/>
      <x:c r="M41" s="35"/>
      <x:c r="N41" s="36"/>
      <x:c r="O41" s="33"/>
      <x:c r="P41" s="185"/>
      <x:c r="Q41" s="185"/>
      <x:c r="R41" s="185"/>
      <x:c r="S41" s="35"/>
      <x:c r="T41" s="36"/>
      <x:c r="U41" s="33"/>
      <x:c r="V41" s="185"/>
      <x:c r="W41" s="185"/>
      <x:c r="X41" s="185"/>
      <x:c r="Y41" s="35"/>
      <x:c r="Z41" s="36"/>
      <x:c r="AA41" s="33"/>
      <x:c r="AB41" s="185"/>
      <x:c r="AC41" s="185"/>
      <x:c r="AD41" s="185"/>
      <x:c r="AE41" s="35"/>
      <x:c r="AF41" s="36"/>
      <x:c r="AG41" s="33"/>
      <x:c r="AH41" s="185"/>
      <x:c r="AI41" s="185"/>
      <x:c r="AJ41" s="185"/>
      <x:c r="AK41" s="35"/>
      <x:c r="AL41" s="36"/>
      <x:c r="AM41" s="157">
        <x:v>100</x:v>
      </x:c>
      <x:c r="AN41" s="158">
        <x:v>100</x:v>
      </x:c>
      <x:c r="AO41" s="158">
        <x:v>100</x:v>
      </x:c>
      <x:c r="AP41" s="158">
        <x:v>100</x:v>
      </x:c>
      <x:c r="AQ41" s="158">
        <x:v>95</x:v>
      </x:c>
      <x:c r="AR41" s="584" t="s">
        <x:v>1102</x:v>
      </x:c>
      <x:c r="AS41" s="157">
        <x:v>100</x:v>
      </x:c>
      <x:c r="AT41" s="158">
        <x:v>100</x:v>
      </x:c>
      <x:c r="AU41" s="158">
        <x:v>100</x:v>
      </x:c>
      <x:c r="AV41" s="158">
        <x:v>100</x:v>
      </x:c>
      <x:c r="AW41" s="230">
        <x:v>99</x:v>
      </x:c>
      <x:c r="AX41" s="585" t="s">
        <x:v>1102</x:v>
      </x:c>
      <x:c r="AY41" s="33"/>
      <x:c r="AZ41" s="185"/>
      <x:c r="BA41" s="185"/>
      <x:c r="BB41" s="185"/>
      <x:c r="BC41" s="35"/>
      <x:c r="BD41" s="36"/>
      <x:c r="BE41" s="33"/>
      <x:c r="BF41" s="185"/>
      <x:c r="BG41" s="185"/>
      <x:c r="BH41" s="185"/>
      <x:c r="BI41" s="35"/>
      <x:c r="BJ41" s="36"/>
      <x:c r="BK41" s="33"/>
      <x:c r="BL41" s="185"/>
      <x:c r="BM41" s="185"/>
      <x:c r="BN41" s="185"/>
      <x:c r="BO41" s="35"/>
      <x:c r="BP41" s="36"/>
      <x:c r="BQ41" s="33"/>
      <x:c r="BR41" s="185"/>
      <x:c r="BS41" s="185"/>
      <x:c r="BT41" s="185"/>
      <x:c r="BU41" s="35"/>
      <x:c r="BV41" s="36"/>
    </x:row>
    <x:row r="42" spans="1:74" ht="22.5" customHeight="1" x14ac:dyDescent="0.25">
      <x:c r="A42" s="32" t="s">
        <x:v>82</x:v>
      </x:c>
      <x:c r="B42" s="32" t="s">
        <x:v>37</x:v>
      </x:c>
      <x:c r="C42" s="157"/>
      <x:c r="D42" s="158"/>
      <x:c r="E42" s="158"/>
      <x:c r="F42" s="158"/>
      <x:c r="G42" s="158"/>
      <x:c r="H42" s="159"/>
      <x:c r="I42" s="33"/>
      <x:c r="J42" s="185"/>
      <x:c r="K42" s="185"/>
      <x:c r="L42" s="185"/>
      <x:c r="M42" s="35"/>
      <x:c r="N42" s="36"/>
      <x:c r="O42" s="33"/>
      <x:c r="P42" s="185"/>
      <x:c r="Q42" s="185"/>
      <x:c r="R42" s="185"/>
      <x:c r="S42" s="35"/>
      <x:c r="T42" s="36"/>
      <x:c r="U42" s="33"/>
      <x:c r="V42" s="185"/>
      <x:c r="W42" s="185"/>
      <x:c r="X42" s="185"/>
      <x:c r="Y42" s="35"/>
      <x:c r="Z42" s="36"/>
      <x:c r="AA42" s="33"/>
      <x:c r="AB42" s="185"/>
      <x:c r="AC42" s="185"/>
      <x:c r="AD42" s="185"/>
      <x:c r="AE42" s="35"/>
      <x:c r="AF42" s="36"/>
      <x:c r="AG42" s="33"/>
      <x:c r="AH42" s="185"/>
      <x:c r="AI42" s="185"/>
      <x:c r="AJ42" s="185"/>
      <x:c r="AK42" s="35"/>
      <x:c r="AL42" s="36"/>
      <x:c r="AM42" s="157">
        <x:v>100</x:v>
      </x:c>
      <x:c r="AN42" s="158">
        <x:v>100</x:v>
      </x:c>
      <x:c r="AO42" s="158">
        <x:v>100</x:v>
      </x:c>
      <x:c r="AP42" s="158">
        <x:v>100</x:v>
      </x:c>
      <x:c r="AQ42" s="158">
        <x:v>99</x:v>
      </x:c>
      <x:c r="AR42" s="584" t="s">
        <x:v>1102</x:v>
      </x:c>
      <x:c r="AS42" s="157">
        <x:v>100</x:v>
      </x:c>
      <x:c r="AT42" s="158">
        <x:v>100</x:v>
      </x:c>
      <x:c r="AU42" s="158">
        <x:v>100</x:v>
      </x:c>
      <x:c r="AV42" s="158">
        <x:v>100</x:v>
      </x:c>
      <x:c r="AW42" s="230">
        <x:v>100</x:v>
      </x:c>
      <x:c r="AX42" s="585" t="s">
        <x:v>1102</x:v>
      </x:c>
      <x:c r="AY42" s="33"/>
      <x:c r="AZ42" s="185"/>
      <x:c r="BA42" s="185"/>
      <x:c r="BB42" s="185"/>
      <x:c r="BC42" s="35"/>
      <x:c r="BD42" s="36"/>
      <x:c r="BE42" s="33"/>
      <x:c r="BF42" s="185"/>
      <x:c r="BG42" s="185"/>
      <x:c r="BH42" s="185"/>
      <x:c r="BI42" s="35"/>
      <x:c r="BJ42" s="36"/>
      <x:c r="BK42" s="33"/>
      <x:c r="BL42" s="185"/>
      <x:c r="BM42" s="185"/>
      <x:c r="BN42" s="185"/>
      <x:c r="BO42" s="35"/>
      <x:c r="BP42" s="36"/>
      <x:c r="BQ42" s="33"/>
      <x:c r="BR42" s="185"/>
      <x:c r="BS42" s="185"/>
      <x:c r="BT42" s="185"/>
      <x:c r="BU42" s="35"/>
      <x:c r="BV42" s="36"/>
    </x:row>
    <x:row r="43" spans="1:74" ht="22.5" customHeight="1" x14ac:dyDescent="0.25">
      <x:c r="A43" s="32" t="s">
        <x:v>75</x:v>
      </x:c>
      <x:c r="B43" s="32" t="s">
        <x:v>37</x:v>
      </x:c>
      <x:c r="C43" s="157"/>
      <x:c r="D43" s="158"/>
      <x:c r="E43" s="158"/>
      <x:c r="F43" s="158"/>
      <x:c r="G43" s="158"/>
      <x:c r="H43" s="159"/>
      <x:c r="I43" s="33"/>
      <x:c r="J43" s="185"/>
      <x:c r="K43" s="185"/>
      <x:c r="L43" s="185"/>
      <x:c r="M43" s="35"/>
      <x:c r="N43" s="36"/>
      <x:c r="O43" s="33"/>
      <x:c r="P43" s="185"/>
      <x:c r="Q43" s="185"/>
      <x:c r="R43" s="185"/>
      <x:c r="S43" s="35"/>
      <x:c r="T43" s="36"/>
      <x:c r="U43" s="33"/>
      <x:c r="V43" s="185"/>
      <x:c r="W43" s="185"/>
      <x:c r="X43" s="185"/>
      <x:c r="Y43" s="35"/>
      <x:c r="Z43" s="36"/>
      <x:c r="AA43" s="33"/>
      <x:c r="AB43" s="185"/>
      <x:c r="AC43" s="185"/>
      <x:c r="AD43" s="185"/>
      <x:c r="AE43" s="35"/>
      <x:c r="AF43" s="36"/>
      <x:c r="AG43" s="33"/>
      <x:c r="AH43" s="185"/>
      <x:c r="AI43" s="185"/>
      <x:c r="AJ43" s="185"/>
      <x:c r="AK43" s="35"/>
      <x:c r="AL43" s="36"/>
      <x:c r="AM43" s="157">
        <x:v>100</x:v>
      </x:c>
      <x:c r="AN43" s="158">
        <x:v>100</x:v>
      </x:c>
      <x:c r="AO43" s="158">
        <x:v>100</x:v>
      </x:c>
      <x:c r="AP43" s="158">
        <x:v>100</x:v>
      </x:c>
      <x:c r="AQ43" s="158">
        <x:v>99</x:v>
      </x:c>
      <x:c r="AR43" s="584" t="s">
        <x:v>1102</x:v>
      </x:c>
      <x:c r="AS43" s="157">
        <x:v>100</x:v>
      </x:c>
      <x:c r="AT43" s="158">
        <x:v>100</x:v>
      </x:c>
      <x:c r="AU43" s="158">
        <x:v>100</x:v>
      </x:c>
      <x:c r="AV43" s="158">
        <x:v>100</x:v>
      </x:c>
      <x:c r="AW43" s="230">
        <x:v>100</x:v>
      </x:c>
      <x:c r="AX43" s="585" t="s">
        <x:v>1102</x:v>
      </x:c>
      <x:c r="AY43" s="33"/>
      <x:c r="AZ43" s="185"/>
      <x:c r="BA43" s="185"/>
      <x:c r="BB43" s="185"/>
      <x:c r="BC43" s="35"/>
      <x:c r="BD43" s="36"/>
      <x:c r="BE43" s="33"/>
      <x:c r="BF43" s="185"/>
      <x:c r="BG43" s="185"/>
      <x:c r="BH43" s="185"/>
      <x:c r="BI43" s="35"/>
      <x:c r="BJ43" s="36"/>
      <x:c r="BK43" s="33"/>
      <x:c r="BL43" s="185"/>
      <x:c r="BM43" s="185"/>
      <x:c r="BN43" s="185"/>
      <x:c r="BO43" s="35"/>
      <x:c r="BP43" s="36"/>
      <x:c r="BQ43" s="33"/>
      <x:c r="BR43" s="185"/>
      <x:c r="BS43" s="185"/>
      <x:c r="BT43" s="185"/>
      <x:c r="BU43" s="35"/>
      <x:c r="BV43" s="36"/>
    </x:row>
    <x:row r="44" spans="1:74" ht="22.5" customHeight="1" x14ac:dyDescent="0.25">
      <x:c r="A44" s="32" t="s">
        <x:v>77</x:v>
      </x:c>
      <x:c r="B44" s="32" t="s">
        <x:v>23</x:v>
      </x:c>
      <x:c r="C44" s="157"/>
      <x:c r="D44" s="158"/>
      <x:c r="E44" s="158"/>
      <x:c r="F44" s="158"/>
      <x:c r="G44" s="158"/>
      <x:c r="H44" s="159"/>
      <x:c r="I44" s="33"/>
      <x:c r="J44" s="185"/>
      <x:c r="K44" s="185"/>
      <x:c r="L44" s="185"/>
      <x:c r="M44" s="35"/>
      <x:c r="N44" s="36"/>
      <x:c r="O44" s="33"/>
      <x:c r="P44" s="185"/>
      <x:c r="Q44" s="185"/>
      <x:c r="R44" s="185"/>
      <x:c r="S44" s="35"/>
      <x:c r="T44" s="36"/>
      <x:c r="U44" s="33"/>
      <x:c r="V44" s="185"/>
      <x:c r="W44" s="185"/>
      <x:c r="X44" s="185"/>
      <x:c r="Y44" s="35"/>
      <x:c r="Z44" s="36"/>
      <x:c r="AA44" s="33"/>
      <x:c r="AB44" s="185"/>
      <x:c r="AC44" s="185"/>
      <x:c r="AD44" s="185"/>
      <x:c r="AE44" s="35"/>
      <x:c r="AF44" s="36"/>
      <x:c r="AG44" s="33"/>
      <x:c r="AH44" s="185"/>
      <x:c r="AI44" s="185"/>
      <x:c r="AJ44" s="185"/>
      <x:c r="AK44" s="35"/>
      <x:c r="AL44" s="36"/>
      <x:c r="AM44" s="157">
        <x:v>100</x:v>
      </x:c>
      <x:c r="AN44" s="158">
        <x:v>100</x:v>
      </x:c>
      <x:c r="AO44" s="158">
        <x:v>100</x:v>
      </x:c>
      <x:c r="AP44" s="158">
        <x:v>99</x:v>
      </x:c>
      <x:c r="AQ44" s="158">
        <x:v>98</x:v>
      </x:c>
      <x:c r="AR44" s="584" t="s">
        <x:v>1102</x:v>
      </x:c>
      <x:c r="AS44" s="157">
        <x:v>100</x:v>
      </x:c>
      <x:c r="AT44" s="158">
        <x:v>100</x:v>
      </x:c>
      <x:c r="AU44" s="158">
        <x:v>100</x:v>
      </x:c>
      <x:c r="AV44" s="158">
        <x:v>100</x:v>
      </x:c>
      <x:c r="AW44" s="230">
        <x:v>100</x:v>
      </x:c>
      <x:c r="AX44" s="585" t="s">
        <x:v>1102</x:v>
      </x:c>
      <x:c r="AY44" s="33"/>
      <x:c r="AZ44" s="185"/>
      <x:c r="BA44" s="185"/>
      <x:c r="BB44" s="185"/>
      <x:c r="BC44" s="35"/>
      <x:c r="BD44" s="36"/>
      <x:c r="BE44" s="33"/>
      <x:c r="BF44" s="185"/>
      <x:c r="BG44" s="185"/>
      <x:c r="BH44" s="185"/>
      <x:c r="BI44" s="35"/>
      <x:c r="BJ44" s="36"/>
      <x:c r="BK44" s="33"/>
      <x:c r="BL44" s="185"/>
      <x:c r="BM44" s="185"/>
      <x:c r="BN44" s="185"/>
      <x:c r="BO44" s="35"/>
      <x:c r="BP44" s="36"/>
      <x:c r="BQ44" s="33"/>
      <x:c r="BR44" s="185"/>
      <x:c r="BS44" s="185"/>
      <x:c r="BT44" s="185"/>
      <x:c r="BU44" s="35"/>
      <x:c r="BV44" s="36"/>
    </x:row>
    <x:row r="45" spans="1:74" ht="22.5" customHeight="1" x14ac:dyDescent="0.25">
      <x:c r="A45" s="32" t="s">
        <x:v>51</x:v>
      </x:c>
      <x:c r="B45" s="32" t="s">
        <x:v>23</x:v>
      </x:c>
      <x:c r="C45" s="157"/>
      <x:c r="D45" s="158"/>
      <x:c r="E45" s="158"/>
      <x:c r="F45" s="158"/>
      <x:c r="G45" s="158"/>
      <x:c r="H45" s="159"/>
      <x:c r="I45" s="33"/>
      <x:c r="J45" s="185"/>
      <x:c r="K45" s="185"/>
      <x:c r="L45" s="185"/>
      <x:c r="M45" s="35"/>
      <x:c r="N45" s="36"/>
      <x:c r="O45" s="33"/>
      <x:c r="P45" s="185"/>
      <x:c r="Q45" s="185"/>
      <x:c r="R45" s="185"/>
      <x:c r="S45" s="35"/>
      <x:c r="T45" s="36"/>
      <x:c r="U45" s="33"/>
      <x:c r="V45" s="185"/>
      <x:c r="W45" s="185"/>
      <x:c r="X45" s="185"/>
      <x:c r="Y45" s="35"/>
      <x:c r="Z45" s="36"/>
      <x:c r="AA45" s="33"/>
      <x:c r="AB45" s="185"/>
      <x:c r="AC45" s="185"/>
      <x:c r="AD45" s="185"/>
      <x:c r="AE45" s="35"/>
      <x:c r="AF45" s="36"/>
      <x:c r="AG45" s="33"/>
      <x:c r="AH45" s="185"/>
      <x:c r="AI45" s="185"/>
      <x:c r="AJ45" s="185"/>
      <x:c r="AK45" s="35"/>
      <x:c r="AL45" s="36"/>
      <x:c r="AM45" s="157">
        <x:v>100</x:v>
      </x:c>
      <x:c r="AN45" s="158">
        <x:v>100</x:v>
      </x:c>
      <x:c r="AO45" s="158">
        <x:v>100</x:v>
      </x:c>
      <x:c r="AP45" s="158">
        <x:v>100</x:v>
      </x:c>
      <x:c r="AQ45" s="158">
        <x:v>100</x:v>
      </x:c>
      <x:c r="AR45" s="584" t="s">
        <x:v>1102</x:v>
      </x:c>
      <x:c r="AS45" s="157">
        <x:v>100</x:v>
      </x:c>
      <x:c r="AT45" s="158">
        <x:v>100</x:v>
      </x:c>
      <x:c r="AU45" s="158">
        <x:v>100</x:v>
      </x:c>
      <x:c r="AV45" s="158">
        <x:v>100</x:v>
      </x:c>
      <x:c r="AW45" s="230">
        <x:v>100</x:v>
      </x:c>
      <x:c r="AX45" s="585" t="s">
        <x:v>1102</x:v>
      </x:c>
      <x:c r="AY45" s="33"/>
      <x:c r="AZ45" s="185"/>
      <x:c r="BA45" s="185"/>
      <x:c r="BB45" s="185"/>
      <x:c r="BC45" s="35"/>
      <x:c r="BD45" s="36"/>
      <x:c r="BE45" s="33"/>
      <x:c r="BF45" s="185"/>
      <x:c r="BG45" s="185"/>
      <x:c r="BH45" s="185"/>
      <x:c r="BI45" s="35"/>
      <x:c r="BJ45" s="36"/>
      <x:c r="BK45" s="33"/>
      <x:c r="BL45" s="185"/>
      <x:c r="BM45" s="185"/>
      <x:c r="BN45" s="185"/>
      <x:c r="BO45" s="35"/>
      <x:c r="BP45" s="36"/>
      <x:c r="BQ45" s="33"/>
      <x:c r="BR45" s="185"/>
      <x:c r="BS45" s="185"/>
      <x:c r="BT45" s="185"/>
      <x:c r="BU45" s="35"/>
      <x:c r="BV45" s="36"/>
    </x:row>
    <x:row r="46" spans="1:74" ht="22.5" customHeight="1" x14ac:dyDescent="0.3">
      <x:c r="A46" s="37" t="s">
        <x:v>63</x:v>
      </x:c>
      <x:c r="B46" s="37" t="s">
        <x:v>16</x:v>
      </x:c>
      <x:c r="C46" s="160"/>
      <x:c r="D46" s="161"/>
      <x:c r="E46" s="161"/>
      <x:c r="F46" s="161"/>
      <x:c r="G46" s="161"/>
      <x:c r="H46" s="162"/>
      <x:c r="I46" s="38"/>
      <x:c r="J46" s="39"/>
      <x:c r="K46" s="39"/>
      <x:c r="L46" s="39"/>
      <x:c r="M46" s="41"/>
      <x:c r="N46" s="42"/>
      <x:c r="O46" s="38"/>
      <x:c r="P46" s="39"/>
      <x:c r="Q46" s="39"/>
      <x:c r="R46" s="39"/>
      <x:c r="S46" s="41"/>
      <x:c r="T46" s="42"/>
      <x:c r="U46" s="38"/>
      <x:c r="V46" s="39"/>
      <x:c r="W46" s="39"/>
      <x:c r="X46" s="39"/>
      <x:c r="Y46" s="41"/>
      <x:c r="Z46" s="42"/>
      <x:c r="AA46" s="38"/>
      <x:c r="AB46" s="39"/>
      <x:c r="AC46" s="39"/>
      <x:c r="AD46" s="39"/>
      <x:c r="AE46" s="41"/>
      <x:c r="AF46" s="42"/>
      <x:c r="AG46" s="38"/>
      <x:c r="AH46" s="39"/>
      <x:c r="AI46" s="39"/>
      <x:c r="AJ46" s="39"/>
      <x:c r="AK46" s="41"/>
      <x:c r="AL46" s="42"/>
      <x:c r="AM46" s="160">
        <x:v>100</x:v>
      </x:c>
      <x:c r="AN46" s="161">
        <x:v>100</x:v>
      </x:c>
      <x:c r="AO46" s="161">
        <x:v>100</x:v>
      </x:c>
      <x:c r="AP46" s="161">
        <x:v>100</x:v>
      </x:c>
      <x:c r="AQ46" s="161">
        <x:v>99</x:v>
      </x:c>
      <x:c r="AR46" s="593" t="s">
        <x:v>1102</x:v>
      </x:c>
      <x:c r="AS46" s="160">
        <x:v>100</x:v>
      </x:c>
      <x:c r="AT46" s="161">
        <x:v>100</x:v>
      </x:c>
      <x:c r="AU46" s="161">
        <x:v>100</x:v>
      </x:c>
      <x:c r="AV46" s="161">
        <x:v>100</x:v>
      </x:c>
      <x:c r="AW46" s="237">
        <x:v>100</x:v>
      </x:c>
      <x:c r="AX46" s="594" t="s">
        <x:v>1102</x:v>
      </x:c>
      <x:c r="AY46" s="38"/>
      <x:c r="AZ46" s="39"/>
      <x:c r="BA46" s="39"/>
      <x:c r="BB46" s="39"/>
      <x:c r="BC46" s="41"/>
      <x:c r="BD46" s="42"/>
      <x:c r="BE46" s="38"/>
      <x:c r="BF46" s="39"/>
      <x:c r="BG46" s="39"/>
      <x:c r="BH46" s="39"/>
      <x:c r="BI46" s="41"/>
      <x:c r="BJ46" s="42"/>
      <x:c r="BK46" s="38"/>
      <x:c r="BL46" s="39"/>
      <x:c r="BM46" s="39"/>
      <x:c r="BN46" s="39"/>
      <x:c r="BO46" s="41"/>
      <x:c r="BP46" s="42"/>
      <x:c r="BQ46" s="38"/>
      <x:c r="BR46" s="39"/>
      <x:c r="BS46" s="39"/>
      <x:c r="BT46" s="39"/>
      <x:c r="BU46" s="41"/>
      <x:c r="BV46" s="42"/>
    </x:row>
    <x:row r="47" spans="1:74" s="225" customFormat="1" x14ac:dyDescent="0.25">
      <x:c r="C47" s="491">
        <x:f t="array" ref="C47:C47">SUMPRODUCT((C3:C46&gt;=10)*(D3:D46&gt;=10)*(E3:E46&gt;=10)*(F3:F46&gt;=10)*(G3:G46&gt;=10))</x:f>
      </x:c>
      <x:c r="D47" s="492"/>
      <x:c r="E47" s="492"/>
      <x:c r="F47" s="492"/>
      <x:c r="G47" s="492"/>
      <x:c r="H47" s="227">
        <x:f>COUNTIF(H3:H46,"Да")</x:f>
      </x:c>
      <x:c r="I47" s="491">
        <x:f t="array" ref="I47:I47">SUMPRODUCT((I3:I46&gt;=10)*(J3:J46&gt;=10)*(K3:K46&gt;=10)*(L3:L46&gt;=10)*(M3:M46&gt;=10))</x:f>
      </x:c>
      <x:c r="J47" s="492"/>
      <x:c r="K47" s="492"/>
      <x:c r="L47" s="492"/>
      <x:c r="M47" s="492"/>
      <x:c r="N47" s="227">
        <x:f>COUNTIF(N3:N46,"Да")</x:f>
      </x:c>
      <x:c r="O47" s="491">
        <x:f t="array" ref="O47:O47">SUMPRODUCT((O3:O46&gt;=10)*(P3:P46&gt;=10)*(Q3:Q46&gt;=10)*(R3:R46&gt;=10)*(S3:S46&gt;=10))</x:f>
      </x:c>
      <x:c r="P47" s="492"/>
      <x:c r="Q47" s="492"/>
      <x:c r="R47" s="492"/>
      <x:c r="S47" s="492"/>
      <x:c r="T47" s="227">
        <x:f>COUNTIF(T3:T46,"Да")</x:f>
      </x:c>
      <x:c r="U47" s="491">
        <x:f t="array" ref="U47:U47">SUMPRODUCT((U3:U46&gt;=10)*(V3:V46&gt;=10)*(W3:W46&gt;=10)*(X3:X46&gt;=10)*(Y3:Y46&gt;=10))</x:f>
      </x:c>
      <x:c r="V47" s="492"/>
      <x:c r="W47" s="492"/>
      <x:c r="X47" s="492"/>
      <x:c r="Y47" s="492"/>
      <x:c r="Z47" s="227">
        <x:f>COUNTIF(Z3:Z46,"Да")</x:f>
      </x:c>
      <x:c r="AA47" s="491">
        <x:f t="array" ref="AA47:AA47">SUMPRODUCT((AA3:AA46&gt;=10)*(AB3:AB46&gt;=10)*(AC3:AC46&gt;=10)*(AD3:AD46&gt;=10)*(AE3:AE46&gt;=10))</x:f>
      </x:c>
      <x:c r="AB47" s="492"/>
      <x:c r="AC47" s="492"/>
      <x:c r="AD47" s="492"/>
      <x:c r="AE47" s="492"/>
      <x:c r="AF47" s="227">
        <x:f>COUNTIF(AF3:AF46,"Да")</x:f>
      </x:c>
      <x:c r="AG47" s="491">
        <x:f t="array" ref="AG47:AG47">SUMPRODUCT((AG3:AG46&gt;=10)*(AH3:AH46&gt;=10)*(AI3:AI46&gt;=10)*(AJ3:AJ46&gt;=10)*(AK3:AK46&gt;=10))</x:f>
      </x:c>
      <x:c r="AH47" s="492"/>
      <x:c r="AI47" s="492"/>
      <x:c r="AJ47" s="492"/>
      <x:c r="AK47" s="492"/>
      <x:c r="AL47" s="227">
        <x:f>COUNTIF(AL3:AL46,"Да")</x:f>
      </x:c>
      <x:c r="AM47" s="491">
        <x:f t="array" ref="AM47:AM47">SUMPRODUCT((AM3:AM46&gt;=10)*(AN3:AN46&gt;=10)*(AO3:AO46&gt;=10)*(AP3:AP46&gt;=10)*(AQ3:AQ46&gt;=10))</x:f>
      </x:c>
      <x:c r="AN47" s="492"/>
      <x:c r="AO47" s="492"/>
      <x:c r="AP47" s="492"/>
      <x:c r="AQ47" s="492"/>
      <x:c r="AR47" s="227">
        <x:f>COUNTIF(AR3:AR46,"Да")</x:f>
      </x:c>
      <x:c r="AS47" s="491">
        <x:f t="array" ref="AS47:AS47">SUMPRODUCT((AS3:AS46&gt;=10)*(AT3:AT46&gt;=10)*(AU3:AU46&gt;=10)*(AV3:AV46&gt;=10)*(AW3:AW46&gt;=10))</x:f>
      </x:c>
      <x:c r="AT47" s="492"/>
      <x:c r="AU47" s="492"/>
      <x:c r="AV47" s="492"/>
      <x:c r="AW47" s="492"/>
      <x:c r="AX47" s="227">
        <x:f>COUNTIF(AX3:AX46,"Да")</x:f>
      </x:c>
      <x:c r="AY47" s="491">
        <x:f t="array" ref="AY47:AY47">SUMPRODUCT((AY3:AY46&gt;=10)*(AZ3:AZ46&gt;=10)*(BA3:BA46&gt;=10)*(BB3:BB46&gt;=10)*(BC3:BC46&gt;=10))</x:f>
      </x:c>
      <x:c r="AZ47" s="492"/>
      <x:c r="BA47" s="492"/>
      <x:c r="BB47" s="492"/>
      <x:c r="BC47" s="492"/>
      <x:c r="BD47" s="227">
        <x:f>COUNTIF(BD3:BD46,"Да")</x:f>
      </x:c>
      <x:c r="BE47" s="491">
        <x:f t="array" ref="BE47:BE47">SUMPRODUCT((BE3:BE46&gt;=10)*(BF3:BF46&gt;=10)*(BG3:BG46&gt;=10)*(BH3:BH46&gt;=10)*(BI3:BI46&gt;=10))</x:f>
      </x:c>
      <x:c r="BF47" s="492"/>
      <x:c r="BG47" s="492"/>
      <x:c r="BH47" s="492"/>
      <x:c r="BI47" s="492"/>
      <x:c r="BJ47" s="227">
        <x:f>COUNTIF(BJ3:BJ46,"Да")</x:f>
      </x:c>
      <x:c r="BK47" s="491">
        <x:f t="array" ref="BK47:BK47">SUMPRODUCT((BK3:BK46&gt;=10)*(BL3:BL46&gt;=10)*(BM3:BM46&gt;=10)*(BN3:BN46&gt;=10)*(BO3:BO46&gt;=10))</x:f>
      </x:c>
      <x:c r="BL47" s="492"/>
      <x:c r="BM47" s="492"/>
      <x:c r="BN47" s="492"/>
      <x:c r="BO47" s="492"/>
      <x:c r="BP47" s="227">
        <x:f>COUNTIF(BP3:BP46,"Да")</x:f>
      </x:c>
      <x:c r="BQ47" s="491">
        <x:f t="array" ref="BQ47:BQ47">SUMPRODUCT((BQ3:BQ46&gt;=10)*(BR3:BR46&gt;=10)*(BS3:BS46&gt;=10)*(BT3:BT46&gt;=10)*(BU3:BU46&gt;=10))</x:f>
      </x:c>
      <x:c r="BR47" s="492"/>
      <x:c r="BS47" s="492"/>
      <x:c r="BT47" s="492"/>
      <x:c r="BU47" s="492"/>
      <x:c r="BV47" s="227">
        <x:f>COUNTIF(BV3:BV46,"Да")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47:G47"/>
    <x:mergeCell ref="I47:M47"/>
    <x:mergeCell ref="O47:S47"/>
    <x:mergeCell ref="U47:Y47"/>
    <x:mergeCell ref="AA47:AE47"/>
    <x:mergeCell ref="AG47:AK47"/>
    <x:mergeCell ref="AM47:AQ47"/>
    <x:mergeCell ref="AS47:AW47"/>
    <x:mergeCell ref="AY47:BC47"/>
    <x:mergeCell ref="BE47:BI47"/>
    <x:mergeCell ref="BK47:BO47"/>
    <x:mergeCell ref="BQ47:BU47"/>
  </x:mergeCells>
  <x:conditionalFormatting sqref="C3:BV46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46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V24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10.140625" style="0" customWidth="1"/>
    <x:col min="45" max="49" width="9.140625" style="0" customWidth="1"/>
    <x:col min="50" max="50" width="10.140625" style="0" customWidth="1"/>
    <x:col min="51" max="55" width="9.140625" style="0" customWidth="1"/>
    <x:col min="56" max="56" width="10" style="0" customWidth="1"/>
    <x:col min="57" max="61" width="9.140625" style="0" customWidth="1"/>
    <x:col min="62" max="62" width="10.140625" style="0" customWidth="1"/>
    <x:col min="63" max="67" width="9.140625" style="0" customWidth="1"/>
    <x:col min="68" max="68" width="9.855469" style="0" customWidth="1"/>
    <x:col min="69" max="73" width="9.140625" style="0" customWidth="1"/>
    <x:col min="74" max="74" width="10.140625" style="0" customWidth="1"/>
  </x:cols>
  <x:sheetData>
    <x:row r="1" spans="1:74" ht="28.5" customHeight="1" x14ac:dyDescent="0.3">
      <x:c r="A1" s="22" t="s">
        <x:v>1065</x:v>
      </x:c>
      <x:c r="B1" s="496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500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85">
        <x:v>1</x:v>
      </x:c>
      <x:c r="D2" s="86">
        <x:v>2</x:v>
      </x:c>
      <x:c r="E2" s="86">
        <x:v>3</x:v>
      </x:c>
      <x:c r="F2" s="86">
        <x:v>4</x:v>
      </x:c>
      <x:c r="G2" s="86">
        <x:v>5</x:v>
      </x:c>
      <x:c r="H2" s="174" t="s">
        <x:v>1101</x:v>
      </x:c>
      <x:c r="I2" s="163">
        <x:v>1</x:v>
      </x:c>
      <x:c r="J2" s="86">
        <x:v>2</x:v>
      </x:c>
      <x:c r="K2" s="86">
        <x:v>3</x:v>
      </x:c>
      <x:c r="L2" s="86">
        <x:v>4</x:v>
      </x:c>
      <x:c r="M2" s="86">
        <x:v>5</x:v>
      </x:c>
      <x:c r="N2" s="170" t="s">
        <x:v>1101</x:v>
      </x:c>
      <x:c r="O2" s="85">
        <x:v>1</x:v>
      </x:c>
      <x:c r="P2" s="86">
        <x:v>2</x:v>
      </x:c>
      <x:c r="Q2" s="86">
        <x:v>3</x:v>
      </x:c>
      <x:c r="R2" s="86">
        <x:v>4</x:v>
      </x:c>
      <x:c r="S2" s="86">
        <x:v>5</x:v>
      </x:c>
      <x:c r="T2" s="170" t="s">
        <x:v>1101</x:v>
      </x:c>
      <x:c r="U2" s="85">
        <x:v>1</x:v>
      </x:c>
      <x:c r="V2" s="86">
        <x:v>2</x:v>
      </x:c>
      <x:c r="W2" s="86">
        <x:v>3</x:v>
      </x:c>
      <x:c r="X2" s="86">
        <x:v>4</x:v>
      </x:c>
      <x:c r="Y2" s="86">
        <x:v>5</x:v>
      </x:c>
      <x:c r="Z2" s="87" t="s">
        <x:v>1101</x:v>
      </x:c>
      <x:c r="AA2" s="85">
        <x:v>1</x:v>
      </x:c>
      <x:c r="AB2" s="86">
        <x:v>2</x:v>
      </x:c>
      <x:c r="AC2" s="86">
        <x:v>3</x:v>
      </x:c>
      <x:c r="AD2" s="86">
        <x:v>4</x:v>
      </x:c>
      <x:c r="AE2" s="86">
        <x:v>5</x:v>
      </x:c>
      <x:c r="AF2" s="87" t="s">
        <x:v>1101</x:v>
      </x:c>
      <x:c r="AG2" s="85">
        <x:v>1</x:v>
      </x:c>
      <x:c r="AH2" s="86">
        <x:v>2</x:v>
      </x:c>
      <x:c r="AI2" s="86">
        <x:v>3</x:v>
      </x:c>
      <x:c r="AJ2" s="86">
        <x:v>4</x:v>
      </x:c>
      <x:c r="AK2" s="86">
        <x:v>5</x:v>
      </x:c>
      <x:c r="AL2" s="170" t="s">
        <x:v>1101</x:v>
      </x:c>
      <x:c r="AM2" s="179">
        <x:v>1</x:v>
      </x:c>
      <x:c r="AN2" s="180">
        <x:v>2</x:v>
      </x:c>
      <x:c r="AO2" s="180">
        <x:v>3</x:v>
      </x:c>
      <x:c r="AP2" s="180">
        <x:v>4</x:v>
      </x:c>
      <x:c r="AQ2" s="180">
        <x:v>5</x:v>
      </x:c>
      <x:c r="AR2" s="174" t="s">
        <x:v>1101</x:v>
      </x:c>
      <x:c r="AS2" s="163">
        <x:v>1</x:v>
      </x:c>
      <x:c r="AT2" s="86">
        <x:v>2</x:v>
      </x:c>
      <x:c r="AU2" s="86">
        <x:v>3</x:v>
      </x:c>
      <x:c r="AV2" s="86">
        <x:v>4</x:v>
      </x:c>
      <x:c r="AW2" s="86">
        <x:v>5</x:v>
      </x:c>
      <x:c r="AX2" s="87" t="s">
        <x:v>1101</x:v>
      </x:c>
      <x:c r="AY2" s="85">
        <x:v>1</x:v>
      </x:c>
      <x:c r="AZ2" s="86">
        <x:v>2</x:v>
      </x:c>
      <x:c r="BA2" s="86">
        <x:v>3</x:v>
      </x:c>
      <x:c r="BB2" s="86">
        <x:v>4</x:v>
      </x:c>
      <x:c r="BC2" s="86">
        <x:v>5</x:v>
      </x:c>
      <x:c r="BD2" s="87" t="s">
        <x:v>1101</x:v>
      </x:c>
      <x:c r="BE2" s="85">
        <x:v>1</x:v>
      </x:c>
      <x:c r="BF2" s="86">
        <x:v>2</x:v>
      </x:c>
      <x:c r="BG2" s="86">
        <x:v>3</x:v>
      </x:c>
      <x:c r="BH2" s="86">
        <x:v>4</x:v>
      </x:c>
      <x:c r="BI2" s="86">
        <x:v>5</x:v>
      </x:c>
      <x:c r="BJ2" s="87" t="s">
        <x:v>1101</x:v>
      </x:c>
      <x:c r="BK2" s="85">
        <x:v>1</x:v>
      </x:c>
      <x:c r="BL2" s="86">
        <x:v>2</x:v>
      </x:c>
      <x:c r="BM2" s="86">
        <x:v>3</x:v>
      </x:c>
      <x:c r="BN2" s="86">
        <x:v>4</x:v>
      </x:c>
      <x:c r="BO2" s="86">
        <x:v>5</x:v>
      </x:c>
      <x:c r="BP2" s="87" t="s">
        <x:v>1101</x:v>
      </x:c>
      <x:c r="BQ2" s="85">
        <x:v>1</x:v>
      </x:c>
      <x:c r="BR2" s="86">
        <x:v>2</x:v>
      </x:c>
      <x:c r="BS2" s="86">
        <x:v>3</x:v>
      </x:c>
      <x:c r="BT2" s="86">
        <x:v>4</x:v>
      </x:c>
      <x:c r="BU2" s="86">
        <x:v>5</x:v>
      </x:c>
      <x:c r="BV2" s="87" t="s">
        <x:v>1101</x:v>
      </x:c>
    </x:row>
    <x:row r="3" spans="1:74" ht="24" customHeight="1" s="315" customFormat="1" x14ac:dyDescent="0.25">
      <x:c r="A3" s="28" t="s">
        <x:v>1104</x:v>
      </x:c>
      <x:c r="B3" s="28" t="s">
        <x:v>37</x:v>
      </x:c>
      <x:c r="C3" s="175"/>
      <x:c r="D3" s="158"/>
      <x:c r="E3" s="158"/>
      <x:c r="F3" s="158"/>
      <x:c r="G3" s="158"/>
      <x:c r="H3" s="176"/>
      <x:c r="I3" s="171"/>
      <x:c r="J3" s="164"/>
      <x:c r="K3" s="164"/>
      <x:c r="L3" s="164"/>
      <x:c r="M3" s="164"/>
      <x:c r="N3" s="169"/>
      <x:c r="O3" s="165"/>
      <x:c r="P3" s="164"/>
      <x:c r="Q3" s="164"/>
      <x:c r="R3" s="164"/>
      <x:c r="S3" s="164"/>
      <x:c r="T3" s="169"/>
      <x:c r="U3" s="165"/>
      <x:c r="V3" s="164"/>
      <x:c r="W3" s="164"/>
      <x:c r="X3" s="164"/>
      <x:c r="Y3" s="164"/>
      <x:c r="Z3" s="166"/>
      <x:c r="AA3" s="165"/>
      <x:c r="AB3" s="164"/>
      <x:c r="AC3" s="164"/>
      <x:c r="AD3" s="164"/>
      <x:c r="AE3" s="164"/>
      <x:c r="AF3" s="166"/>
      <x:c r="AG3" s="165"/>
      <x:c r="AH3" s="164"/>
      <x:c r="AI3" s="164"/>
      <x:c r="AJ3" s="164"/>
      <x:c r="AK3" s="164"/>
      <x:c r="AL3" s="169"/>
      <x:c r="AM3" s="154">
        <x:v>100</x:v>
      </x:c>
      <x:c r="AN3" s="155">
        <x:v>100</x:v>
      </x:c>
      <x:c r="AO3" s="155">
        <x:v>94</x:v>
      </x:c>
      <x:c r="AP3" s="155">
        <x:v>93</x:v>
      </x:c>
      <x:c r="AQ3" s="155">
        <x:v>92</x:v>
      </x:c>
      <x:c r="AR3" s="595" t="s">
        <x:v>1102</x:v>
      </x:c>
      <x:c r="AS3" s="596">
        <x:v>100</x:v>
      </x:c>
      <x:c r="AT3" s="345">
        <x:v>100</x:v>
      </x:c>
      <x:c r="AU3" s="345">
        <x:v>100</x:v>
      </x:c>
      <x:c r="AV3" s="345">
        <x:v>100</x:v>
      </x:c>
      <x:c r="AW3" s="345">
        <x:v>98</x:v>
      </x:c>
      <x:c r="AX3" s="597" t="s">
        <x:v>1102</x:v>
      </x:c>
      <x:c r="AY3" s="598"/>
      <x:c r="AZ3" s="345"/>
      <x:c r="BA3" s="345"/>
      <x:c r="BB3" s="345"/>
      <x:c r="BC3" s="345"/>
      <x:c r="BD3" s="300"/>
      <x:c r="BE3" s="598"/>
      <x:c r="BF3" s="345"/>
      <x:c r="BG3" s="345"/>
      <x:c r="BH3" s="345"/>
      <x:c r="BI3" s="345"/>
      <x:c r="BJ3" s="300"/>
      <x:c r="BK3" s="598"/>
      <x:c r="BL3" s="345"/>
      <x:c r="BM3" s="345"/>
      <x:c r="BN3" s="345"/>
      <x:c r="BO3" s="345"/>
      <x:c r="BP3" s="300"/>
      <x:c r="BQ3" s="598"/>
      <x:c r="BR3" s="345"/>
      <x:c r="BS3" s="345"/>
      <x:c r="BT3" s="345"/>
      <x:c r="BU3" s="345"/>
      <x:c r="BV3" s="300"/>
    </x:row>
    <x:row r="4" spans="1:74" ht="22.5" customHeight="1" x14ac:dyDescent="0.25">
      <x:c r="A4" s="28" t="s">
        <x:v>38</x:v>
      </x:c>
      <x:c r="B4" s="28" t="s">
        <x:v>37</x:v>
      </x:c>
      <x:c r="C4" s="154"/>
      <x:c r="D4" s="155"/>
      <x:c r="E4" s="155"/>
      <x:c r="F4" s="155"/>
      <x:c r="G4" s="155"/>
      <x:c r="H4" s="177"/>
      <x:c r="I4" s="221"/>
      <x:c r="J4" s="185"/>
      <x:c r="K4" s="185"/>
      <x:c r="L4" s="185"/>
      <x:c r="M4" s="185"/>
      <x:c r="N4" s="35"/>
      <x:c r="O4" s="167"/>
      <x:c r="P4" s="185"/>
      <x:c r="Q4" s="185"/>
      <x:c r="R4" s="185"/>
      <x:c r="S4" s="185"/>
      <x:c r="T4" s="35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5"/>
      <x:c r="AM4" s="154">
        <x:v>100</x:v>
      </x:c>
      <x:c r="AN4" s="155">
        <x:v>100</x:v>
      </x:c>
      <x:c r="AO4" s="155">
        <x:v>100</x:v>
      </x:c>
      <x:c r="AP4" s="155">
        <x:v>100</x:v>
      </x:c>
      <x:c r="AQ4" s="155">
        <x:v>98</x:v>
      </x:c>
      <x:c r="AR4" s="599" t="s">
        <x:v>1102</x:v>
      </x:c>
      <x:c r="AS4" s="239">
        <x:v>100</x:v>
      </x:c>
      <x:c r="AT4" s="158">
        <x:v>100</x:v>
      </x:c>
      <x:c r="AU4" s="158">
        <x:v>100</x:v>
      </x:c>
      <x:c r="AV4" s="158">
        <x:v>100</x:v>
      </x:c>
      <x:c r="AW4" s="158">
        <x:v>95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32" t="s">
        <x:v>34</x:v>
      </x:c>
      <x:c r="B5" s="32" t="s">
        <x:v>23</x:v>
      </x:c>
      <x:c r="C5" s="175"/>
      <x:c r="D5" s="158"/>
      <x:c r="E5" s="158"/>
      <x:c r="F5" s="158"/>
      <x:c r="G5" s="158"/>
      <x:c r="H5" s="177"/>
      <x:c r="I5" s="221"/>
      <x:c r="J5" s="185"/>
      <x:c r="K5" s="185"/>
      <x:c r="L5" s="185"/>
      <x:c r="M5" s="35"/>
      <x:c r="N5" s="35"/>
      <x:c r="O5" s="167"/>
      <x:c r="P5" s="185"/>
      <x:c r="Q5" s="185"/>
      <x:c r="R5" s="185"/>
      <x:c r="S5" s="35"/>
      <x:c r="T5" s="35"/>
      <x:c r="U5" s="167"/>
      <x:c r="V5" s="185"/>
      <x:c r="W5" s="185"/>
      <x:c r="X5" s="185"/>
      <x:c r="Y5" s="35"/>
      <x:c r="Z5" s="36"/>
      <x:c r="AA5" s="167"/>
      <x:c r="AB5" s="185"/>
      <x:c r="AC5" s="185"/>
      <x:c r="AD5" s="185"/>
      <x:c r="AE5" s="35"/>
      <x:c r="AF5" s="36"/>
      <x:c r="AG5" s="167"/>
      <x:c r="AH5" s="185"/>
      <x:c r="AI5" s="185"/>
      <x:c r="AJ5" s="185"/>
      <x:c r="AK5" s="35"/>
      <x:c r="AL5" s="35"/>
      <x:c r="AM5" s="175">
        <x:v>100</x:v>
      </x:c>
      <x:c r="AN5" s="158">
        <x:v>100</x:v>
      </x:c>
      <x:c r="AO5" s="158">
        <x:v>100</x:v>
      </x:c>
      <x:c r="AP5" s="158">
        <x:v>92</x:v>
      </x:c>
      <x:c r="AQ5" s="158">
        <x:v>90</x:v>
      </x:c>
      <x:c r="AR5" s="599" t="s">
        <x:v>1102</x:v>
      </x:c>
      <x:c r="AS5" s="239">
        <x:v>100</x:v>
      </x:c>
      <x:c r="AT5" s="158">
        <x:v>100</x:v>
      </x:c>
      <x:c r="AU5" s="158">
        <x:v>100</x:v>
      </x:c>
      <x:c r="AV5" s="158">
        <x:v>100</x:v>
      </x:c>
      <x:c r="AW5" s="230">
        <x:v>99</x:v>
      </x:c>
      <x:c r="AX5" s="585" t="s">
        <x:v>1102</x:v>
      </x:c>
      <x:c r="AY5" s="167"/>
      <x:c r="AZ5" s="185"/>
      <x:c r="BA5" s="185"/>
      <x:c r="BB5" s="185"/>
      <x:c r="BC5" s="35"/>
      <x:c r="BD5" s="36"/>
      <x:c r="BE5" s="167"/>
      <x:c r="BF5" s="185"/>
      <x:c r="BG5" s="185"/>
      <x:c r="BH5" s="185"/>
      <x:c r="BI5" s="35"/>
      <x:c r="BJ5" s="36"/>
      <x:c r="BK5" s="167"/>
      <x:c r="BL5" s="185"/>
      <x:c r="BM5" s="185"/>
      <x:c r="BN5" s="185"/>
      <x:c r="BO5" s="35"/>
      <x:c r="BP5" s="36"/>
      <x:c r="BQ5" s="167"/>
      <x:c r="BR5" s="185"/>
      <x:c r="BS5" s="185"/>
      <x:c r="BT5" s="185"/>
      <x:c r="BU5" s="35"/>
      <x:c r="BV5" s="36"/>
    </x:row>
    <x:row r="6" spans="1:74" ht="22.5" customHeight="1" x14ac:dyDescent="0.25">
      <x:c r="A6" s="586" t="s">
        <x:v>12</x:v>
      </x:c>
      <x:c r="B6" s="32" t="s">
        <x:v>14</x:v>
      </x:c>
      <x:c r="C6" s="175"/>
      <x:c r="D6" s="158"/>
      <x:c r="E6" s="158"/>
      <x:c r="F6" s="158"/>
      <x:c r="G6" s="158"/>
      <x:c r="H6" s="177"/>
      <x:c r="I6" s="221"/>
      <x:c r="J6" s="185"/>
      <x:c r="K6" s="185"/>
      <x:c r="L6" s="185"/>
      <x:c r="M6" s="35"/>
      <x:c r="N6" s="35"/>
      <x:c r="O6" s="167"/>
      <x:c r="P6" s="185"/>
      <x:c r="Q6" s="185"/>
      <x:c r="R6" s="185"/>
      <x:c r="S6" s="35"/>
      <x:c r="T6" s="35"/>
      <x:c r="U6" s="167"/>
      <x:c r="V6" s="185"/>
      <x:c r="W6" s="185"/>
      <x:c r="X6" s="185"/>
      <x:c r="Y6" s="35"/>
      <x:c r="Z6" s="36"/>
      <x:c r="AA6" s="167"/>
      <x:c r="AB6" s="185"/>
      <x:c r="AC6" s="185"/>
      <x:c r="AD6" s="185"/>
      <x:c r="AE6" s="35"/>
      <x:c r="AF6" s="36"/>
      <x:c r="AG6" s="167"/>
      <x:c r="AH6" s="185"/>
      <x:c r="AI6" s="185"/>
      <x:c r="AJ6" s="185"/>
      <x:c r="AK6" s="35"/>
      <x:c r="AL6" s="35"/>
      <x:c r="AM6" s="175">
        <x:v>100</x:v>
      </x:c>
      <x:c r="AN6" s="589">
        <x:v>0</x:v>
      </x:c>
      <x:c r="AO6" s="589">
        <x:v>0</x:v>
      </x:c>
      <x:c r="AP6" s="589">
        <x:v>0</x:v>
      </x:c>
      <x:c r="AQ6" s="589">
        <x:v>0</x:v>
      </x:c>
      <x:c r="AR6" s="599" t="s">
        <x:v>1102</x:v>
      </x:c>
      <x:c r="AS6" s="239">
        <x:v>100</x:v>
      </x:c>
      <x:c r="AT6" s="600">
        <x:v>0</x:v>
      </x:c>
      <x:c r="AU6" s="600">
        <x:v>0</x:v>
      </x:c>
      <x:c r="AV6" s="600">
        <x:v>0</x:v>
      </x:c>
      <x:c r="AW6" s="601">
        <x:v>0</x:v>
      </x:c>
      <x:c r="AX6" s="585" t="s">
        <x:v>1102</x:v>
      </x:c>
      <x:c r="AY6" s="167"/>
      <x:c r="AZ6" s="185"/>
      <x:c r="BA6" s="185"/>
      <x:c r="BB6" s="185"/>
      <x:c r="BC6" s="35"/>
      <x:c r="BD6" s="36"/>
      <x:c r="BE6" s="167"/>
      <x:c r="BF6" s="185"/>
      <x:c r="BG6" s="185"/>
      <x:c r="BH6" s="185"/>
      <x:c r="BI6" s="35"/>
      <x:c r="BJ6" s="36"/>
      <x:c r="BK6" s="167"/>
      <x:c r="BL6" s="185"/>
      <x:c r="BM6" s="185"/>
      <x:c r="BN6" s="185"/>
      <x:c r="BO6" s="35"/>
      <x:c r="BP6" s="36"/>
      <x:c r="BQ6" s="167"/>
      <x:c r="BR6" s="185"/>
      <x:c r="BS6" s="185"/>
      <x:c r="BT6" s="185"/>
      <x:c r="BU6" s="35"/>
      <x:c r="BV6" s="36"/>
    </x:row>
    <x:row r="7" spans="1:74" ht="22.5" customHeight="1" x14ac:dyDescent="0.25">
      <x:c r="A7" s="32" t="s">
        <x:v>36</x:v>
      </x:c>
      <x:c r="B7" s="32" t="s">
        <x:v>37</x:v>
      </x:c>
      <x:c r="C7" s="175"/>
      <x:c r="D7" s="158"/>
      <x:c r="E7" s="158"/>
      <x:c r="F7" s="158"/>
      <x:c r="G7" s="158"/>
      <x:c r="H7" s="177"/>
      <x:c r="I7" s="221"/>
      <x:c r="J7" s="185"/>
      <x:c r="K7" s="185"/>
      <x:c r="L7" s="185"/>
      <x:c r="M7" s="35"/>
      <x:c r="N7" s="35"/>
      <x:c r="O7" s="167"/>
      <x:c r="P7" s="185"/>
      <x:c r="Q7" s="185"/>
      <x:c r="R7" s="185"/>
      <x:c r="S7" s="35"/>
      <x:c r="T7" s="35"/>
      <x:c r="U7" s="167"/>
      <x:c r="V7" s="185"/>
      <x:c r="W7" s="185"/>
      <x:c r="X7" s="185"/>
      <x:c r="Y7" s="35"/>
      <x:c r="Z7" s="36"/>
      <x:c r="AA7" s="167"/>
      <x:c r="AB7" s="185"/>
      <x:c r="AC7" s="185"/>
      <x:c r="AD7" s="185"/>
      <x:c r="AE7" s="35"/>
      <x:c r="AF7" s="36"/>
      <x:c r="AG7" s="167"/>
      <x:c r="AH7" s="185"/>
      <x:c r="AI7" s="185"/>
      <x:c r="AJ7" s="185"/>
      <x:c r="AK7" s="35"/>
      <x:c r="AL7" s="35"/>
      <x:c r="AM7" s="175">
        <x:v>100</x:v>
      </x:c>
      <x:c r="AN7" s="158">
        <x:v>100</x:v>
      </x:c>
      <x:c r="AO7" s="158">
        <x:v>100</x:v>
      </x:c>
      <x:c r="AP7" s="158">
        <x:v>100</x:v>
      </x:c>
      <x:c r="AQ7" s="158">
        <x:v>92</x:v>
      </x:c>
      <x:c r="AR7" s="599" t="s">
        <x:v>1102</x:v>
      </x:c>
      <x:c r="AS7" s="239">
        <x:v>100</x:v>
      </x:c>
      <x:c r="AT7" s="158">
        <x:v>100</x:v>
      </x:c>
      <x:c r="AU7" s="158">
        <x:v>100</x:v>
      </x:c>
      <x:c r="AV7" s="158">
        <x:v>100</x:v>
      </x:c>
      <x:c r="AW7" s="230">
        <x:v>97</x:v>
      </x:c>
      <x:c r="AX7" s="585" t="s">
        <x:v>1102</x:v>
      </x:c>
      <x:c r="AY7" s="167"/>
      <x:c r="AZ7" s="185"/>
      <x:c r="BA7" s="185"/>
      <x:c r="BB7" s="185"/>
      <x:c r="BC7" s="35"/>
      <x:c r="BD7" s="36"/>
      <x:c r="BE7" s="167"/>
      <x:c r="BF7" s="185"/>
      <x:c r="BG7" s="185"/>
      <x:c r="BH7" s="185"/>
      <x:c r="BI7" s="35"/>
      <x:c r="BJ7" s="36"/>
      <x:c r="BK7" s="167"/>
      <x:c r="BL7" s="185"/>
      <x:c r="BM7" s="185"/>
      <x:c r="BN7" s="185"/>
      <x:c r="BO7" s="35"/>
      <x:c r="BP7" s="36"/>
      <x:c r="BQ7" s="167"/>
      <x:c r="BR7" s="185"/>
      <x:c r="BS7" s="185"/>
      <x:c r="BT7" s="185"/>
      <x:c r="BU7" s="35"/>
      <x:c r="BV7" s="36"/>
    </x:row>
    <x:row r="8" spans="1:74" ht="22.5" customHeight="1" x14ac:dyDescent="0.25">
      <x:c r="A8" s="32" t="s">
        <x:v>32</x:v>
      </x:c>
      <x:c r="B8" s="32" t="s">
        <x:v>23</x:v>
      </x:c>
      <x:c r="C8" s="175"/>
      <x:c r="D8" s="158"/>
      <x:c r="E8" s="158"/>
      <x:c r="F8" s="158"/>
      <x:c r="G8" s="158"/>
      <x:c r="H8" s="177"/>
      <x:c r="I8" s="221"/>
      <x:c r="J8" s="185"/>
      <x:c r="K8" s="185"/>
      <x:c r="L8" s="185"/>
      <x:c r="M8" s="35"/>
      <x:c r="N8" s="35"/>
      <x:c r="O8" s="167"/>
      <x:c r="P8" s="185"/>
      <x:c r="Q8" s="185"/>
      <x:c r="R8" s="185"/>
      <x:c r="S8" s="35"/>
      <x:c r="T8" s="35"/>
      <x:c r="U8" s="167"/>
      <x:c r="V8" s="185"/>
      <x:c r="W8" s="185"/>
      <x:c r="X8" s="185"/>
      <x:c r="Y8" s="35"/>
      <x:c r="Z8" s="36"/>
      <x:c r="AA8" s="167"/>
      <x:c r="AB8" s="185"/>
      <x:c r="AC8" s="185"/>
      <x:c r="AD8" s="185"/>
      <x:c r="AE8" s="35"/>
      <x:c r="AF8" s="36"/>
      <x:c r="AG8" s="167"/>
      <x:c r="AH8" s="185"/>
      <x:c r="AI8" s="185"/>
      <x:c r="AJ8" s="185"/>
      <x:c r="AK8" s="35"/>
      <x:c r="AL8" s="35"/>
      <x:c r="AM8" s="175">
        <x:v>100</x:v>
      </x:c>
      <x:c r="AN8" s="158">
        <x:v>100</x:v>
      </x:c>
      <x:c r="AO8" s="158">
        <x:v>100</x:v>
      </x:c>
      <x:c r="AP8" s="158">
        <x:v>100</x:v>
      </x:c>
      <x:c r="AQ8" s="158">
        <x:v>96</x:v>
      </x:c>
      <x:c r="AR8" s="599" t="s">
        <x:v>1102</x:v>
      </x:c>
      <x:c r="AS8" s="239">
        <x:v>100</x:v>
      </x:c>
      <x:c r="AT8" s="158">
        <x:v>100</x:v>
      </x:c>
      <x:c r="AU8" s="158">
        <x:v>100</x:v>
      </x:c>
      <x:c r="AV8" s="158">
        <x:v>99</x:v>
      </x:c>
      <x:c r="AW8" s="230">
        <x:v>95</x:v>
      </x:c>
      <x:c r="AX8" s="585" t="s">
        <x:v>1102</x:v>
      </x:c>
      <x:c r="AY8" s="167"/>
      <x:c r="AZ8" s="185"/>
      <x:c r="BA8" s="185"/>
      <x:c r="BB8" s="185"/>
      <x:c r="BC8" s="35"/>
      <x:c r="BD8" s="36"/>
      <x:c r="BE8" s="167"/>
      <x:c r="BF8" s="185"/>
      <x:c r="BG8" s="185"/>
      <x:c r="BH8" s="185"/>
      <x:c r="BI8" s="35"/>
      <x:c r="BJ8" s="36"/>
      <x:c r="BK8" s="167"/>
      <x:c r="BL8" s="185"/>
      <x:c r="BM8" s="185"/>
      <x:c r="BN8" s="185"/>
      <x:c r="BO8" s="35"/>
      <x:c r="BP8" s="36"/>
      <x:c r="BQ8" s="167"/>
      <x:c r="BR8" s="185"/>
      <x:c r="BS8" s="185"/>
      <x:c r="BT8" s="185"/>
      <x:c r="BU8" s="35"/>
      <x:c r="BV8" s="36"/>
    </x:row>
    <x:row r="9" spans="1:74" ht="22.5" customHeight="1" x14ac:dyDescent="0.25">
      <x:c r="A9" s="32" t="s">
        <x:v>15</x:v>
      </x:c>
      <x:c r="B9" s="32" t="s">
        <x:v>16</x:v>
      </x:c>
      <x:c r="C9" s="175"/>
      <x:c r="D9" s="158"/>
      <x:c r="E9" s="158"/>
      <x:c r="F9" s="158"/>
      <x:c r="G9" s="158"/>
      <x:c r="H9" s="177"/>
      <x:c r="I9" s="221"/>
      <x:c r="J9" s="185"/>
      <x:c r="K9" s="185"/>
      <x:c r="L9" s="185"/>
      <x:c r="M9" s="35"/>
      <x:c r="N9" s="35"/>
      <x:c r="O9" s="167"/>
      <x:c r="P9" s="185"/>
      <x:c r="Q9" s="185"/>
      <x:c r="R9" s="185"/>
      <x:c r="S9" s="35"/>
      <x:c r="T9" s="35"/>
      <x:c r="U9" s="167"/>
      <x:c r="V9" s="185"/>
      <x:c r="W9" s="185"/>
      <x:c r="X9" s="185"/>
      <x:c r="Y9" s="35"/>
      <x:c r="Z9" s="36"/>
      <x:c r="AA9" s="167"/>
      <x:c r="AB9" s="185"/>
      <x:c r="AC9" s="185"/>
      <x:c r="AD9" s="185"/>
      <x:c r="AE9" s="35"/>
      <x:c r="AF9" s="36"/>
      <x:c r="AG9" s="167"/>
      <x:c r="AH9" s="185"/>
      <x:c r="AI9" s="185"/>
      <x:c r="AJ9" s="185"/>
      <x:c r="AK9" s="35"/>
      <x:c r="AL9" s="35"/>
      <x:c r="AM9" s="175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599" t="s">
        <x:v>1102</x:v>
      </x:c>
      <x:c r="AS9" s="239">
        <x:v>100</x:v>
      </x:c>
      <x:c r="AT9" s="158">
        <x:v>100</x:v>
      </x:c>
      <x:c r="AU9" s="158">
        <x:v>100</x:v>
      </x:c>
      <x:c r="AV9" s="158">
        <x:v>100</x:v>
      </x:c>
      <x:c r="AW9" s="230">
        <x:v>100</x:v>
      </x:c>
      <x:c r="AX9" s="585" t="s">
        <x:v>1102</x:v>
      </x:c>
      <x:c r="AY9" s="167"/>
      <x:c r="AZ9" s="185"/>
      <x:c r="BA9" s="185"/>
      <x:c r="BB9" s="185"/>
      <x:c r="BC9" s="35"/>
      <x:c r="BD9" s="36"/>
      <x:c r="BE9" s="167"/>
      <x:c r="BF9" s="185"/>
      <x:c r="BG9" s="185"/>
      <x:c r="BH9" s="185"/>
      <x:c r="BI9" s="35"/>
      <x:c r="BJ9" s="36"/>
      <x:c r="BK9" s="167"/>
      <x:c r="BL9" s="185"/>
      <x:c r="BM9" s="185"/>
      <x:c r="BN9" s="185"/>
      <x:c r="BO9" s="35"/>
      <x:c r="BP9" s="36"/>
      <x:c r="BQ9" s="167"/>
      <x:c r="BR9" s="185"/>
      <x:c r="BS9" s="185"/>
      <x:c r="BT9" s="185"/>
      <x:c r="BU9" s="35"/>
      <x:c r="BV9" s="36"/>
    </x:row>
    <x:row r="10" spans="1:74" ht="22.5" customHeight="1" x14ac:dyDescent="0.25">
      <x:c r="A10" s="32" t="s">
        <x:v>26</x:v>
      </x:c>
      <x:c r="B10" s="32" t="s">
        <x:v>23</x:v>
      </x:c>
      <x:c r="C10" s="175"/>
      <x:c r="D10" s="158"/>
      <x:c r="E10" s="158"/>
      <x:c r="F10" s="158"/>
      <x:c r="G10" s="158"/>
      <x:c r="H10" s="177"/>
      <x:c r="I10" s="221"/>
      <x:c r="J10" s="185"/>
      <x:c r="K10" s="185"/>
      <x:c r="L10" s="185"/>
      <x:c r="M10" s="35"/>
      <x:c r="N10" s="35"/>
      <x:c r="O10" s="167"/>
      <x:c r="P10" s="185"/>
      <x:c r="Q10" s="185"/>
      <x:c r="R10" s="185"/>
      <x:c r="S10" s="35"/>
      <x:c r="T10" s="35"/>
      <x:c r="U10" s="167"/>
      <x:c r="V10" s="185"/>
      <x:c r="W10" s="185"/>
      <x:c r="X10" s="185"/>
      <x:c r="Y10" s="35"/>
      <x:c r="Z10" s="36"/>
      <x:c r="AA10" s="167"/>
      <x:c r="AB10" s="185"/>
      <x:c r="AC10" s="185"/>
      <x:c r="AD10" s="185"/>
      <x:c r="AE10" s="35"/>
      <x:c r="AF10" s="36"/>
      <x:c r="AG10" s="167"/>
      <x:c r="AH10" s="185"/>
      <x:c r="AI10" s="185"/>
      <x:c r="AJ10" s="185"/>
      <x:c r="AK10" s="35"/>
      <x:c r="AL10" s="35"/>
      <x:c r="AM10" s="175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599" t="s">
        <x:v>1102</x:v>
      </x:c>
      <x:c r="AS10" s="239">
        <x:v>100</x:v>
      </x:c>
      <x:c r="AT10" s="158">
        <x:v>100</x:v>
      </x:c>
      <x:c r="AU10" s="158">
        <x:v>100</x:v>
      </x:c>
      <x:c r="AV10" s="158">
        <x:v>100</x:v>
      </x:c>
      <x:c r="AW10" s="230">
        <x:v>100</x:v>
      </x:c>
      <x:c r="AX10" s="585" t="s">
        <x:v>1102</x:v>
      </x:c>
      <x:c r="AY10" s="167"/>
      <x:c r="AZ10" s="185"/>
      <x:c r="BA10" s="185"/>
      <x:c r="BB10" s="185"/>
      <x:c r="BC10" s="35"/>
      <x:c r="BD10" s="36"/>
      <x:c r="BE10" s="167"/>
      <x:c r="BF10" s="185"/>
      <x:c r="BG10" s="185"/>
      <x:c r="BH10" s="185"/>
      <x:c r="BI10" s="35"/>
      <x:c r="BJ10" s="36"/>
      <x:c r="BK10" s="167"/>
      <x:c r="BL10" s="185"/>
      <x:c r="BM10" s="185"/>
      <x:c r="BN10" s="185"/>
      <x:c r="BO10" s="35"/>
      <x:c r="BP10" s="36"/>
      <x:c r="BQ10" s="167"/>
      <x:c r="BR10" s="185"/>
      <x:c r="BS10" s="185"/>
      <x:c r="BT10" s="185"/>
      <x:c r="BU10" s="35"/>
      <x:c r="BV10" s="36"/>
    </x:row>
    <x:row r="11" spans="1:74" ht="22.5" customHeight="1" x14ac:dyDescent="0.25">
      <x:c r="A11" s="32" t="s">
        <x:v>33</x:v>
      </x:c>
      <x:c r="B11" s="32" t="s">
        <x:v>23</x:v>
      </x:c>
      <x:c r="C11" s="175"/>
      <x:c r="D11" s="158"/>
      <x:c r="E11" s="158"/>
      <x:c r="F11" s="158"/>
      <x:c r="G11" s="158"/>
      <x:c r="H11" s="177"/>
      <x:c r="I11" s="221"/>
      <x:c r="J11" s="185"/>
      <x:c r="K11" s="185"/>
      <x:c r="L11" s="185"/>
      <x:c r="M11" s="35"/>
      <x:c r="N11" s="35"/>
      <x:c r="O11" s="167"/>
      <x:c r="P11" s="185"/>
      <x:c r="Q11" s="185"/>
      <x:c r="R11" s="185"/>
      <x:c r="S11" s="35"/>
      <x:c r="T11" s="35"/>
      <x:c r="U11" s="167"/>
      <x:c r="V11" s="185"/>
      <x:c r="W11" s="185"/>
      <x:c r="X11" s="185"/>
      <x:c r="Y11" s="35"/>
      <x:c r="Z11" s="36"/>
      <x:c r="AA11" s="167"/>
      <x:c r="AB11" s="185"/>
      <x:c r="AC11" s="185"/>
      <x:c r="AD11" s="185"/>
      <x:c r="AE11" s="35"/>
      <x:c r="AF11" s="36"/>
      <x:c r="AG11" s="167"/>
      <x:c r="AH11" s="185"/>
      <x:c r="AI11" s="185"/>
      <x:c r="AJ11" s="185"/>
      <x:c r="AK11" s="35"/>
      <x:c r="AL11" s="35"/>
      <x:c r="AM11" s="175">
        <x:v>100</x:v>
      </x:c>
      <x:c r="AN11" s="158">
        <x:v>100</x:v>
      </x:c>
      <x:c r="AO11" s="158">
        <x:v>100</x:v>
      </x:c>
      <x:c r="AP11" s="158">
        <x:v>90</x:v>
      </x:c>
      <x:c r="AQ11" s="158">
        <x:v>62</x:v>
      </x:c>
      <x:c r="AR11" s="599" t="s">
        <x:v>1102</x:v>
      </x:c>
      <x:c r="AS11" s="239">
        <x:v>100</x:v>
      </x:c>
      <x:c r="AT11" s="158">
        <x:v>100</x:v>
      </x:c>
      <x:c r="AU11" s="158">
        <x:v>100</x:v>
      </x:c>
      <x:c r="AV11" s="158">
        <x:v>95</x:v>
      </x:c>
      <x:c r="AW11" s="230">
        <x:v>90</x:v>
      </x:c>
      <x:c r="AX11" s="585" t="s">
        <x:v>1102</x:v>
      </x:c>
      <x:c r="AY11" s="167"/>
      <x:c r="AZ11" s="185"/>
      <x:c r="BA11" s="185"/>
      <x:c r="BB11" s="185"/>
      <x:c r="BC11" s="35"/>
      <x:c r="BD11" s="36"/>
      <x:c r="BE11" s="167"/>
      <x:c r="BF11" s="185"/>
      <x:c r="BG11" s="185"/>
      <x:c r="BH11" s="185"/>
      <x:c r="BI11" s="35"/>
      <x:c r="BJ11" s="36"/>
      <x:c r="BK11" s="167"/>
      <x:c r="BL11" s="185"/>
      <x:c r="BM11" s="185"/>
      <x:c r="BN11" s="185"/>
      <x:c r="BO11" s="35"/>
      <x:c r="BP11" s="36"/>
      <x:c r="BQ11" s="167"/>
      <x:c r="BR11" s="185"/>
      <x:c r="BS11" s="185"/>
      <x:c r="BT11" s="185"/>
      <x:c r="BU11" s="35"/>
      <x:c r="BV11" s="36"/>
    </x:row>
    <x:row r="12" spans="1:74" ht="22.5" customHeight="1" x14ac:dyDescent="0.25">
      <x:c r="A12" s="32" t="s">
        <x:v>20</x:v>
      </x:c>
      <x:c r="B12" s="32" t="s">
        <x:v>21</x:v>
      </x:c>
      <x:c r="C12" s="175"/>
      <x:c r="D12" s="158"/>
      <x:c r="E12" s="158"/>
      <x:c r="F12" s="158"/>
      <x:c r="G12" s="158"/>
      <x:c r="H12" s="177"/>
      <x:c r="I12" s="221"/>
      <x:c r="J12" s="185"/>
      <x:c r="K12" s="185"/>
      <x:c r="L12" s="185"/>
      <x:c r="M12" s="35"/>
      <x:c r="N12" s="35"/>
      <x:c r="O12" s="167"/>
      <x:c r="P12" s="185"/>
      <x:c r="Q12" s="185"/>
      <x:c r="R12" s="185"/>
      <x:c r="S12" s="35"/>
      <x:c r="T12" s="35"/>
      <x:c r="U12" s="167"/>
      <x:c r="V12" s="185"/>
      <x:c r="W12" s="185"/>
      <x:c r="X12" s="185"/>
      <x:c r="Y12" s="35"/>
      <x:c r="Z12" s="36"/>
      <x:c r="AA12" s="167"/>
      <x:c r="AB12" s="185"/>
      <x:c r="AC12" s="185"/>
      <x:c r="AD12" s="185"/>
      <x:c r="AE12" s="35"/>
      <x:c r="AF12" s="36"/>
      <x:c r="AG12" s="167"/>
      <x:c r="AH12" s="185"/>
      <x:c r="AI12" s="185"/>
      <x:c r="AJ12" s="185"/>
      <x:c r="AK12" s="35"/>
      <x:c r="AL12" s="35"/>
      <x:c r="AM12" s="175">
        <x:v>100</x:v>
      </x:c>
      <x:c r="AN12" s="158">
        <x:v>100</x:v>
      </x:c>
      <x:c r="AO12" s="158">
        <x:v>100</x:v>
      </x:c>
      <x:c r="AP12" s="158">
        <x:v>96</x:v>
      </x:c>
      <x:c r="AQ12" s="158">
        <x:v>93</x:v>
      </x:c>
      <x:c r="AR12" s="599" t="s">
        <x:v>1102</x:v>
      </x:c>
      <x:c r="AS12" s="239">
        <x:v>100</x:v>
      </x:c>
      <x:c r="AT12" s="158">
        <x:v>100</x:v>
      </x:c>
      <x:c r="AU12" s="158">
        <x:v>100</x:v>
      </x:c>
      <x:c r="AV12" s="158">
        <x:v>97</x:v>
      </x:c>
      <x:c r="AW12" s="230">
        <x:v>92</x:v>
      </x:c>
      <x:c r="AX12" s="585" t="s">
        <x:v>1102</x:v>
      </x:c>
      <x:c r="AY12" s="167"/>
      <x:c r="AZ12" s="185"/>
      <x:c r="BA12" s="185"/>
      <x:c r="BB12" s="185"/>
      <x:c r="BC12" s="35"/>
      <x:c r="BD12" s="36"/>
      <x:c r="BE12" s="167"/>
      <x:c r="BF12" s="185"/>
      <x:c r="BG12" s="185"/>
      <x:c r="BH12" s="185"/>
      <x:c r="BI12" s="35"/>
      <x:c r="BJ12" s="36"/>
      <x:c r="BK12" s="167"/>
      <x:c r="BL12" s="185"/>
      <x:c r="BM12" s="185"/>
      <x:c r="BN12" s="185"/>
      <x:c r="BO12" s="35"/>
      <x:c r="BP12" s="36"/>
      <x:c r="BQ12" s="167"/>
      <x:c r="BR12" s="185"/>
      <x:c r="BS12" s="185"/>
      <x:c r="BT12" s="185"/>
      <x:c r="BU12" s="35"/>
      <x:c r="BV12" s="36"/>
    </x:row>
    <x:row r="13" spans="1:74" ht="22.5" customHeight="1" x14ac:dyDescent="0.25">
      <x:c r="A13" s="32" t="s">
        <x:v>19</x:v>
      </x:c>
      <x:c r="B13" s="32" t="s">
        <x:v>16</x:v>
      </x:c>
      <x:c r="C13" s="175"/>
      <x:c r="D13" s="158"/>
      <x:c r="E13" s="158"/>
      <x:c r="F13" s="158"/>
      <x:c r="G13" s="158"/>
      <x:c r="H13" s="177"/>
      <x:c r="I13" s="221"/>
      <x:c r="J13" s="185"/>
      <x:c r="K13" s="185"/>
      <x:c r="L13" s="185"/>
      <x:c r="M13" s="35"/>
      <x:c r="N13" s="35"/>
      <x:c r="O13" s="167"/>
      <x:c r="P13" s="185"/>
      <x:c r="Q13" s="185"/>
      <x:c r="R13" s="185"/>
      <x:c r="S13" s="35"/>
      <x:c r="T13" s="35"/>
      <x:c r="U13" s="167"/>
      <x:c r="V13" s="185"/>
      <x:c r="W13" s="185"/>
      <x:c r="X13" s="185"/>
      <x:c r="Y13" s="35"/>
      <x:c r="Z13" s="36"/>
      <x:c r="AA13" s="167"/>
      <x:c r="AB13" s="185"/>
      <x:c r="AC13" s="185"/>
      <x:c r="AD13" s="185"/>
      <x:c r="AE13" s="35"/>
      <x:c r="AF13" s="36"/>
      <x:c r="AG13" s="167"/>
      <x:c r="AH13" s="185"/>
      <x:c r="AI13" s="185"/>
      <x:c r="AJ13" s="185"/>
      <x:c r="AK13" s="35"/>
      <x:c r="AL13" s="35"/>
      <x:c r="AM13" s="175">
        <x:v>100</x:v>
      </x:c>
      <x:c r="AN13" s="158">
        <x:v>100</x:v>
      </x:c>
      <x:c r="AO13" s="158">
        <x:v>100</x:v>
      </x:c>
      <x:c r="AP13" s="158">
        <x:v>98</x:v>
      </x:c>
      <x:c r="AQ13" s="158">
        <x:v>97</x:v>
      </x:c>
      <x:c r="AR13" s="599" t="s">
        <x:v>1102</x:v>
      </x:c>
      <x:c r="AS13" s="239">
        <x:v>100</x:v>
      </x:c>
      <x:c r="AT13" s="158">
        <x:v>100</x:v>
      </x:c>
      <x:c r="AU13" s="158">
        <x:v>100</x:v>
      </x:c>
      <x:c r="AV13" s="158">
        <x:v>100</x:v>
      </x:c>
      <x:c r="AW13" s="230">
        <x:v>100</x:v>
      </x:c>
      <x:c r="AX13" s="585" t="s">
        <x:v>1102</x:v>
      </x:c>
      <x:c r="AY13" s="167"/>
      <x:c r="AZ13" s="185"/>
      <x:c r="BA13" s="185"/>
      <x:c r="BB13" s="185"/>
      <x:c r="BC13" s="35"/>
      <x:c r="BD13" s="36"/>
      <x:c r="BE13" s="167"/>
      <x:c r="BF13" s="185"/>
      <x:c r="BG13" s="185"/>
      <x:c r="BH13" s="185"/>
      <x:c r="BI13" s="35"/>
      <x:c r="BJ13" s="36"/>
      <x:c r="BK13" s="167"/>
      <x:c r="BL13" s="185"/>
      <x:c r="BM13" s="185"/>
      <x:c r="BN13" s="185"/>
      <x:c r="BO13" s="35"/>
      <x:c r="BP13" s="36"/>
      <x:c r="BQ13" s="167"/>
      <x:c r="BR13" s="185"/>
      <x:c r="BS13" s="185"/>
      <x:c r="BT13" s="185"/>
      <x:c r="BU13" s="35"/>
      <x:c r="BV13" s="36"/>
    </x:row>
    <x:row r="14" spans="1:74" ht="22.5" customHeight="1" x14ac:dyDescent="0.25">
      <x:c r="A14" s="32" t="s">
        <x:v>29</x:v>
      </x:c>
      <x:c r="B14" s="32" t="s">
        <x:v>23</x:v>
      </x:c>
      <x:c r="C14" s="175"/>
      <x:c r="D14" s="158"/>
      <x:c r="E14" s="158"/>
      <x:c r="F14" s="158"/>
      <x:c r="G14" s="158"/>
      <x:c r="H14" s="177"/>
      <x:c r="I14" s="221"/>
      <x:c r="J14" s="185"/>
      <x:c r="K14" s="185"/>
      <x:c r="L14" s="185"/>
      <x:c r="M14" s="35"/>
      <x:c r="N14" s="35"/>
      <x:c r="O14" s="167"/>
      <x:c r="P14" s="185"/>
      <x:c r="Q14" s="185"/>
      <x:c r="R14" s="185"/>
      <x:c r="S14" s="35"/>
      <x:c r="T14" s="35"/>
      <x:c r="U14" s="167"/>
      <x:c r="V14" s="185"/>
      <x:c r="W14" s="185"/>
      <x:c r="X14" s="185"/>
      <x:c r="Y14" s="35"/>
      <x:c r="Z14" s="36"/>
      <x:c r="AA14" s="167"/>
      <x:c r="AB14" s="185"/>
      <x:c r="AC14" s="185"/>
      <x:c r="AD14" s="185"/>
      <x:c r="AE14" s="35"/>
      <x:c r="AF14" s="36"/>
      <x:c r="AG14" s="167"/>
      <x:c r="AH14" s="185"/>
      <x:c r="AI14" s="185"/>
      <x:c r="AJ14" s="185"/>
      <x:c r="AK14" s="35"/>
      <x:c r="AL14" s="35"/>
      <x:c r="AM14" s="175">
        <x:v>100</x:v>
      </x:c>
      <x:c r="AN14" s="158">
        <x:v>100</x:v>
      </x:c>
      <x:c r="AO14" s="158">
        <x:v>100</x:v>
      </x:c>
      <x:c r="AP14" s="158">
        <x:v>99</x:v>
      </x:c>
      <x:c r="AQ14" s="158">
        <x:v>98</x:v>
      </x:c>
      <x:c r="AR14" s="599" t="s">
        <x:v>1102</x:v>
      </x:c>
      <x:c r="AS14" s="239">
        <x:v>100</x:v>
      </x:c>
      <x:c r="AT14" s="158">
        <x:v>100</x:v>
      </x:c>
      <x:c r="AU14" s="158">
        <x:v>100</x:v>
      </x:c>
      <x:c r="AV14" s="602">
        <x:v>0</x:v>
      </x:c>
      <x:c r="AW14" s="601">
        <x:v>0</x:v>
      </x:c>
      <x:c r="AX14" s="585" t="s">
        <x:v>1102</x:v>
      </x:c>
      <x:c r="AY14" s="167"/>
      <x:c r="AZ14" s="185"/>
      <x:c r="BA14" s="185"/>
      <x:c r="BB14" s="185"/>
      <x:c r="BC14" s="35"/>
      <x:c r="BD14" s="36"/>
      <x:c r="BE14" s="167"/>
      <x:c r="BF14" s="185"/>
      <x:c r="BG14" s="185"/>
      <x:c r="BH14" s="185"/>
      <x:c r="BI14" s="35"/>
      <x:c r="BJ14" s="36"/>
      <x:c r="BK14" s="167"/>
      <x:c r="BL14" s="185"/>
      <x:c r="BM14" s="185"/>
      <x:c r="BN14" s="185"/>
      <x:c r="BO14" s="35"/>
      <x:c r="BP14" s="36"/>
      <x:c r="BQ14" s="167"/>
      <x:c r="BR14" s="185"/>
      <x:c r="BS14" s="185"/>
      <x:c r="BT14" s="185"/>
      <x:c r="BU14" s="35"/>
      <x:c r="BV14" s="36"/>
    </x:row>
    <x:row r="15" spans="1:74" ht="22.5" customHeight="1" x14ac:dyDescent="0.25">
      <x:c r="A15" s="32" t="s">
        <x:v>18</x:v>
      </x:c>
      <x:c r="B15" s="32" t="s">
        <x:v>16</x:v>
      </x:c>
      <x:c r="C15" s="175"/>
      <x:c r="D15" s="158"/>
      <x:c r="E15" s="158"/>
      <x:c r="F15" s="158"/>
      <x:c r="G15" s="158"/>
      <x:c r="H15" s="177"/>
      <x:c r="I15" s="221"/>
      <x:c r="J15" s="185"/>
      <x:c r="K15" s="185"/>
      <x:c r="L15" s="185"/>
      <x:c r="M15" s="35"/>
      <x:c r="N15" s="35"/>
      <x:c r="O15" s="167"/>
      <x:c r="P15" s="185"/>
      <x:c r="Q15" s="185"/>
      <x:c r="R15" s="185"/>
      <x:c r="S15" s="35"/>
      <x:c r="T15" s="35"/>
      <x:c r="U15" s="167"/>
      <x:c r="V15" s="185"/>
      <x:c r="W15" s="185"/>
      <x:c r="X15" s="185"/>
      <x:c r="Y15" s="35"/>
      <x:c r="Z15" s="36"/>
      <x:c r="AA15" s="167"/>
      <x:c r="AB15" s="185"/>
      <x:c r="AC15" s="185"/>
      <x:c r="AD15" s="185"/>
      <x:c r="AE15" s="35"/>
      <x:c r="AF15" s="36"/>
      <x:c r="AG15" s="167"/>
      <x:c r="AH15" s="185"/>
      <x:c r="AI15" s="185"/>
      <x:c r="AJ15" s="185"/>
      <x:c r="AK15" s="35"/>
      <x:c r="AL15" s="35"/>
      <x:c r="AM15" s="175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599" t="s">
        <x:v>1102</x:v>
      </x:c>
      <x:c r="AS15" s="239">
        <x:v>100</x:v>
      </x:c>
      <x:c r="AT15" s="158">
        <x:v>100</x:v>
      </x:c>
      <x:c r="AU15" s="158">
        <x:v>100</x:v>
      </x:c>
      <x:c r="AV15" s="158">
        <x:v>98</x:v>
      </x:c>
      <x:c r="AW15" s="230">
        <x:v>94</x:v>
      </x:c>
      <x:c r="AX15" s="585" t="s">
        <x:v>1102</x:v>
      </x:c>
      <x:c r="AY15" s="167"/>
      <x:c r="AZ15" s="185"/>
      <x:c r="BA15" s="185"/>
      <x:c r="BB15" s="185"/>
      <x:c r="BC15" s="35"/>
      <x:c r="BD15" s="36"/>
      <x:c r="BE15" s="167"/>
      <x:c r="BF15" s="185"/>
      <x:c r="BG15" s="185"/>
      <x:c r="BH15" s="185"/>
      <x:c r="BI15" s="35"/>
      <x:c r="BJ15" s="36"/>
      <x:c r="BK15" s="167"/>
      <x:c r="BL15" s="185"/>
      <x:c r="BM15" s="185"/>
      <x:c r="BN15" s="185"/>
      <x:c r="BO15" s="35"/>
      <x:c r="BP15" s="36"/>
      <x:c r="BQ15" s="167"/>
      <x:c r="BR15" s="185"/>
      <x:c r="BS15" s="185"/>
      <x:c r="BT15" s="185"/>
      <x:c r="BU15" s="35"/>
      <x:c r="BV15" s="36"/>
    </x:row>
    <x:row r="16" spans="1:74" ht="22.5" customHeight="1" x14ac:dyDescent="0.25">
      <x:c r="A16" s="32" t="s">
        <x:v>39</x:v>
      </x:c>
      <x:c r="B16" s="32" t="s">
        <x:v>37</x:v>
      </x:c>
      <x:c r="C16" s="175"/>
      <x:c r="D16" s="158"/>
      <x:c r="E16" s="158"/>
      <x:c r="F16" s="158"/>
      <x:c r="G16" s="158"/>
      <x:c r="H16" s="177"/>
      <x:c r="I16" s="221"/>
      <x:c r="J16" s="185"/>
      <x:c r="K16" s="185"/>
      <x:c r="L16" s="185"/>
      <x:c r="M16" s="35"/>
      <x:c r="N16" s="35"/>
      <x:c r="O16" s="167"/>
      <x:c r="P16" s="185"/>
      <x:c r="Q16" s="185"/>
      <x:c r="R16" s="185"/>
      <x:c r="S16" s="35"/>
      <x:c r="T16" s="35"/>
      <x:c r="U16" s="167"/>
      <x:c r="V16" s="185"/>
      <x:c r="W16" s="185"/>
      <x:c r="X16" s="185"/>
      <x:c r="Y16" s="35"/>
      <x:c r="Z16" s="36"/>
      <x:c r="AA16" s="167"/>
      <x:c r="AB16" s="185"/>
      <x:c r="AC16" s="185"/>
      <x:c r="AD16" s="185"/>
      <x:c r="AE16" s="35"/>
      <x:c r="AF16" s="36"/>
      <x:c r="AG16" s="167"/>
      <x:c r="AH16" s="185"/>
      <x:c r="AI16" s="185"/>
      <x:c r="AJ16" s="185"/>
      <x:c r="AK16" s="35"/>
      <x:c r="AL16" s="35"/>
      <x:c r="AM16" s="175">
        <x:v>100</x:v>
      </x:c>
      <x:c r="AN16" s="158">
        <x:v>100</x:v>
      </x:c>
      <x:c r="AO16" s="158">
        <x:v>96</x:v>
      </x:c>
      <x:c r="AP16" s="158">
        <x:v>95</x:v>
      </x:c>
      <x:c r="AQ16" s="158">
        <x:v>95</x:v>
      </x:c>
      <x:c r="AR16" s="599" t="s">
        <x:v>1102</x:v>
      </x:c>
      <x:c r="AS16" s="239">
        <x:v>100</x:v>
      </x:c>
      <x:c r="AT16" s="158">
        <x:v>100</x:v>
      </x:c>
      <x:c r="AU16" s="158">
        <x:v>100</x:v>
      </x:c>
      <x:c r="AV16" s="158">
        <x:v>93</x:v>
      </x:c>
      <x:c r="AW16" s="230">
        <x:v>92</x:v>
      </x:c>
      <x:c r="AX16" s="585" t="s">
        <x:v>1102</x:v>
      </x:c>
      <x:c r="AY16" s="167"/>
      <x:c r="AZ16" s="185"/>
      <x:c r="BA16" s="185"/>
      <x:c r="BB16" s="185"/>
      <x:c r="BC16" s="35"/>
      <x:c r="BD16" s="36"/>
      <x:c r="BE16" s="167"/>
      <x:c r="BF16" s="185"/>
      <x:c r="BG16" s="185"/>
      <x:c r="BH16" s="185"/>
      <x:c r="BI16" s="35"/>
      <x:c r="BJ16" s="36"/>
      <x:c r="BK16" s="167"/>
      <x:c r="BL16" s="185"/>
      <x:c r="BM16" s="185"/>
      <x:c r="BN16" s="185"/>
      <x:c r="BO16" s="35"/>
      <x:c r="BP16" s="36"/>
      <x:c r="BQ16" s="167"/>
      <x:c r="BR16" s="185"/>
      <x:c r="BS16" s="185"/>
      <x:c r="BT16" s="185"/>
      <x:c r="BU16" s="35"/>
      <x:c r="BV16" s="36"/>
    </x:row>
    <x:row r="17" spans="1:74" ht="22.5" customHeight="1" x14ac:dyDescent="0.25">
      <x:c r="A17" s="32" t="s">
        <x:v>28</x:v>
      </x:c>
      <x:c r="B17" s="32" t="s">
        <x:v>23</x:v>
      </x:c>
      <x:c r="C17" s="175"/>
      <x:c r="D17" s="158"/>
      <x:c r="E17" s="158"/>
      <x:c r="F17" s="158"/>
      <x:c r="G17" s="158"/>
      <x:c r="H17" s="177"/>
      <x:c r="I17" s="221"/>
      <x:c r="J17" s="185"/>
      <x:c r="K17" s="185"/>
      <x:c r="L17" s="185"/>
      <x:c r="M17" s="35"/>
      <x:c r="N17" s="35"/>
      <x:c r="O17" s="167"/>
      <x:c r="P17" s="185"/>
      <x:c r="Q17" s="185"/>
      <x:c r="R17" s="185"/>
      <x:c r="S17" s="35"/>
      <x:c r="T17" s="35"/>
      <x:c r="U17" s="167"/>
      <x:c r="V17" s="185"/>
      <x:c r="W17" s="185"/>
      <x:c r="X17" s="185"/>
      <x:c r="Y17" s="35"/>
      <x:c r="Z17" s="36"/>
      <x:c r="AA17" s="167"/>
      <x:c r="AB17" s="185"/>
      <x:c r="AC17" s="185"/>
      <x:c r="AD17" s="185"/>
      <x:c r="AE17" s="35"/>
      <x:c r="AF17" s="36"/>
      <x:c r="AG17" s="167"/>
      <x:c r="AH17" s="185"/>
      <x:c r="AI17" s="185"/>
      <x:c r="AJ17" s="185"/>
      <x:c r="AK17" s="35"/>
      <x:c r="AL17" s="35"/>
      <x:c r="AM17" s="175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599" t="s">
        <x:v>1102</x:v>
      </x:c>
      <x:c r="AS17" s="239">
        <x:v>100</x:v>
      </x:c>
      <x:c r="AT17" s="158">
        <x:v>100</x:v>
      </x:c>
      <x:c r="AU17" s="158">
        <x:v>100</x:v>
      </x:c>
      <x:c r="AV17" s="158">
        <x:v>100</x:v>
      </x:c>
      <x:c r="AW17" s="230">
        <x:v>90</x:v>
      </x:c>
      <x:c r="AX17" s="585" t="s">
        <x:v>1102</x:v>
      </x:c>
      <x:c r="AY17" s="167"/>
      <x:c r="AZ17" s="185"/>
      <x:c r="BA17" s="185"/>
      <x:c r="BB17" s="185"/>
      <x:c r="BC17" s="35"/>
      <x:c r="BD17" s="36"/>
      <x:c r="BE17" s="167"/>
      <x:c r="BF17" s="185"/>
      <x:c r="BG17" s="185"/>
      <x:c r="BH17" s="185"/>
      <x:c r="BI17" s="35"/>
      <x:c r="BJ17" s="36"/>
      <x:c r="BK17" s="167"/>
      <x:c r="BL17" s="185"/>
      <x:c r="BM17" s="185"/>
      <x:c r="BN17" s="185"/>
      <x:c r="BO17" s="35"/>
      <x:c r="BP17" s="36"/>
      <x:c r="BQ17" s="167"/>
      <x:c r="BR17" s="185"/>
      <x:c r="BS17" s="185"/>
      <x:c r="BT17" s="185"/>
      <x:c r="BU17" s="35"/>
      <x:c r="BV17" s="36"/>
    </x:row>
    <x:row r="18" spans="1:74" ht="22.5" customHeight="1" x14ac:dyDescent="0.25">
      <x:c r="A18" s="32" t="s">
        <x:v>22</x:v>
      </x:c>
      <x:c r="B18" s="32" t="s">
        <x:v>23</x:v>
      </x:c>
      <x:c r="C18" s="175"/>
      <x:c r="D18" s="158"/>
      <x:c r="E18" s="158"/>
      <x:c r="F18" s="158"/>
      <x:c r="G18" s="158"/>
      <x:c r="H18" s="177"/>
      <x:c r="I18" s="221"/>
      <x:c r="J18" s="185"/>
      <x:c r="K18" s="185"/>
      <x:c r="L18" s="185"/>
      <x:c r="M18" s="35"/>
      <x:c r="N18" s="35"/>
      <x:c r="O18" s="167"/>
      <x:c r="P18" s="185"/>
      <x:c r="Q18" s="185"/>
      <x:c r="R18" s="185"/>
      <x:c r="S18" s="35"/>
      <x:c r="T18" s="35"/>
      <x:c r="U18" s="167"/>
      <x:c r="V18" s="185"/>
      <x:c r="W18" s="185"/>
      <x:c r="X18" s="185"/>
      <x:c r="Y18" s="35"/>
      <x:c r="Z18" s="36"/>
      <x:c r="AA18" s="167"/>
      <x:c r="AB18" s="185"/>
      <x:c r="AC18" s="185"/>
      <x:c r="AD18" s="185"/>
      <x:c r="AE18" s="35"/>
      <x:c r="AF18" s="36"/>
      <x:c r="AG18" s="167"/>
      <x:c r="AH18" s="185"/>
      <x:c r="AI18" s="185"/>
      <x:c r="AJ18" s="185"/>
      <x:c r="AK18" s="35"/>
      <x:c r="AL18" s="35"/>
      <x:c r="AM18" s="175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99" t="s">
        <x:v>1102</x:v>
      </x:c>
      <x:c r="AS18" s="239">
        <x:v>100</x:v>
      </x:c>
      <x:c r="AT18" s="158">
        <x:v>100</x:v>
      </x:c>
      <x:c r="AU18" s="158">
        <x:v>100</x:v>
      </x:c>
      <x:c r="AV18" s="158">
        <x:v>100</x:v>
      </x:c>
      <x:c r="AW18" s="230">
        <x:v>100</x:v>
      </x:c>
      <x:c r="AX18" s="585" t="s">
        <x:v>1102</x:v>
      </x:c>
      <x:c r="AY18" s="167"/>
      <x:c r="AZ18" s="185"/>
      <x:c r="BA18" s="185"/>
      <x:c r="BB18" s="185"/>
      <x:c r="BC18" s="35"/>
      <x:c r="BD18" s="36"/>
      <x:c r="BE18" s="167"/>
      <x:c r="BF18" s="185"/>
      <x:c r="BG18" s="185"/>
      <x:c r="BH18" s="185"/>
      <x:c r="BI18" s="35"/>
      <x:c r="BJ18" s="36"/>
      <x:c r="BK18" s="167"/>
      <x:c r="BL18" s="185"/>
      <x:c r="BM18" s="185"/>
      <x:c r="BN18" s="185"/>
      <x:c r="BO18" s="35"/>
      <x:c r="BP18" s="36"/>
      <x:c r="BQ18" s="167"/>
      <x:c r="BR18" s="185"/>
      <x:c r="BS18" s="185"/>
      <x:c r="BT18" s="185"/>
      <x:c r="BU18" s="35"/>
      <x:c r="BV18" s="36"/>
    </x:row>
    <x:row r="19" spans="1:74" ht="22.5" customHeight="1" x14ac:dyDescent="0.25">
      <x:c r="A19" s="32" t="s">
        <x:v>31</x:v>
      </x:c>
      <x:c r="B19" s="32" t="s">
        <x:v>23</x:v>
      </x:c>
      <x:c r="C19" s="175"/>
      <x:c r="D19" s="158"/>
      <x:c r="E19" s="158"/>
      <x:c r="F19" s="158"/>
      <x:c r="G19" s="158"/>
      <x:c r="H19" s="177"/>
      <x:c r="I19" s="221"/>
      <x:c r="J19" s="185"/>
      <x:c r="K19" s="185"/>
      <x:c r="L19" s="185"/>
      <x:c r="M19" s="35"/>
      <x:c r="N19" s="35"/>
      <x:c r="O19" s="167"/>
      <x:c r="P19" s="185"/>
      <x:c r="Q19" s="185"/>
      <x:c r="R19" s="185"/>
      <x:c r="S19" s="35"/>
      <x:c r="T19" s="35"/>
      <x:c r="U19" s="167"/>
      <x:c r="V19" s="185"/>
      <x:c r="W19" s="185"/>
      <x:c r="X19" s="185"/>
      <x:c r="Y19" s="35"/>
      <x:c r="Z19" s="36"/>
      <x:c r="AA19" s="167"/>
      <x:c r="AB19" s="185"/>
      <x:c r="AC19" s="185"/>
      <x:c r="AD19" s="185"/>
      <x:c r="AE19" s="35"/>
      <x:c r="AF19" s="36"/>
      <x:c r="AG19" s="167"/>
      <x:c r="AH19" s="185"/>
      <x:c r="AI19" s="185"/>
      <x:c r="AJ19" s="185"/>
      <x:c r="AK19" s="35"/>
      <x:c r="AL19" s="35"/>
      <x:c r="AM19" s="175">
        <x:v>100</x:v>
      </x:c>
      <x:c r="AN19" s="158">
        <x:v>100</x:v>
      </x:c>
      <x:c r="AO19" s="158">
        <x:v>98</x:v>
      </x:c>
      <x:c r="AP19" s="158">
        <x:v>95</x:v>
      </x:c>
      <x:c r="AQ19" s="158">
        <x:v>94</x:v>
      </x:c>
      <x:c r="AR19" s="599" t="s">
        <x:v>1102</x:v>
      </x:c>
      <x:c r="AS19" s="239">
        <x:v>100</x:v>
      </x:c>
      <x:c r="AT19" s="158">
        <x:v>100</x:v>
      </x:c>
      <x:c r="AU19" s="158">
        <x:v>100</x:v>
      </x:c>
      <x:c r="AV19" s="158">
        <x:v>100</x:v>
      </x:c>
      <x:c r="AW19" s="230">
        <x:v>100</x:v>
      </x:c>
      <x:c r="AX19" s="585" t="s">
        <x:v>1102</x:v>
      </x:c>
      <x:c r="AY19" s="167"/>
      <x:c r="AZ19" s="185"/>
      <x:c r="BA19" s="185"/>
      <x:c r="BB19" s="185"/>
      <x:c r="BC19" s="35"/>
      <x:c r="BD19" s="36"/>
      <x:c r="BE19" s="167"/>
      <x:c r="BF19" s="185"/>
      <x:c r="BG19" s="185"/>
      <x:c r="BH19" s="185"/>
      <x:c r="BI19" s="35"/>
      <x:c r="BJ19" s="36"/>
      <x:c r="BK19" s="167"/>
      <x:c r="BL19" s="185"/>
      <x:c r="BM19" s="185"/>
      <x:c r="BN19" s="185"/>
      <x:c r="BO19" s="35"/>
      <x:c r="BP19" s="36"/>
      <x:c r="BQ19" s="167"/>
      <x:c r="BR19" s="185"/>
      <x:c r="BS19" s="185"/>
      <x:c r="BT19" s="185"/>
      <x:c r="BU19" s="35"/>
      <x:c r="BV19" s="36"/>
    </x:row>
    <x:row r="20" spans="1:74" ht="22.5" customHeight="1" x14ac:dyDescent="0.25">
      <x:c r="A20" s="32" t="s">
        <x:v>35</x:v>
      </x:c>
      <x:c r="B20" s="32" t="s">
        <x:v>23</x:v>
      </x:c>
      <x:c r="C20" s="175"/>
      <x:c r="D20" s="158"/>
      <x:c r="E20" s="158"/>
      <x:c r="F20" s="158"/>
      <x:c r="G20" s="158"/>
      <x:c r="H20" s="177"/>
      <x:c r="I20" s="221"/>
      <x:c r="J20" s="185"/>
      <x:c r="K20" s="185"/>
      <x:c r="L20" s="185"/>
      <x:c r="M20" s="35"/>
      <x:c r="N20" s="35"/>
      <x:c r="O20" s="167"/>
      <x:c r="P20" s="185"/>
      <x:c r="Q20" s="185"/>
      <x:c r="R20" s="185"/>
      <x:c r="S20" s="35"/>
      <x:c r="T20" s="35"/>
      <x:c r="U20" s="167"/>
      <x:c r="V20" s="185"/>
      <x:c r="W20" s="185"/>
      <x:c r="X20" s="185"/>
      <x:c r="Y20" s="35"/>
      <x:c r="Z20" s="36"/>
      <x:c r="AA20" s="167"/>
      <x:c r="AB20" s="185"/>
      <x:c r="AC20" s="185"/>
      <x:c r="AD20" s="185"/>
      <x:c r="AE20" s="35"/>
      <x:c r="AF20" s="36"/>
      <x:c r="AG20" s="167"/>
      <x:c r="AH20" s="185"/>
      <x:c r="AI20" s="185"/>
      <x:c r="AJ20" s="185"/>
      <x:c r="AK20" s="35"/>
      <x:c r="AL20" s="35"/>
      <x:c r="AM20" s="175">
        <x:v>100</x:v>
      </x:c>
      <x:c r="AN20" s="158">
        <x:v>100</x:v>
      </x:c>
      <x:c r="AO20" s="158">
        <x:v>100</x:v>
      </x:c>
      <x:c r="AP20" s="158">
        <x:v>100</x:v>
      </x:c>
      <x:c r="AQ20" s="158">
        <x:v>98</x:v>
      </x:c>
      <x:c r="AR20" s="599" t="s">
        <x:v>1102</x:v>
      </x:c>
      <x:c r="AS20" s="239">
        <x:v>100</x:v>
      </x:c>
      <x:c r="AT20" s="158">
        <x:v>100</x:v>
      </x:c>
      <x:c r="AU20" s="158">
        <x:v>100</x:v>
      </x:c>
      <x:c r="AV20" s="158">
        <x:v>100</x:v>
      </x:c>
      <x:c r="AW20" s="230">
        <x:v>90</x:v>
      </x:c>
      <x:c r="AX20" s="585" t="s">
        <x:v>1102</x:v>
      </x:c>
      <x:c r="AY20" s="167"/>
      <x:c r="AZ20" s="185"/>
      <x:c r="BA20" s="185"/>
      <x:c r="BB20" s="185"/>
      <x:c r="BC20" s="35"/>
      <x:c r="BD20" s="36"/>
      <x:c r="BE20" s="167"/>
      <x:c r="BF20" s="185"/>
      <x:c r="BG20" s="185"/>
      <x:c r="BH20" s="185"/>
      <x:c r="BI20" s="35"/>
      <x:c r="BJ20" s="36"/>
      <x:c r="BK20" s="167"/>
      <x:c r="BL20" s="185"/>
      <x:c r="BM20" s="185"/>
      <x:c r="BN20" s="185"/>
      <x:c r="BO20" s="35"/>
      <x:c r="BP20" s="36"/>
      <x:c r="BQ20" s="167"/>
      <x:c r="BR20" s="185"/>
      <x:c r="BS20" s="185"/>
      <x:c r="BT20" s="185"/>
      <x:c r="BU20" s="35"/>
      <x:c r="BV20" s="36"/>
    </x:row>
    <x:row r="21" spans="1:74" ht="22.5" customHeight="1" x14ac:dyDescent="0.25">
      <x:c r="A21" s="32" t="s">
        <x:v>27</x:v>
      </x:c>
      <x:c r="B21" s="32" t="s">
        <x:v>23</x:v>
      </x:c>
      <x:c r="C21" s="175"/>
      <x:c r="D21" s="158"/>
      <x:c r="E21" s="158"/>
      <x:c r="F21" s="158"/>
      <x:c r="G21" s="158"/>
      <x:c r="H21" s="177"/>
      <x:c r="I21" s="221"/>
      <x:c r="J21" s="185"/>
      <x:c r="K21" s="185"/>
      <x:c r="L21" s="185"/>
      <x:c r="M21" s="35"/>
      <x:c r="N21" s="35"/>
      <x:c r="O21" s="167"/>
      <x:c r="P21" s="185"/>
      <x:c r="Q21" s="185"/>
      <x:c r="R21" s="185"/>
      <x:c r="S21" s="35"/>
      <x:c r="T21" s="35"/>
      <x:c r="U21" s="167"/>
      <x:c r="V21" s="185"/>
      <x:c r="W21" s="185"/>
      <x:c r="X21" s="185"/>
      <x:c r="Y21" s="35"/>
      <x:c r="Z21" s="36"/>
      <x:c r="AA21" s="167"/>
      <x:c r="AB21" s="185"/>
      <x:c r="AC21" s="185"/>
      <x:c r="AD21" s="185"/>
      <x:c r="AE21" s="35"/>
      <x:c r="AF21" s="36"/>
      <x:c r="AG21" s="167"/>
      <x:c r="AH21" s="185"/>
      <x:c r="AI21" s="185"/>
      <x:c r="AJ21" s="185"/>
      <x:c r="AK21" s="35"/>
      <x:c r="AL21" s="35"/>
      <x:c r="AM21" s="175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599" t="s">
        <x:v>1102</x:v>
      </x:c>
      <x:c r="AS21" s="239">
        <x:v>100</x:v>
      </x:c>
      <x:c r="AT21" s="158">
        <x:v>100</x:v>
      </x:c>
      <x:c r="AU21" s="158">
        <x:v>100</x:v>
      </x:c>
      <x:c r="AV21" s="158">
        <x:v>97</x:v>
      </x:c>
      <x:c r="AW21" s="230">
        <x:v>92</x:v>
      </x:c>
      <x:c r="AX21" s="585" t="s">
        <x:v>1102</x:v>
      </x:c>
      <x:c r="AY21" s="167"/>
      <x:c r="AZ21" s="185"/>
      <x:c r="BA21" s="185"/>
      <x:c r="BB21" s="185"/>
      <x:c r="BC21" s="35"/>
      <x:c r="BD21" s="36"/>
      <x:c r="BE21" s="167"/>
      <x:c r="BF21" s="185"/>
      <x:c r="BG21" s="185"/>
      <x:c r="BH21" s="185"/>
      <x:c r="BI21" s="35"/>
      <x:c r="BJ21" s="36"/>
      <x:c r="BK21" s="167"/>
      <x:c r="BL21" s="185"/>
      <x:c r="BM21" s="185"/>
      <x:c r="BN21" s="185"/>
      <x:c r="BO21" s="35"/>
      <x:c r="BP21" s="36"/>
      <x:c r="BQ21" s="167"/>
      <x:c r="BR21" s="185"/>
      <x:c r="BS21" s="185"/>
      <x:c r="BT21" s="185"/>
      <x:c r="BU21" s="35"/>
      <x:c r="BV21" s="36"/>
    </x:row>
    <x:row r="22" spans="1:74" ht="22.5" customHeight="1" x14ac:dyDescent="0.25">
      <x:c r="A22" s="32" t="s">
        <x:v>30</x:v>
      </x:c>
      <x:c r="B22" s="32" t="s">
        <x:v>23</x:v>
      </x:c>
      <x:c r="C22" s="175"/>
      <x:c r="D22" s="158"/>
      <x:c r="E22" s="158"/>
      <x:c r="F22" s="158"/>
      <x:c r="G22" s="158"/>
      <x:c r="H22" s="177"/>
      <x:c r="I22" s="221"/>
      <x:c r="J22" s="185"/>
      <x:c r="K22" s="185"/>
      <x:c r="L22" s="185"/>
      <x:c r="M22" s="35"/>
      <x:c r="N22" s="35"/>
      <x:c r="O22" s="167"/>
      <x:c r="P22" s="185"/>
      <x:c r="Q22" s="185"/>
      <x:c r="R22" s="185"/>
      <x:c r="S22" s="35"/>
      <x:c r="T22" s="35"/>
      <x:c r="U22" s="167"/>
      <x:c r="V22" s="185"/>
      <x:c r="W22" s="185"/>
      <x:c r="X22" s="185"/>
      <x:c r="Y22" s="35"/>
      <x:c r="Z22" s="36"/>
      <x:c r="AA22" s="167"/>
      <x:c r="AB22" s="185"/>
      <x:c r="AC22" s="185"/>
      <x:c r="AD22" s="185"/>
      <x:c r="AE22" s="35"/>
      <x:c r="AF22" s="36"/>
      <x:c r="AG22" s="167"/>
      <x:c r="AH22" s="185"/>
      <x:c r="AI22" s="185"/>
      <x:c r="AJ22" s="185"/>
      <x:c r="AK22" s="35"/>
      <x:c r="AL22" s="35"/>
      <x:c r="AM22" s="175">
        <x:v>100</x:v>
      </x:c>
      <x:c r="AN22" s="158">
        <x:v>100</x:v>
      </x:c>
      <x:c r="AO22" s="158">
        <x:v>99</x:v>
      </x:c>
      <x:c r="AP22" s="158">
        <x:v>98</x:v>
      </x:c>
      <x:c r="AQ22" s="158">
        <x:v>98</x:v>
      </x:c>
      <x:c r="AR22" s="599" t="s">
        <x:v>1102</x:v>
      </x:c>
      <x:c r="AS22" s="239">
        <x:v>100</x:v>
      </x:c>
      <x:c r="AT22" s="158">
        <x:v>100</x:v>
      </x:c>
      <x:c r="AU22" s="158">
        <x:v>100</x:v>
      </x:c>
      <x:c r="AV22" s="158">
        <x:v>100</x:v>
      </x:c>
      <x:c r="AW22" s="230">
        <x:v>96</x:v>
      </x:c>
      <x:c r="AX22" s="585" t="s">
        <x:v>1102</x:v>
      </x:c>
      <x:c r="AY22" s="167"/>
      <x:c r="AZ22" s="185"/>
      <x:c r="BA22" s="185"/>
      <x:c r="BB22" s="185"/>
      <x:c r="BC22" s="35"/>
      <x:c r="BD22" s="36"/>
      <x:c r="BE22" s="167"/>
      <x:c r="BF22" s="185"/>
      <x:c r="BG22" s="185"/>
      <x:c r="BH22" s="185"/>
      <x:c r="BI22" s="35"/>
      <x:c r="BJ22" s="36"/>
      <x:c r="BK22" s="167"/>
      <x:c r="BL22" s="185"/>
      <x:c r="BM22" s="185"/>
      <x:c r="BN22" s="185"/>
      <x:c r="BO22" s="35"/>
      <x:c r="BP22" s="36"/>
      <x:c r="BQ22" s="167"/>
      <x:c r="BR22" s="185"/>
      <x:c r="BS22" s="185"/>
      <x:c r="BT22" s="185"/>
      <x:c r="BU22" s="35"/>
      <x:c r="BV22" s="36"/>
    </x:row>
    <x:row r="23" spans="1:74" ht="22.5" customHeight="1" x14ac:dyDescent="0.3">
      <x:c r="A23" s="37" t="s">
        <x:v>25</x:v>
      </x:c>
      <x:c r="B23" s="37" t="s">
        <x:v>23</x:v>
      </x:c>
      <x:c r="C23" s="160"/>
      <x:c r="D23" s="161"/>
      <x:c r="E23" s="161"/>
      <x:c r="F23" s="161"/>
      <x:c r="G23" s="161"/>
      <x:c r="H23" s="178"/>
      <x:c r="I23" s="172"/>
      <x:c r="J23" s="39"/>
      <x:c r="K23" s="39"/>
      <x:c r="L23" s="39"/>
      <x:c r="M23" s="41"/>
      <x:c r="N23" s="41"/>
      <x:c r="O23" s="38"/>
      <x:c r="P23" s="39"/>
      <x:c r="Q23" s="39"/>
      <x:c r="R23" s="39"/>
      <x:c r="S23" s="41"/>
      <x:c r="T23" s="41"/>
      <x:c r="U23" s="38"/>
      <x:c r="V23" s="39"/>
      <x:c r="W23" s="39"/>
      <x:c r="X23" s="39"/>
      <x:c r="Y23" s="41"/>
      <x:c r="Z23" s="42"/>
      <x:c r="AA23" s="38"/>
      <x:c r="AB23" s="39"/>
      <x:c r="AC23" s="39"/>
      <x:c r="AD23" s="39"/>
      <x:c r="AE23" s="41"/>
      <x:c r="AF23" s="42"/>
      <x:c r="AG23" s="38"/>
      <x:c r="AH23" s="39"/>
      <x:c r="AI23" s="39"/>
      <x:c r="AJ23" s="39"/>
      <x:c r="AK23" s="41"/>
      <x:c r="AL23" s="41"/>
      <x:c r="AM23" s="160">
        <x:v>100</x:v>
      </x:c>
      <x:c r="AN23" s="161">
        <x:v>100</x:v>
      </x:c>
      <x:c r="AO23" s="161">
        <x:v>100</x:v>
      </x:c>
      <x:c r="AP23" s="161">
        <x:v>95</x:v>
      </x:c>
      <x:c r="AQ23" s="161">
        <x:v>92</x:v>
      </x:c>
      <x:c r="AR23" s="603" t="s">
        <x:v>1102</x:v>
      </x:c>
      <x:c r="AS23" s="241">
        <x:v>100</x:v>
      </x:c>
      <x:c r="AT23" s="161">
        <x:v>100</x:v>
      </x:c>
      <x:c r="AU23" s="161">
        <x:v>100</x:v>
      </x:c>
      <x:c r="AV23" s="161">
        <x:v>100</x:v>
      </x:c>
      <x:c r="AW23" s="237">
        <x:v>98</x:v>
      </x:c>
      <x:c r="AX23" s="594" t="s">
        <x:v>1102</x:v>
      </x:c>
      <x:c r="AY23" s="38"/>
      <x:c r="AZ23" s="39"/>
      <x:c r="BA23" s="39"/>
      <x:c r="BB23" s="39"/>
      <x:c r="BC23" s="41"/>
      <x:c r="BD23" s="42"/>
      <x:c r="BE23" s="38"/>
      <x:c r="BF23" s="39"/>
      <x:c r="BG23" s="39"/>
      <x:c r="BH23" s="39"/>
      <x:c r="BI23" s="41"/>
      <x:c r="BJ23" s="42"/>
      <x:c r="BK23" s="38"/>
      <x:c r="BL23" s="39"/>
      <x:c r="BM23" s="39"/>
      <x:c r="BN23" s="39"/>
      <x:c r="BO23" s="41"/>
      <x:c r="BP23" s="42"/>
      <x:c r="BQ23" s="38"/>
      <x:c r="BR23" s="39"/>
      <x:c r="BS23" s="39"/>
      <x:c r="BT23" s="39"/>
      <x:c r="BU23" s="41"/>
      <x:c r="BV23" s="42"/>
    </x:row>
    <x:row r="24" spans="1:74" x14ac:dyDescent="0.25">
      <x:c r="C24" s="498">
        <x:f t="array" ref="C24:C24">SUMPRODUCT((C3:C23&gt;=10)*(D3:D23&gt;=10)*(E3:E23&gt;=10)*(F3:F23&gt;=10)*(G3:G23&gt;=10))</x:f>
      </x:c>
      <x:c r="H24" s="80">
        <x:f>COUNTIF(H3:H23,"Да")</x:f>
      </x:c>
      <x:c r="I24" s="498">
        <x:f t="array" ref="I24:I24">SUMPRODUCT((I3:I23&gt;=10)*(J3:J23&gt;=10)*(K3:K23&gt;=10)*(L3:L23&gt;=10)*(M3:M23&gt;=10))</x:f>
      </x:c>
      <x:c r="N24" s="80">
        <x:f>COUNTIF(N3:N23,"Да")</x:f>
      </x:c>
      <x:c r="O24" s="498">
        <x:f t="array" ref="O24:O24">SUMPRODUCT((O3:O23&gt;=10)*(P3:P23&gt;=10)*(Q3:Q23&gt;=10)*(R3:R23&gt;=10)*(S3:S23&gt;=10))</x:f>
      </x:c>
      <x:c r="T24" s="80">
        <x:f>COUNTIF(T3:T23,"Да")</x:f>
      </x:c>
      <x:c r="U24" s="498">
        <x:f t="array" ref="U24:U24">SUMPRODUCT((U3:U23&gt;=10)*(V3:V23&gt;=10)*(W3:W23&gt;=10)*(X3:X23&gt;=10)*(Y3:Y23&gt;=10))</x:f>
      </x:c>
      <x:c r="Z24" s="80">
        <x:f>COUNTIF(Z3:Z23,"Да")</x:f>
      </x:c>
      <x:c r="AA24" s="498">
        <x:f t="array" ref="AA24:AA24">SUMPRODUCT((AA3:AA23&gt;=10)*(AB3:AB23&gt;=10)*(AC3:AC23&gt;=10)*(AD3:AD23&gt;=10)*(AE3:AE23&gt;=10))</x:f>
      </x:c>
      <x:c r="AF24" s="80">
        <x:f>COUNTIF(AF3:AF23,"Да")</x:f>
      </x:c>
      <x:c r="AG24" s="498">
        <x:f t="array" ref="AG24:AG24">SUMPRODUCT((AG3:AG23&gt;=10)*(AH3:AH23&gt;=10)*(AI3:AI23&gt;=10)*(AJ3:AJ23&gt;=10)*(AK3:AK23&gt;=10))</x:f>
      </x:c>
      <x:c r="AL24" s="80">
        <x:f>COUNTIF(AL3:AL23,"Да")</x:f>
      </x:c>
      <x:c r="AM24" s="498">
        <x:f t="array" ref="AM24:AM24">SUMPRODUCT((AM3:AM23&gt;=10)*(AN3:AN23&gt;=10)*(AO3:AO23&gt;=10)*(AP3:AP23&gt;=10)*(AQ3:AQ23&gt;=10))</x:f>
      </x:c>
      <x:c r="AR24" s="80">
        <x:f>COUNTIF(AR3:AR23,"Да")</x:f>
      </x:c>
      <x:c r="AS24" s="498">
        <x:f t="array" ref="AS24:AS24">SUMPRODUCT((AS3:AS23&gt;=10)*(AT3:AT23&gt;=10)*(AU3:AU23&gt;=10)*(AV3:AV23&gt;=10)*(AW3:AW23&gt;=10))</x:f>
      </x:c>
      <x:c r="AX24" s="80">
        <x:f>COUNTIF(AX3:AX23,"Да")</x:f>
      </x:c>
      <x:c r="AY24" s="498">
        <x:f t="array" ref="AY24:AY24">SUMPRODUCT((AY3:AY23&gt;=10)*(AZ3:AZ23&gt;=10)*(BA3:BA23&gt;=10)*(BB3:BB23&gt;=10)*(BC3:BC23&gt;=10))</x:f>
      </x:c>
      <x:c r="BD24" s="80">
        <x:f>COUNTIF(BD3:BD23,"Да")</x:f>
      </x:c>
      <x:c r="BE24" s="498">
        <x:f t="array" ref="BE24:BE24">SUMPRODUCT((BE3:BE23&gt;=10)*(BF3:BF23&gt;=10)*(BG3:BG23&gt;=10)*(BH3:BH23&gt;=10)*(BI3:BI23&gt;=10))</x:f>
      </x:c>
      <x:c r="BJ24" s="80">
        <x:f>COUNTIF(BJ3:BJ23,"Да")</x:f>
      </x:c>
      <x:c r="BK24" s="498">
        <x:f t="array" ref="BK24:BK24">SUMPRODUCT((BK3:BK23&gt;=10)*(BL3:BL23&gt;=10)*(BM3:BM23&gt;=10)*(BN3:BN23&gt;=10)*(BO3:BO23&gt;=10))</x:f>
      </x:c>
      <x:c r="BP24" s="80">
        <x:f>COUNTIF(BP3:BP23,"Да")</x:f>
      </x:c>
      <x:c r="BQ24" s="498">
        <x:f t="array" ref="BQ24:BQ24">SUMPRODUCT((BQ3:BQ23&gt;=10)*(BR3:BR23&gt;=10)*(BS3:BS23&gt;=10)*(BT3:BT23&gt;=10)*(BU3:BU23&gt;=10))</x:f>
      </x:c>
      <x:c r="BV24" s="80">
        <x:f>COUNTIF(BV3:BV23,"Да")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4:G24"/>
    <x:mergeCell ref="I24:M24"/>
    <x:mergeCell ref="O24:S24"/>
    <x:mergeCell ref="U24:Y24"/>
    <x:mergeCell ref="AA24:AE24"/>
    <x:mergeCell ref="AG24:AK24"/>
    <x:mergeCell ref="AM24:AQ24"/>
    <x:mergeCell ref="AS24:AW24"/>
    <x:mergeCell ref="AY24:BC24"/>
    <x:mergeCell ref="BE24:BI24"/>
    <x:mergeCell ref="BK24:BO24"/>
    <x:mergeCell ref="BQ24:BU24"/>
  </x:mergeCells>
  <x:conditionalFormatting sqref="C3:BV23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3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4:A23">
    <x:cfRule type="duplicateValues" dxfId="0" priority="9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BV31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9.570312" style="0" customWidth="1"/>
    <x:col min="45" max="49" width="9.140625" style="0" customWidth="1"/>
    <x:col min="50" max="50" width="10.710938" style="0" customWidth="1"/>
    <x:col min="51" max="55" width="9.140625" style="0" customWidth="1"/>
    <x:col min="56" max="56" width="9.710938" style="0" customWidth="1"/>
    <x:col min="57" max="61" width="9.140625" style="0" customWidth="1"/>
    <x:col min="62" max="62" width="10.425781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10.140625" style="0" customWidth="1"/>
  </x:cols>
  <x:sheetData>
    <x:row r="1" spans="1:74" ht="23.25" customHeight="1" x14ac:dyDescent="0.3">
      <x:c r="A1" s="22" t="s">
        <x:v>1066</x:v>
      </x:c>
      <x:c r="B1" s="496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6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4.75" customHeight="1" x14ac:dyDescent="0.25">
      <x:c r="A3" s="28" t="s">
        <x:v>143</x:v>
      </x:c>
      <x:c r="B3" s="28" t="s">
        <x:v>23</x:v>
      </x:c>
      <x:c r="C3" s="154"/>
      <x:c r="D3" s="155"/>
      <x:c r="E3" s="155"/>
      <x:c r="F3" s="155"/>
      <x:c r="G3" s="155"/>
      <x:c r="H3" s="156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154">
        <x:v>100</x:v>
      </x:c>
      <x:c r="AN3" s="155">
        <x:v>100</x:v>
      </x:c>
      <x:c r="AO3" s="155">
        <x:v>100</x:v>
      </x:c>
      <x:c r="AP3" s="155">
        <x:v>100</x:v>
      </x:c>
      <x:c r="AQ3" s="155">
        <x:v>100</x:v>
      </x:c>
      <x:c r="AR3" s="582" t="s">
        <x:v>1102</x:v>
      </x:c>
      <x:c r="AS3" s="154">
        <x:v>100</x:v>
      </x:c>
      <x:c r="AT3" s="155">
        <x:v>100</x:v>
      </x:c>
      <x:c r="AU3" s="155">
        <x:v>100</x:v>
      </x:c>
      <x:c r="AV3" s="155">
        <x:v>100</x:v>
      </x:c>
      <x:c r="AW3" s="228">
        <x:v>100</x:v>
      </x:c>
      <x:c r="AX3" s="583" t="s">
        <x:v>1102</x:v>
      </x:c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ht="22.5" customHeight="1" x14ac:dyDescent="0.25">
      <x:c r="A4" s="32" t="s">
        <x:v>144</x:v>
      </x:c>
      <x:c r="B4" s="32" t="s">
        <x:v>23</x:v>
      </x:c>
      <x:c r="C4" s="157"/>
      <x:c r="D4" s="158"/>
      <x:c r="E4" s="158"/>
      <x:c r="F4" s="158"/>
      <x:c r="G4" s="158"/>
      <x:c r="H4" s="159"/>
      <x:c r="I4" s="33"/>
      <x:c r="J4" s="185"/>
      <x:c r="K4" s="185"/>
      <x:c r="L4" s="185"/>
      <x:c r="M4" s="35"/>
      <x:c r="N4" s="36"/>
      <x:c r="O4" s="33"/>
      <x:c r="P4" s="185"/>
      <x:c r="Q4" s="185"/>
      <x:c r="R4" s="185"/>
      <x:c r="S4" s="35"/>
      <x:c r="T4" s="36"/>
      <x:c r="U4" s="33"/>
      <x:c r="V4" s="185"/>
      <x:c r="W4" s="185"/>
      <x:c r="X4" s="185"/>
      <x:c r="Y4" s="35"/>
      <x:c r="Z4" s="36"/>
      <x:c r="AA4" s="33"/>
      <x:c r="AB4" s="185"/>
      <x:c r="AC4" s="185"/>
      <x:c r="AD4" s="185"/>
      <x:c r="AE4" s="35"/>
      <x:c r="AF4" s="36"/>
      <x:c r="AG4" s="33"/>
      <x:c r="AH4" s="185"/>
      <x:c r="AI4" s="185"/>
      <x:c r="AJ4" s="185"/>
      <x:c r="AK4" s="3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584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230">
        <x:v>100</x:v>
      </x:c>
      <x:c r="AX4" s="585" t="s">
        <x:v>1102</x:v>
      </x:c>
      <x:c r="AY4" s="33"/>
      <x:c r="AZ4" s="185"/>
      <x:c r="BA4" s="185"/>
      <x:c r="BB4" s="185"/>
      <x:c r="BC4" s="35"/>
      <x:c r="BD4" s="36"/>
      <x:c r="BE4" s="33"/>
      <x:c r="BF4" s="185"/>
      <x:c r="BG4" s="185"/>
      <x:c r="BH4" s="185"/>
      <x:c r="BI4" s="35"/>
      <x:c r="BJ4" s="36"/>
      <x:c r="BK4" s="33"/>
      <x:c r="BL4" s="185"/>
      <x:c r="BM4" s="185"/>
      <x:c r="BN4" s="185"/>
      <x:c r="BO4" s="35"/>
      <x:c r="BP4" s="36"/>
      <x:c r="BQ4" s="33"/>
      <x:c r="BR4" s="185"/>
      <x:c r="BS4" s="185"/>
      <x:c r="BT4" s="185"/>
      <x:c r="BU4" s="35"/>
      <x:c r="BV4" s="36"/>
    </x:row>
    <x:row r="5" spans="1:74" ht="22.5" customHeight="1" x14ac:dyDescent="0.25">
      <x:c r="A5" s="32" t="s">
        <x:v>158</x:v>
      </x:c>
      <x:c r="B5" s="32" t="s">
        <x:v>23</x:v>
      </x:c>
      <x:c r="C5" s="157"/>
      <x:c r="D5" s="158"/>
      <x:c r="E5" s="158"/>
      <x:c r="F5" s="158"/>
      <x:c r="G5" s="158"/>
      <x:c r="H5" s="159"/>
      <x:c r="I5" s="33"/>
      <x:c r="J5" s="185"/>
      <x:c r="K5" s="185"/>
      <x:c r="L5" s="185"/>
      <x:c r="M5" s="35"/>
      <x:c r="N5" s="36"/>
      <x:c r="O5" s="33"/>
      <x:c r="P5" s="185"/>
      <x:c r="Q5" s="185"/>
      <x:c r="R5" s="185"/>
      <x:c r="S5" s="35"/>
      <x:c r="T5" s="36"/>
      <x:c r="U5" s="33"/>
      <x:c r="V5" s="185"/>
      <x:c r="W5" s="185"/>
      <x:c r="X5" s="185"/>
      <x:c r="Y5" s="35"/>
      <x:c r="Z5" s="36"/>
      <x:c r="AA5" s="33"/>
      <x:c r="AB5" s="185"/>
      <x:c r="AC5" s="185"/>
      <x:c r="AD5" s="185"/>
      <x:c r="AE5" s="35"/>
      <x:c r="AF5" s="36"/>
      <x:c r="AG5" s="33"/>
      <x:c r="AH5" s="185"/>
      <x:c r="AI5" s="185"/>
      <x:c r="AJ5" s="185"/>
      <x:c r="AK5" s="3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584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230">
        <x:v>100</x:v>
      </x:c>
      <x:c r="AX5" s="585" t="s">
        <x:v>1102</x:v>
      </x:c>
      <x:c r="AY5" s="33"/>
      <x:c r="AZ5" s="185"/>
      <x:c r="BA5" s="185"/>
      <x:c r="BB5" s="185"/>
      <x:c r="BC5" s="35"/>
      <x:c r="BD5" s="36"/>
      <x:c r="BE5" s="33"/>
      <x:c r="BF5" s="185"/>
      <x:c r="BG5" s="185"/>
      <x:c r="BH5" s="185"/>
      <x:c r="BI5" s="35"/>
      <x:c r="BJ5" s="36"/>
      <x:c r="BK5" s="33"/>
      <x:c r="BL5" s="185"/>
      <x:c r="BM5" s="185"/>
      <x:c r="BN5" s="185"/>
      <x:c r="BO5" s="35"/>
      <x:c r="BP5" s="36"/>
      <x:c r="BQ5" s="33"/>
      <x:c r="BR5" s="185"/>
      <x:c r="BS5" s="185"/>
      <x:c r="BT5" s="185"/>
      <x:c r="BU5" s="35"/>
      <x:c r="BV5" s="36"/>
    </x:row>
    <x:row r="6" spans="1:74" ht="22.5" customHeight="1" x14ac:dyDescent="0.25">
      <x:c r="A6" s="32" t="s">
        <x:v>145</x:v>
      </x:c>
      <x:c r="B6" s="32" t="s">
        <x:v>23</x:v>
      </x:c>
      <x:c r="C6" s="157"/>
      <x:c r="D6" s="158"/>
      <x:c r="E6" s="158"/>
      <x:c r="F6" s="158"/>
      <x:c r="G6" s="158"/>
      <x:c r="H6" s="159"/>
      <x:c r="I6" s="33"/>
      <x:c r="J6" s="185"/>
      <x:c r="K6" s="185"/>
      <x:c r="L6" s="185"/>
      <x:c r="M6" s="35"/>
      <x:c r="N6" s="36"/>
      <x:c r="O6" s="33"/>
      <x:c r="P6" s="185"/>
      <x:c r="Q6" s="185"/>
      <x:c r="R6" s="185"/>
      <x:c r="S6" s="35"/>
      <x:c r="T6" s="36"/>
      <x:c r="U6" s="33"/>
      <x:c r="V6" s="185"/>
      <x:c r="W6" s="185"/>
      <x:c r="X6" s="185"/>
      <x:c r="Y6" s="35"/>
      <x:c r="Z6" s="36"/>
      <x:c r="AA6" s="33"/>
      <x:c r="AB6" s="185"/>
      <x:c r="AC6" s="185"/>
      <x:c r="AD6" s="185"/>
      <x:c r="AE6" s="35"/>
      <x:c r="AF6" s="36"/>
      <x:c r="AG6" s="33"/>
      <x:c r="AH6" s="185"/>
      <x:c r="AI6" s="185"/>
      <x:c r="AJ6" s="185"/>
      <x:c r="AK6" s="3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584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230">
        <x:v>99</x:v>
      </x:c>
      <x:c r="AX6" s="585" t="s">
        <x:v>1102</x:v>
      </x:c>
      <x:c r="AY6" s="33"/>
      <x:c r="AZ6" s="185"/>
      <x:c r="BA6" s="185"/>
      <x:c r="BB6" s="185"/>
      <x:c r="BC6" s="35"/>
      <x:c r="BD6" s="36"/>
      <x:c r="BE6" s="33"/>
      <x:c r="BF6" s="185"/>
      <x:c r="BG6" s="185"/>
      <x:c r="BH6" s="185"/>
      <x:c r="BI6" s="35"/>
      <x:c r="BJ6" s="36"/>
      <x:c r="BK6" s="33"/>
      <x:c r="BL6" s="185"/>
      <x:c r="BM6" s="185"/>
      <x:c r="BN6" s="185"/>
      <x:c r="BO6" s="35"/>
      <x:c r="BP6" s="36"/>
      <x:c r="BQ6" s="33"/>
      <x:c r="BR6" s="185"/>
      <x:c r="BS6" s="185"/>
      <x:c r="BT6" s="185"/>
      <x:c r="BU6" s="35"/>
      <x:c r="BV6" s="36"/>
    </x:row>
    <x:row r="7" spans="1:74" ht="22.5" customHeight="1" x14ac:dyDescent="0.25">
      <x:c r="A7" s="32" t="s">
        <x:v>146</x:v>
      </x:c>
      <x:c r="B7" s="32" t="s">
        <x:v>23</x:v>
      </x:c>
      <x:c r="C7" s="157"/>
      <x:c r="D7" s="158"/>
      <x:c r="E7" s="158"/>
      <x:c r="F7" s="158"/>
      <x:c r="G7" s="158"/>
      <x:c r="H7" s="159"/>
      <x:c r="I7" s="33"/>
      <x:c r="J7" s="185"/>
      <x:c r="K7" s="185"/>
      <x:c r="L7" s="185"/>
      <x:c r="M7" s="35"/>
      <x:c r="N7" s="36"/>
      <x:c r="O7" s="33"/>
      <x:c r="P7" s="185"/>
      <x:c r="Q7" s="185"/>
      <x:c r="R7" s="185"/>
      <x:c r="S7" s="35"/>
      <x:c r="T7" s="36"/>
      <x:c r="U7" s="33"/>
      <x:c r="V7" s="185"/>
      <x:c r="W7" s="185"/>
      <x:c r="X7" s="185"/>
      <x:c r="Y7" s="35"/>
      <x:c r="Z7" s="36"/>
      <x:c r="AA7" s="33"/>
      <x:c r="AB7" s="185"/>
      <x:c r="AC7" s="185"/>
      <x:c r="AD7" s="185"/>
      <x:c r="AE7" s="35"/>
      <x:c r="AF7" s="36"/>
      <x:c r="AG7" s="33"/>
      <x:c r="AH7" s="185"/>
      <x:c r="AI7" s="185"/>
      <x:c r="AJ7" s="185"/>
      <x:c r="AK7" s="3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99</x:v>
      </x:c>
      <x:c r="AR7" s="584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230">
        <x:v>100</x:v>
      </x:c>
      <x:c r="AX7" s="585" t="s">
        <x:v>1102</x:v>
      </x:c>
      <x:c r="AY7" s="33"/>
      <x:c r="AZ7" s="185"/>
      <x:c r="BA7" s="185"/>
      <x:c r="BB7" s="185"/>
      <x:c r="BC7" s="35"/>
      <x:c r="BD7" s="36"/>
      <x:c r="BE7" s="33"/>
      <x:c r="BF7" s="185"/>
      <x:c r="BG7" s="185"/>
      <x:c r="BH7" s="185"/>
      <x:c r="BI7" s="35"/>
      <x:c r="BJ7" s="36"/>
      <x:c r="BK7" s="33"/>
      <x:c r="BL7" s="185"/>
      <x:c r="BM7" s="185"/>
      <x:c r="BN7" s="185"/>
      <x:c r="BO7" s="35"/>
      <x:c r="BP7" s="36"/>
      <x:c r="BQ7" s="33"/>
      <x:c r="BR7" s="185"/>
      <x:c r="BS7" s="185"/>
      <x:c r="BT7" s="185"/>
      <x:c r="BU7" s="35"/>
      <x:c r="BV7" s="36"/>
    </x:row>
    <x:row r="8" spans="1:74" ht="22.5" customHeight="1" x14ac:dyDescent="0.25">
      <x:c r="A8" s="32" t="s">
        <x:v>142</x:v>
      </x:c>
      <x:c r="B8" s="32" t="s">
        <x:v>21</x:v>
      </x:c>
      <x:c r="C8" s="157"/>
      <x:c r="D8" s="158"/>
      <x:c r="E8" s="158"/>
      <x:c r="F8" s="158"/>
      <x:c r="G8" s="158"/>
      <x:c r="H8" s="159"/>
      <x:c r="I8" s="33"/>
      <x:c r="J8" s="185"/>
      <x:c r="K8" s="185"/>
      <x:c r="L8" s="185"/>
      <x:c r="M8" s="35"/>
      <x:c r="N8" s="36"/>
      <x:c r="O8" s="33"/>
      <x:c r="P8" s="185"/>
      <x:c r="Q8" s="185"/>
      <x:c r="R8" s="185"/>
      <x:c r="S8" s="35"/>
      <x:c r="T8" s="36"/>
      <x:c r="U8" s="33"/>
      <x:c r="V8" s="185"/>
      <x:c r="W8" s="185"/>
      <x:c r="X8" s="185"/>
      <x:c r="Y8" s="35"/>
      <x:c r="Z8" s="36"/>
      <x:c r="AA8" s="33"/>
      <x:c r="AB8" s="185"/>
      <x:c r="AC8" s="185"/>
      <x:c r="AD8" s="185"/>
      <x:c r="AE8" s="35"/>
      <x:c r="AF8" s="36"/>
      <x:c r="AG8" s="33"/>
      <x:c r="AH8" s="185"/>
      <x:c r="AI8" s="185"/>
      <x:c r="AJ8" s="185"/>
      <x:c r="AK8" s="3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584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230">
        <x:v>100</x:v>
      </x:c>
      <x:c r="AX8" s="585" t="s">
        <x:v>1102</x:v>
      </x:c>
      <x:c r="AY8" s="33"/>
      <x:c r="AZ8" s="185"/>
      <x:c r="BA8" s="185"/>
      <x:c r="BB8" s="185"/>
      <x:c r="BC8" s="35"/>
      <x:c r="BD8" s="36"/>
      <x:c r="BE8" s="33"/>
      <x:c r="BF8" s="185"/>
      <x:c r="BG8" s="185"/>
      <x:c r="BH8" s="185"/>
      <x:c r="BI8" s="35"/>
      <x:c r="BJ8" s="36"/>
      <x:c r="BK8" s="33"/>
      <x:c r="BL8" s="185"/>
      <x:c r="BM8" s="185"/>
      <x:c r="BN8" s="185"/>
      <x:c r="BO8" s="35"/>
      <x:c r="BP8" s="36"/>
      <x:c r="BQ8" s="33"/>
      <x:c r="BR8" s="185"/>
      <x:c r="BS8" s="185"/>
      <x:c r="BT8" s="185"/>
      <x:c r="BU8" s="35"/>
      <x:c r="BV8" s="36"/>
    </x:row>
    <x:row r="9" spans="1:74" ht="22.5" customHeight="1" x14ac:dyDescent="0.25">
      <x:c r="A9" s="32" t="s">
        <x:v>159</x:v>
      </x:c>
      <x:c r="B9" s="32" t="s">
        <x:v>37</x:v>
      </x:c>
      <x:c r="C9" s="157"/>
      <x:c r="D9" s="158"/>
      <x:c r="E9" s="158"/>
      <x:c r="F9" s="158"/>
      <x:c r="G9" s="158"/>
      <x:c r="H9" s="159"/>
      <x:c r="I9" s="33"/>
      <x:c r="J9" s="185"/>
      <x:c r="K9" s="185"/>
      <x:c r="L9" s="185"/>
      <x:c r="M9" s="35"/>
      <x:c r="N9" s="36"/>
      <x:c r="O9" s="33"/>
      <x:c r="P9" s="185"/>
      <x:c r="Q9" s="185"/>
      <x:c r="R9" s="185"/>
      <x:c r="S9" s="35"/>
      <x:c r="T9" s="36"/>
      <x:c r="U9" s="33"/>
      <x:c r="V9" s="185"/>
      <x:c r="W9" s="185"/>
      <x:c r="X9" s="185"/>
      <x:c r="Y9" s="35"/>
      <x:c r="Z9" s="36"/>
      <x:c r="AA9" s="33"/>
      <x:c r="AB9" s="185"/>
      <x:c r="AC9" s="185"/>
      <x:c r="AD9" s="185"/>
      <x:c r="AE9" s="35"/>
      <x:c r="AF9" s="36"/>
      <x:c r="AG9" s="33"/>
      <x:c r="AH9" s="185"/>
      <x:c r="AI9" s="185"/>
      <x:c r="AJ9" s="185"/>
      <x:c r="AK9" s="3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584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230">
        <x:v>99</x:v>
      </x:c>
      <x:c r="AX9" s="585" t="s">
        <x:v>1102</x:v>
      </x:c>
      <x:c r="AY9" s="33"/>
      <x:c r="AZ9" s="185"/>
      <x:c r="BA9" s="185"/>
      <x:c r="BB9" s="185"/>
      <x:c r="BC9" s="35"/>
      <x:c r="BD9" s="36"/>
      <x:c r="BE9" s="33"/>
      <x:c r="BF9" s="185"/>
      <x:c r="BG9" s="185"/>
      <x:c r="BH9" s="185"/>
      <x:c r="BI9" s="35"/>
      <x:c r="BJ9" s="36"/>
      <x:c r="BK9" s="33"/>
      <x:c r="BL9" s="185"/>
      <x:c r="BM9" s="185"/>
      <x:c r="BN9" s="185"/>
      <x:c r="BO9" s="35"/>
      <x:c r="BP9" s="36"/>
      <x:c r="BQ9" s="33"/>
      <x:c r="BR9" s="185"/>
      <x:c r="BS9" s="185"/>
      <x:c r="BT9" s="185"/>
      <x:c r="BU9" s="35"/>
      <x:c r="BV9" s="36"/>
    </x:row>
    <x:row r="10" spans="1:74" ht="22.5" customHeight="1" x14ac:dyDescent="0.25">
      <x:c r="A10" s="132" t="s">
        <x:v>1105</x:v>
      </x:c>
      <x:c r="B10" s="32" t="s">
        <x:v>37</x:v>
      </x:c>
      <x:c r="C10" s="157"/>
      <x:c r="D10" s="158"/>
      <x:c r="E10" s="158"/>
      <x:c r="F10" s="158"/>
      <x:c r="G10" s="158"/>
      <x:c r="H10" s="159"/>
      <x:c r="I10" s="33"/>
      <x:c r="J10" s="185"/>
      <x:c r="K10" s="185"/>
      <x:c r="L10" s="185"/>
      <x:c r="M10" s="35"/>
      <x:c r="N10" s="36"/>
      <x:c r="O10" s="33"/>
      <x:c r="P10" s="185"/>
      <x:c r="Q10" s="185"/>
      <x:c r="R10" s="185"/>
      <x:c r="S10" s="35"/>
      <x:c r="T10" s="36"/>
      <x:c r="U10" s="33"/>
      <x:c r="V10" s="185"/>
      <x:c r="W10" s="185"/>
      <x:c r="X10" s="185"/>
      <x:c r="Y10" s="35"/>
      <x:c r="Z10" s="36"/>
      <x:c r="AA10" s="33"/>
      <x:c r="AB10" s="185"/>
      <x:c r="AC10" s="185"/>
      <x:c r="AD10" s="185"/>
      <x:c r="AE10" s="35"/>
      <x:c r="AF10" s="36"/>
      <x:c r="AG10" s="33"/>
      <x:c r="AH10" s="185"/>
      <x:c r="AI10" s="185"/>
      <x:c r="AJ10" s="185"/>
      <x:c r="AK10" s="35"/>
      <x:c r="AL10" s="36"/>
      <x:c r="AM10" s="157"/>
      <x:c r="AN10" s="158"/>
      <x:c r="AO10" s="158"/>
      <x:c r="AP10" s="158"/>
      <x:c r="AQ10" s="158"/>
      <x:c r="AR10" s="159"/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230">
        <x:v>96</x:v>
      </x:c>
      <x:c r="AX10" s="585" t="s">
        <x:v>1102</x:v>
      </x:c>
      <x:c r="AY10" s="33"/>
      <x:c r="AZ10" s="185"/>
      <x:c r="BA10" s="185"/>
      <x:c r="BB10" s="185"/>
      <x:c r="BC10" s="35"/>
      <x:c r="BD10" s="36"/>
      <x:c r="BE10" s="33"/>
      <x:c r="BF10" s="185"/>
      <x:c r="BG10" s="185"/>
      <x:c r="BH10" s="185"/>
      <x:c r="BI10" s="35"/>
      <x:c r="BJ10" s="36"/>
      <x:c r="BK10" s="33"/>
      <x:c r="BL10" s="185"/>
      <x:c r="BM10" s="185"/>
      <x:c r="BN10" s="185"/>
      <x:c r="BO10" s="35"/>
      <x:c r="BP10" s="36"/>
      <x:c r="BQ10" s="33"/>
      <x:c r="BR10" s="185"/>
      <x:c r="BS10" s="185"/>
      <x:c r="BT10" s="185"/>
      <x:c r="BU10" s="35"/>
      <x:c r="BV10" s="36"/>
    </x:row>
    <x:row r="11" spans="1:74" ht="22.5" customHeight="1" x14ac:dyDescent="0.25">
      <x:c r="A11" s="32" t="s">
        <x:v>138</x:v>
      </x:c>
      <x:c r="B11" s="32" t="s">
        <x:v>16</x:v>
      </x:c>
      <x:c r="C11" s="157"/>
      <x:c r="D11" s="158"/>
      <x:c r="E11" s="158"/>
      <x:c r="F11" s="158"/>
      <x:c r="G11" s="158"/>
      <x:c r="H11" s="159"/>
      <x:c r="I11" s="33"/>
      <x:c r="J11" s="185"/>
      <x:c r="K11" s="185"/>
      <x:c r="L11" s="185"/>
      <x:c r="M11" s="35"/>
      <x:c r="N11" s="36"/>
      <x:c r="O11" s="33"/>
      <x:c r="P11" s="185"/>
      <x:c r="Q11" s="185"/>
      <x:c r="R11" s="185"/>
      <x:c r="S11" s="35"/>
      <x:c r="T11" s="36"/>
      <x:c r="U11" s="33"/>
      <x:c r="V11" s="185"/>
      <x:c r="W11" s="185"/>
      <x:c r="X11" s="185"/>
      <x:c r="Y11" s="35"/>
      <x:c r="Z11" s="36"/>
      <x:c r="AA11" s="33"/>
      <x:c r="AB11" s="185"/>
      <x:c r="AC11" s="185"/>
      <x:c r="AD11" s="185"/>
      <x:c r="AE11" s="35"/>
      <x:c r="AF11" s="36"/>
      <x:c r="AG11" s="33"/>
      <x:c r="AH11" s="185"/>
      <x:c r="AI11" s="185"/>
      <x:c r="AJ11" s="185"/>
      <x:c r="AK11" s="3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584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230">
        <x:v>100</x:v>
      </x:c>
      <x:c r="AX11" s="585" t="s">
        <x:v>1102</x:v>
      </x:c>
      <x:c r="AY11" s="33"/>
      <x:c r="AZ11" s="185"/>
      <x:c r="BA11" s="185"/>
      <x:c r="BB11" s="185"/>
      <x:c r="BC11" s="35"/>
      <x:c r="BD11" s="36"/>
      <x:c r="BE11" s="33"/>
      <x:c r="BF11" s="185"/>
      <x:c r="BG11" s="185"/>
      <x:c r="BH11" s="185"/>
      <x:c r="BI11" s="35"/>
      <x:c r="BJ11" s="36"/>
      <x:c r="BK11" s="33"/>
      <x:c r="BL11" s="185"/>
      <x:c r="BM11" s="185"/>
      <x:c r="BN11" s="185"/>
      <x:c r="BO11" s="35"/>
      <x:c r="BP11" s="36"/>
      <x:c r="BQ11" s="33"/>
      <x:c r="BR11" s="185"/>
      <x:c r="BS11" s="185"/>
      <x:c r="BT11" s="185"/>
      <x:c r="BU11" s="35"/>
      <x:c r="BV11" s="36"/>
    </x:row>
    <x:row r="12" spans="1:74" ht="22.5" customHeight="1" x14ac:dyDescent="0.25">
      <x:c r="A12" s="32" t="s">
        <x:v>147</x:v>
      </x:c>
      <x:c r="B12" s="32" t="s">
        <x:v>23</x:v>
      </x:c>
      <x:c r="C12" s="157"/>
      <x:c r="D12" s="158"/>
      <x:c r="E12" s="158"/>
      <x:c r="F12" s="158"/>
      <x:c r="G12" s="158"/>
      <x:c r="H12" s="159"/>
      <x:c r="I12" s="33"/>
      <x:c r="J12" s="185"/>
      <x:c r="K12" s="185"/>
      <x:c r="L12" s="185"/>
      <x:c r="M12" s="35"/>
      <x:c r="N12" s="36"/>
      <x:c r="O12" s="33"/>
      <x:c r="P12" s="185"/>
      <x:c r="Q12" s="185"/>
      <x:c r="R12" s="185"/>
      <x:c r="S12" s="35"/>
      <x:c r="T12" s="36"/>
      <x:c r="U12" s="33"/>
      <x:c r="V12" s="185"/>
      <x:c r="W12" s="185"/>
      <x:c r="X12" s="185"/>
      <x:c r="Y12" s="35"/>
      <x:c r="Z12" s="36"/>
      <x:c r="AA12" s="33"/>
      <x:c r="AB12" s="185"/>
      <x:c r="AC12" s="185"/>
      <x:c r="AD12" s="185"/>
      <x:c r="AE12" s="35"/>
      <x:c r="AF12" s="36"/>
      <x:c r="AG12" s="33"/>
      <x:c r="AH12" s="185"/>
      <x:c r="AI12" s="185"/>
      <x:c r="AJ12" s="185"/>
      <x:c r="AK12" s="3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99</x:v>
      </x:c>
      <x:c r="AR12" s="584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230">
        <x:v>100</x:v>
      </x:c>
      <x:c r="AX12" s="585" t="s">
        <x:v>1102</x:v>
      </x:c>
      <x:c r="AY12" s="33"/>
      <x:c r="AZ12" s="185"/>
      <x:c r="BA12" s="185"/>
      <x:c r="BB12" s="185"/>
      <x:c r="BC12" s="35"/>
      <x:c r="BD12" s="36"/>
      <x:c r="BE12" s="33"/>
      <x:c r="BF12" s="185"/>
      <x:c r="BG12" s="185"/>
      <x:c r="BH12" s="185"/>
      <x:c r="BI12" s="35"/>
      <x:c r="BJ12" s="36"/>
      <x:c r="BK12" s="33"/>
      <x:c r="BL12" s="185"/>
      <x:c r="BM12" s="185"/>
      <x:c r="BN12" s="185"/>
      <x:c r="BO12" s="35"/>
      <x:c r="BP12" s="36"/>
      <x:c r="BQ12" s="33"/>
      <x:c r="BR12" s="185"/>
      <x:c r="BS12" s="185"/>
      <x:c r="BT12" s="185"/>
      <x:c r="BU12" s="35"/>
      <x:c r="BV12" s="36"/>
    </x:row>
    <x:row r="13" spans="1:74" ht="22.5" customHeight="1" x14ac:dyDescent="0.25">
      <x:c r="A13" s="587" t="s">
        <x:v>1106</x:v>
      </x:c>
      <x:c r="B13" s="32"/>
      <x:c r="C13" s="157"/>
      <x:c r="D13" s="158"/>
      <x:c r="E13" s="158"/>
      <x:c r="F13" s="158"/>
      <x:c r="G13" s="158"/>
      <x:c r="H13" s="159"/>
      <x:c r="I13" s="33"/>
      <x:c r="J13" s="185"/>
      <x:c r="K13" s="185"/>
      <x:c r="L13" s="185"/>
      <x:c r="M13" s="35"/>
      <x:c r="N13" s="36"/>
      <x:c r="O13" s="33"/>
      <x:c r="P13" s="185"/>
      <x:c r="Q13" s="185"/>
      <x:c r="R13" s="185"/>
      <x:c r="S13" s="35"/>
      <x:c r="T13" s="36"/>
      <x:c r="U13" s="33"/>
      <x:c r="V13" s="185"/>
      <x:c r="W13" s="185"/>
      <x:c r="X13" s="185"/>
      <x:c r="Y13" s="35"/>
      <x:c r="Z13" s="36"/>
      <x:c r="AA13" s="33"/>
      <x:c r="AB13" s="185"/>
      <x:c r="AC13" s="185"/>
      <x:c r="AD13" s="185"/>
      <x:c r="AE13" s="35"/>
      <x:c r="AF13" s="36"/>
      <x:c r="AG13" s="33"/>
      <x:c r="AH13" s="185"/>
      <x:c r="AI13" s="185"/>
      <x:c r="AJ13" s="185"/>
      <x:c r="AK13" s="35"/>
      <x:c r="AL13" s="36"/>
      <x:c r="AM13" s="604">
        <x:v>0</x:v>
      </x:c>
      <x:c r="AN13" s="589">
        <x:v>0</x:v>
      </x:c>
      <x:c r="AO13" s="589">
        <x:v>0</x:v>
      </x:c>
      <x:c r="AP13" s="589">
        <x:v>0</x:v>
      </x:c>
      <x:c r="AQ13" s="589">
        <x:v>0</x:v>
      </x:c>
      <x:c r="AR13" s="584" t="s">
        <x:v>1102</x:v>
      </x:c>
      <x:c r="AS13" s="588">
        <x:v>0</x:v>
      </x:c>
      <x:c r="AT13" s="589">
        <x:v>0</x:v>
      </x:c>
      <x:c r="AU13" s="589">
        <x:v>0</x:v>
      </x:c>
      <x:c r="AV13" s="589">
        <x:v>0</x:v>
      </x:c>
      <x:c r="AW13" s="590">
        <x:v>0</x:v>
      </x:c>
      <x:c r="AX13" s="591" t="s">
        <x:v>1103</x:v>
      </x:c>
      <x:c r="AY13" s="33"/>
      <x:c r="AZ13" s="185"/>
      <x:c r="BA13" s="185"/>
      <x:c r="BB13" s="185"/>
      <x:c r="BC13" s="35"/>
      <x:c r="BD13" s="36"/>
      <x:c r="BE13" s="33"/>
      <x:c r="BF13" s="185"/>
      <x:c r="BG13" s="185"/>
      <x:c r="BH13" s="185"/>
      <x:c r="BI13" s="35"/>
      <x:c r="BJ13" s="36"/>
      <x:c r="BK13" s="33"/>
      <x:c r="BL13" s="185"/>
      <x:c r="BM13" s="185"/>
      <x:c r="BN13" s="185"/>
      <x:c r="BO13" s="35"/>
      <x:c r="BP13" s="36"/>
      <x:c r="BQ13" s="33"/>
      <x:c r="BR13" s="185"/>
      <x:c r="BS13" s="185"/>
      <x:c r="BT13" s="185"/>
      <x:c r="BU13" s="35"/>
      <x:c r="BV13" s="36"/>
    </x:row>
    <x:row r="14" spans="1:74" ht="22.5" customHeight="1" x14ac:dyDescent="0.25">
      <x:c r="A14" s="32" t="s">
        <x:v>148</x:v>
      </x:c>
      <x:c r="B14" s="32" t="s">
        <x:v>23</x:v>
      </x:c>
      <x:c r="C14" s="157"/>
      <x:c r="D14" s="158"/>
      <x:c r="E14" s="158"/>
      <x:c r="F14" s="158"/>
      <x:c r="G14" s="158"/>
      <x:c r="H14" s="159"/>
      <x:c r="I14" s="33"/>
      <x:c r="J14" s="185"/>
      <x:c r="K14" s="185"/>
      <x:c r="L14" s="185"/>
      <x:c r="M14" s="35"/>
      <x:c r="N14" s="36"/>
      <x:c r="O14" s="33"/>
      <x:c r="P14" s="185"/>
      <x:c r="Q14" s="185"/>
      <x:c r="R14" s="185"/>
      <x:c r="S14" s="35"/>
      <x:c r="T14" s="36"/>
      <x:c r="U14" s="33"/>
      <x:c r="V14" s="185"/>
      <x:c r="W14" s="185"/>
      <x:c r="X14" s="185"/>
      <x:c r="Y14" s="35"/>
      <x:c r="Z14" s="36"/>
      <x:c r="AA14" s="33"/>
      <x:c r="AB14" s="185"/>
      <x:c r="AC14" s="185"/>
      <x:c r="AD14" s="185"/>
      <x:c r="AE14" s="35"/>
      <x:c r="AF14" s="36"/>
      <x:c r="AG14" s="33"/>
      <x:c r="AH14" s="185"/>
      <x:c r="AI14" s="185"/>
      <x:c r="AJ14" s="185"/>
      <x:c r="AK14" s="3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584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230">
        <x:v>100</x:v>
      </x:c>
      <x:c r="AX14" s="585" t="s">
        <x:v>1102</x:v>
      </x:c>
      <x:c r="AY14" s="33"/>
      <x:c r="AZ14" s="185"/>
      <x:c r="BA14" s="185"/>
      <x:c r="BB14" s="185"/>
      <x:c r="BC14" s="35"/>
      <x:c r="BD14" s="36"/>
      <x:c r="BE14" s="33"/>
      <x:c r="BF14" s="185"/>
      <x:c r="BG14" s="185"/>
      <x:c r="BH14" s="185"/>
      <x:c r="BI14" s="35"/>
      <x:c r="BJ14" s="36"/>
      <x:c r="BK14" s="33"/>
      <x:c r="BL14" s="185"/>
      <x:c r="BM14" s="185"/>
      <x:c r="BN14" s="185"/>
      <x:c r="BO14" s="35"/>
      <x:c r="BP14" s="36"/>
      <x:c r="BQ14" s="33"/>
      <x:c r="BR14" s="185"/>
      <x:c r="BS14" s="185"/>
      <x:c r="BT14" s="185"/>
      <x:c r="BU14" s="35"/>
      <x:c r="BV14" s="36"/>
    </x:row>
    <x:row r="15" spans="1:74" ht="22.5" customHeight="1" x14ac:dyDescent="0.25">
      <x:c r="A15" s="32" t="s">
        <x:v>149</x:v>
      </x:c>
      <x:c r="B15" s="32" t="s">
        <x:v>23</x:v>
      </x:c>
      <x:c r="C15" s="157"/>
      <x:c r="D15" s="158"/>
      <x:c r="E15" s="158"/>
      <x:c r="F15" s="158"/>
      <x:c r="G15" s="158"/>
      <x:c r="H15" s="159"/>
      <x:c r="I15" s="33"/>
      <x:c r="J15" s="185"/>
      <x:c r="K15" s="185"/>
      <x:c r="L15" s="185"/>
      <x:c r="M15" s="35"/>
      <x:c r="N15" s="36"/>
      <x:c r="O15" s="33"/>
      <x:c r="P15" s="185"/>
      <x:c r="Q15" s="185"/>
      <x:c r="R15" s="185"/>
      <x:c r="S15" s="35"/>
      <x:c r="T15" s="36"/>
      <x:c r="U15" s="33"/>
      <x:c r="V15" s="185"/>
      <x:c r="W15" s="185"/>
      <x:c r="X15" s="185"/>
      <x:c r="Y15" s="35"/>
      <x:c r="Z15" s="36"/>
      <x:c r="AA15" s="33"/>
      <x:c r="AB15" s="185"/>
      <x:c r="AC15" s="185"/>
      <x:c r="AD15" s="185"/>
      <x:c r="AE15" s="35"/>
      <x:c r="AF15" s="36"/>
      <x:c r="AG15" s="33"/>
      <x:c r="AH15" s="185"/>
      <x:c r="AI15" s="185"/>
      <x:c r="AJ15" s="185"/>
      <x:c r="AK15" s="3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584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230">
        <x:v>100</x:v>
      </x:c>
      <x:c r="AX15" s="585" t="s">
        <x:v>1102</x:v>
      </x:c>
      <x:c r="AY15" s="33"/>
      <x:c r="AZ15" s="185"/>
      <x:c r="BA15" s="185"/>
      <x:c r="BB15" s="185"/>
      <x:c r="BC15" s="35"/>
      <x:c r="BD15" s="36"/>
      <x:c r="BE15" s="33"/>
      <x:c r="BF15" s="185"/>
      <x:c r="BG15" s="185"/>
      <x:c r="BH15" s="185"/>
      <x:c r="BI15" s="35"/>
      <x:c r="BJ15" s="36"/>
      <x:c r="BK15" s="33"/>
      <x:c r="BL15" s="185"/>
      <x:c r="BM15" s="185"/>
      <x:c r="BN15" s="185"/>
      <x:c r="BO15" s="35"/>
      <x:c r="BP15" s="36"/>
      <x:c r="BQ15" s="33"/>
      <x:c r="BR15" s="185"/>
      <x:c r="BS15" s="185"/>
      <x:c r="BT15" s="185"/>
      <x:c r="BU15" s="35"/>
      <x:c r="BV15" s="36"/>
    </x:row>
    <x:row r="16" spans="1:74" ht="22.5" customHeight="1" x14ac:dyDescent="0.25">
      <x:c r="A16" s="32" t="s">
        <x:v>150</x:v>
      </x:c>
      <x:c r="B16" s="32" t="s">
        <x:v>23</x:v>
      </x:c>
      <x:c r="C16" s="157"/>
      <x:c r="D16" s="158"/>
      <x:c r="E16" s="158"/>
      <x:c r="F16" s="158"/>
      <x:c r="G16" s="158"/>
      <x:c r="H16" s="159"/>
      <x:c r="I16" s="33"/>
      <x:c r="J16" s="185"/>
      <x:c r="K16" s="185"/>
      <x:c r="L16" s="185"/>
      <x:c r="M16" s="35"/>
      <x:c r="N16" s="36"/>
      <x:c r="O16" s="33"/>
      <x:c r="P16" s="185"/>
      <x:c r="Q16" s="185"/>
      <x:c r="R16" s="185"/>
      <x:c r="S16" s="35"/>
      <x:c r="T16" s="36"/>
      <x:c r="U16" s="33"/>
      <x:c r="V16" s="185"/>
      <x:c r="W16" s="185"/>
      <x:c r="X16" s="185"/>
      <x:c r="Y16" s="35"/>
      <x:c r="Z16" s="36"/>
      <x:c r="AA16" s="33"/>
      <x:c r="AB16" s="185"/>
      <x:c r="AC16" s="185"/>
      <x:c r="AD16" s="185"/>
      <x:c r="AE16" s="35"/>
      <x:c r="AF16" s="36"/>
      <x:c r="AG16" s="33"/>
      <x:c r="AH16" s="185"/>
      <x:c r="AI16" s="185"/>
      <x:c r="AJ16" s="185"/>
      <x:c r="AK16" s="3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584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230">
        <x:v>100</x:v>
      </x:c>
      <x:c r="AX16" s="585" t="s">
        <x:v>1102</x:v>
      </x:c>
      <x:c r="AY16" s="33"/>
      <x:c r="AZ16" s="185"/>
      <x:c r="BA16" s="185"/>
      <x:c r="BB16" s="185"/>
      <x:c r="BC16" s="35"/>
      <x:c r="BD16" s="36"/>
      <x:c r="BE16" s="33"/>
      <x:c r="BF16" s="185"/>
      <x:c r="BG16" s="185"/>
      <x:c r="BH16" s="185"/>
      <x:c r="BI16" s="35"/>
      <x:c r="BJ16" s="36"/>
      <x:c r="BK16" s="33"/>
      <x:c r="BL16" s="185"/>
      <x:c r="BM16" s="185"/>
      <x:c r="BN16" s="185"/>
      <x:c r="BO16" s="35"/>
      <x:c r="BP16" s="36"/>
      <x:c r="BQ16" s="33"/>
      <x:c r="BR16" s="185"/>
      <x:c r="BS16" s="185"/>
      <x:c r="BT16" s="185"/>
      <x:c r="BU16" s="35"/>
      <x:c r="BV16" s="36"/>
    </x:row>
    <x:row r="17" spans="1:74" ht="22.5" customHeight="1" x14ac:dyDescent="0.25">
      <x:c r="A17" s="32" t="s">
        <x:v>160</x:v>
      </x:c>
      <x:c r="B17" s="32" t="s">
        <x:v>37</x:v>
      </x:c>
      <x:c r="C17" s="157"/>
      <x:c r="D17" s="158"/>
      <x:c r="E17" s="158"/>
      <x:c r="F17" s="158"/>
      <x:c r="G17" s="158"/>
      <x:c r="H17" s="159"/>
      <x:c r="I17" s="33"/>
      <x:c r="J17" s="185"/>
      <x:c r="K17" s="185"/>
      <x:c r="L17" s="185"/>
      <x:c r="M17" s="35"/>
      <x:c r="N17" s="36"/>
      <x:c r="O17" s="33"/>
      <x:c r="P17" s="185"/>
      <x:c r="Q17" s="185"/>
      <x:c r="R17" s="185"/>
      <x:c r="S17" s="35"/>
      <x:c r="T17" s="36"/>
      <x:c r="U17" s="33"/>
      <x:c r="V17" s="185"/>
      <x:c r="W17" s="185"/>
      <x:c r="X17" s="185"/>
      <x:c r="Y17" s="35"/>
      <x:c r="Z17" s="36"/>
      <x:c r="AA17" s="33"/>
      <x:c r="AB17" s="185"/>
      <x:c r="AC17" s="185"/>
      <x:c r="AD17" s="185"/>
      <x:c r="AE17" s="35"/>
      <x:c r="AF17" s="36"/>
      <x:c r="AG17" s="33"/>
      <x:c r="AH17" s="185"/>
      <x:c r="AI17" s="185"/>
      <x:c r="AJ17" s="185"/>
      <x:c r="AK17" s="3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584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230">
        <x:v>100</x:v>
      </x:c>
      <x:c r="AX17" s="585" t="s">
        <x:v>1102</x:v>
      </x:c>
      <x:c r="AY17" s="33"/>
      <x:c r="AZ17" s="185"/>
      <x:c r="BA17" s="185"/>
      <x:c r="BB17" s="185"/>
      <x:c r="BC17" s="35"/>
      <x:c r="BD17" s="36"/>
      <x:c r="BE17" s="33"/>
      <x:c r="BF17" s="185"/>
      <x:c r="BG17" s="185"/>
      <x:c r="BH17" s="185"/>
      <x:c r="BI17" s="35"/>
      <x:c r="BJ17" s="36"/>
      <x:c r="BK17" s="33"/>
      <x:c r="BL17" s="185"/>
      <x:c r="BM17" s="185"/>
      <x:c r="BN17" s="185"/>
      <x:c r="BO17" s="35"/>
      <x:c r="BP17" s="36"/>
      <x:c r="BQ17" s="33"/>
      <x:c r="BR17" s="185"/>
      <x:c r="BS17" s="185"/>
      <x:c r="BT17" s="185"/>
      <x:c r="BU17" s="35"/>
      <x:c r="BV17" s="36"/>
    </x:row>
    <x:row r="18" spans="1:74" ht="22.5" customHeight="1" x14ac:dyDescent="0.25">
      <x:c r="A18" s="32" t="s">
        <x:v>151</x:v>
      </x:c>
      <x:c r="B18" s="32" t="s">
        <x:v>23</x:v>
      </x:c>
      <x:c r="C18" s="157"/>
      <x:c r="D18" s="158"/>
      <x:c r="E18" s="158"/>
      <x:c r="F18" s="158"/>
      <x:c r="G18" s="158"/>
      <x:c r="H18" s="159"/>
      <x:c r="I18" s="33"/>
      <x:c r="J18" s="185"/>
      <x:c r="K18" s="185"/>
      <x:c r="L18" s="185"/>
      <x:c r="M18" s="35"/>
      <x:c r="N18" s="36"/>
      <x:c r="O18" s="33"/>
      <x:c r="P18" s="185"/>
      <x:c r="Q18" s="185"/>
      <x:c r="R18" s="185"/>
      <x:c r="S18" s="35"/>
      <x:c r="T18" s="36"/>
      <x:c r="U18" s="33"/>
      <x:c r="V18" s="185"/>
      <x:c r="W18" s="185"/>
      <x:c r="X18" s="185"/>
      <x:c r="Y18" s="35"/>
      <x:c r="Z18" s="36"/>
      <x:c r="AA18" s="33"/>
      <x:c r="AB18" s="185"/>
      <x:c r="AC18" s="185"/>
      <x:c r="AD18" s="185"/>
      <x:c r="AE18" s="35"/>
      <x:c r="AF18" s="36"/>
      <x:c r="AG18" s="33"/>
      <x:c r="AH18" s="185"/>
      <x:c r="AI18" s="185"/>
      <x:c r="AJ18" s="185"/>
      <x:c r="AK18" s="3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84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230">
        <x:v>99</x:v>
      </x:c>
      <x:c r="AX18" s="585" t="s">
        <x:v>1102</x:v>
      </x:c>
      <x:c r="AY18" s="33"/>
      <x:c r="AZ18" s="185"/>
      <x:c r="BA18" s="185"/>
      <x:c r="BB18" s="185"/>
      <x:c r="BC18" s="35"/>
      <x:c r="BD18" s="36"/>
      <x:c r="BE18" s="33"/>
      <x:c r="BF18" s="185"/>
      <x:c r="BG18" s="185"/>
      <x:c r="BH18" s="185"/>
      <x:c r="BI18" s="35"/>
      <x:c r="BJ18" s="36"/>
      <x:c r="BK18" s="33"/>
      <x:c r="BL18" s="185"/>
      <x:c r="BM18" s="185"/>
      <x:c r="BN18" s="185"/>
      <x:c r="BO18" s="35"/>
      <x:c r="BP18" s="36"/>
      <x:c r="BQ18" s="33"/>
      <x:c r="BR18" s="185"/>
      <x:c r="BS18" s="185"/>
      <x:c r="BT18" s="185"/>
      <x:c r="BU18" s="35"/>
      <x:c r="BV18" s="36"/>
    </x:row>
    <x:row r="19" spans="1:74" ht="22.5" customHeight="1" x14ac:dyDescent="0.25">
      <x:c r="A19" s="32" t="s">
        <x:v>152</x:v>
      </x:c>
      <x:c r="B19" s="32" t="s">
        <x:v>23</x:v>
      </x:c>
      <x:c r="C19" s="157"/>
      <x:c r="D19" s="158"/>
      <x:c r="E19" s="158"/>
      <x:c r="F19" s="158"/>
      <x:c r="G19" s="158"/>
      <x:c r="H19" s="159"/>
      <x:c r="I19" s="33"/>
      <x:c r="J19" s="185"/>
      <x:c r="K19" s="185"/>
      <x:c r="L19" s="185"/>
      <x:c r="M19" s="35"/>
      <x:c r="N19" s="36"/>
      <x:c r="O19" s="33"/>
      <x:c r="P19" s="185"/>
      <x:c r="Q19" s="185"/>
      <x:c r="R19" s="185"/>
      <x:c r="S19" s="35"/>
      <x:c r="T19" s="36"/>
      <x:c r="U19" s="33"/>
      <x:c r="V19" s="185"/>
      <x:c r="W19" s="185"/>
      <x:c r="X19" s="185"/>
      <x:c r="Y19" s="35"/>
      <x:c r="Z19" s="36"/>
      <x:c r="AA19" s="33"/>
      <x:c r="AB19" s="185"/>
      <x:c r="AC19" s="185"/>
      <x:c r="AD19" s="185"/>
      <x:c r="AE19" s="35"/>
      <x:c r="AF19" s="36"/>
      <x:c r="AG19" s="33"/>
      <x:c r="AH19" s="185"/>
      <x:c r="AI19" s="185"/>
      <x:c r="AJ19" s="185"/>
      <x:c r="AK19" s="3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584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230">
        <x:v>100</x:v>
      </x:c>
      <x:c r="AX19" s="585" t="s">
        <x:v>1102</x:v>
      </x:c>
      <x:c r="AY19" s="33"/>
      <x:c r="AZ19" s="185"/>
      <x:c r="BA19" s="185"/>
      <x:c r="BB19" s="185"/>
      <x:c r="BC19" s="35"/>
      <x:c r="BD19" s="36"/>
      <x:c r="BE19" s="33"/>
      <x:c r="BF19" s="185"/>
      <x:c r="BG19" s="185"/>
      <x:c r="BH19" s="185"/>
      <x:c r="BI19" s="35"/>
      <x:c r="BJ19" s="36"/>
      <x:c r="BK19" s="33"/>
      <x:c r="BL19" s="185"/>
      <x:c r="BM19" s="185"/>
      <x:c r="BN19" s="185"/>
      <x:c r="BO19" s="35"/>
      <x:c r="BP19" s="36"/>
      <x:c r="BQ19" s="33"/>
      <x:c r="BR19" s="185"/>
      <x:c r="BS19" s="185"/>
      <x:c r="BT19" s="185"/>
      <x:c r="BU19" s="35"/>
      <x:c r="BV19" s="36"/>
    </x:row>
    <x:row r="20" spans="1:74" ht="22.5" customHeight="1" x14ac:dyDescent="0.25">
      <x:c r="A20" s="586" t="s">
        <x:v>136</x:v>
      </x:c>
      <x:c r="B20" s="32" t="s">
        <x:v>14</x:v>
      </x:c>
      <x:c r="C20" s="157"/>
      <x:c r="D20" s="158"/>
      <x:c r="E20" s="158"/>
      <x:c r="F20" s="158"/>
      <x:c r="G20" s="158"/>
      <x:c r="H20" s="159"/>
      <x:c r="I20" s="33"/>
      <x:c r="J20" s="185"/>
      <x:c r="K20" s="185"/>
      <x:c r="L20" s="185"/>
      <x:c r="M20" s="35"/>
      <x:c r="N20" s="36"/>
      <x:c r="O20" s="33"/>
      <x:c r="P20" s="185"/>
      <x:c r="Q20" s="185"/>
      <x:c r="R20" s="185"/>
      <x:c r="S20" s="35"/>
      <x:c r="T20" s="36"/>
      <x:c r="U20" s="33"/>
      <x:c r="V20" s="185"/>
      <x:c r="W20" s="185"/>
      <x:c r="X20" s="185"/>
      <x:c r="Y20" s="35"/>
      <x:c r="Z20" s="36"/>
      <x:c r="AA20" s="33"/>
      <x:c r="AB20" s="185"/>
      <x:c r="AC20" s="185"/>
      <x:c r="AD20" s="185"/>
      <x:c r="AE20" s="35"/>
      <x:c r="AF20" s="36"/>
      <x:c r="AG20" s="33"/>
      <x:c r="AH20" s="185"/>
      <x:c r="AI20" s="185"/>
      <x:c r="AJ20" s="185"/>
      <x:c r="AK20" s="3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589">
        <x:v>0</x:v>
      </x:c>
      <x:c r="AR20" s="584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601">
        <x:v>0</x:v>
      </x:c>
      <x:c r="AX20" s="585" t="s">
        <x:v>1102</x:v>
      </x:c>
      <x:c r="AY20" s="33"/>
      <x:c r="AZ20" s="185"/>
      <x:c r="BA20" s="185"/>
      <x:c r="BB20" s="185"/>
      <x:c r="BC20" s="35"/>
      <x:c r="BD20" s="36"/>
      <x:c r="BE20" s="33"/>
      <x:c r="BF20" s="185"/>
      <x:c r="BG20" s="185"/>
      <x:c r="BH20" s="185"/>
      <x:c r="BI20" s="35"/>
      <x:c r="BJ20" s="36"/>
      <x:c r="BK20" s="33"/>
      <x:c r="BL20" s="185"/>
      <x:c r="BM20" s="185"/>
      <x:c r="BN20" s="185"/>
      <x:c r="BO20" s="35"/>
      <x:c r="BP20" s="36"/>
      <x:c r="BQ20" s="33"/>
      <x:c r="BR20" s="185"/>
      <x:c r="BS20" s="185"/>
      <x:c r="BT20" s="185"/>
      <x:c r="BU20" s="35"/>
      <x:c r="BV20" s="36"/>
    </x:row>
    <x:row r="21" spans="1:74" ht="22.5" customHeight="1" x14ac:dyDescent="0.25">
      <x:c r="A21" s="32" t="s">
        <x:v>153</x:v>
      </x:c>
      <x:c r="B21" s="32" t="s">
        <x:v>23</x:v>
      </x:c>
      <x:c r="C21" s="157"/>
      <x:c r="D21" s="158"/>
      <x:c r="E21" s="158"/>
      <x:c r="F21" s="158"/>
      <x:c r="G21" s="158"/>
      <x:c r="H21" s="159"/>
      <x:c r="I21" s="33"/>
      <x:c r="J21" s="185"/>
      <x:c r="K21" s="185"/>
      <x:c r="L21" s="185"/>
      <x:c r="M21" s="35"/>
      <x:c r="N21" s="36"/>
      <x:c r="O21" s="33"/>
      <x:c r="P21" s="185"/>
      <x:c r="Q21" s="185"/>
      <x:c r="R21" s="185"/>
      <x:c r="S21" s="35"/>
      <x:c r="T21" s="36"/>
      <x:c r="U21" s="33"/>
      <x:c r="V21" s="185"/>
      <x:c r="W21" s="185"/>
      <x:c r="X21" s="185"/>
      <x:c r="Y21" s="35"/>
      <x:c r="Z21" s="36"/>
      <x:c r="AA21" s="33"/>
      <x:c r="AB21" s="185"/>
      <x:c r="AC21" s="185"/>
      <x:c r="AD21" s="185"/>
      <x:c r="AE21" s="35"/>
      <x:c r="AF21" s="36"/>
      <x:c r="AG21" s="33"/>
      <x:c r="AH21" s="185"/>
      <x:c r="AI21" s="185"/>
      <x:c r="AJ21" s="185"/>
      <x:c r="AK21" s="3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584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230">
        <x:v>100</x:v>
      </x:c>
      <x:c r="AX21" s="585" t="s">
        <x:v>1102</x:v>
      </x:c>
      <x:c r="AY21" s="33"/>
      <x:c r="AZ21" s="185"/>
      <x:c r="BA21" s="185"/>
      <x:c r="BB21" s="185"/>
      <x:c r="BC21" s="35"/>
      <x:c r="BD21" s="36"/>
      <x:c r="BE21" s="33"/>
      <x:c r="BF21" s="185"/>
      <x:c r="BG21" s="185"/>
      <x:c r="BH21" s="185"/>
      <x:c r="BI21" s="35"/>
      <x:c r="BJ21" s="36"/>
      <x:c r="BK21" s="33"/>
      <x:c r="BL21" s="185"/>
      <x:c r="BM21" s="185"/>
      <x:c r="BN21" s="185"/>
      <x:c r="BO21" s="35"/>
      <x:c r="BP21" s="36"/>
      <x:c r="BQ21" s="33"/>
      <x:c r="BR21" s="185"/>
      <x:c r="BS21" s="185"/>
      <x:c r="BT21" s="185"/>
      <x:c r="BU21" s="35"/>
      <x:c r="BV21" s="36"/>
    </x:row>
    <x:row r="22" spans="1:74" ht="22.5" customHeight="1" x14ac:dyDescent="0.25">
      <x:c r="A22" s="32" t="s">
        <x:v>154</x:v>
      </x:c>
      <x:c r="B22" s="32" t="s">
        <x:v>23</x:v>
      </x:c>
      <x:c r="C22" s="157"/>
      <x:c r="D22" s="158"/>
      <x:c r="E22" s="158"/>
      <x:c r="F22" s="158"/>
      <x:c r="G22" s="158"/>
      <x:c r="H22" s="159"/>
      <x:c r="I22" s="33"/>
      <x:c r="J22" s="185"/>
      <x:c r="K22" s="185"/>
      <x:c r="L22" s="185"/>
      <x:c r="M22" s="35"/>
      <x:c r="N22" s="36"/>
      <x:c r="O22" s="33"/>
      <x:c r="P22" s="185"/>
      <x:c r="Q22" s="185"/>
      <x:c r="R22" s="185"/>
      <x:c r="S22" s="35"/>
      <x:c r="T22" s="36"/>
      <x:c r="U22" s="33"/>
      <x:c r="V22" s="185"/>
      <x:c r="W22" s="185"/>
      <x:c r="X22" s="185"/>
      <x:c r="Y22" s="35"/>
      <x:c r="Z22" s="36"/>
      <x:c r="AA22" s="33"/>
      <x:c r="AB22" s="185"/>
      <x:c r="AC22" s="185"/>
      <x:c r="AD22" s="185"/>
      <x:c r="AE22" s="35"/>
      <x:c r="AF22" s="36"/>
      <x:c r="AG22" s="33"/>
      <x:c r="AH22" s="185"/>
      <x:c r="AI22" s="185"/>
      <x:c r="AJ22" s="185"/>
      <x:c r="AK22" s="3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584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230">
        <x:v>100</x:v>
      </x:c>
      <x:c r="AX22" s="585" t="s">
        <x:v>1102</x:v>
      </x:c>
      <x:c r="AY22" s="33"/>
      <x:c r="AZ22" s="185"/>
      <x:c r="BA22" s="185"/>
      <x:c r="BB22" s="185"/>
      <x:c r="BC22" s="35"/>
      <x:c r="BD22" s="36"/>
      <x:c r="BE22" s="33"/>
      <x:c r="BF22" s="185"/>
      <x:c r="BG22" s="185"/>
      <x:c r="BH22" s="185"/>
      <x:c r="BI22" s="35"/>
      <x:c r="BJ22" s="36"/>
      <x:c r="BK22" s="33"/>
      <x:c r="BL22" s="185"/>
      <x:c r="BM22" s="185"/>
      <x:c r="BN22" s="185"/>
      <x:c r="BO22" s="35"/>
      <x:c r="BP22" s="36"/>
      <x:c r="BQ22" s="33"/>
      <x:c r="BR22" s="185"/>
      <x:c r="BS22" s="185"/>
      <x:c r="BT22" s="185"/>
      <x:c r="BU22" s="35"/>
      <x:c r="BV22" s="36"/>
    </x:row>
    <x:row r="23" spans="1:74" ht="22.5" customHeight="1" x14ac:dyDescent="0.25">
      <x:c r="A23" s="32" t="s">
        <x:v>139</x:v>
      </x:c>
      <x:c r="B23" s="32" t="s">
        <x:v>16</x:v>
      </x:c>
      <x:c r="C23" s="157"/>
      <x:c r="D23" s="158"/>
      <x:c r="E23" s="158"/>
      <x:c r="F23" s="158"/>
      <x:c r="G23" s="158"/>
      <x:c r="H23" s="159"/>
      <x:c r="I23" s="33"/>
      <x:c r="J23" s="185"/>
      <x:c r="K23" s="185"/>
      <x:c r="L23" s="185"/>
      <x:c r="M23" s="35"/>
      <x:c r="N23" s="36"/>
      <x:c r="O23" s="33"/>
      <x:c r="P23" s="185"/>
      <x:c r="Q23" s="185"/>
      <x:c r="R23" s="185"/>
      <x:c r="S23" s="35"/>
      <x:c r="T23" s="36"/>
      <x:c r="U23" s="33"/>
      <x:c r="V23" s="185"/>
      <x:c r="W23" s="185"/>
      <x:c r="X23" s="185"/>
      <x:c r="Y23" s="35"/>
      <x:c r="Z23" s="36"/>
      <x:c r="AA23" s="33"/>
      <x:c r="AB23" s="185"/>
      <x:c r="AC23" s="185"/>
      <x:c r="AD23" s="185"/>
      <x:c r="AE23" s="35"/>
      <x:c r="AF23" s="36"/>
      <x:c r="AG23" s="33"/>
      <x:c r="AH23" s="185"/>
      <x:c r="AI23" s="185"/>
      <x:c r="AJ23" s="185"/>
      <x:c r="AK23" s="3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584" t="s">
        <x:v>1102</x:v>
      </x:c>
      <x:c r="AS23" s="157">
        <x:v>100</x:v>
      </x:c>
      <x:c r="AT23" s="158">
        <x:v>100</x:v>
      </x:c>
      <x:c r="AU23" s="158">
        <x:v>100</x:v>
      </x:c>
      <x:c r="AV23" s="158">
        <x:v>100</x:v>
      </x:c>
      <x:c r="AW23" s="230">
        <x:v>100</x:v>
      </x:c>
      <x:c r="AX23" s="585" t="s">
        <x:v>1102</x:v>
      </x:c>
      <x:c r="AY23" s="33"/>
      <x:c r="AZ23" s="185"/>
      <x:c r="BA23" s="185"/>
      <x:c r="BB23" s="185"/>
      <x:c r="BC23" s="35"/>
      <x:c r="BD23" s="36"/>
      <x:c r="BE23" s="33"/>
      <x:c r="BF23" s="185"/>
      <x:c r="BG23" s="185"/>
      <x:c r="BH23" s="185"/>
      <x:c r="BI23" s="35"/>
      <x:c r="BJ23" s="36"/>
      <x:c r="BK23" s="33"/>
      <x:c r="BL23" s="185"/>
      <x:c r="BM23" s="185"/>
      <x:c r="BN23" s="185"/>
      <x:c r="BO23" s="35"/>
      <x:c r="BP23" s="36"/>
      <x:c r="BQ23" s="33"/>
      <x:c r="BR23" s="185"/>
      <x:c r="BS23" s="185"/>
      <x:c r="BT23" s="185"/>
      <x:c r="BU23" s="35"/>
      <x:c r="BV23" s="36"/>
    </x:row>
    <x:row r="24" spans="1:74" ht="22.5" customHeight="1" x14ac:dyDescent="0.25">
      <x:c r="A24" s="587" t="s">
        <x:v>1107</x:v>
      </x:c>
      <x:c r="B24" s="32"/>
      <x:c r="C24" s="157"/>
      <x:c r="D24" s="158"/>
      <x:c r="E24" s="158"/>
      <x:c r="F24" s="158"/>
      <x:c r="G24" s="158"/>
      <x:c r="H24" s="159"/>
      <x:c r="I24" s="33"/>
      <x:c r="J24" s="185"/>
      <x:c r="K24" s="185"/>
      <x:c r="L24" s="185"/>
      <x:c r="M24" s="35"/>
      <x:c r="N24" s="36"/>
      <x:c r="O24" s="33"/>
      <x:c r="P24" s="185"/>
      <x:c r="Q24" s="185"/>
      <x:c r="R24" s="185"/>
      <x:c r="S24" s="35"/>
      <x:c r="T24" s="36"/>
      <x:c r="U24" s="33"/>
      <x:c r="V24" s="185"/>
      <x:c r="W24" s="185"/>
      <x:c r="X24" s="185"/>
      <x:c r="Y24" s="35"/>
      <x:c r="Z24" s="36"/>
      <x:c r="AA24" s="33"/>
      <x:c r="AB24" s="185"/>
      <x:c r="AC24" s="185"/>
      <x:c r="AD24" s="185"/>
      <x:c r="AE24" s="35"/>
      <x:c r="AF24" s="36"/>
      <x:c r="AG24" s="33"/>
      <x:c r="AH24" s="185"/>
      <x:c r="AI24" s="185"/>
      <x:c r="AJ24" s="185"/>
      <x:c r="AK24" s="35"/>
      <x:c r="AL24" s="36"/>
      <x:c r="AM24" s="157">
        <x:v>10</x:v>
      </x:c>
      <x:c r="AN24" s="589">
        <x:v>0</x:v>
      </x:c>
      <x:c r="AO24" s="589">
        <x:v>0</x:v>
      </x:c>
      <x:c r="AP24" s="589">
        <x:v>0</x:v>
      </x:c>
      <x:c r="AQ24" s="589">
        <x:v>0</x:v>
      </x:c>
      <x:c r="AR24" s="584" t="s">
        <x:v>1102</x:v>
      </x:c>
      <x:c r="AS24" s="588">
        <x:v>0</x:v>
      </x:c>
      <x:c r="AT24" s="589">
        <x:v>0</x:v>
      </x:c>
      <x:c r="AU24" s="589">
        <x:v>0</x:v>
      </x:c>
      <x:c r="AV24" s="589">
        <x:v>0</x:v>
      </x:c>
      <x:c r="AW24" s="590">
        <x:v>0</x:v>
      </x:c>
      <x:c r="AX24" s="591" t="s">
        <x:v>1103</x:v>
      </x:c>
      <x:c r="AY24" s="33"/>
      <x:c r="AZ24" s="185"/>
      <x:c r="BA24" s="185"/>
      <x:c r="BB24" s="185"/>
      <x:c r="BC24" s="35"/>
      <x:c r="BD24" s="36"/>
      <x:c r="BE24" s="33"/>
      <x:c r="BF24" s="185"/>
      <x:c r="BG24" s="185"/>
      <x:c r="BH24" s="185"/>
      <x:c r="BI24" s="35"/>
      <x:c r="BJ24" s="36"/>
      <x:c r="BK24" s="33"/>
      <x:c r="BL24" s="185"/>
      <x:c r="BM24" s="185"/>
      <x:c r="BN24" s="185"/>
      <x:c r="BO24" s="35"/>
      <x:c r="BP24" s="36"/>
      <x:c r="BQ24" s="33"/>
      <x:c r="BR24" s="185"/>
      <x:c r="BS24" s="185"/>
      <x:c r="BT24" s="185"/>
      <x:c r="BU24" s="35"/>
      <x:c r="BV24" s="36"/>
    </x:row>
    <x:row r="25" spans="1:74" ht="22.5" customHeight="1" x14ac:dyDescent="0.25">
      <x:c r="A25" s="32" t="s">
        <x:v>155</x:v>
      </x:c>
      <x:c r="B25" s="32" t="s">
        <x:v>23</x:v>
      </x:c>
      <x:c r="C25" s="157"/>
      <x:c r="D25" s="158"/>
      <x:c r="E25" s="158"/>
      <x:c r="F25" s="158"/>
      <x:c r="G25" s="158"/>
      <x:c r="H25" s="159"/>
      <x:c r="I25" s="33"/>
      <x:c r="J25" s="185"/>
      <x:c r="K25" s="185"/>
      <x:c r="L25" s="185"/>
      <x:c r="M25" s="35"/>
      <x:c r="N25" s="36"/>
      <x:c r="O25" s="33"/>
      <x:c r="P25" s="185"/>
      <x:c r="Q25" s="185"/>
      <x:c r="R25" s="185"/>
      <x:c r="S25" s="35"/>
      <x:c r="T25" s="36"/>
      <x:c r="U25" s="33"/>
      <x:c r="V25" s="185"/>
      <x:c r="W25" s="185"/>
      <x:c r="X25" s="185"/>
      <x:c r="Y25" s="35"/>
      <x:c r="Z25" s="36"/>
      <x:c r="AA25" s="33"/>
      <x:c r="AB25" s="185"/>
      <x:c r="AC25" s="185"/>
      <x:c r="AD25" s="185"/>
      <x:c r="AE25" s="35"/>
      <x:c r="AF25" s="36"/>
      <x:c r="AG25" s="33"/>
      <x:c r="AH25" s="185"/>
      <x:c r="AI25" s="185"/>
      <x:c r="AJ25" s="185"/>
      <x:c r="AK25" s="35"/>
      <x:c r="AL25" s="36"/>
      <x:c r="AM25" s="157">
        <x:v>100</x:v>
      </x:c>
      <x:c r="AN25" s="158">
        <x:v>100</x:v>
      </x:c>
      <x:c r="AO25" s="158">
        <x:v>100</x:v>
      </x:c>
      <x:c r="AP25" s="158">
        <x:v>100</x:v>
      </x:c>
      <x:c r="AQ25" s="158">
        <x:v>100</x:v>
      </x:c>
      <x:c r="AR25" s="584" t="s">
        <x:v>1102</x:v>
      </x:c>
      <x:c r="AS25" s="157">
        <x:v>100</x:v>
      </x:c>
      <x:c r="AT25" s="158">
        <x:v>100</x:v>
      </x:c>
      <x:c r="AU25" s="158">
        <x:v>100</x:v>
      </x:c>
      <x:c r="AV25" s="158">
        <x:v>100</x:v>
      </x:c>
      <x:c r="AW25" s="230">
        <x:v>100</x:v>
      </x:c>
      <x:c r="AX25" s="585" t="s">
        <x:v>1102</x:v>
      </x:c>
      <x:c r="AY25" s="33"/>
      <x:c r="AZ25" s="185"/>
      <x:c r="BA25" s="185"/>
      <x:c r="BB25" s="185"/>
      <x:c r="BC25" s="35"/>
      <x:c r="BD25" s="36"/>
      <x:c r="BE25" s="33"/>
      <x:c r="BF25" s="185"/>
      <x:c r="BG25" s="185"/>
      <x:c r="BH25" s="185"/>
      <x:c r="BI25" s="35"/>
      <x:c r="BJ25" s="36"/>
      <x:c r="BK25" s="33"/>
      <x:c r="BL25" s="185"/>
      <x:c r="BM25" s="185"/>
      <x:c r="BN25" s="185"/>
      <x:c r="BO25" s="35"/>
      <x:c r="BP25" s="36"/>
      <x:c r="BQ25" s="33"/>
      <x:c r="BR25" s="185"/>
      <x:c r="BS25" s="185"/>
      <x:c r="BT25" s="185"/>
      <x:c r="BU25" s="35"/>
      <x:c r="BV25" s="36"/>
    </x:row>
    <x:row r="26" spans="1:74" ht="22.5" customHeight="1" x14ac:dyDescent="0.25">
      <x:c r="A26" s="587" t="s">
        <x:v>140</x:v>
      </x:c>
      <x:c r="B26" s="32" t="s">
        <x:v>16</x:v>
      </x:c>
      <x:c r="C26" s="157"/>
      <x:c r="D26" s="158"/>
      <x:c r="E26" s="158"/>
      <x:c r="F26" s="158"/>
      <x:c r="G26" s="158"/>
      <x:c r="H26" s="159"/>
      <x:c r="I26" s="33"/>
      <x:c r="J26" s="185"/>
      <x:c r="K26" s="185"/>
      <x:c r="L26" s="185"/>
      <x:c r="M26" s="35"/>
      <x:c r="N26" s="36"/>
      <x:c r="O26" s="33"/>
      <x:c r="P26" s="185"/>
      <x:c r="Q26" s="185"/>
      <x:c r="R26" s="185"/>
      <x:c r="S26" s="35"/>
      <x:c r="T26" s="36"/>
      <x:c r="U26" s="33"/>
      <x:c r="V26" s="185"/>
      <x:c r="W26" s="185"/>
      <x:c r="X26" s="185"/>
      <x:c r="Y26" s="35"/>
      <x:c r="Z26" s="36"/>
      <x:c r="AA26" s="33"/>
      <x:c r="AB26" s="185"/>
      <x:c r="AC26" s="185"/>
      <x:c r="AD26" s="185"/>
      <x:c r="AE26" s="35"/>
      <x:c r="AF26" s="36"/>
      <x:c r="AG26" s="33"/>
      <x:c r="AH26" s="185"/>
      <x:c r="AI26" s="185"/>
      <x:c r="AJ26" s="185"/>
      <x:c r="AK26" s="35"/>
      <x:c r="AL26" s="36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584" t="s">
        <x:v>1102</x:v>
      </x:c>
      <x:c r="AS26" s="588">
        <x:v>0</x:v>
      </x:c>
      <x:c r="AT26" s="589">
        <x:v>0</x:v>
      </x:c>
      <x:c r="AU26" s="589">
        <x:v>0</x:v>
      </x:c>
      <x:c r="AV26" s="589">
        <x:v>0</x:v>
      </x:c>
      <x:c r="AW26" s="590">
        <x:v>0</x:v>
      </x:c>
      <x:c r="AX26" s="591" t="s">
        <x:v>1103</x:v>
      </x:c>
      <x:c r="AY26" s="33"/>
      <x:c r="AZ26" s="185"/>
      <x:c r="BA26" s="185"/>
      <x:c r="BB26" s="185"/>
      <x:c r="BC26" s="35"/>
      <x:c r="BD26" s="36"/>
      <x:c r="BE26" s="33"/>
      <x:c r="BF26" s="185"/>
      <x:c r="BG26" s="185"/>
      <x:c r="BH26" s="185"/>
      <x:c r="BI26" s="35"/>
      <x:c r="BJ26" s="36"/>
      <x:c r="BK26" s="33"/>
      <x:c r="BL26" s="185"/>
      <x:c r="BM26" s="185"/>
      <x:c r="BN26" s="185"/>
      <x:c r="BO26" s="35"/>
      <x:c r="BP26" s="36"/>
      <x:c r="BQ26" s="33"/>
      <x:c r="BR26" s="185"/>
      <x:c r="BS26" s="185"/>
      <x:c r="BT26" s="185"/>
      <x:c r="BU26" s="35"/>
      <x:c r="BV26" s="36"/>
    </x:row>
    <x:row r="27" spans="1:74" ht="22.5" customHeight="1" x14ac:dyDescent="0.25">
      <x:c r="A27" s="32" t="s">
        <x:v>141</x:v>
      </x:c>
      <x:c r="B27" s="32" t="s">
        <x:v>16</x:v>
      </x:c>
      <x:c r="C27" s="157"/>
      <x:c r="D27" s="158"/>
      <x:c r="E27" s="158"/>
      <x:c r="F27" s="158"/>
      <x:c r="G27" s="158"/>
      <x:c r="H27" s="159"/>
      <x:c r="I27" s="33"/>
      <x:c r="J27" s="185"/>
      <x:c r="K27" s="185"/>
      <x:c r="L27" s="185"/>
      <x:c r="M27" s="35"/>
      <x:c r="N27" s="36"/>
      <x:c r="O27" s="33"/>
      <x:c r="P27" s="185"/>
      <x:c r="Q27" s="185"/>
      <x:c r="R27" s="185"/>
      <x:c r="S27" s="35"/>
      <x:c r="T27" s="36"/>
      <x:c r="U27" s="33"/>
      <x:c r="V27" s="185"/>
      <x:c r="W27" s="185"/>
      <x:c r="X27" s="185"/>
      <x:c r="Y27" s="35"/>
      <x:c r="Z27" s="36"/>
      <x:c r="AA27" s="33"/>
      <x:c r="AB27" s="185"/>
      <x:c r="AC27" s="185"/>
      <x:c r="AD27" s="185"/>
      <x:c r="AE27" s="35"/>
      <x:c r="AF27" s="36"/>
      <x:c r="AG27" s="33"/>
      <x:c r="AH27" s="185"/>
      <x:c r="AI27" s="185"/>
      <x:c r="AJ27" s="185"/>
      <x:c r="AK27" s="35"/>
      <x:c r="AL27" s="36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584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230">
        <x:v>100</x:v>
      </x:c>
      <x:c r="AX27" s="585" t="s">
        <x:v>1102</x:v>
      </x:c>
      <x:c r="AY27" s="33"/>
      <x:c r="AZ27" s="185"/>
      <x:c r="BA27" s="185"/>
      <x:c r="BB27" s="185"/>
      <x:c r="BC27" s="35"/>
      <x:c r="BD27" s="36"/>
      <x:c r="BE27" s="33"/>
      <x:c r="BF27" s="185"/>
      <x:c r="BG27" s="185"/>
      <x:c r="BH27" s="185"/>
      <x:c r="BI27" s="35"/>
      <x:c r="BJ27" s="36"/>
      <x:c r="BK27" s="33"/>
      <x:c r="BL27" s="185"/>
      <x:c r="BM27" s="185"/>
      <x:c r="BN27" s="185"/>
      <x:c r="BO27" s="35"/>
      <x:c r="BP27" s="36"/>
      <x:c r="BQ27" s="33"/>
      <x:c r="BR27" s="185"/>
      <x:c r="BS27" s="185"/>
      <x:c r="BT27" s="185"/>
      <x:c r="BU27" s="35"/>
      <x:c r="BV27" s="36"/>
    </x:row>
    <x:row r="28" spans="1:74" ht="22.5" customHeight="1" x14ac:dyDescent="0.25">
      <x:c r="A28" s="32" t="s">
        <x:v>156</x:v>
      </x:c>
      <x:c r="B28" s="32" t="s">
        <x:v>23</x:v>
      </x:c>
      <x:c r="C28" s="157"/>
      <x:c r="D28" s="158"/>
      <x:c r="E28" s="158"/>
      <x:c r="F28" s="158"/>
      <x:c r="G28" s="158"/>
      <x:c r="H28" s="159"/>
      <x:c r="I28" s="33"/>
      <x:c r="J28" s="185"/>
      <x:c r="K28" s="185"/>
      <x:c r="L28" s="185"/>
      <x:c r="M28" s="35"/>
      <x:c r="N28" s="36"/>
      <x:c r="O28" s="33"/>
      <x:c r="P28" s="185"/>
      <x:c r="Q28" s="185"/>
      <x:c r="R28" s="185"/>
      <x:c r="S28" s="35"/>
      <x:c r="T28" s="36"/>
      <x:c r="U28" s="33"/>
      <x:c r="V28" s="185"/>
      <x:c r="W28" s="185"/>
      <x:c r="X28" s="185"/>
      <x:c r="Y28" s="35"/>
      <x:c r="Z28" s="36"/>
      <x:c r="AA28" s="33"/>
      <x:c r="AB28" s="185"/>
      <x:c r="AC28" s="185"/>
      <x:c r="AD28" s="185"/>
      <x:c r="AE28" s="35"/>
      <x:c r="AF28" s="36"/>
      <x:c r="AG28" s="33"/>
      <x:c r="AH28" s="185"/>
      <x:c r="AI28" s="185"/>
      <x:c r="AJ28" s="185"/>
      <x:c r="AK28" s="35"/>
      <x:c r="AL28" s="36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584" t="s">
        <x:v>1102</x:v>
      </x:c>
      <x:c r="AS28" s="157">
        <x:v>100</x:v>
      </x:c>
      <x:c r="AT28" s="158">
        <x:v>100</x:v>
      </x:c>
      <x:c r="AU28" s="158">
        <x:v>100</x:v>
      </x:c>
      <x:c r="AV28" s="158">
        <x:v>100</x:v>
      </x:c>
      <x:c r="AW28" s="230">
        <x:v>100</x:v>
      </x:c>
      <x:c r="AX28" s="585" t="s">
        <x:v>1102</x:v>
      </x:c>
      <x:c r="AY28" s="33"/>
      <x:c r="AZ28" s="185"/>
      <x:c r="BA28" s="185"/>
      <x:c r="BB28" s="185"/>
      <x:c r="BC28" s="35"/>
      <x:c r="BD28" s="36"/>
      <x:c r="BE28" s="33"/>
      <x:c r="BF28" s="185"/>
      <x:c r="BG28" s="185"/>
      <x:c r="BH28" s="185"/>
      <x:c r="BI28" s="35"/>
      <x:c r="BJ28" s="36"/>
      <x:c r="BK28" s="33"/>
      <x:c r="BL28" s="185"/>
      <x:c r="BM28" s="185"/>
      <x:c r="BN28" s="185"/>
      <x:c r="BO28" s="35"/>
      <x:c r="BP28" s="36"/>
      <x:c r="BQ28" s="33"/>
      <x:c r="BR28" s="185"/>
      <x:c r="BS28" s="185"/>
      <x:c r="BT28" s="185"/>
      <x:c r="BU28" s="35"/>
      <x:c r="BV28" s="36"/>
    </x:row>
    <x:row r="29" spans="1:74" ht="22.5" customHeight="1" x14ac:dyDescent="0.25">
      <x:c r="A29" s="32" t="s">
        <x:v>157</x:v>
      </x:c>
      <x:c r="B29" s="32" t="s">
        <x:v>23</x:v>
      </x:c>
      <x:c r="C29" s="157"/>
      <x:c r="D29" s="158"/>
      <x:c r="E29" s="158"/>
      <x:c r="F29" s="158"/>
      <x:c r="G29" s="158"/>
      <x:c r="H29" s="159"/>
      <x:c r="I29" s="33"/>
      <x:c r="J29" s="185"/>
      <x:c r="K29" s="185"/>
      <x:c r="L29" s="185"/>
      <x:c r="M29" s="35"/>
      <x:c r="N29" s="36"/>
      <x:c r="O29" s="33"/>
      <x:c r="P29" s="185"/>
      <x:c r="Q29" s="185"/>
      <x:c r="R29" s="185"/>
      <x:c r="S29" s="35"/>
      <x:c r="T29" s="36"/>
      <x:c r="U29" s="33"/>
      <x:c r="V29" s="185"/>
      <x:c r="W29" s="185"/>
      <x:c r="X29" s="185"/>
      <x:c r="Y29" s="35"/>
      <x:c r="Z29" s="36"/>
      <x:c r="AA29" s="33"/>
      <x:c r="AB29" s="185"/>
      <x:c r="AC29" s="185"/>
      <x:c r="AD29" s="185"/>
      <x:c r="AE29" s="35"/>
      <x:c r="AF29" s="36"/>
      <x:c r="AG29" s="33"/>
      <x:c r="AH29" s="185"/>
      <x:c r="AI29" s="185"/>
      <x:c r="AJ29" s="185"/>
      <x:c r="AK29" s="35"/>
      <x:c r="AL29" s="36"/>
      <x:c r="AM29" s="157">
        <x:v>100</x:v>
      </x:c>
      <x:c r="AN29" s="158">
        <x:v>100</x:v>
      </x:c>
      <x:c r="AO29" s="158">
        <x:v>100</x:v>
      </x:c>
      <x:c r="AP29" s="158">
        <x:v>100</x:v>
      </x:c>
      <x:c r="AQ29" s="158">
        <x:v>100</x:v>
      </x:c>
      <x:c r="AR29" s="584" t="s">
        <x:v>1102</x:v>
      </x:c>
      <x:c r="AS29" s="157">
        <x:v>100</x:v>
      </x:c>
      <x:c r="AT29" s="158">
        <x:v>100</x:v>
      </x:c>
      <x:c r="AU29" s="158">
        <x:v>100</x:v>
      </x:c>
      <x:c r="AV29" s="158">
        <x:v>100</x:v>
      </x:c>
      <x:c r="AW29" s="230">
        <x:v>100</x:v>
      </x:c>
      <x:c r="AX29" s="585" t="s">
        <x:v>1102</x:v>
      </x:c>
      <x:c r="AY29" s="33"/>
      <x:c r="AZ29" s="185"/>
      <x:c r="BA29" s="185"/>
      <x:c r="BB29" s="185"/>
      <x:c r="BC29" s="35"/>
      <x:c r="BD29" s="36"/>
      <x:c r="BE29" s="33"/>
      <x:c r="BF29" s="185"/>
      <x:c r="BG29" s="185"/>
      <x:c r="BH29" s="185"/>
      <x:c r="BI29" s="35"/>
      <x:c r="BJ29" s="36"/>
      <x:c r="BK29" s="33"/>
      <x:c r="BL29" s="185"/>
      <x:c r="BM29" s="185"/>
      <x:c r="BN29" s="185"/>
      <x:c r="BO29" s="35"/>
      <x:c r="BP29" s="36"/>
      <x:c r="BQ29" s="33"/>
      <x:c r="BR29" s="185"/>
      <x:c r="BS29" s="185"/>
      <x:c r="BT29" s="185"/>
      <x:c r="BU29" s="35"/>
      <x:c r="BV29" s="36"/>
    </x:row>
    <x:row r="30" spans="1:74" ht="22.5" customHeight="1" x14ac:dyDescent="0.25">
      <x:c r="A30" s="32" t="s">
        <x:v>161</x:v>
      </x:c>
      <x:c r="B30" s="32" t="s">
        <x:v>37</x:v>
      </x:c>
      <x:c r="C30" s="157"/>
      <x:c r="D30" s="158"/>
      <x:c r="E30" s="158"/>
      <x:c r="F30" s="158"/>
      <x:c r="G30" s="158"/>
      <x:c r="H30" s="159"/>
      <x:c r="I30" s="33"/>
      <x:c r="J30" s="185"/>
      <x:c r="K30" s="185"/>
      <x:c r="L30" s="185"/>
      <x:c r="M30" s="35"/>
      <x:c r="N30" s="36"/>
      <x:c r="O30" s="33"/>
      <x:c r="P30" s="185"/>
      <x:c r="Q30" s="185"/>
      <x:c r="R30" s="185"/>
      <x:c r="S30" s="35"/>
      <x:c r="T30" s="36"/>
      <x:c r="U30" s="33"/>
      <x:c r="V30" s="185"/>
      <x:c r="W30" s="185"/>
      <x:c r="X30" s="185"/>
      <x:c r="Y30" s="35"/>
      <x:c r="Z30" s="36"/>
      <x:c r="AA30" s="33"/>
      <x:c r="AB30" s="185"/>
      <x:c r="AC30" s="185"/>
      <x:c r="AD30" s="185"/>
      <x:c r="AE30" s="35"/>
      <x:c r="AF30" s="36"/>
      <x:c r="AG30" s="33"/>
      <x:c r="AH30" s="185"/>
      <x:c r="AI30" s="185"/>
      <x:c r="AJ30" s="185"/>
      <x:c r="AK30" s="35"/>
      <x:c r="AL30" s="36"/>
      <x:c r="AM30" s="157">
        <x:v>100</x:v>
      </x:c>
      <x:c r="AN30" s="158">
        <x:v>100</x:v>
      </x:c>
      <x:c r="AO30" s="158">
        <x:v>100</x:v>
      </x:c>
      <x:c r="AP30" s="158">
        <x:v>100</x:v>
      </x:c>
      <x:c r="AQ30" s="158">
        <x:v>100</x:v>
      </x:c>
      <x:c r="AR30" s="584" t="s">
        <x:v>1102</x:v>
      </x:c>
      <x:c r="AS30" s="157">
        <x:v>100</x:v>
      </x:c>
      <x:c r="AT30" s="158">
        <x:v>100</x:v>
      </x:c>
      <x:c r="AU30" s="158">
        <x:v>100</x:v>
      </x:c>
      <x:c r="AV30" s="158">
        <x:v>100</x:v>
      </x:c>
      <x:c r="AW30" s="230">
        <x:v>100</x:v>
      </x:c>
      <x:c r="AX30" s="585" t="s">
        <x:v>1102</x:v>
      </x:c>
      <x:c r="AY30" s="33"/>
      <x:c r="AZ30" s="185"/>
      <x:c r="BA30" s="185"/>
      <x:c r="BB30" s="185"/>
      <x:c r="BC30" s="35"/>
      <x:c r="BD30" s="36"/>
      <x:c r="BE30" s="33"/>
      <x:c r="BF30" s="185"/>
      <x:c r="BG30" s="185"/>
      <x:c r="BH30" s="185"/>
      <x:c r="BI30" s="35"/>
      <x:c r="BJ30" s="36"/>
      <x:c r="BK30" s="33"/>
      <x:c r="BL30" s="185"/>
      <x:c r="BM30" s="185"/>
      <x:c r="BN30" s="185"/>
      <x:c r="BO30" s="35"/>
      <x:c r="BP30" s="36"/>
      <x:c r="BQ30" s="33"/>
      <x:c r="BR30" s="185"/>
      <x:c r="BS30" s="185"/>
      <x:c r="BT30" s="185"/>
      <x:c r="BU30" s="35"/>
      <x:c r="BV30" s="36"/>
    </x:row>
    <x:row r="31" spans="1:74" s="225" customFormat="1" x14ac:dyDescent="0.25">
      <x:c r="C31" s="501">
        <x:f>SUMPRODUCT((C3:C30&gt;=10)*(D3:D30&gt;=10)*(E3:E30&gt;=10)*(F3:F30&gt;=10)*(G3:G30&gt;=10))</x:f>
      </x:c>
      <x:c r="D31" s="502"/>
      <x:c r="E31" s="502"/>
      <x:c r="F31" s="502"/>
      <x:c r="G31" s="502"/>
      <x:c r="H31" s="227">
        <x:f>COUNTIF(H3:H30,"Да")</x:f>
      </x:c>
      <x:c r="I31" s="501">
        <x:f>SUMPRODUCT((I3:I30&gt;=10)*(J3:J30&gt;=10)*(K3:K30&gt;=10)*(L3:L30&gt;=10)*(M3:M30&gt;=10))</x:f>
      </x:c>
      <x:c r="J31" s="502"/>
      <x:c r="K31" s="502"/>
      <x:c r="L31" s="502"/>
      <x:c r="M31" s="502"/>
      <x:c r="N31" s="227">
        <x:f>COUNTIF(N3:N30,"Да")</x:f>
      </x:c>
      <x:c r="O31" s="501">
        <x:f>SUMPRODUCT((O3:O30&gt;=10)*(P3:P30&gt;=10)*(Q3:Q30&gt;=10)*(R3:R30&gt;=10)*(S3:S30&gt;=10))</x:f>
      </x:c>
      <x:c r="P31" s="502"/>
      <x:c r="Q31" s="502"/>
      <x:c r="R31" s="502"/>
      <x:c r="S31" s="502"/>
      <x:c r="T31" s="227">
        <x:f>COUNTIF(T3:T30,"Да")</x:f>
      </x:c>
      <x:c r="U31" s="501">
        <x:f>SUMPRODUCT((U3:U30&gt;=10)*(V3:V30&gt;=10)*(W3:W30&gt;=10)*(X3:X30&gt;=10)*(Y3:Y30&gt;=10))</x:f>
      </x:c>
      <x:c r="V31" s="502"/>
      <x:c r="W31" s="502"/>
      <x:c r="X31" s="502"/>
      <x:c r="Y31" s="502"/>
      <x:c r="Z31" s="227">
        <x:f>COUNTIF(Z3:Z30,"Да")</x:f>
      </x:c>
      <x:c r="AA31" s="501">
        <x:f>SUMPRODUCT((AA3:AA30&gt;=10)*(AB3:AB30&gt;=10)*(AC3:AC30&gt;=10)*(AD3:AD30&gt;=10)*(AE3:AE30&gt;=10))</x:f>
      </x:c>
      <x:c r="AB31" s="502"/>
      <x:c r="AC31" s="502"/>
      <x:c r="AD31" s="502"/>
      <x:c r="AE31" s="502"/>
      <x:c r="AF31" s="227">
        <x:f>COUNTIF(AF3:AF30,"Да")</x:f>
      </x:c>
      <x:c r="AG31" s="501">
        <x:f>SUMPRODUCT((AG3:AG30&gt;=10)*(AH3:AH30&gt;=10)*(AI3:AI30&gt;=10)*(AJ3:AJ30&gt;=10)*(AK3:AK30&gt;=10))</x:f>
      </x:c>
      <x:c r="AH31" s="502"/>
      <x:c r="AI31" s="502"/>
      <x:c r="AJ31" s="502"/>
      <x:c r="AK31" s="502"/>
      <x:c r="AL31" s="227">
        <x:f>COUNTIF(AL3:AL30,"Да")</x:f>
      </x:c>
      <x:c r="AM31" s="501">
        <x:f>SUMPRODUCT((AM3:AM30&gt;=10)*(AN3:AN30&gt;=10)*(AO3:AO30&gt;=10)*(AP3:AP30&gt;=10)*(AQ3:AQ30&gt;=10))</x:f>
      </x:c>
      <x:c r="AN31" s="502"/>
      <x:c r="AO31" s="502"/>
      <x:c r="AP31" s="502"/>
      <x:c r="AQ31" s="502"/>
      <x:c r="AR31" s="227">
        <x:f>COUNTIF(AR3:AR30,"Да")</x:f>
      </x:c>
      <x:c r="AS31" s="501">
        <x:f>SUMPRODUCT((AS3:AS30&gt;=10)*(AT3:AT30&gt;=10)*(AU3:AU30&gt;=10)*(AV3:AV30&gt;=10)*(AW3:AW30&gt;=10))</x:f>
      </x:c>
      <x:c r="AT31" s="502"/>
      <x:c r="AU31" s="502"/>
      <x:c r="AV31" s="502"/>
      <x:c r="AW31" s="502"/>
      <x:c r="AX31" s="227">
        <x:f>COUNTIF(AX3:AX30,"Да")</x:f>
      </x:c>
      <x:c r="AY31" s="501">
        <x:f>SUMPRODUCT((AY3:AY30&gt;=10)*(AZ3:AZ30&gt;=10)*(BA3:BA30&gt;=10)*(BB3:BB30&gt;=10)*(BC3:BC30&gt;=10))</x:f>
      </x:c>
      <x:c r="AZ31" s="502"/>
      <x:c r="BA31" s="502"/>
      <x:c r="BB31" s="502"/>
      <x:c r="BC31" s="502"/>
      <x:c r="BD31" s="227">
        <x:f>COUNTIF(BD3:BD30,"Да")</x:f>
      </x:c>
      <x:c r="BE31" s="501">
        <x:f>SUMPRODUCT((BE3:BE30&gt;=10)*(BF3:BF30&gt;=10)*(BG3:BG30&gt;=10)*(BH3:BH30&gt;=10)*(BI3:BI30&gt;=10))</x:f>
      </x:c>
      <x:c r="BF31" s="502"/>
      <x:c r="BG31" s="502"/>
      <x:c r="BH31" s="502"/>
      <x:c r="BI31" s="502"/>
      <x:c r="BJ31" s="227">
        <x:f>COUNTIF(BJ3:BJ30,"Да")</x:f>
      </x:c>
      <x:c r="BK31" s="501">
        <x:f>SUMPRODUCT((BK3:BK30&gt;=10)*(BL3:BL30&gt;=10)*(BM3:BM30&gt;=10)*(BN3:BN30&gt;=10)*(BO3:BO30&gt;=10))</x:f>
      </x:c>
      <x:c r="BL31" s="502"/>
      <x:c r="BM31" s="502"/>
      <x:c r="BN31" s="502"/>
      <x:c r="BO31" s="502"/>
      <x:c r="BP31" s="227">
        <x:f>COUNTIF(BP3:BP30,"Да")</x:f>
      </x:c>
      <x:c r="BQ31" s="501">
        <x:f>SUMPRODUCT((BQ3:BQ30&gt;=10)*(BR3:BR30&gt;=10)*(BS3:BS30&gt;=10)*(BT3:BT30&gt;=10)*(BU3:BU30&gt;=10))</x:f>
      </x:c>
      <x:c r="BR31" s="502"/>
      <x:c r="BS31" s="502"/>
      <x:c r="BT31" s="502"/>
      <x:c r="BU31" s="502"/>
      <x:c r="BV31" s="227">
        <x:f>COUNTIF(BV3:BV30,"Да")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31:G31"/>
    <x:mergeCell ref="I31:M31"/>
    <x:mergeCell ref="O31:S31"/>
    <x:mergeCell ref="U31:Y31"/>
    <x:mergeCell ref="AA31:AE31"/>
    <x:mergeCell ref="AG31:AK31"/>
    <x:mergeCell ref="AM31:AQ31"/>
    <x:mergeCell ref="AS31:AW31"/>
    <x:mergeCell ref="AY31:BC31"/>
    <x:mergeCell ref="BE31:BI31"/>
    <x:mergeCell ref="BK31:BO31"/>
    <x:mergeCell ref="BQ31:BU31"/>
  </x:mergeCells>
  <x:conditionalFormatting sqref="C3:BV30">
    <x:cfRule type="containsBlanks" dxfId="8" priority="1">
      <x:formula>LEN(TRIM(C3))=0</x:formula>
    </x:cfRule>
    <x:cfRule type="expression" priority="7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6"/>
  </x:conditionalFormatting>
  <x:conditionalFormatting sqref="A3:A27">
    <x:cfRule type="duplicateValues" dxfId="0" priority="8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BV50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74" width="9.140625" style="0" customWidth="1"/>
  </x:cols>
  <x:sheetData>
    <x:row r="1" spans="1:74" ht="23.25" customHeight="1" x14ac:dyDescent="0.3">
      <x:c r="A1" s="22" t="s">
        <x:v>1067</x:v>
      </x:c>
      <x:c r="B1" s="496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6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4.75" customHeight="1" x14ac:dyDescent="0.25">
      <x:c r="A3" s="3" t="s">
        <x:v>116</x:v>
      </x:c>
      <x:c r="B3" s="52" t="s">
        <x:v>37</x:v>
      </x:c>
      <x:c r="C3" s="154"/>
      <x:c r="D3" s="155"/>
      <x:c r="E3" s="155"/>
      <x:c r="F3" s="155"/>
      <x:c r="G3" s="155"/>
      <x:c r="H3" s="156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154">
        <x:v>100</x:v>
      </x:c>
      <x:c r="AN3" s="155">
        <x:v>100</x:v>
      </x:c>
      <x:c r="AO3" s="155">
        <x:v>100</x:v>
      </x:c>
      <x:c r="AP3" s="155">
        <x:v>100</x:v>
      </x:c>
      <x:c r="AQ3" s="155">
        <x:v>100</x:v>
      </x:c>
      <x:c r="AR3" s="582" t="s">
        <x:v>1102</x:v>
      </x:c>
      <x:c r="AS3" s="154">
        <x:v>100</x:v>
      </x:c>
      <x:c r="AT3" s="155">
        <x:v>100</x:v>
      </x:c>
      <x:c r="AU3" s="155">
        <x:v>100</x:v>
      </x:c>
      <x:c r="AV3" s="155">
        <x:v>100</x:v>
      </x:c>
      <x:c r="AW3" s="228">
        <x:v>100</x:v>
      </x:c>
      <x:c r="AX3" s="583" t="s">
        <x:v>1102</x:v>
      </x:c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ht="22.5" customHeight="1" x14ac:dyDescent="0.25">
      <x:c r="A4" s="3" t="s">
        <x:v>102</x:v>
      </x:c>
      <x:c r="B4" s="3" t="s">
        <x:v>23</x:v>
      </x:c>
      <x:c r="C4" s="157"/>
      <x:c r="D4" s="158"/>
      <x:c r="E4" s="158"/>
      <x:c r="F4" s="158"/>
      <x:c r="G4" s="158"/>
      <x:c r="H4" s="159"/>
      <x:c r="I4" s="33"/>
      <x:c r="J4" s="185"/>
      <x:c r="K4" s="185"/>
      <x:c r="L4" s="185"/>
      <x:c r="M4" s="35"/>
      <x:c r="N4" s="36"/>
      <x:c r="O4" s="33"/>
      <x:c r="P4" s="185"/>
      <x:c r="Q4" s="185"/>
      <x:c r="R4" s="185"/>
      <x:c r="S4" s="35"/>
      <x:c r="T4" s="36"/>
      <x:c r="U4" s="33"/>
      <x:c r="V4" s="185"/>
      <x:c r="W4" s="185"/>
      <x:c r="X4" s="185"/>
      <x:c r="Y4" s="35"/>
      <x:c r="Z4" s="36"/>
      <x:c r="AA4" s="33"/>
      <x:c r="AB4" s="185"/>
      <x:c r="AC4" s="185"/>
      <x:c r="AD4" s="185"/>
      <x:c r="AE4" s="35"/>
      <x:c r="AF4" s="36"/>
      <x:c r="AG4" s="33"/>
      <x:c r="AH4" s="185"/>
      <x:c r="AI4" s="185"/>
      <x:c r="AJ4" s="185"/>
      <x:c r="AK4" s="3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584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230">
        <x:v>100</x:v>
      </x:c>
      <x:c r="AX4" s="585" t="s">
        <x:v>1102</x:v>
      </x:c>
      <x:c r="AY4" s="33"/>
      <x:c r="AZ4" s="185"/>
      <x:c r="BA4" s="185"/>
      <x:c r="BB4" s="185"/>
      <x:c r="BC4" s="35"/>
      <x:c r="BD4" s="36"/>
      <x:c r="BE4" s="33"/>
      <x:c r="BF4" s="185"/>
      <x:c r="BG4" s="185"/>
      <x:c r="BH4" s="185"/>
      <x:c r="BI4" s="35"/>
      <x:c r="BJ4" s="36"/>
      <x:c r="BK4" s="33"/>
      <x:c r="BL4" s="185"/>
      <x:c r="BM4" s="185"/>
      <x:c r="BN4" s="185"/>
      <x:c r="BO4" s="35"/>
      <x:c r="BP4" s="36"/>
      <x:c r="BQ4" s="33"/>
      <x:c r="BR4" s="185"/>
      <x:c r="BS4" s="185"/>
      <x:c r="BT4" s="185"/>
      <x:c r="BU4" s="35"/>
      <x:c r="BV4" s="36"/>
    </x:row>
    <x:row r="5" spans="1:74" ht="22.5" customHeight="1" x14ac:dyDescent="0.25">
      <x:c r="A5" s="605" t="s">
        <x:v>88</x:v>
      </x:c>
      <x:c r="B5" s="3" t="s">
        <x:v>14</x:v>
      </x:c>
      <x:c r="C5" s="157"/>
      <x:c r="D5" s="158"/>
      <x:c r="E5" s="158"/>
      <x:c r="F5" s="158"/>
      <x:c r="G5" s="158"/>
      <x:c r="H5" s="159"/>
      <x:c r="I5" s="33"/>
      <x:c r="J5" s="185"/>
      <x:c r="K5" s="185"/>
      <x:c r="L5" s="185"/>
      <x:c r="M5" s="35"/>
      <x:c r="N5" s="36"/>
      <x:c r="O5" s="33"/>
      <x:c r="P5" s="185"/>
      <x:c r="Q5" s="185"/>
      <x:c r="R5" s="185"/>
      <x:c r="S5" s="35"/>
      <x:c r="T5" s="36"/>
      <x:c r="U5" s="33"/>
      <x:c r="V5" s="185"/>
      <x:c r="W5" s="185"/>
      <x:c r="X5" s="185"/>
      <x:c r="Y5" s="35"/>
      <x:c r="Z5" s="36"/>
      <x:c r="AA5" s="33"/>
      <x:c r="AB5" s="185"/>
      <x:c r="AC5" s="185"/>
      <x:c r="AD5" s="185"/>
      <x:c r="AE5" s="35"/>
      <x:c r="AF5" s="36"/>
      <x:c r="AG5" s="33"/>
      <x:c r="AH5" s="185"/>
      <x:c r="AI5" s="185"/>
      <x:c r="AJ5" s="185"/>
      <x:c r="AK5" s="3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584" t="s">
        <x:v>1102</x:v>
      </x:c>
      <x:c r="AS5" s="588">
        <x:v>0</x:v>
      </x:c>
      <x:c r="AT5" s="589">
        <x:v>0</x:v>
      </x:c>
      <x:c r="AU5" s="589">
        <x:v>0</x:v>
      </x:c>
      <x:c r="AV5" s="589">
        <x:v>0</x:v>
      </x:c>
      <x:c r="AW5" s="590">
        <x:v>0</x:v>
      </x:c>
      <x:c r="AX5" s="591" t="s">
        <x:v>1103</x:v>
      </x:c>
      <x:c r="AY5" s="33"/>
      <x:c r="AZ5" s="185"/>
      <x:c r="BA5" s="185"/>
      <x:c r="BB5" s="185"/>
      <x:c r="BC5" s="35"/>
      <x:c r="BD5" s="36"/>
      <x:c r="BE5" s="33"/>
      <x:c r="BF5" s="185"/>
      <x:c r="BG5" s="185"/>
      <x:c r="BH5" s="185"/>
      <x:c r="BI5" s="35"/>
      <x:c r="BJ5" s="36"/>
      <x:c r="BK5" s="33"/>
      <x:c r="BL5" s="185"/>
      <x:c r="BM5" s="185"/>
      <x:c r="BN5" s="185"/>
      <x:c r="BO5" s="35"/>
      <x:c r="BP5" s="36"/>
      <x:c r="BQ5" s="33"/>
      <x:c r="BR5" s="185"/>
      <x:c r="BS5" s="185"/>
      <x:c r="BT5" s="185"/>
      <x:c r="BU5" s="35"/>
      <x:c r="BV5" s="36"/>
    </x:row>
    <x:row r="6" spans="1:74" ht="22.5" customHeight="1" x14ac:dyDescent="0.25">
      <x:c r="A6" s="3" t="s">
        <x:v>125</x:v>
      </x:c>
      <x:c r="B6" s="3" t="s">
        <x:v>23</x:v>
      </x:c>
      <x:c r="C6" s="157"/>
      <x:c r="D6" s="158"/>
      <x:c r="E6" s="158"/>
      <x:c r="F6" s="158"/>
      <x:c r="G6" s="158"/>
      <x:c r="H6" s="159"/>
      <x:c r="I6" s="33"/>
      <x:c r="J6" s="185"/>
      <x:c r="K6" s="185"/>
      <x:c r="L6" s="185"/>
      <x:c r="M6" s="35"/>
      <x:c r="N6" s="36"/>
      <x:c r="O6" s="33"/>
      <x:c r="P6" s="185"/>
      <x:c r="Q6" s="185"/>
      <x:c r="R6" s="185"/>
      <x:c r="S6" s="35"/>
      <x:c r="T6" s="36"/>
      <x:c r="U6" s="33"/>
      <x:c r="V6" s="185"/>
      <x:c r="W6" s="185"/>
      <x:c r="X6" s="185"/>
      <x:c r="Y6" s="35"/>
      <x:c r="Z6" s="36"/>
      <x:c r="AA6" s="33"/>
      <x:c r="AB6" s="185"/>
      <x:c r="AC6" s="185"/>
      <x:c r="AD6" s="185"/>
      <x:c r="AE6" s="35"/>
      <x:c r="AF6" s="36"/>
      <x:c r="AG6" s="33"/>
      <x:c r="AH6" s="185"/>
      <x:c r="AI6" s="185"/>
      <x:c r="AJ6" s="185"/>
      <x:c r="AK6" s="3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584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230">
        <x:v>100</x:v>
      </x:c>
      <x:c r="AX6" s="585" t="s">
        <x:v>1102</x:v>
      </x:c>
      <x:c r="AY6" s="33"/>
      <x:c r="AZ6" s="185"/>
      <x:c r="BA6" s="185"/>
      <x:c r="BB6" s="185"/>
      <x:c r="BC6" s="35"/>
      <x:c r="BD6" s="36"/>
      <x:c r="BE6" s="33"/>
      <x:c r="BF6" s="185"/>
      <x:c r="BG6" s="185"/>
      <x:c r="BH6" s="185"/>
      <x:c r="BI6" s="35"/>
      <x:c r="BJ6" s="36"/>
      <x:c r="BK6" s="33"/>
      <x:c r="BL6" s="185"/>
      <x:c r="BM6" s="185"/>
      <x:c r="BN6" s="185"/>
      <x:c r="BO6" s="35"/>
      <x:c r="BP6" s="36"/>
      <x:c r="BQ6" s="33"/>
      <x:c r="BR6" s="185"/>
      <x:c r="BS6" s="185"/>
      <x:c r="BT6" s="185"/>
      <x:c r="BU6" s="35"/>
      <x:c r="BV6" s="36"/>
    </x:row>
    <x:row r="7" spans="1:74" ht="22.5" customHeight="1" x14ac:dyDescent="0.25">
      <x:c r="A7" s="3" t="s">
        <x:v>95</x:v>
      </x:c>
      <x:c r="B7" s="3" t="s">
        <x:v>21</x:v>
      </x:c>
      <x:c r="C7" s="157"/>
      <x:c r="D7" s="158"/>
      <x:c r="E7" s="158"/>
      <x:c r="F7" s="158"/>
      <x:c r="G7" s="158"/>
      <x:c r="H7" s="159"/>
      <x:c r="I7" s="33"/>
      <x:c r="J7" s="185"/>
      <x:c r="K7" s="185"/>
      <x:c r="L7" s="185"/>
      <x:c r="M7" s="35"/>
      <x:c r="N7" s="36"/>
      <x:c r="O7" s="33"/>
      <x:c r="P7" s="185"/>
      <x:c r="Q7" s="185"/>
      <x:c r="R7" s="185"/>
      <x:c r="S7" s="35"/>
      <x:c r="T7" s="36"/>
      <x:c r="U7" s="33"/>
      <x:c r="V7" s="185"/>
      <x:c r="W7" s="185"/>
      <x:c r="X7" s="185"/>
      <x:c r="Y7" s="35"/>
      <x:c r="Z7" s="36"/>
      <x:c r="AA7" s="33"/>
      <x:c r="AB7" s="185"/>
      <x:c r="AC7" s="185"/>
      <x:c r="AD7" s="185"/>
      <x:c r="AE7" s="35"/>
      <x:c r="AF7" s="36"/>
      <x:c r="AG7" s="33"/>
      <x:c r="AH7" s="185"/>
      <x:c r="AI7" s="185"/>
      <x:c r="AJ7" s="185"/>
      <x:c r="AK7" s="3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584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230">
        <x:v>100</x:v>
      </x:c>
      <x:c r="AX7" s="585" t="s">
        <x:v>1102</x:v>
      </x:c>
      <x:c r="AY7" s="33"/>
      <x:c r="AZ7" s="185"/>
      <x:c r="BA7" s="185"/>
      <x:c r="BB7" s="185"/>
      <x:c r="BC7" s="35"/>
      <x:c r="BD7" s="36"/>
      <x:c r="BE7" s="33"/>
      <x:c r="BF7" s="185"/>
      <x:c r="BG7" s="185"/>
      <x:c r="BH7" s="185"/>
      <x:c r="BI7" s="35"/>
      <x:c r="BJ7" s="36"/>
      <x:c r="BK7" s="33"/>
      <x:c r="BL7" s="185"/>
      <x:c r="BM7" s="185"/>
      <x:c r="BN7" s="185"/>
      <x:c r="BO7" s="35"/>
      <x:c r="BP7" s="36"/>
      <x:c r="BQ7" s="33"/>
      <x:c r="BR7" s="185"/>
      <x:c r="BS7" s="185"/>
      <x:c r="BT7" s="185"/>
      <x:c r="BU7" s="35"/>
      <x:c r="BV7" s="36"/>
    </x:row>
    <x:row r="8" spans="1:74" ht="22.5" customHeight="1" x14ac:dyDescent="0.25">
      <x:c r="A8" s="606" t="s">
        <x:v>90</x:v>
      </x:c>
      <x:c r="B8" s="3" t="s">
        <x:v>43</x:v>
      </x:c>
      <x:c r="C8" s="157"/>
      <x:c r="D8" s="158"/>
      <x:c r="E8" s="158"/>
      <x:c r="F8" s="158"/>
      <x:c r="G8" s="158"/>
      <x:c r="H8" s="159"/>
      <x:c r="I8" s="33"/>
      <x:c r="J8" s="185"/>
      <x:c r="K8" s="185"/>
      <x:c r="L8" s="185"/>
      <x:c r="M8" s="35"/>
      <x:c r="N8" s="36"/>
      <x:c r="O8" s="33"/>
      <x:c r="P8" s="185"/>
      <x:c r="Q8" s="185"/>
      <x:c r="R8" s="185"/>
      <x:c r="S8" s="35"/>
      <x:c r="T8" s="36"/>
      <x:c r="U8" s="33"/>
      <x:c r="V8" s="185"/>
      <x:c r="W8" s="185"/>
      <x:c r="X8" s="185"/>
      <x:c r="Y8" s="35"/>
      <x:c r="Z8" s="36"/>
      <x:c r="AA8" s="33"/>
      <x:c r="AB8" s="185"/>
      <x:c r="AC8" s="185"/>
      <x:c r="AD8" s="185"/>
      <x:c r="AE8" s="35"/>
      <x:c r="AF8" s="36"/>
      <x:c r="AG8" s="33"/>
      <x:c r="AH8" s="185"/>
      <x:c r="AI8" s="185"/>
      <x:c r="AJ8" s="185"/>
      <x:c r="AK8" s="3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584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230">
        <x:v>100</x:v>
      </x:c>
      <x:c r="AX8" s="585" t="s">
        <x:v>1102</x:v>
      </x:c>
      <x:c r="AY8" s="33"/>
      <x:c r="AZ8" s="185"/>
      <x:c r="BA8" s="185"/>
      <x:c r="BB8" s="185"/>
      <x:c r="BC8" s="35"/>
      <x:c r="BD8" s="36"/>
      <x:c r="BE8" s="33"/>
      <x:c r="BF8" s="185"/>
      <x:c r="BG8" s="185"/>
      <x:c r="BH8" s="185"/>
      <x:c r="BI8" s="35"/>
      <x:c r="BJ8" s="36"/>
      <x:c r="BK8" s="33"/>
      <x:c r="BL8" s="185"/>
      <x:c r="BM8" s="185"/>
      <x:c r="BN8" s="185"/>
      <x:c r="BO8" s="35"/>
      <x:c r="BP8" s="36"/>
      <x:c r="BQ8" s="33"/>
      <x:c r="BR8" s="185"/>
      <x:c r="BS8" s="185"/>
      <x:c r="BT8" s="185"/>
      <x:c r="BU8" s="35"/>
      <x:c r="BV8" s="36"/>
    </x:row>
    <x:row r="9" spans="1:74" ht="22.5" customHeight="1" x14ac:dyDescent="0.25">
      <x:c r="A9" s="3" t="s">
        <x:v>112</x:v>
      </x:c>
      <x:c r="B9" s="3" t="s">
        <x:v>23</x:v>
      </x:c>
      <x:c r="C9" s="157"/>
      <x:c r="D9" s="158"/>
      <x:c r="E9" s="158"/>
      <x:c r="F9" s="158"/>
      <x:c r="G9" s="158"/>
      <x:c r="H9" s="159"/>
      <x:c r="I9" s="33"/>
      <x:c r="J9" s="185"/>
      <x:c r="K9" s="185"/>
      <x:c r="L9" s="185"/>
      <x:c r="M9" s="35"/>
      <x:c r="N9" s="36"/>
      <x:c r="O9" s="33"/>
      <x:c r="P9" s="185"/>
      <x:c r="Q9" s="185"/>
      <x:c r="R9" s="185"/>
      <x:c r="S9" s="35"/>
      <x:c r="T9" s="36"/>
      <x:c r="U9" s="33"/>
      <x:c r="V9" s="185"/>
      <x:c r="W9" s="185"/>
      <x:c r="X9" s="185"/>
      <x:c r="Y9" s="35"/>
      <x:c r="Z9" s="36"/>
      <x:c r="AA9" s="33"/>
      <x:c r="AB9" s="185"/>
      <x:c r="AC9" s="185"/>
      <x:c r="AD9" s="185"/>
      <x:c r="AE9" s="35"/>
      <x:c r="AF9" s="36"/>
      <x:c r="AG9" s="33"/>
      <x:c r="AH9" s="185"/>
      <x:c r="AI9" s="185"/>
      <x:c r="AJ9" s="185"/>
      <x:c r="AK9" s="3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584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230">
        <x:v>100</x:v>
      </x:c>
      <x:c r="AX9" s="585" t="s">
        <x:v>1102</x:v>
      </x:c>
      <x:c r="AY9" s="33"/>
      <x:c r="AZ9" s="185"/>
      <x:c r="BA9" s="185"/>
      <x:c r="BB9" s="185"/>
      <x:c r="BC9" s="35"/>
      <x:c r="BD9" s="36"/>
      <x:c r="BE9" s="33"/>
      <x:c r="BF9" s="185"/>
      <x:c r="BG9" s="185"/>
      <x:c r="BH9" s="185"/>
      <x:c r="BI9" s="35"/>
      <x:c r="BJ9" s="36"/>
      <x:c r="BK9" s="33"/>
      <x:c r="BL9" s="185"/>
      <x:c r="BM9" s="185"/>
      <x:c r="BN9" s="185"/>
      <x:c r="BO9" s="35"/>
      <x:c r="BP9" s="36"/>
      <x:c r="BQ9" s="33"/>
      <x:c r="BR9" s="185"/>
      <x:c r="BS9" s="185"/>
      <x:c r="BT9" s="185"/>
      <x:c r="BU9" s="35"/>
      <x:c r="BV9" s="36"/>
    </x:row>
    <x:row r="10" spans="1:74" ht="22.5" customHeight="1" x14ac:dyDescent="0.25">
      <x:c r="A10" s="3" t="s">
        <x:v>114</x:v>
      </x:c>
      <x:c r="B10" s="3" t="s">
        <x:v>23</x:v>
      </x:c>
      <x:c r="C10" s="157"/>
      <x:c r="D10" s="158"/>
      <x:c r="E10" s="158"/>
      <x:c r="F10" s="158"/>
      <x:c r="G10" s="158"/>
      <x:c r="H10" s="159"/>
      <x:c r="I10" s="33"/>
      <x:c r="J10" s="185"/>
      <x:c r="K10" s="185"/>
      <x:c r="L10" s="185"/>
      <x:c r="M10" s="35"/>
      <x:c r="N10" s="36"/>
      <x:c r="O10" s="33"/>
      <x:c r="P10" s="185"/>
      <x:c r="Q10" s="185"/>
      <x:c r="R10" s="185"/>
      <x:c r="S10" s="35"/>
      <x:c r="T10" s="36"/>
      <x:c r="U10" s="33"/>
      <x:c r="V10" s="185"/>
      <x:c r="W10" s="185"/>
      <x:c r="X10" s="185"/>
      <x:c r="Y10" s="35"/>
      <x:c r="Z10" s="36"/>
      <x:c r="AA10" s="33"/>
      <x:c r="AB10" s="185"/>
      <x:c r="AC10" s="185"/>
      <x:c r="AD10" s="185"/>
      <x:c r="AE10" s="35"/>
      <x:c r="AF10" s="36"/>
      <x:c r="AG10" s="33"/>
      <x:c r="AH10" s="185"/>
      <x:c r="AI10" s="185"/>
      <x:c r="AJ10" s="185"/>
      <x:c r="AK10" s="3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584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230">
        <x:v>100</x:v>
      </x:c>
      <x:c r="AX10" s="585" t="s">
        <x:v>1102</x:v>
      </x:c>
      <x:c r="AY10" s="33"/>
      <x:c r="AZ10" s="185"/>
      <x:c r="BA10" s="185"/>
      <x:c r="BB10" s="185"/>
      <x:c r="BC10" s="35"/>
      <x:c r="BD10" s="36"/>
      <x:c r="BE10" s="33"/>
      <x:c r="BF10" s="185"/>
      <x:c r="BG10" s="185"/>
      <x:c r="BH10" s="185"/>
      <x:c r="BI10" s="35"/>
      <x:c r="BJ10" s="36"/>
      <x:c r="BK10" s="33"/>
      <x:c r="BL10" s="185"/>
      <x:c r="BM10" s="185"/>
      <x:c r="BN10" s="185"/>
      <x:c r="BO10" s="35"/>
      <x:c r="BP10" s="36"/>
      <x:c r="BQ10" s="33"/>
      <x:c r="BR10" s="185"/>
      <x:c r="BS10" s="185"/>
      <x:c r="BT10" s="185"/>
      <x:c r="BU10" s="35"/>
      <x:c r="BV10" s="36"/>
    </x:row>
    <x:row r="11" spans="1:74" ht="22.5" customHeight="1" x14ac:dyDescent="0.25">
      <x:c r="A11" s="3" t="s">
        <x:v>101</x:v>
      </x:c>
      <x:c r="B11" s="3" t="s">
        <x:v>23</x:v>
      </x:c>
      <x:c r="C11" s="157"/>
      <x:c r="D11" s="158"/>
      <x:c r="E11" s="158"/>
      <x:c r="F11" s="158"/>
      <x:c r="G11" s="158"/>
      <x:c r="H11" s="159"/>
      <x:c r="I11" s="33"/>
      <x:c r="J11" s="185"/>
      <x:c r="K11" s="185"/>
      <x:c r="L11" s="185"/>
      <x:c r="M11" s="35"/>
      <x:c r="N11" s="36"/>
      <x:c r="O11" s="33"/>
      <x:c r="P11" s="185"/>
      <x:c r="Q11" s="185"/>
      <x:c r="R11" s="185"/>
      <x:c r="S11" s="35"/>
      <x:c r="T11" s="36"/>
      <x:c r="U11" s="33"/>
      <x:c r="V11" s="185"/>
      <x:c r="W11" s="185"/>
      <x:c r="X11" s="185"/>
      <x:c r="Y11" s="35"/>
      <x:c r="Z11" s="36"/>
      <x:c r="AA11" s="33"/>
      <x:c r="AB11" s="185"/>
      <x:c r="AC11" s="185"/>
      <x:c r="AD11" s="185"/>
      <x:c r="AE11" s="35"/>
      <x:c r="AF11" s="36"/>
      <x:c r="AG11" s="33"/>
      <x:c r="AH11" s="185"/>
      <x:c r="AI11" s="185"/>
      <x:c r="AJ11" s="185"/>
      <x:c r="AK11" s="3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584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230">
        <x:v>100</x:v>
      </x:c>
      <x:c r="AX11" s="585" t="s">
        <x:v>1102</x:v>
      </x:c>
      <x:c r="AY11" s="33"/>
      <x:c r="AZ11" s="185"/>
      <x:c r="BA11" s="185"/>
      <x:c r="BB11" s="185"/>
      <x:c r="BC11" s="35"/>
      <x:c r="BD11" s="36"/>
      <x:c r="BE11" s="33"/>
      <x:c r="BF11" s="185"/>
      <x:c r="BG11" s="185"/>
      <x:c r="BH11" s="185"/>
      <x:c r="BI11" s="35"/>
      <x:c r="BJ11" s="36"/>
      <x:c r="BK11" s="33"/>
      <x:c r="BL11" s="185"/>
      <x:c r="BM11" s="185"/>
      <x:c r="BN11" s="185"/>
      <x:c r="BO11" s="35"/>
      <x:c r="BP11" s="36"/>
      <x:c r="BQ11" s="33"/>
      <x:c r="BR11" s="185"/>
      <x:c r="BS11" s="185"/>
      <x:c r="BT11" s="185"/>
      <x:c r="BU11" s="35"/>
      <x:c r="BV11" s="36"/>
    </x:row>
    <x:row r="12" spans="1:74" ht="22.5" customHeight="1" x14ac:dyDescent="0.25">
      <x:c r="A12" s="3" t="s">
        <x:v>133</x:v>
      </x:c>
      <x:c r="B12" s="3" t="s">
        <x:v>37</x:v>
      </x:c>
      <x:c r="C12" s="157"/>
      <x:c r="D12" s="158"/>
      <x:c r="E12" s="158"/>
      <x:c r="F12" s="158"/>
      <x:c r="G12" s="158"/>
      <x:c r="H12" s="159"/>
      <x:c r="I12" s="33"/>
      <x:c r="J12" s="185"/>
      <x:c r="K12" s="185"/>
      <x:c r="L12" s="185"/>
      <x:c r="M12" s="35"/>
      <x:c r="N12" s="36"/>
      <x:c r="O12" s="33"/>
      <x:c r="P12" s="185"/>
      <x:c r="Q12" s="185"/>
      <x:c r="R12" s="185"/>
      <x:c r="S12" s="35"/>
      <x:c r="T12" s="36"/>
      <x:c r="U12" s="33"/>
      <x:c r="V12" s="185"/>
      <x:c r="W12" s="185"/>
      <x:c r="X12" s="185"/>
      <x:c r="Y12" s="35"/>
      <x:c r="Z12" s="36"/>
      <x:c r="AA12" s="33"/>
      <x:c r="AB12" s="185"/>
      <x:c r="AC12" s="185"/>
      <x:c r="AD12" s="185"/>
      <x:c r="AE12" s="35"/>
      <x:c r="AF12" s="36"/>
      <x:c r="AG12" s="33"/>
      <x:c r="AH12" s="185"/>
      <x:c r="AI12" s="185"/>
      <x:c r="AJ12" s="185"/>
      <x:c r="AK12" s="3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584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230">
        <x:v>100</x:v>
      </x:c>
      <x:c r="AX12" s="585" t="s">
        <x:v>1102</x:v>
      </x:c>
      <x:c r="AY12" s="33"/>
      <x:c r="AZ12" s="185"/>
      <x:c r="BA12" s="185"/>
      <x:c r="BB12" s="185"/>
      <x:c r="BC12" s="35"/>
      <x:c r="BD12" s="36"/>
      <x:c r="BE12" s="33"/>
      <x:c r="BF12" s="185"/>
      <x:c r="BG12" s="185"/>
      <x:c r="BH12" s="185"/>
      <x:c r="BI12" s="35"/>
      <x:c r="BJ12" s="36"/>
      <x:c r="BK12" s="33"/>
      <x:c r="BL12" s="185"/>
      <x:c r="BM12" s="185"/>
      <x:c r="BN12" s="185"/>
      <x:c r="BO12" s="35"/>
      <x:c r="BP12" s="36"/>
      <x:c r="BQ12" s="33"/>
      <x:c r="BR12" s="185"/>
      <x:c r="BS12" s="185"/>
      <x:c r="BT12" s="185"/>
      <x:c r="BU12" s="35"/>
      <x:c r="BV12" s="36"/>
    </x:row>
    <x:row r="13" spans="1:74" ht="22.5" customHeight="1" x14ac:dyDescent="0.25">
      <x:c r="A13" s="3" t="s">
        <x:v>129</x:v>
      </x:c>
      <x:c r="B13" s="3" t="s">
        <x:v>23</x:v>
      </x:c>
      <x:c r="C13" s="157"/>
      <x:c r="D13" s="158"/>
      <x:c r="E13" s="158"/>
      <x:c r="F13" s="158"/>
      <x:c r="G13" s="158"/>
      <x:c r="H13" s="159"/>
      <x:c r="I13" s="33"/>
      <x:c r="J13" s="185"/>
      <x:c r="K13" s="185"/>
      <x:c r="L13" s="185"/>
      <x:c r="M13" s="35"/>
      <x:c r="N13" s="36"/>
      <x:c r="O13" s="33"/>
      <x:c r="P13" s="185"/>
      <x:c r="Q13" s="185"/>
      <x:c r="R13" s="185"/>
      <x:c r="S13" s="35"/>
      <x:c r="T13" s="36"/>
      <x:c r="U13" s="33"/>
      <x:c r="V13" s="185"/>
      <x:c r="W13" s="185"/>
      <x:c r="X13" s="185"/>
      <x:c r="Y13" s="35"/>
      <x:c r="Z13" s="36"/>
      <x:c r="AA13" s="33"/>
      <x:c r="AB13" s="185"/>
      <x:c r="AC13" s="185"/>
      <x:c r="AD13" s="185"/>
      <x:c r="AE13" s="35"/>
      <x:c r="AF13" s="36"/>
      <x:c r="AG13" s="33"/>
      <x:c r="AH13" s="185"/>
      <x:c r="AI13" s="185"/>
      <x:c r="AJ13" s="185"/>
      <x:c r="AK13" s="3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584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230">
        <x:v>100</x:v>
      </x:c>
      <x:c r="AX13" s="585" t="s">
        <x:v>1102</x:v>
      </x:c>
      <x:c r="AY13" s="33"/>
      <x:c r="AZ13" s="185"/>
      <x:c r="BA13" s="185"/>
      <x:c r="BB13" s="185"/>
      <x:c r="BC13" s="35"/>
      <x:c r="BD13" s="36"/>
      <x:c r="BE13" s="33"/>
      <x:c r="BF13" s="185"/>
      <x:c r="BG13" s="185"/>
      <x:c r="BH13" s="185"/>
      <x:c r="BI13" s="35"/>
      <x:c r="BJ13" s="36"/>
      <x:c r="BK13" s="33"/>
      <x:c r="BL13" s="185"/>
      <x:c r="BM13" s="185"/>
      <x:c r="BN13" s="185"/>
      <x:c r="BO13" s="35"/>
      <x:c r="BP13" s="36"/>
      <x:c r="BQ13" s="33"/>
      <x:c r="BR13" s="185"/>
      <x:c r="BS13" s="185"/>
      <x:c r="BT13" s="185"/>
      <x:c r="BU13" s="35"/>
      <x:c r="BV13" s="36"/>
    </x:row>
    <x:row r="14" spans="1:74" ht="22.5" customHeight="1" x14ac:dyDescent="0.25">
      <x:c r="A14" s="3" t="s">
        <x:v>121</x:v>
      </x:c>
      <x:c r="B14" s="3" t="s">
        <x:v>23</x:v>
      </x:c>
      <x:c r="C14" s="157"/>
      <x:c r="D14" s="158"/>
      <x:c r="E14" s="158"/>
      <x:c r="F14" s="158"/>
      <x:c r="G14" s="158"/>
      <x:c r="H14" s="159"/>
      <x:c r="I14" s="33"/>
      <x:c r="J14" s="185"/>
      <x:c r="K14" s="185"/>
      <x:c r="L14" s="185"/>
      <x:c r="M14" s="35"/>
      <x:c r="N14" s="36"/>
      <x:c r="O14" s="33"/>
      <x:c r="P14" s="185"/>
      <x:c r="Q14" s="185"/>
      <x:c r="R14" s="185"/>
      <x:c r="S14" s="35"/>
      <x:c r="T14" s="36"/>
      <x:c r="U14" s="33"/>
      <x:c r="V14" s="185"/>
      <x:c r="W14" s="185"/>
      <x:c r="X14" s="185"/>
      <x:c r="Y14" s="35"/>
      <x:c r="Z14" s="36"/>
      <x:c r="AA14" s="33"/>
      <x:c r="AB14" s="185"/>
      <x:c r="AC14" s="185"/>
      <x:c r="AD14" s="185"/>
      <x:c r="AE14" s="35"/>
      <x:c r="AF14" s="36"/>
      <x:c r="AG14" s="33"/>
      <x:c r="AH14" s="185"/>
      <x:c r="AI14" s="185"/>
      <x:c r="AJ14" s="185"/>
      <x:c r="AK14" s="3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584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230">
        <x:v>100</x:v>
      </x:c>
      <x:c r="AX14" s="585" t="s">
        <x:v>1102</x:v>
      </x:c>
      <x:c r="AY14" s="33"/>
      <x:c r="AZ14" s="185"/>
      <x:c r="BA14" s="185"/>
      <x:c r="BB14" s="185"/>
      <x:c r="BC14" s="35"/>
      <x:c r="BD14" s="36"/>
      <x:c r="BE14" s="33"/>
      <x:c r="BF14" s="185"/>
      <x:c r="BG14" s="185"/>
      <x:c r="BH14" s="185"/>
      <x:c r="BI14" s="35"/>
      <x:c r="BJ14" s="36"/>
      <x:c r="BK14" s="33"/>
      <x:c r="BL14" s="185"/>
      <x:c r="BM14" s="185"/>
      <x:c r="BN14" s="185"/>
      <x:c r="BO14" s="35"/>
      <x:c r="BP14" s="36"/>
      <x:c r="BQ14" s="33"/>
      <x:c r="BR14" s="185"/>
      <x:c r="BS14" s="185"/>
      <x:c r="BT14" s="185"/>
      <x:c r="BU14" s="35"/>
      <x:c r="BV14" s="36"/>
    </x:row>
    <x:row r="15" spans="1:74" ht="22.5" customHeight="1" x14ac:dyDescent="0.25">
      <x:c r="A15" s="3" t="s">
        <x:v>122</x:v>
      </x:c>
      <x:c r="B15" s="3" t="s">
        <x:v>23</x:v>
      </x:c>
      <x:c r="C15" s="157"/>
      <x:c r="D15" s="158"/>
      <x:c r="E15" s="158"/>
      <x:c r="F15" s="158"/>
      <x:c r="G15" s="158"/>
      <x:c r="H15" s="159"/>
      <x:c r="I15" s="33"/>
      <x:c r="J15" s="185"/>
      <x:c r="K15" s="185"/>
      <x:c r="L15" s="185"/>
      <x:c r="M15" s="35"/>
      <x:c r="N15" s="36"/>
      <x:c r="O15" s="33"/>
      <x:c r="P15" s="185"/>
      <x:c r="Q15" s="185"/>
      <x:c r="R15" s="185"/>
      <x:c r="S15" s="35"/>
      <x:c r="T15" s="36"/>
      <x:c r="U15" s="33"/>
      <x:c r="V15" s="185"/>
      <x:c r="W15" s="185"/>
      <x:c r="X15" s="185"/>
      <x:c r="Y15" s="35"/>
      <x:c r="Z15" s="36"/>
      <x:c r="AA15" s="33"/>
      <x:c r="AB15" s="185"/>
      <x:c r="AC15" s="185"/>
      <x:c r="AD15" s="185"/>
      <x:c r="AE15" s="35"/>
      <x:c r="AF15" s="36"/>
      <x:c r="AG15" s="33"/>
      <x:c r="AH15" s="185"/>
      <x:c r="AI15" s="185"/>
      <x:c r="AJ15" s="185"/>
      <x:c r="AK15" s="3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584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230">
        <x:v>100</x:v>
      </x:c>
      <x:c r="AX15" s="585" t="s">
        <x:v>1102</x:v>
      </x:c>
      <x:c r="AY15" s="33"/>
      <x:c r="AZ15" s="185"/>
      <x:c r="BA15" s="185"/>
      <x:c r="BB15" s="185"/>
      <x:c r="BC15" s="35"/>
      <x:c r="BD15" s="36"/>
      <x:c r="BE15" s="33"/>
      <x:c r="BF15" s="185"/>
      <x:c r="BG15" s="185"/>
      <x:c r="BH15" s="185"/>
      <x:c r="BI15" s="35"/>
      <x:c r="BJ15" s="36"/>
      <x:c r="BK15" s="33"/>
      <x:c r="BL15" s="185"/>
      <x:c r="BM15" s="185"/>
      <x:c r="BN15" s="185"/>
      <x:c r="BO15" s="35"/>
      <x:c r="BP15" s="36"/>
      <x:c r="BQ15" s="33"/>
      <x:c r="BR15" s="185"/>
      <x:c r="BS15" s="185"/>
      <x:c r="BT15" s="185"/>
      <x:c r="BU15" s="35"/>
      <x:c r="BV15" s="36"/>
    </x:row>
    <x:row r="16" spans="1:74" ht="22.5" customHeight="1" x14ac:dyDescent="0.25">
      <x:c r="A16" s="3" t="s">
        <x:v>110</x:v>
      </x:c>
      <x:c r="B16" s="3" t="s">
        <x:v>37</x:v>
      </x:c>
      <x:c r="C16" s="157"/>
      <x:c r="D16" s="158"/>
      <x:c r="E16" s="158"/>
      <x:c r="F16" s="158"/>
      <x:c r="G16" s="158"/>
      <x:c r="H16" s="159"/>
      <x:c r="I16" s="33"/>
      <x:c r="J16" s="185"/>
      <x:c r="K16" s="185"/>
      <x:c r="L16" s="185"/>
      <x:c r="M16" s="35"/>
      <x:c r="N16" s="36"/>
      <x:c r="O16" s="33"/>
      <x:c r="P16" s="185"/>
      <x:c r="Q16" s="185"/>
      <x:c r="R16" s="185"/>
      <x:c r="S16" s="35"/>
      <x:c r="T16" s="36"/>
      <x:c r="U16" s="33"/>
      <x:c r="V16" s="185"/>
      <x:c r="W16" s="185"/>
      <x:c r="X16" s="185"/>
      <x:c r="Y16" s="35"/>
      <x:c r="Z16" s="36"/>
      <x:c r="AA16" s="33"/>
      <x:c r="AB16" s="185"/>
      <x:c r="AC16" s="185"/>
      <x:c r="AD16" s="185"/>
      <x:c r="AE16" s="35"/>
      <x:c r="AF16" s="36"/>
      <x:c r="AG16" s="33"/>
      <x:c r="AH16" s="185"/>
      <x:c r="AI16" s="185"/>
      <x:c r="AJ16" s="185"/>
      <x:c r="AK16" s="3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584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230">
        <x:v>100</x:v>
      </x:c>
      <x:c r="AX16" s="585" t="s">
        <x:v>1102</x:v>
      </x:c>
      <x:c r="AY16" s="33"/>
      <x:c r="AZ16" s="185"/>
      <x:c r="BA16" s="185"/>
      <x:c r="BB16" s="185"/>
      <x:c r="BC16" s="35"/>
      <x:c r="BD16" s="36"/>
      <x:c r="BE16" s="33"/>
      <x:c r="BF16" s="185"/>
      <x:c r="BG16" s="185"/>
      <x:c r="BH16" s="185"/>
      <x:c r="BI16" s="35"/>
      <x:c r="BJ16" s="36"/>
      <x:c r="BK16" s="33"/>
      <x:c r="BL16" s="185"/>
      <x:c r="BM16" s="185"/>
      <x:c r="BN16" s="185"/>
      <x:c r="BO16" s="35"/>
      <x:c r="BP16" s="36"/>
      <x:c r="BQ16" s="33"/>
      <x:c r="BR16" s="185"/>
      <x:c r="BS16" s="185"/>
      <x:c r="BT16" s="185"/>
      <x:c r="BU16" s="35"/>
      <x:c r="BV16" s="36"/>
    </x:row>
    <x:row r="17" spans="1:74" ht="22.5" customHeight="1" x14ac:dyDescent="0.25">
      <x:c r="A17" s="3" t="s">
        <x:v>104</x:v>
      </x:c>
      <x:c r="B17" s="3" t="s">
        <x:v>23</x:v>
      </x:c>
      <x:c r="C17" s="157"/>
      <x:c r="D17" s="158"/>
      <x:c r="E17" s="158"/>
      <x:c r="F17" s="158"/>
      <x:c r="G17" s="158"/>
      <x:c r="H17" s="159"/>
      <x:c r="I17" s="33"/>
      <x:c r="J17" s="185"/>
      <x:c r="K17" s="185"/>
      <x:c r="L17" s="185"/>
      <x:c r="M17" s="35"/>
      <x:c r="N17" s="36"/>
      <x:c r="O17" s="33"/>
      <x:c r="P17" s="185"/>
      <x:c r="Q17" s="185"/>
      <x:c r="R17" s="185"/>
      <x:c r="S17" s="35"/>
      <x:c r="T17" s="36"/>
      <x:c r="U17" s="33"/>
      <x:c r="V17" s="185"/>
      <x:c r="W17" s="185"/>
      <x:c r="X17" s="185"/>
      <x:c r="Y17" s="35"/>
      <x:c r="Z17" s="36"/>
      <x:c r="AA17" s="33"/>
      <x:c r="AB17" s="185"/>
      <x:c r="AC17" s="185"/>
      <x:c r="AD17" s="185"/>
      <x:c r="AE17" s="35"/>
      <x:c r="AF17" s="36"/>
      <x:c r="AG17" s="33"/>
      <x:c r="AH17" s="185"/>
      <x:c r="AI17" s="185"/>
      <x:c r="AJ17" s="185"/>
      <x:c r="AK17" s="3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584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230">
        <x:v>100</x:v>
      </x:c>
      <x:c r="AX17" s="585" t="s">
        <x:v>1102</x:v>
      </x:c>
      <x:c r="AY17" s="33"/>
      <x:c r="AZ17" s="185"/>
      <x:c r="BA17" s="185"/>
      <x:c r="BB17" s="185"/>
      <x:c r="BC17" s="35"/>
      <x:c r="BD17" s="36"/>
      <x:c r="BE17" s="33"/>
      <x:c r="BF17" s="185"/>
      <x:c r="BG17" s="185"/>
      <x:c r="BH17" s="185"/>
      <x:c r="BI17" s="35"/>
      <x:c r="BJ17" s="36"/>
      <x:c r="BK17" s="33"/>
      <x:c r="BL17" s="185"/>
      <x:c r="BM17" s="185"/>
      <x:c r="BN17" s="185"/>
      <x:c r="BO17" s="35"/>
      <x:c r="BP17" s="36"/>
      <x:c r="BQ17" s="33"/>
      <x:c r="BR17" s="185"/>
      <x:c r="BS17" s="185"/>
      <x:c r="BT17" s="185"/>
      <x:c r="BU17" s="35"/>
      <x:c r="BV17" s="36"/>
    </x:row>
    <x:row r="18" spans="1:74" ht="22.5" customHeight="1" x14ac:dyDescent="0.25">
      <x:c r="A18" s="3" t="s">
        <x:v>132</x:v>
      </x:c>
      <x:c r="B18" s="3" t="s">
        <x:v>23</x:v>
      </x:c>
      <x:c r="C18" s="157"/>
      <x:c r="D18" s="158"/>
      <x:c r="E18" s="158"/>
      <x:c r="F18" s="158"/>
      <x:c r="G18" s="158"/>
      <x:c r="H18" s="159"/>
      <x:c r="I18" s="33"/>
      <x:c r="J18" s="185"/>
      <x:c r="K18" s="185"/>
      <x:c r="L18" s="185"/>
      <x:c r="M18" s="35"/>
      <x:c r="N18" s="36"/>
      <x:c r="O18" s="33"/>
      <x:c r="P18" s="185"/>
      <x:c r="Q18" s="185"/>
      <x:c r="R18" s="185"/>
      <x:c r="S18" s="35"/>
      <x:c r="T18" s="36"/>
      <x:c r="U18" s="33"/>
      <x:c r="V18" s="185"/>
      <x:c r="W18" s="185"/>
      <x:c r="X18" s="185"/>
      <x:c r="Y18" s="35"/>
      <x:c r="Z18" s="36"/>
      <x:c r="AA18" s="33"/>
      <x:c r="AB18" s="185"/>
      <x:c r="AC18" s="185"/>
      <x:c r="AD18" s="185"/>
      <x:c r="AE18" s="35"/>
      <x:c r="AF18" s="36"/>
      <x:c r="AG18" s="33"/>
      <x:c r="AH18" s="185"/>
      <x:c r="AI18" s="185"/>
      <x:c r="AJ18" s="185"/>
      <x:c r="AK18" s="3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84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230">
        <x:v>100</x:v>
      </x:c>
      <x:c r="AX18" s="585" t="s">
        <x:v>1102</x:v>
      </x:c>
      <x:c r="AY18" s="33"/>
      <x:c r="AZ18" s="185"/>
      <x:c r="BA18" s="185"/>
      <x:c r="BB18" s="185"/>
      <x:c r="BC18" s="35"/>
      <x:c r="BD18" s="36"/>
      <x:c r="BE18" s="33"/>
      <x:c r="BF18" s="185"/>
      <x:c r="BG18" s="185"/>
      <x:c r="BH18" s="185"/>
      <x:c r="BI18" s="35"/>
      <x:c r="BJ18" s="36"/>
      <x:c r="BK18" s="33"/>
      <x:c r="BL18" s="185"/>
      <x:c r="BM18" s="185"/>
      <x:c r="BN18" s="185"/>
      <x:c r="BO18" s="35"/>
      <x:c r="BP18" s="36"/>
      <x:c r="BQ18" s="33"/>
      <x:c r="BR18" s="185"/>
      <x:c r="BS18" s="185"/>
      <x:c r="BT18" s="185"/>
      <x:c r="BU18" s="35"/>
      <x:c r="BV18" s="36"/>
    </x:row>
    <x:row r="19" spans="1:74" ht="22.5" customHeight="1" x14ac:dyDescent="0.25">
      <x:c r="A19" s="3" t="s">
        <x:v>120</x:v>
      </x:c>
      <x:c r="B19" s="3" t="s">
        <x:v>23</x:v>
      </x:c>
      <x:c r="C19" s="157"/>
      <x:c r="D19" s="158"/>
      <x:c r="E19" s="158"/>
      <x:c r="F19" s="158"/>
      <x:c r="G19" s="158"/>
      <x:c r="H19" s="159"/>
      <x:c r="I19" s="33"/>
      <x:c r="J19" s="185"/>
      <x:c r="K19" s="185"/>
      <x:c r="L19" s="185"/>
      <x:c r="M19" s="35"/>
      <x:c r="N19" s="36"/>
      <x:c r="O19" s="33"/>
      <x:c r="P19" s="185"/>
      <x:c r="Q19" s="185"/>
      <x:c r="R19" s="185"/>
      <x:c r="S19" s="35"/>
      <x:c r="T19" s="36"/>
      <x:c r="U19" s="33"/>
      <x:c r="V19" s="185"/>
      <x:c r="W19" s="185"/>
      <x:c r="X19" s="185"/>
      <x:c r="Y19" s="35"/>
      <x:c r="Z19" s="36"/>
      <x:c r="AA19" s="33"/>
      <x:c r="AB19" s="185"/>
      <x:c r="AC19" s="185"/>
      <x:c r="AD19" s="185"/>
      <x:c r="AE19" s="35"/>
      <x:c r="AF19" s="36"/>
      <x:c r="AG19" s="33"/>
      <x:c r="AH19" s="185"/>
      <x:c r="AI19" s="185"/>
      <x:c r="AJ19" s="185"/>
      <x:c r="AK19" s="3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584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230">
        <x:v>100</x:v>
      </x:c>
      <x:c r="AX19" s="585" t="s">
        <x:v>1102</x:v>
      </x:c>
      <x:c r="AY19" s="33"/>
      <x:c r="AZ19" s="185"/>
      <x:c r="BA19" s="185"/>
      <x:c r="BB19" s="185"/>
      <x:c r="BC19" s="35"/>
      <x:c r="BD19" s="36"/>
      <x:c r="BE19" s="33"/>
      <x:c r="BF19" s="185"/>
      <x:c r="BG19" s="185"/>
      <x:c r="BH19" s="185"/>
      <x:c r="BI19" s="35"/>
      <x:c r="BJ19" s="36"/>
      <x:c r="BK19" s="33"/>
      <x:c r="BL19" s="185"/>
      <x:c r="BM19" s="185"/>
      <x:c r="BN19" s="185"/>
      <x:c r="BO19" s="35"/>
      <x:c r="BP19" s="36"/>
      <x:c r="BQ19" s="33"/>
      <x:c r="BR19" s="185"/>
      <x:c r="BS19" s="185"/>
      <x:c r="BT19" s="185"/>
      <x:c r="BU19" s="35"/>
      <x:c r="BV19" s="36"/>
    </x:row>
    <x:row r="20" spans="1:74" ht="22.5" customHeight="1" x14ac:dyDescent="0.25">
      <x:c r="A20" s="3" t="s">
        <x:v>134</x:v>
      </x:c>
      <x:c r="B20" s="3" t="s">
        <x:v>37</x:v>
      </x:c>
      <x:c r="C20" s="157"/>
      <x:c r="D20" s="158"/>
      <x:c r="E20" s="158"/>
      <x:c r="F20" s="158"/>
      <x:c r="G20" s="158"/>
      <x:c r="H20" s="159"/>
      <x:c r="I20" s="33"/>
      <x:c r="J20" s="185"/>
      <x:c r="K20" s="185"/>
      <x:c r="L20" s="185"/>
      <x:c r="M20" s="35"/>
      <x:c r="N20" s="36"/>
      <x:c r="O20" s="33"/>
      <x:c r="P20" s="185"/>
      <x:c r="Q20" s="185"/>
      <x:c r="R20" s="185"/>
      <x:c r="S20" s="35"/>
      <x:c r="T20" s="36"/>
      <x:c r="U20" s="33"/>
      <x:c r="V20" s="185"/>
      <x:c r="W20" s="185"/>
      <x:c r="X20" s="185"/>
      <x:c r="Y20" s="35"/>
      <x:c r="Z20" s="36"/>
      <x:c r="AA20" s="33"/>
      <x:c r="AB20" s="185"/>
      <x:c r="AC20" s="185"/>
      <x:c r="AD20" s="185"/>
      <x:c r="AE20" s="35"/>
      <x:c r="AF20" s="36"/>
      <x:c r="AG20" s="33"/>
      <x:c r="AH20" s="185"/>
      <x:c r="AI20" s="185"/>
      <x:c r="AJ20" s="185"/>
      <x:c r="AK20" s="3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584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230">
        <x:v>100</x:v>
      </x:c>
      <x:c r="AX20" s="585" t="s">
        <x:v>1102</x:v>
      </x:c>
      <x:c r="AY20" s="33"/>
      <x:c r="AZ20" s="185"/>
      <x:c r="BA20" s="185"/>
      <x:c r="BB20" s="185"/>
      <x:c r="BC20" s="35"/>
      <x:c r="BD20" s="36"/>
      <x:c r="BE20" s="33"/>
      <x:c r="BF20" s="185"/>
      <x:c r="BG20" s="185"/>
      <x:c r="BH20" s="185"/>
      <x:c r="BI20" s="35"/>
      <x:c r="BJ20" s="36"/>
      <x:c r="BK20" s="33"/>
      <x:c r="BL20" s="185"/>
      <x:c r="BM20" s="185"/>
      <x:c r="BN20" s="185"/>
      <x:c r="BO20" s="35"/>
      <x:c r="BP20" s="36"/>
      <x:c r="BQ20" s="33"/>
      <x:c r="BR20" s="185"/>
      <x:c r="BS20" s="185"/>
      <x:c r="BT20" s="185"/>
      <x:c r="BU20" s="35"/>
      <x:c r="BV20" s="36"/>
    </x:row>
    <x:row r="21" spans="1:74" ht="22.5" customHeight="1" x14ac:dyDescent="0.25">
      <x:c r="A21" s="3" t="s">
        <x:v>113</x:v>
      </x:c>
      <x:c r="B21" s="3" t="s">
        <x:v>23</x:v>
      </x:c>
      <x:c r="C21" s="157"/>
      <x:c r="D21" s="158"/>
      <x:c r="E21" s="158"/>
      <x:c r="F21" s="158"/>
      <x:c r="G21" s="158"/>
      <x:c r="H21" s="159"/>
      <x:c r="I21" s="33"/>
      <x:c r="J21" s="185"/>
      <x:c r="K21" s="185"/>
      <x:c r="L21" s="185"/>
      <x:c r="M21" s="35"/>
      <x:c r="N21" s="36"/>
      <x:c r="O21" s="33"/>
      <x:c r="P21" s="185"/>
      <x:c r="Q21" s="185"/>
      <x:c r="R21" s="185"/>
      <x:c r="S21" s="35"/>
      <x:c r="T21" s="36"/>
      <x:c r="U21" s="33"/>
      <x:c r="V21" s="185"/>
      <x:c r="W21" s="185"/>
      <x:c r="X21" s="185"/>
      <x:c r="Y21" s="35"/>
      <x:c r="Z21" s="36"/>
      <x:c r="AA21" s="33"/>
      <x:c r="AB21" s="185"/>
      <x:c r="AC21" s="185"/>
      <x:c r="AD21" s="185"/>
      <x:c r="AE21" s="35"/>
      <x:c r="AF21" s="36"/>
      <x:c r="AG21" s="33"/>
      <x:c r="AH21" s="185"/>
      <x:c r="AI21" s="185"/>
      <x:c r="AJ21" s="185"/>
      <x:c r="AK21" s="3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584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230">
        <x:v>100</x:v>
      </x:c>
      <x:c r="AX21" s="585" t="s">
        <x:v>1102</x:v>
      </x:c>
      <x:c r="AY21" s="33"/>
      <x:c r="AZ21" s="185"/>
      <x:c r="BA21" s="185"/>
      <x:c r="BB21" s="185"/>
      <x:c r="BC21" s="35"/>
      <x:c r="BD21" s="36"/>
      <x:c r="BE21" s="33"/>
      <x:c r="BF21" s="185"/>
      <x:c r="BG21" s="185"/>
      <x:c r="BH21" s="185"/>
      <x:c r="BI21" s="35"/>
      <x:c r="BJ21" s="36"/>
      <x:c r="BK21" s="33"/>
      <x:c r="BL21" s="185"/>
      <x:c r="BM21" s="185"/>
      <x:c r="BN21" s="185"/>
      <x:c r="BO21" s="35"/>
      <x:c r="BP21" s="36"/>
      <x:c r="BQ21" s="33"/>
      <x:c r="BR21" s="185"/>
      <x:c r="BS21" s="185"/>
      <x:c r="BT21" s="185"/>
      <x:c r="BU21" s="35"/>
      <x:c r="BV21" s="36"/>
    </x:row>
    <x:row r="22" spans="1:74" ht="22.5" customHeight="1" x14ac:dyDescent="0.25">
      <x:c r="A22" s="3" t="s">
        <x:v>107</x:v>
      </x:c>
      <x:c r="B22" s="3" t="s">
        <x:v>23</x:v>
      </x:c>
      <x:c r="C22" s="157"/>
      <x:c r="D22" s="158"/>
      <x:c r="E22" s="158"/>
      <x:c r="F22" s="158"/>
      <x:c r="G22" s="158"/>
      <x:c r="H22" s="159"/>
      <x:c r="I22" s="33"/>
      <x:c r="J22" s="185"/>
      <x:c r="K22" s="185"/>
      <x:c r="L22" s="185"/>
      <x:c r="M22" s="35"/>
      <x:c r="N22" s="36"/>
      <x:c r="O22" s="33"/>
      <x:c r="P22" s="185"/>
      <x:c r="Q22" s="185"/>
      <x:c r="R22" s="185"/>
      <x:c r="S22" s="35"/>
      <x:c r="T22" s="36"/>
      <x:c r="U22" s="33"/>
      <x:c r="V22" s="185"/>
      <x:c r="W22" s="185"/>
      <x:c r="X22" s="185"/>
      <x:c r="Y22" s="35"/>
      <x:c r="Z22" s="36"/>
      <x:c r="AA22" s="33"/>
      <x:c r="AB22" s="185"/>
      <x:c r="AC22" s="185"/>
      <x:c r="AD22" s="185"/>
      <x:c r="AE22" s="35"/>
      <x:c r="AF22" s="36"/>
      <x:c r="AG22" s="33"/>
      <x:c r="AH22" s="185"/>
      <x:c r="AI22" s="185"/>
      <x:c r="AJ22" s="185"/>
      <x:c r="AK22" s="3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584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230">
        <x:v>100</x:v>
      </x:c>
      <x:c r="AX22" s="585" t="s">
        <x:v>1102</x:v>
      </x:c>
      <x:c r="AY22" s="33"/>
      <x:c r="AZ22" s="185"/>
      <x:c r="BA22" s="185"/>
      <x:c r="BB22" s="185"/>
      <x:c r="BC22" s="35"/>
      <x:c r="BD22" s="36"/>
      <x:c r="BE22" s="33"/>
      <x:c r="BF22" s="185"/>
      <x:c r="BG22" s="185"/>
      <x:c r="BH22" s="185"/>
      <x:c r="BI22" s="35"/>
      <x:c r="BJ22" s="36"/>
      <x:c r="BK22" s="33"/>
      <x:c r="BL22" s="185"/>
      <x:c r="BM22" s="185"/>
      <x:c r="BN22" s="185"/>
      <x:c r="BO22" s="35"/>
      <x:c r="BP22" s="36"/>
      <x:c r="BQ22" s="33"/>
      <x:c r="BR22" s="185"/>
      <x:c r="BS22" s="185"/>
      <x:c r="BT22" s="185"/>
      <x:c r="BU22" s="35"/>
      <x:c r="BV22" s="36"/>
    </x:row>
    <x:row r="23" spans="1:74" ht="22.5" customHeight="1" x14ac:dyDescent="0.25">
      <x:c r="A23" s="3" t="s">
        <x:v>123</x:v>
      </x:c>
      <x:c r="B23" s="3" t="s">
        <x:v>23</x:v>
      </x:c>
      <x:c r="C23" s="157"/>
      <x:c r="D23" s="158"/>
      <x:c r="E23" s="158"/>
      <x:c r="F23" s="158"/>
      <x:c r="G23" s="158"/>
      <x:c r="H23" s="159"/>
      <x:c r="I23" s="33"/>
      <x:c r="J23" s="185"/>
      <x:c r="K23" s="185"/>
      <x:c r="L23" s="185"/>
      <x:c r="M23" s="35"/>
      <x:c r="N23" s="36"/>
      <x:c r="O23" s="33"/>
      <x:c r="P23" s="185"/>
      <x:c r="Q23" s="185"/>
      <x:c r="R23" s="185"/>
      <x:c r="S23" s="35"/>
      <x:c r="T23" s="36"/>
      <x:c r="U23" s="33"/>
      <x:c r="V23" s="185"/>
      <x:c r="W23" s="185"/>
      <x:c r="X23" s="185"/>
      <x:c r="Y23" s="35"/>
      <x:c r="Z23" s="36"/>
      <x:c r="AA23" s="33"/>
      <x:c r="AB23" s="185"/>
      <x:c r="AC23" s="185"/>
      <x:c r="AD23" s="185"/>
      <x:c r="AE23" s="35"/>
      <x:c r="AF23" s="36"/>
      <x:c r="AG23" s="33"/>
      <x:c r="AH23" s="185"/>
      <x:c r="AI23" s="185"/>
      <x:c r="AJ23" s="185"/>
      <x:c r="AK23" s="3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584" t="s">
        <x:v>1102</x:v>
      </x:c>
      <x:c r="AS23" s="157">
        <x:v>100</x:v>
      </x:c>
      <x:c r="AT23" s="158">
        <x:v>100</x:v>
      </x:c>
      <x:c r="AU23" s="158">
        <x:v>100</x:v>
      </x:c>
      <x:c r="AV23" s="158">
        <x:v>100</x:v>
      </x:c>
      <x:c r="AW23" s="230">
        <x:v>100</x:v>
      </x:c>
      <x:c r="AX23" s="585" t="s">
        <x:v>1102</x:v>
      </x:c>
      <x:c r="AY23" s="33"/>
      <x:c r="AZ23" s="185"/>
      <x:c r="BA23" s="185"/>
      <x:c r="BB23" s="185"/>
      <x:c r="BC23" s="35"/>
      <x:c r="BD23" s="36"/>
      <x:c r="BE23" s="33"/>
      <x:c r="BF23" s="185"/>
      <x:c r="BG23" s="185"/>
      <x:c r="BH23" s="185"/>
      <x:c r="BI23" s="35"/>
      <x:c r="BJ23" s="36"/>
      <x:c r="BK23" s="33"/>
      <x:c r="BL23" s="185"/>
      <x:c r="BM23" s="185"/>
      <x:c r="BN23" s="185"/>
      <x:c r="BO23" s="35"/>
      <x:c r="BP23" s="36"/>
      <x:c r="BQ23" s="33"/>
      <x:c r="BR23" s="185"/>
      <x:c r="BS23" s="185"/>
      <x:c r="BT23" s="185"/>
      <x:c r="BU23" s="35"/>
      <x:c r="BV23" s="36"/>
    </x:row>
    <x:row r="24" spans="1:74" ht="22.5" customHeight="1" x14ac:dyDescent="0.25">
      <x:c r="A24" s="3" t="s">
        <x:v>126</x:v>
      </x:c>
      <x:c r="B24" s="3" t="s">
        <x:v>23</x:v>
      </x:c>
      <x:c r="C24" s="157"/>
      <x:c r="D24" s="158"/>
      <x:c r="E24" s="158"/>
      <x:c r="F24" s="158"/>
      <x:c r="G24" s="158"/>
      <x:c r="H24" s="159"/>
      <x:c r="I24" s="33"/>
      <x:c r="J24" s="185"/>
      <x:c r="K24" s="185"/>
      <x:c r="L24" s="185"/>
      <x:c r="M24" s="35"/>
      <x:c r="N24" s="36"/>
      <x:c r="O24" s="33"/>
      <x:c r="P24" s="185"/>
      <x:c r="Q24" s="185"/>
      <x:c r="R24" s="185"/>
      <x:c r="S24" s="35"/>
      <x:c r="T24" s="36"/>
      <x:c r="U24" s="33"/>
      <x:c r="V24" s="185"/>
      <x:c r="W24" s="185"/>
      <x:c r="X24" s="185"/>
      <x:c r="Y24" s="35"/>
      <x:c r="Z24" s="36"/>
      <x:c r="AA24" s="33"/>
      <x:c r="AB24" s="185"/>
      <x:c r="AC24" s="185"/>
      <x:c r="AD24" s="185"/>
      <x:c r="AE24" s="35"/>
      <x:c r="AF24" s="36"/>
      <x:c r="AG24" s="33"/>
      <x:c r="AH24" s="185"/>
      <x:c r="AI24" s="185"/>
      <x:c r="AJ24" s="185"/>
      <x:c r="AK24" s="35"/>
      <x:c r="AL24" s="36"/>
      <x:c r="AM24" s="157">
        <x:v>100</x:v>
      </x:c>
      <x:c r="AN24" s="158">
        <x:v>100</x:v>
      </x:c>
      <x:c r="AO24" s="158">
        <x:v>100</x:v>
      </x:c>
      <x:c r="AP24" s="158">
        <x:v>100</x:v>
      </x:c>
      <x:c r="AQ24" s="158">
        <x:v>100</x:v>
      </x:c>
      <x:c r="AR24" s="584" t="s">
        <x:v>1102</x:v>
      </x:c>
      <x:c r="AS24" s="157">
        <x:v>100</x:v>
      </x:c>
      <x:c r="AT24" s="158">
        <x:v>100</x:v>
      </x:c>
      <x:c r="AU24" s="158">
        <x:v>100</x:v>
      </x:c>
      <x:c r="AV24" s="158">
        <x:v>100</x:v>
      </x:c>
      <x:c r="AW24" s="230">
        <x:v>100</x:v>
      </x:c>
      <x:c r="AX24" s="585" t="s">
        <x:v>1102</x:v>
      </x:c>
      <x:c r="AY24" s="33"/>
      <x:c r="AZ24" s="185"/>
      <x:c r="BA24" s="185"/>
      <x:c r="BB24" s="185"/>
      <x:c r="BC24" s="35"/>
      <x:c r="BD24" s="36"/>
      <x:c r="BE24" s="33"/>
      <x:c r="BF24" s="185"/>
      <x:c r="BG24" s="185"/>
      <x:c r="BH24" s="185"/>
      <x:c r="BI24" s="35"/>
      <x:c r="BJ24" s="36"/>
      <x:c r="BK24" s="33"/>
      <x:c r="BL24" s="185"/>
      <x:c r="BM24" s="185"/>
      <x:c r="BN24" s="185"/>
      <x:c r="BO24" s="35"/>
      <x:c r="BP24" s="36"/>
      <x:c r="BQ24" s="33"/>
      <x:c r="BR24" s="185"/>
      <x:c r="BS24" s="185"/>
      <x:c r="BT24" s="185"/>
      <x:c r="BU24" s="35"/>
      <x:c r="BV24" s="36"/>
    </x:row>
    <x:row r="25" spans="1:74" ht="22.5" customHeight="1" x14ac:dyDescent="0.25">
      <x:c r="A25" s="3" t="s">
        <x:v>93</x:v>
      </x:c>
      <x:c r="B25" s="3" t="s">
        <x:v>16</x:v>
      </x:c>
      <x:c r="C25" s="157"/>
      <x:c r="D25" s="158"/>
      <x:c r="E25" s="158"/>
      <x:c r="F25" s="158"/>
      <x:c r="G25" s="158"/>
      <x:c r="H25" s="159"/>
      <x:c r="I25" s="33"/>
      <x:c r="J25" s="185"/>
      <x:c r="K25" s="185"/>
      <x:c r="L25" s="185"/>
      <x:c r="M25" s="35"/>
      <x:c r="N25" s="36"/>
      <x:c r="O25" s="33"/>
      <x:c r="P25" s="185"/>
      <x:c r="Q25" s="185"/>
      <x:c r="R25" s="185"/>
      <x:c r="S25" s="35"/>
      <x:c r="T25" s="36"/>
      <x:c r="U25" s="33"/>
      <x:c r="V25" s="185"/>
      <x:c r="W25" s="185"/>
      <x:c r="X25" s="185"/>
      <x:c r="Y25" s="35"/>
      <x:c r="Z25" s="36"/>
      <x:c r="AA25" s="33"/>
      <x:c r="AB25" s="185"/>
      <x:c r="AC25" s="185"/>
      <x:c r="AD25" s="185"/>
      <x:c r="AE25" s="35"/>
      <x:c r="AF25" s="36"/>
      <x:c r="AG25" s="33"/>
      <x:c r="AH25" s="185"/>
      <x:c r="AI25" s="185"/>
      <x:c r="AJ25" s="185"/>
      <x:c r="AK25" s="35"/>
      <x:c r="AL25" s="36"/>
      <x:c r="AM25" s="157">
        <x:v>100</x:v>
      </x:c>
      <x:c r="AN25" s="158">
        <x:v>100</x:v>
      </x:c>
      <x:c r="AO25" s="158">
        <x:v>100</x:v>
      </x:c>
      <x:c r="AP25" s="158">
        <x:v>100</x:v>
      </x:c>
      <x:c r="AQ25" s="158">
        <x:v>100</x:v>
      </x:c>
      <x:c r="AR25" s="584" t="s">
        <x:v>1102</x:v>
      </x:c>
      <x:c r="AS25" s="157">
        <x:v>100</x:v>
      </x:c>
      <x:c r="AT25" s="158">
        <x:v>100</x:v>
      </x:c>
      <x:c r="AU25" s="158">
        <x:v>100</x:v>
      </x:c>
      <x:c r="AV25" s="158">
        <x:v>100</x:v>
      </x:c>
      <x:c r="AW25" s="230">
        <x:v>100</x:v>
      </x:c>
      <x:c r="AX25" s="585" t="s">
        <x:v>1102</x:v>
      </x:c>
      <x:c r="AY25" s="33"/>
      <x:c r="AZ25" s="185"/>
      <x:c r="BA25" s="185"/>
      <x:c r="BB25" s="185"/>
      <x:c r="BC25" s="35"/>
      <x:c r="BD25" s="36"/>
      <x:c r="BE25" s="33"/>
      <x:c r="BF25" s="185"/>
      <x:c r="BG25" s="185"/>
      <x:c r="BH25" s="185"/>
      <x:c r="BI25" s="35"/>
      <x:c r="BJ25" s="36"/>
      <x:c r="BK25" s="33"/>
      <x:c r="BL25" s="185"/>
      <x:c r="BM25" s="185"/>
      <x:c r="BN25" s="185"/>
      <x:c r="BO25" s="35"/>
      <x:c r="BP25" s="36"/>
      <x:c r="BQ25" s="33"/>
      <x:c r="BR25" s="185"/>
      <x:c r="BS25" s="185"/>
      <x:c r="BT25" s="185"/>
      <x:c r="BU25" s="35"/>
      <x:c r="BV25" s="36"/>
    </x:row>
    <x:row r="26" spans="1:74" ht="22.5" customHeight="1" x14ac:dyDescent="0.25">
      <x:c r="A26" s="3" t="s">
        <x:v>130</x:v>
      </x:c>
      <x:c r="B26" s="3" t="s">
        <x:v>23</x:v>
      </x:c>
      <x:c r="C26" s="157"/>
      <x:c r="D26" s="158"/>
      <x:c r="E26" s="158"/>
      <x:c r="F26" s="158"/>
      <x:c r="G26" s="158"/>
      <x:c r="H26" s="159"/>
      <x:c r="I26" s="33"/>
      <x:c r="J26" s="185"/>
      <x:c r="K26" s="185"/>
      <x:c r="L26" s="185"/>
      <x:c r="M26" s="35"/>
      <x:c r="N26" s="36"/>
      <x:c r="O26" s="33"/>
      <x:c r="P26" s="185"/>
      <x:c r="Q26" s="185"/>
      <x:c r="R26" s="185"/>
      <x:c r="S26" s="35"/>
      <x:c r="T26" s="36"/>
      <x:c r="U26" s="33"/>
      <x:c r="V26" s="185"/>
      <x:c r="W26" s="185"/>
      <x:c r="X26" s="185"/>
      <x:c r="Y26" s="35"/>
      <x:c r="Z26" s="36"/>
      <x:c r="AA26" s="33"/>
      <x:c r="AB26" s="185"/>
      <x:c r="AC26" s="185"/>
      <x:c r="AD26" s="185"/>
      <x:c r="AE26" s="35"/>
      <x:c r="AF26" s="36"/>
      <x:c r="AG26" s="33"/>
      <x:c r="AH26" s="185"/>
      <x:c r="AI26" s="185"/>
      <x:c r="AJ26" s="185"/>
      <x:c r="AK26" s="35"/>
      <x:c r="AL26" s="36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584" t="s">
        <x:v>1102</x:v>
      </x:c>
      <x:c r="AS26" s="157">
        <x:v>100</x:v>
      </x:c>
      <x:c r="AT26" s="158">
        <x:v>100</x:v>
      </x:c>
      <x:c r="AU26" s="158">
        <x:v>100</x:v>
      </x:c>
      <x:c r="AV26" s="158">
        <x:v>100</x:v>
      </x:c>
      <x:c r="AW26" s="230">
        <x:v>100</x:v>
      </x:c>
      <x:c r="AX26" s="585" t="s">
        <x:v>1102</x:v>
      </x:c>
      <x:c r="AY26" s="33"/>
      <x:c r="AZ26" s="185"/>
      <x:c r="BA26" s="185"/>
      <x:c r="BB26" s="185"/>
      <x:c r="BC26" s="35"/>
      <x:c r="BD26" s="36"/>
      <x:c r="BE26" s="33"/>
      <x:c r="BF26" s="185"/>
      <x:c r="BG26" s="185"/>
      <x:c r="BH26" s="185"/>
      <x:c r="BI26" s="35"/>
      <x:c r="BJ26" s="36"/>
      <x:c r="BK26" s="33"/>
      <x:c r="BL26" s="185"/>
      <x:c r="BM26" s="185"/>
      <x:c r="BN26" s="185"/>
      <x:c r="BO26" s="35"/>
      <x:c r="BP26" s="36"/>
      <x:c r="BQ26" s="33"/>
      <x:c r="BR26" s="185"/>
      <x:c r="BS26" s="185"/>
      <x:c r="BT26" s="185"/>
      <x:c r="BU26" s="35"/>
      <x:c r="BV26" s="36"/>
    </x:row>
    <x:row r="27" spans="1:74" ht="22.5" customHeight="1" x14ac:dyDescent="0.25">
      <x:c r="A27" s="3" t="s">
        <x:v>131</x:v>
      </x:c>
      <x:c r="B27" s="3" t="s">
        <x:v>23</x:v>
      </x:c>
      <x:c r="C27" s="157"/>
      <x:c r="D27" s="158"/>
      <x:c r="E27" s="158"/>
      <x:c r="F27" s="158"/>
      <x:c r="G27" s="158"/>
      <x:c r="H27" s="159"/>
      <x:c r="I27" s="33"/>
      <x:c r="J27" s="185"/>
      <x:c r="K27" s="185"/>
      <x:c r="L27" s="185"/>
      <x:c r="M27" s="35"/>
      <x:c r="N27" s="36"/>
      <x:c r="O27" s="33"/>
      <x:c r="P27" s="185"/>
      <x:c r="Q27" s="185"/>
      <x:c r="R27" s="185"/>
      <x:c r="S27" s="35"/>
      <x:c r="T27" s="36"/>
      <x:c r="U27" s="33"/>
      <x:c r="V27" s="185"/>
      <x:c r="W27" s="185"/>
      <x:c r="X27" s="185"/>
      <x:c r="Y27" s="35"/>
      <x:c r="Z27" s="36"/>
      <x:c r="AA27" s="33"/>
      <x:c r="AB27" s="185"/>
      <x:c r="AC27" s="185"/>
      <x:c r="AD27" s="185"/>
      <x:c r="AE27" s="35"/>
      <x:c r="AF27" s="36"/>
      <x:c r="AG27" s="33"/>
      <x:c r="AH27" s="185"/>
      <x:c r="AI27" s="185"/>
      <x:c r="AJ27" s="185"/>
      <x:c r="AK27" s="35"/>
      <x:c r="AL27" s="36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584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230">
        <x:v>100</x:v>
      </x:c>
      <x:c r="AX27" s="585" t="s">
        <x:v>1102</x:v>
      </x:c>
      <x:c r="AY27" s="33"/>
      <x:c r="AZ27" s="185"/>
      <x:c r="BA27" s="185"/>
      <x:c r="BB27" s="185"/>
      <x:c r="BC27" s="35"/>
      <x:c r="BD27" s="36"/>
      <x:c r="BE27" s="33"/>
      <x:c r="BF27" s="185"/>
      <x:c r="BG27" s="185"/>
      <x:c r="BH27" s="185"/>
      <x:c r="BI27" s="35"/>
      <x:c r="BJ27" s="36"/>
      <x:c r="BK27" s="33"/>
      <x:c r="BL27" s="185"/>
      <x:c r="BM27" s="185"/>
      <x:c r="BN27" s="185"/>
      <x:c r="BO27" s="35"/>
      <x:c r="BP27" s="36"/>
      <x:c r="BQ27" s="33"/>
      <x:c r="BR27" s="185"/>
      <x:c r="BS27" s="185"/>
      <x:c r="BT27" s="185"/>
      <x:c r="BU27" s="35"/>
      <x:c r="BV27" s="36"/>
    </x:row>
    <x:row r="28" spans="1:74" ht="22.5" customHeight="1" x14ac:dyDescent="0.25">
      <x:c r="A28" s="3" t="s">
        <x:v>108</x:v>
      </x:c>
      <x:c r="B28" s="3" t="s">
        <x:v>37</x:v>
      </x:c>
      <x:c r="C28" s="157"/>
      <x:c r="D28" s="158"/>
      <x:c r="E28" s="158"/>
      <x:c r="F28" s="158"/>
      <x:c r="G28" s="158"/>
      <x:c r="H28" s="159"/>
      <x:c r="I28" s="33"/>
      <x:c r="J28" s="185"/>
      <x:c r="K28" s="185"/>
      <x:c r="L28" s="185"/>
      <x:c r="M28" s="35"/>
      <x:c r="N28" s="36"/>
      <x:c r="O28" s="33"/>
      <x:c r="P28" s="185"/>
      <x:c r="Q28" s="185"/>
      <x:c r="R28" s="185"/>
      <x:c r="S28" s="35"/>
      <x:c r="T28" s="36"/>
      <x:c r="U28" s="33"/>
      <x:c r="V28" s="185"/>
      <x:c r="W28" s="185"/>
      <x:c r="X28" s="185"/>
      <x:c r="Y28" s="35"/>
      <x:c r="Z28" s="36"/>
      <x:c r="AA28" s="33"/>
      <x:c r="AB28" s="185"/>
      <x:c r="AC28" s="185"/>
      <x:c r="AD28" s="185"/>
      <x:c r="AE28" s="35"/>
      <x:c r="AF28" s="36"/>
      <x:c r="AG28" s="33"/>
      <x:c r="AH28" s="185"/>
      <x:c r="AI28" s="185"/>
      <x:c r="AJ28" s="185"/>
      <x:c r="AK28" s="35"/>
      <x:c r="AL28" s="36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584" t="s">
        <x:v>1102</x:v>
      </x:c>
      <x:c r="AS28" s="157">
        <x:v>100</x:v>
      </x:c>
      <x:c r="AT28" s="158">
        <x:v>100</x:v>
      </x:c>
      <x:c r="AU28" s="158">
        <x:v>100</x:v>
      </x:c>
      <x:c r="AV28" s="158">
        <x:v>100</x:v>
      </x:c>
      <x:c r="AW28" s="230">
        <x:v>100</x:v>
      </x:c>
      <x:c r="AX28" s="585" t="s">
        <x:v>1102</x:v>
      </x:c>
      <x:c r="AY28" s="33"/>
      <x:c r="AZ28" s="185"/>
      <x:c r="BA28" s="185"/>
      <x:c r="BB28" s="185"/>
      <x:c r="BC28" s="35"/>
      <x:c r="BD28" s="36"/>
      <x:c r="BE28" s="33"/>
      <x:c r="BF28" s="185"/>
      <x:c r="BG28" s="185"/>
      <x:c r="BH28" s="185"/>
      <x:c r="BI28" s="35"/>
      <x:c r="BJ28" s="36"/>
      <x:c r="BK28" s="33"/>
      <x:c r="BL28" s="185"/>
      <x:c r="BM28" s="185"/>
      <x:c r="BN28" s="185"/>
      <x:c r="BO28" s="35"/>
      <x:c r="BP28" s="36"/>
      <x:c r="BQ28" s="33"/>
      <x:c r="BR28" s="185"/>
      <x:c r="BS28" s="185"/>
      <x:c r="BT28" s="185"/>
      <x:c r="BU28" s="35"/>
      <x:c r="BV28" s="36"/>
    </x:row>
    <x:row r="29" spans="1:74" ht="22.5" customHeight="1" x14ac:dyDescent="0.25">
      <x:c r="A29" s="3" t="s">
        <x:v>109</x:v>
      </x:c>
      <x:c r="B29" s="3" t="s">
        <x:v>37</x:v>
      </x:c>
      <x:c r="C29" s="157"/>
      <x:c r="D29" s="158"/>
      <x:c r="E29" s="158"/>
      <x:c r="F29" s="158"/>
      <x:c r="G29" s="158"/>
      <x:c r="H29" s="159"/>
      <x:c r="I29" s="33"/>
      <x:c r="J29" s="185"/>
      <x:c r="K29" s="185"/>
      <x:c r="L29" s="185"/>
      <x:c r="M29" s="35"/>
      <x:c r="N29" s="36"/>
      <x:c r="O29" s="33"/>
      <x:c r="P29" s="185"/>
      <x:c r="Q29" s="185"/>
      <x:c r="R29" s="185"/>
      <x:c r="S29" s="35"/>
      <x:c r="T29" s="36"/>
      <x:c r="U29" s="33"/>
      <x:c r="V29" s="185"/>
      <x:c r="W29" s="185"/>
      <x:c r="X29" s="185"/>
      <x:c r="Y29" s="35"/>
      <x:c r="Z29" s="36"/>
      <x:c r="AA29" s="33"/>
      <x:c r="AB29" s="185"/>
      <x:c r="AC29" s="185"/>
      <x:c r="AD29" s="185"/>
      <x:c r="AE29" s="35"/>
      <x:c r="AF29" s="36"/>
      <x:c r="AG29" s="33"/>
      <x:c r="AH29" s="185"/>
      <x:c r="AI29" s="185"/>
      <x:c r="AJ29" s="185"/>
      <x:c r="AK29" s="35"/>
      <x:c r="AL29" s="36"/>
      <x:c r="AM29" s="157">
        <x:v>100</x:v>
      </x:c>
      <x:c r="AN29" s="158">
        <x:v>100</x:v>
      </x:c>
      <x:c r="AO29" s="158">
        <x:v>100</x:v>
      </x:c>
      <x:c r="AP29" s="158">
        <x:v>100</x:v>
      </x:c>
      <x:c r="AQ29" s="158">
        <x:v>100</x:v>
      </x:c>
      <x:c r="AR29" s="584" t="s">
        <x:v>1102</x:v>
      </x:c>
      <x:c r="AS29" s="157">
        <x:v>100</x:v>
      </x:c>
      <x:c r="AT29" s="158">
        <x:v>100</x:v>
      </x:c>
      <x:c r="AU29" s="158">
        <x:v>100</x:v>
      </x:c>
      <x:c r="AV29" s="158">
        <x:v>100</x:v>
      </x:c>
      <x:c r="AW29" s="230">
        <x:v>100</x:v>
      </x:c>
      <x:c r="AX29" s="585" t="s">
        <x:v>1102</x:v>
      </x:c>
      <x:c r="AY29" s="33"/>
      <x:c r="AZ29" s="185"/>
      <x:c r="BA29" s="185"/>
      <x:c r="BB29" s="185"/>
      <x:c r="BC29" s="35"/>
      <x:c r="BD29" s="36"/>
      <x:c r="BE29" s="33"/>
      <x:c r="BF29" s="185"/>
      <x:c r="BG29" s="185"/>
      <x:c r="BH29" s="185"/>
      <x:c r="BI29" s="35"/>
      <x:c r="BJ29" s="36"/>
      <x:c r="BK29" s="33"/>
      <x:c r="BL29" s="185"/>
      <x:c r="BM29" s="185"/>
      <x:c r="BN29" s="185"/>
      <x:c r="BO29" s="35"/>
      <x:c r="BP29" s="36"/>
      <x:c r="BQ29" s="33"/>
      <x:c r="BR29" s="185"/>
      <x:c r="BS29" s="185"/>
      <x:c r="BT29" s="185"/>
      <x:c r="BU29" s="35"/>
      <x:c r="BV29" s="36"/>
    </x:row>
    <x:row r="30" spans="1:74" ht="22.5" customHeight="1" x14ac:dyDescent="0.25">
      <x:c r="A30" s="3" t="s">
        <x:v>128</x:v>
      </x:c>
      <x:c r="B30" s="3" t="s">
        <x:v>23</x:v>
      </x:c>
      <x:c r="C30" s="157"/>
      <x:c r="D30" s="158"/>
      <x:c r="E30" s="158"/>
      <x:c r="F30" s="158"/>
      <x:c r="G30" s="158"/>
      <x:c r="H30" s="159"/>
      <x:c r="I30" s="33"/>
      <x:c r="J30" s="185"/>
      <x:c r="K30" s="185"/>
      <x:c r="L30" s="185"/>
      <x:c r="M30" s="35"/>
      <x:c r="N30" s="36"/>
      <x:c r="O30" s="33"/>
      <x:c r="P30" s="185"/>
      <x:c r="Q30" s="185"/>
      <x:c r="R30" s="185"/>
      <x:c r="S30" s="35"/>
      <x:c r="T30" s="36"/>
      <x:c r="U30" s="33"/>
      <x:c r="V30" s="185"/>
      <x:c r="W30" s="185"/>
      <x:c r="X30" s="185"/>
      <x:c r="Y30" s="35"/>
      <x:c r="Z30" s="36"/>
      <x:c r="AA30" s="33"/>
      <x:c r="AB30" s="185"/>
      <x:c r="AC30" s="185"/>
      <x:c r="AD30" s="185"/>
      <x:c r="AE30" s="35"/>
      <x:c r="AF30" s="36"/>
      <x:c r="AG30" s="33"/>
      <x:c r="AH30" s="185"/>
      <x:c r="AI30" s="185"/>
      <x:c r="AJ30" s="185"/>
      <x:c r="AK30" s="35"/>
      <x:c r="AL30" s="36"/>
      <x:c r="AM30" s="157">
        <x:v>100</x:v>
      </x:c>
      <x:c r="AN30" s="158">
        <x:v>100</x:v>
      </x:c>
      <x:c r="AO30" s="158">
        <x:v>100</x:v>
      </x:c>
      <x:c r="AP30" s="158">
        <x:v>100</x:v>
      </x:c>
      <x:c r="AQ30" s="158">
        <x:v>100</x:v>
      </x:c>
      <x:c r="AR30" s="584" t="s">
        <x:v>1102</x:v>
      </x:c>
      <x:c r="AS30" s="157">
        <x:v>100</x:v>
      </x:c>
      <x:c r="AT30" s="158">
        <x:v>100</x:v>
      </x:c>
      <x:c r="AU30" s="158">
        <x:v>100</x:v>
      </x:c>
      <x:c r="AV30" s="158">
        <x:v>100</x:v>
      </x:c>
      <x:c r="AW30" s="230">
        <x:v>100</x:v>
      </x:c>
      <x:c r="AX30" s="585" t="s">
        <x:v>1102</x:v>
      </x:c>
      <x:c r="AY30" s="33"/>
      <x:c r="AZ30" s="185"/>
      <x:c r="BA30" s="185"/>
      <x:c r="BB30" s="185"/>
      <x:c r="BC30" s="35"/>
      <x:c r="BD30" s="36"/>
      <x:c r="BE30" s="33"/>
      <x:c r="BF30" s="185"/>
      <x:c r="BG30" s="185"/>
      <x:c r="BH30" s="185"/>
      <x:c r="BI30" s="35"/>
      <x:c r="BJ30" s="36"/>
      <x:c r="BK30" s="33"/>
      <x:c r="BL30" s="185"/>
      <x:c r="BM30" s="185"/>
      <x:c r="BN30" s="185"/>
      <x:c r="BO30" s="35"/>
      <x:c r="BP30" s="36"/>
      <x:c r="BQ30" s="33"/>
      <x:c r="BR30" s="185"/>
      <x:c r="BS30" s="185"/>
      <x:c r="BT30" s="185"/>
      <x:c r="BU30" s="35"/>
      <x:c r="BV30" s="36"/>
    </x:row>
    <x:row r="31" spans="1:74" ht="22.5" customHeight="1" x14ac:dyDescent="0.25">
      <x:c r="A31" s="3" t="s">
        <x:v>105</x:v>
      </x:c>
      <x:c r="B31" s="3" t="s">
        <x:v>23</x:v>
      </x:c>
      <x:c r="C31" s="157"/>
      <x:c r="D31" s="158"/>
      <x:c r="E31" s="158"/>
      <x:c r="F31" s="158"/>
      <x:c r="G31" s="158"/>
      <x:c r="H31" s="159"/>
      <x:c r="I31" s="33"/>
      <x:c r="J31" s="185"/>
      <x:c r="K31" s="185"/>
      <x:c r="L31" s="185"/>
      <x:c r="M31" s="35"/>
      <x:c r="N31" s="36"/>
      <x:c r="O31" s="33"/>
      <x:c r="P31" s="185"/>
      <x:c r="Q31" s="185"/>
      <x:c r="R31" s="185"/>
      <x:c r="S31" s="35"/>
      <x:c r="T31" s="36"/>
      <x:c r="U31" s="33"/>
      <x:c r="V31" s="185"/>
      <x:c r="W31" s="185"/>
      <x:c r="X31" s="185"/>
      <x:c r="Y31" s="35"/>
      <x:c r="Z31" s="36"/>
      <x:c r="AA31" s="33"/>
      <x:c r="AB31" s="185"/>
      <x:c r="AC31" s="185"/>
      <x:c r="AD31" s="185"/>
      <x:c r="AE31" s="35"/>
      <x:c r="AF31" s="36"/>
      <x:c r="AG31" s="33"/>
      <x:c r="AH31" s="185"/>
      <x:c r="AI31" s="185"/>
      <x:c r="AJ31" s="185"/>
      <x:c r="AK31" s="35"/>
      <x:c r="AL31" s="36"/>
      <x:c r="AM31" s="157">
        <x:v>100</x:v>
      </x:c>
      <x:c r="AN31" s="158">
        <x:v>100</x:v>
      </x:c>
      <x:c r="AO31" s="158">
        <x:v>100</x:v>
      </x:c>
      <x:c r="AP31" s="158">
        <x:v>100</x:v>
      </x:c>
      <x:c r="AQ31" s="158">
        <x:v>100</x:v>
      </x:c>
      <x:c r="AR31" s="584" t="s">
        <x:v>1102</x:v>
      </x:c>
      <x:c r="AS31" s="157">
        <x:v>100</x:v>
      </x:c>
      <x:c r="AT31" s="158">
        <x:v>100</x:v>
      </x:c>
      <x:c r="AU31" s="158">
        <x:v>100</x:v>
      </x:c>
      <x:c r="AV31" s="158">
        <x:v>100</x:v>
      </x:c>
      <x:c r="AW31" s="230">
        <x:v>100</x:v>
      </x:c>
      <x:c r="AX31" s="585" t="s">
        <x:v>1102</x:v>
      </x:c>
      <x:c r="AY31" s="33"/>
      <x:c r="AZ31" s="185"/>
      <x:c r="BA31" s="185"/>
      <x:c r="BB31" s="185"/>
      <x:c r="BC31" s="35"/>
      <x:c r="BD31" s="36"/>
      <x:c r="BE31" s="33"/>
      <x:c r="BF31" s="185"/>
      <x:c r="BG31" s="185"/>
      <x:c r="BH31" s="185"/>
      <x:c r="BI31" s="35"/>
      <x:c r="BJ31" s="36"/>
      <x:c r="BK31" s="33"/>
      <x:c r="BL31" s="185"/>
      <x:c r="BM31" s="185"/>
      <x:c r="BN31" s="185"/>
      <x:c r="BO31" s="35"/>
      <x:c r="BP31" s="36"/>
      <x:c r="BQ31" s="33"/>
      <x:c r="BR31" s="185"/>
      <x:c r="BS31" s="185"/>
      <x:c r="BT31" s="185"/>
      <x:c r="BU31" s="35"/>
      <x:c r="BV31" s="36"/>
    </x:row>
    <x:row r="32" spans="1:74" ht="22.5" customHeight="1" x14ac:dyDescent="0.25">
      <x:c r="A32" s="3" t="s">
        <x:v>135</x:v>
      </x:c>
      <x:c r="B32" s="3" t="s">
        <x:v>37</x:v>
      </x:c>
      <x:c r="C32" s="157"/>
      <x:c r="D32" s="158"/>
      <x:c r="E32" s="158"/>
      <x:c r="F32" s="158"/>
      <x:c r="G32" s="158"/>
      <x:c r="H32" s="159"/>
      <x:c r="I32" s="33"/>
      <x:c r="J32" s="185"/>
      <x:c r="K32" s="185"/>
      <x:c r="L32" s="185"/>
      <x:c r="M32" s="35"/>
      <x:c r="N32" s="36"/>
      <x:c r="O32" s="33"/>
      <x:c r="P32" s="185"/>
      <x:c r="Q32" s="185"/>
      <x:c r="R32" s="185"/>
      <x:c r="S32" s="35"/>
      <x:c r="T32" s="36"/>
      <x:c r="U32" s="33"/>
      <x:c r="V32" s="185"/>
      <x:c r="W32" s="185"/>
      <x:c r="X32" s="185"/>
      <x:c r="Y32" s="35"/>
      <x:c r="Z32" s="36"/>
      <x:c r="AA32" s="33"/>
      <x:c r="AB32" s="185"/>
      <x:c r="AC32" s="185"/>
      <x:c r="AD32" s="185"/>
      <x:c r="AE32" s="35"/>
      <x:c r="AF32" s="36"/>
      <x:c r="AG32" s="33"/>
      <x:c r="AH32" s="185"/>
      <x:c r="AI32" s="185"/>
      <x:c r="AJ32" s="185"/>
      <x:c r="AK32" s="35"/>
      <x:c r="AL32" s="36"/>
      <x:c r="AM32" s="157">
        <x:v>100</x:v>
      </x:c>
      <x:c r="AN32" s="158">
        <x:v>100</x:v>
      </x:c>
      <x:c r="AO32" s="158">
        <x:v>100</x:v>
      </x:c>
      <x:c r="AP32" s="158">
        <x:v>100</x:v>
      </x:c>
      <x:c r="AQ32" s="158">
        <x:v>100</x:v>
      </x:c>
      <x:c r="AR32" s="584" t="s">
        <x:v>1102</x:v>
      </x:c>
      <x:c r="AS32" s="157">
        <x:v>100</x:v>
      </x:c>
      <x:c r="AT32" s="158">
        <x:v>100</x:v>
      </x:c>
      <x:c r="AU32" s="158">
        <x:v>100</x:v>
      </x:c>
      <x:c r="AV32" s="158">
        <x:v>100</x:v>
      </x:c>
      <x:c r="AW32" s="230">
        <x:v>100</x:v>
      </x:c>
      <x:c r="AX32" s="585" t="s">
        <x:v>1102</x:v>
      </x:c>
      <x:c r="AY32" s="33"/>
      <x:c r="AZ32" s="185"/>
      <x:c r="BA32" s="185"/>
      <x:c r="BB32" s="185"/>
      <x:c r="BC32" s="35"/>
      <x:c r="BD32" s="36"/>
      <x:c r="BE32" s="33"/>
      <x:c r="BF32" s="185"/>
      <x:c r="BG32" s="185"/>
      <x:c r="BH32" s="185"/>
      <x:c r="BI32" s="35"/>
      <x:c r="BJ32" s="36"/>
      <x:c r="BK32" s="33"/>
      <x:c r="BL32" s="185"/>
      <x:c r="BM32" s="185"/>
      <x:c r="BN32" s="185"/>
      <x:c r="BO32" s="35"/>
      <x:c r="BP32" s="36"/>
      <x:c r="BQ32" s="33"/>
      <x:c r="BR32" s="185"/>
      <x:c r="BS32" s="185"/>
      <x:c r="BT32" s="185"/>
      <x:c r="BU32" s="35"/>
      <x:c r="BV32" s="36"/>
    </x:row>
    <x:row r="33" spans="1:74" ht="22.5" customHeight="1" x14ac:dyDescent="0.25">
      <x:c r="A33" s="3" t="s">
        <x:v>100</x:v>
      </x:c>
      <x:c r="B33" s="3" t="s">
        <x:v>23</x:v>
      </x:c>
      <x:c r="C33" s="157"/>
      <x:c r="D33" s="158"/>
      <x:c r="E33" s="158"/>
      <x:c r="F33" s="158"/>
      <x:c r="G33" s="158"/>
      <x:c r="H33" s="159"/>
      <x:c r="I33" s="33"/>
      <x:c r="J33" s="185"/>
      <x:c r="K33" s="185"/>
      <x:c r="L33" s="185"/>
      <x:c r="M33" s="35"/>
      <x:c r="N33" s="36"/>
      <x:c r="O33" s="33"/>
      <x:c r="P33" s="185"/>
      <x:c r="Q33" s="185"/>
      <x:c r="R33" s="185"/>
      <x:c r="S33" s="35"/>
      <x:c r="T33" s="36"/>
      <x:c r="U33" s="33"/>
      <x:c r="V33" s="185"/>
      <x:c r="W33" s="185"/>
      <x:c r="X33" s="185"/>
      <x:c r="Y33" s="35"/>
      <x:c r="Z33" s="36"/>
      <x:c r="AA33" s="33"/>
      <x:c r="AB33" s="185"/>
      <x:c r="AC33" s="185"/>
      <x:c r="AD33" s="185"/>
      <x:c r="AE33" s="35"/>
      <x:c r="AF33" s="36"/>
      <x:c r="AG33" s="33"/>
      <x:c r="AH33" s="185"/>
      <x:c r="AI33" s="185"/>
      <x:c r="AJ33" s="185"/>
      <x:c r="AK33" s="35"/>
      <x:c r="AL33" s="36"/>
      <x:c r="AM33" s="157">
        <x:v>100</x:v>
      </x:c>
      <x:c r="AN33" s="158">
        <x:v>100</x:v>
      </x:c>
      <x:c r="AO33" s="158">
        <x:v>100</x:v>
      </x:c>
      <x:c r="AP33" s="158">
        <x:v>100</x:v>
      </x:c>
      <x:c r="AQ33" s="158">
        <x:v>67</x:v>
      </x:c>
      <x:c r="AR33" s="584" t="s">
        <x:v>1102</x:v>
      </x:c>
      <x:c r="AS33" s="157">
        <x:v>100</x:v>
      </x:c>
      <x:c r="AT33" s="158">
        <x:v>100</x:v>
      </x:c>
      <x:c r="AU33" s="158">
        <x:v>100</x:v>
      </x:c>
      <x:c r="AV33" s="158">
        <x:v>100</x:v>
      </x:c>
      <x:c r="AW33" s="230">
        <x:v>96</x:v>
      </x:c>
      <x:c r="AX33" s="585" t="s">
        <x:v>1102</x:v>
      </x:c>
      <x:c r="AY33" s="33"/>
      <x:c r="AZ33" s="185"/>
      <x:c r="BA33" s="185"/>
      <x:c r="BB33" s="185"/>
      <x:c r="BC33" s="35"/>
      <x:c r="BD33" s="36"/>
      <x:c r="BE33" s="33"/>
      <x:c r="BF33" s="185"/>
      <x:c r="BG33" s="185"/>
      <x:c r="BH33" s="185"/>
      <x:c r="BI33" s="35"/>
      <x:c r="BJ33" s="36"/>
      <x:c r="BK33" s="33"/>
      <x:c r="BL33" s="185"/>
      <x:c r="BM33" s="185"/>
      <x:c r="BN33" s="185"/>
      <x:c r="BO33" s="35"/>
      <x:c r="BP33" s="36"/>
      <x:c r="BQ33" s="33"/>
      <x:c r="BR33" s="185"/>
      <x:c r="BS33" s="185"/>
      <x:c r="BT33" s="185"/>
      <x:c r="BU33" s="35"/>
      <x:c r="BV33" s="36"/>
    </x:row>
    <x:row r="34" spans="1:74" ht="22.5" customHeight="1" x14ac:dyDescent="0.25">
      <x:c r="A34" s="3" t="s">
        <x:v>98</x:v>
      </x:c>
      <x:c r="B34" s="3" t="s">
        <x:v>23</x:v>
      </x:c>
      <x:c r="C34" s="157"/>
      <x:c r="D34" s="158"/>
      <x:c r="E34" s="158"/>
      <x:c r="F34" s="158"/>
      <x:c r="G34" s="158"/>
      <x:c r="H34" s="159"/>
      <x:c r="I34" s="33"/>
      <x:c r="J34" s="185"/>
      <x:c r="K34" s="185"/>
      <x:c r="L34" s="185"/>
      <x:c r="M34" s="35"/>
      <x:c r="N34" s="36"/>
      <x:c r="O34" s="33"/>
      <x:c r="P34" s="185"/>
      <x:c r="Q34" s="185"/>
      <x:c r="R34" s="185"/>
      <x:c r="S34" s="35"/>
      <x:c r="T34" s="36"/>
      <x:c r="U34" s="33"/>
      <x:c r="V34" s="185"/>
      <x:c r="W34" s="185"/>
      <x:c r="X34" s="185"/>
      <x:c r="Y34" s="35"/>
      <x:c r="Z34" s="36"/>
      <x:c r="AA34" s="33"/>
      <x:c r="AB34" s="185"/>
      <x:c r="AC34" s="185"/>
      <x:c r="AD34" s="185"/>
      <x:c r="AE34" s="35"/>
      <x:c r="AF34" s="36"/>
      <x:c r="AG34" s="33"/>
      <x:c r="AH34" s="185"/>
      <x:c r="AI34" s="185"/>
      <x:c r="AJ34" s="185"/>
      <x:c r="AK34" s="35"/>
      <x:c r="AL34" s="36"/>
      <x:c r="AM34" s="157">
        <x:v>100</x:v>
      </x:c>
      <x:c r="AN34" s="158">
        <x:v>100</x:v>
      </x:c>
      <x:c r="AO34" s="158">
        <x:v>100</x:v>
      </x:c>
      <x:c r="AP34" s="158">
        <x:v>100</x:v>
      </x:c>
      <x:c r="AQ34" s="158">
        <x:v>100</x:v>
      </x:c>
      <x:c r="AR34" s="584" t="s">
        <x:v>1102</x:v>
      </x:c>
      <x:c r="AS34" s="157">
        <x:v>100</x:v>
      </x:c>
      <x:c r="AT34" s="158">
        <x:v>100</x:v>
      </x:c>
      <x:c r="AU34" s="158">
        <x:v>100</x:v>
      </x:c>
      <x:c r="AV34" s="158">
        <x:v>100</x:v>
      </x:c>
      <x:c r="AW34" s="230">
        <x:v>100</x:v>
      </x:c>
      <x:c r="AX34" s="585" t="s">
        <x:v>1102</x:v>
      </x:c>
      <x:c r="AY34" s="33"/>
      <x:c r="AZ34" s="185"/>
      <x:c r="BA34" s="185"/>
      <x:c r="BB34" s="185"/>
      <x:c r="BC34" s="35"/>
      <x:c r="BD34" s="36"/>
      <x:c r="BE34" s="33"/>
      <x:c r="BF34" s="185"/>
      <x:c r="BG34" s="185"/>
      <x:c r="BH34" s="185"/>
      <x:c r="BI34" s="35"/>
      <x:c r="BJ34" s="36"/>
      <x:c r="BK34" s="33"/>
      <x:c r="BL34" s="185"/>
      <x:c r="BM34" s="185"/>
      <x:c r="BN34" s="185"/>
      <x:c r="BO34" s="35"/>
      <x:c r="BP34" s="36"/>
      <x:c r="BQ34" s="33"/>
      <x:c r="BR34" s="185"/>
      <x:c r="BS34" s="185"/>
      <x:c r="BT34" s="185"/>
      <x:c r="BU34" s="35"/>
      <x:c r="BV34" s="36"/>
    </x:row>
    <x:row r="35" spans="1:74" ht="22.5" customHeight="1" x14ac:dyDescent="0.25">
      <x:c r="A35" s="3" t="s">
        <x:v>119</x:v>
      </x:c>
      <x:c r="B35" s="3" t="s">
        <x:v>23</x:v>
      </x:c>
      <x:c r="C35" s="157"/>
      <x:c r="D35" s="158"/>
      <x:c r="E35" s="158"/>
      <x:c r="F35" s="158"/>
      <x:c r="G35" s="158"/>
      <x:c r="H35" s="159"/>
      <x:c r="I35" s="33"/>
      <x:c r="J35" s="185"/>
      <x:c r="K35" s="185"/>
      <x:c r="L35" s="185"/>
      <x:c r="M35" s="35"/>
      <x:c r="N35" s="36"/>
      <x:c r="O35" s="33"/>
      <x:c r="P35" s="185"/>
      <x:c r="Q35" s="185"/>
      <x:c r="R35" s="185"/>
      <x:c r="S35" s="35"/>
      <x:c r="T35" s="36"/>
      <x:c r="U35" s="33"/>
      <x:c r="V35" s="185"/>
      <x:c r="W35" s="185"/>
      <x:c r="X35" s="185"/>
      <x:c r="Y35" s="35"/>
      <x:c r="Z35" s="36"/>
      <x:c r="AA35" s="33"/>
      <x:c r="AB35" s="185"/>
      <x:c r="AC35" s="185"/>
      <x:c r="AD35" s="185"/>
      <x:c r="AE35" s="35"/>
      <x:c r="AF35" s="36"/>
      <x:c r="AG35" s="33"/>
      <x:c r="AH35" s="185"/>
      <x:c r="AI35" s="185"/>
      <x:c r="AJ35" s="185"/>
      <x:c r="AK35" s="35"/>
      <x:c r="AL35" s="36"/>
      <x:c r="AM35" s="157">
        <x:v>100</x:v>
      </x:c>
      <x:c r="AN35" s="158">
        <x:v>100</x:v>
      </x:c>
      <x:c r="AO35" s="158">
        <x:v>100</x:v>
      </x:c>
      <x:c r="AP35" s="158">
        <x:v>100</x:v>
      </x:c>
      <x:c r="AQ35" s="158">
        <x:v>100</x:v>
      </x:c>
      <x:c r="AR35" s="584" t="s">
        <x:v>1102</x:v>
      </x:c>
      <x:c r="AS35" s="157">
        <x:v>100</x:v>
      </x:c>
      <x:c r="AT35" s="158">
        <x:v>100</x:v>
      </x:c>
      <x:c r="AU35" s="158">
        <x:v>100</x:v>
      </x:c>
      <x:c r="AV35" s="158">
        <x:v>100</x:v>
      </x:c>
      <x:c r="AW35" s="230">
        <x:v>100</x:v>
      </x:c>
      <x:c r="AX35" s="585" t="s">
        <x:v>1102</x:v>
      </x:c>
      <x:c r="AY35" s="33"/>
      <x:c r="AZ35" s="185"/>
      <x:c r="BA35" s="185"/>
      <x:c r="BB35" s="185"/>
      <x:c r="BC35" s="35"/>
      <x:c r="BD35" s="36"/>
      <x:c r="BE35" s="33"/>
      <x:c r="BF35" s="185"/>
      <x:c r="BG35" s="185"/>
      <x:c r="BH35" s="185"/>
      <x:c r="BI35" s="35"/>
      <x:c r="BJ35" s="36"/>
      <x:c r="BK35" s="33"/>
      <x:c r="BL35" s="185"/>
      <x:c r="BM35" s="185"/>
      <x:c r="BN35" s="185"/>
      <x:c r="BO35" s="35"/>
      <x:c r="BP35" s="36"/>
      <x:c r="BQ35" s="33"/>
      <x:c r="BR35" s="185"/>
      <x:c r="BS35" s="185"/>
      <x:c r="BT35" s="185"/>
      <x:c r="BU35" s="35"/>
      <x:c r="BV35" s="36"/>
    </x:row>
    <x:row r="36" spans="1:74" ht="22.5" customHeight="1" x14ac:dyDescent="0.25">
      <x:c r="A36" s="3" t="s">
        <x:v>117</x:v>
      </x:c>
      <x:c r="B36" s="3" t="s">
        <x:v>23</x:v>
      </x:c>
      <x:c r="C36" s="157"/>
      <x:c r="D36" s="158"/>
      <x:c r="E36" s="158"/>
      <x:c r="F36" s="158"/>
      <x:c r="G36" s="158"/>
      <x:c r="H36" s="159"/>
      <x:c r="I36" s="33"/>
      <x:c r="J36" s="185"/>
      <x:c r="K36" s="185"/>
      <x:c r="L36" s="185"/>
      <x:c r="M36" s="35"/>
      <x:c r="N36" s="36"/>
      <x:c r="O36" s="33"/>
      <x:c r="P36" s="185"/>
      <x:c r="Q36" s="185"/>
      <x:c r="R36" s="185"/>
      <x:c r="S36" s="35"/>
      <x:c r="T36" s="36"/>
      <x:c r="U36" s="33"/>
      <x:c r="V36" s="185"/>
      <x:c r="W36" s="185"/>
      <x:c r="X36" s="185"/>
      <x:c r="Y36" s="35"/>
      <x:c r="Z36" s="36"/>
      <x:c r="AA36" s="33"/>
      <x:c r="AB36" s="185"/>
      <x:c r="AC36" s="185"/>
      <x:c r="AD36" s="185"/>
      <x:c r="AE36" s="35"/>
      <x:c r="AF36" s="36"/>
      <x:c r="AG36" s="33"/>
      <x:c r="AH36" s="185"/>
      <x:c r="AI36" s="185"/>
      <x:c r="AJ36" s="185"/>
      <x:c r="AK36" s="35"/>
      <x:c r="AL36" s="36"/>
      <x:c r="AM36" s="157">
        <x:v>100</x:v>
      </x:c>
      <x:c r="AN36" s="158">
        <x:v>100</x:v>
      </x:c>
      <x:c r="AO36" s="158">
        <x:v>100</x:v>
      </x:c>
      <x:c r="AP36" s="158">
        <x:v>100</x:v>
      </x:c>
      <x:c r="AQ36" s="158">
        <x:v>100</x:v>
      </x:c>
      <x:c r="AR36" s="584" t="s">
        <x:v>1102</x:v>
      </x:c>
      <x:c r="AS36" s="157">
        <x:v>100</x:v>
      </x:c>
      <x:c r="AT36" s="158">
        <x:v>100</x:v>
      </x:c>
      <x:c r="AU36" s="158">
        <x:v>100</x:v>
      </x:c>
      <x:c r="AV36" s="158">
        <x:v>100</x:v>
      </x:c>
      <x:c r="AW36" s="230">
        <x:v>100</x:v>
      </x:c>
      <x:c r="AX36" s="585" t="s">
        <x:v>1102</x:v>
      </x:c>
      <x:c r="AY36" s="33"/>
      <x:c r="AZ36" s="185"/>
      <x:c r="BA36" s="185"/>
      <x:c r="BB36" s="185"/>
      <x:c r="BC36" s="35"/>
      <x:c r="BD36" s="36"/>
      <x:c r="BE36" s="33"/>
      <x:c r="BF36" s="185"/>
      <x:c r="BG36" s="185"/>
      <x:c r="BH36" s="185"/>
      <x:c r="BI36" s="35"/>
      <x:c r="BJ36" s="36"/>
      <x:c r="BK36" s="33"/>
      <x:c r="BL36" s="185"/>
      <x:c r="BM36" s="185"/>
      <x:c r="BN36" s="185"/>
      <x:c r="BO36" s="35"/>
      <x:c r="BP36" s="36"/>
      <x:c r="BQ36" s="33"/>
      <x:c r="BR36" s="185"/>
      <x:c r="BS36" s="185"/>
      <x:c r="BT36" s="185"/>
      <x:c r="BU36" s="35"/>
      <x:c r="BV36" s="36"/>
    </x:row>
    <x:row r="37" spans="1:74" ht="22.5" customHeight="1" x14ac:dyDescent="0.25">
      <x:c r="A37" s="3" t="s">
        <x:v>99</x:v>
      </x:c>
      <x:c r="B37" s="3" t="s">
        <x:v>23</x:v>
      </x:c>
      <x:c r="C37" s="157"/>
      <x:c r="D37" s="158"/>
      <x:c r="E37" s="158"/>
      <x:c r="F37" s="158"/>
      <x:c r="G37" s="158"/>
      <x:c r="H37" s="159"/>
      <x:c r="I37" s="33"/>
      <x:c r="J37" s="185"/>
      <x:c r="K37" s="185"/>
      <x:c r="L37" s="185"/>
      <x:c r="M37" s="35"/>
      <x:c r="N37" s="36"/>
      <x:c r="O37" s="33"/>
      <x:c r="P37" s="185"/>
      <x:c r="Q37" s="185"/>
      <x:c r="R37" s="185"/>
      <x:c r="S37" s="35"/>
      <x:c r="T37" s="36"/>
      <x:c r="U37" s="33"/>
      <x:c r="V37" s="185"/>
      <x:c r="W37" s="185"/>
      <x:c r="X37" s="185"/>
      <x:c r="Y37" s="35"/>
      <x:c r="Z37" s="36"/>
      <x:c r="AA37" s="33"/>
      <x:c r="AB37" s="185"/>
      <x:c r="AC37" s="185"/>
      <x:c r="AD37" s="185"/>
      <x:c r="AE37" s="35"/>
      <x:c r="AF37" s="36"/>
      <x:c r="AG37" s="33"/>
      <x:c r="AH37" s="185"/>
      <x:c r="AI37" s="185"/>
      <x:c r="AJ37" s="185"/>
      <x:c r="AK37" s="35"/>
      <x:c r="AL37" s="36"/>
      <x:c r="AM37" s="157">
        <x:v>100</x:v>
      </x:c>
      <x:c r="AN37" s="158">
        <x:v>100</x:v>
      </x:c>
      <x:c r="AO37" s="158">
        <x:v>100</x:v>
      </x:c>
      <x:c r="AP37" s="158">
        <x:v>100</x:v>
      </x:c>
      <x:c r="AQ37" s="158">
        <x:v>100</x:v>
      </x:c>
      <x:c r="AR37" s="584" t="s">
        <x:v>1102</x:v>
      </x:c>
      <x:c r="AS37" s="157">
        <x:v>100</x:v>
      </x:c>
      <x:c r="AT37" s="158">
        <x:v>100</x:v>
      </x:c>
      <x:c r="AU37" s="158">
        <x:v>100</x:v>
      </x:c>
      <x:c r="AV37" s="158">
        <x:v>100</x:v>
      </x:c>
      <x:c r="AW37" s="230">
        <x:v>100</x:v>
      </x:c>
      <x:c r="AX37" s="585" t="s">
        <x:v>1102</x:v>
      </x:c>
      <x:c r="AY37" s="33"/>
      <x:c r="AZ37" s="185"/>
      <x:c r="BA37" s="185"/>
      <x:c r="BB37" s="185"/>
      <x:c r="BC37" s="35"/>
      <x:c r="BD37" s="36"/>
      <x:c r="BE37" s="33"/>
      <x:c r="BF37" s="185"/>
      <x:c r="BG37" s="185"/>
      <x:c r="BH37" s="185"/>
      <x:c r="BI37" s="35"/>
      <x:c r="BJ37" s="36"/>
      <x:c r="BK37" s="33"/>
      <x:c r="BL37" s="185"/>
      <x:c r="BM37" s="185"/>
      <x:c r="BN37" s="185"/>
      <x:c r="BO37" s="35"/>
      <x:c r="BP37" s="36"/>
      <x:c r="BQ37" s="33"/>
      <x:c r="BR37" s="185"/>
      <x:c r="BS37" s="185"/>
      <x:c r="BT37" s="185"/>
      <x:c r="BU37" s="35"/>
      <x:c r="BV37" s="36"/>
    </x:row>
    <x:row r="38" spans="1:74" ht="22.5" customHeight="1" x14ac:dyDescent="0.25">
      <x:c r="A38" s="3" t="s">
        <x:v>118</x:v>
      </x:c>
      <x:c r="B38" s="3" t="s">
        <x:v>23</x:v>
      </x:c>
      <x:c r="C38" s="157"/>
      <x:c r="D38" s="158"/>
      <x:c r="E38" s="158"/>
      <x:c r="F38" s="158"/>
      <x:c r="G38" s="158"/>
      <x:c r="H38" s="159"/>
      <x:c r="I38" s="33"/>
      <x:c r="J38" s="185"/>
      <x:c r="K38" s="185"/>
      <x:c r="L38" s="185"/>
      <x:c r="M38" s="35"/>
      <x:c r="N38" s="36"/>
      <x:c r="O38" s="33"/>
      <x:c r="P38" s="185"/>
      <x:c r="Q38" s="185"/>
      <x:c r="R38" s="185"/>
      <x:c r="S38" s="35"/>
      <x:c r="T38" s="36"/>
      <x:c r="U38" s="33"/>
      <x:c r="V38" s="185"/>
      <x:c r="W38" s="185"/>
      <x:c r="X38" s="185"/>
      <x:c r="Y38" s="35"/>
      <x:c r="Z38" s="36"/>
      <x:c r="AA38" s="33"/>
      <x:c r="AB38" s="185"/>
      <x:c r="AC38" s="185"/>
      <x:c r="AD38" s="185"/>
      <x:c r="AE38" s="35"/>
      <x:c r="AF38" s="36"/>
      <x:c r="AG38" s="33"/>
      <x:c r="AH38" s="185"/>
      <x:c r="AI38" s="185"/>
      <x:c r="AJ38" s="185"/>
      <x:c r="AK38" s="35"/>
      <x:c r="AL38" s="36"/>
      <x:c r="AM38" s="157">
        <x:v>100</x:v>
      </x:c>
      <x:c r="AN38" s="158">
        <x:v>100</x:v>
      </x:c>
      <x:c r="AO38" s="158">
        <x:v>100</x:v>
      </x:c>
      <x:c r="AP38" s="158">
        <x:v>100</x:v>
      </x:c>
      <x:c r="AQ38" s="158">
        <x:v>100</x:v>
      </x:c>
      <x:c r="AR38" s="584" t="s">
        <x:v>1102</x:v>
      </x:c>
      <x:c r="AS38" s="157">
        <x:v>100</x:v>
      </x:c>
      <x:c r="AT38" s="158">
        <x:v>100</x:v>
      </x:c>
      <x:c r="AU38" s="158">
        <x:v>100</x:v>
      </x:c>
      <x:c r="AV38" s="158">
        <x:v>100</x:v>
      </x:c>
      <x:c r="AW38" s="230">
        <x:v>100</x:v>
      </x:c>
      <x:c r="AX38" s="585" t="s">
        <x:v>1102</x:v>
      </x:c>
      <x:c r="AY38" s="33"/>
      <x:c r="AZ38" s="185"/>
      <x:c r="BA38" s="185"/>
      <x:c r="BB38" s="185"/>
      <x:c r="BC38" s="35"/>
      <x:c r="BD38" s="36"/>
      <x:c r="BE38" s="33"/>
      <x:c r="BF38" s="185"/>
      <x:c r="BG38" s="185"/>
      <x:c r="BH38" s="185"/>
      <x:c r="BI38" s="35"/>
      <x:c r="BJ38" s="36"/>
      <x:c r="BK38" s="33"/>
      <x:c r="BL38" s="185"/>
      <x:c r="BM38" s="185"/>
      <x:c r="BN38" s="185"/>
      <x:c r="BO38" s="35"/>
      <x:c r="BP38" s="36"/>
      <x:c r="BQ38" s="33"/>
      <x:c r="BR38" s="185"/>
      <x:c r="BS38" s="185"/>
      <x:c r="BT38" s="185"/>
      <x:c r="BU38" s="35"/>
      <x:c r="BV38" s="36"/>
    </x:row>
    <x:row r="39" spans="1:74" ht="22.5" customHeight="1" x14ac:dyDescent="0.25">
      <x:c r="A39" s="3" t="s">
        <x:v>103</x:v>
      </x:c>
      <x:c r="B39" s="3" t="s">
        <x:v>23</x:v>
      </x:c>
      <x:c r="C39" s="157"/>
      <x:c r="D39" s="158"/>
      <x:c r="E39" s="158"/>
      <x:c r="F39" s="158"/>
      <x:c r="G39" s="158"/>
      <x:c r="H39" s="159"/>
      <x:c r="I39" s="33"/>
      <x:c r="J39" s="185"/>
      <x:c r="K39" s="185"/>
      <x:c r="L39" s="185"/>
      <x:c r="M39" s="35"/>
      <x:c r="N39" s="36"/>
      <x:c r="O39" s="33"/>
      <x:c r="P39" s="185"/>
      <x:c r="Q39" s="185"/>
      <x:c r="R39" s="185"/>
      <x:c r="S39" s="35"/>
      <x:c r="T39" s="36"/>
      <x:c r="U39" s="33"/>
      <x:c r="V39" s="185"/>
      <x:c r="W39" s="185"/>
      <x:c r="X39" s="185"/>
      <x:c r="Y39" s="35"/>
      <x:c r="Z39" s="36"/>
      <x:c r="AA39" s="33"/>
      <x:c r="AB39" s="185"/>
      <x:c r="AC39" s="185"/>
      <x:c r="AD39" s="185"/>
      <x:c r="AE39" s="35"/>
      <x:c r="AF39" s="36"/>
      <x:c r="AG39" s="33"/>
      <x:c r="AH39" s="185"/>
      <x:c r="AI39" s="185"/>
      <x:c r="AJ39" s="185"/>
      <x:c r="AK39" s="35"/>
      <x:c r="AL39" s="36"/>
      <x:c r="AM39" s="157">
        <x:v>100</x:v>
      </x:c>
      <x:c r="AN39" s="158">
        <x:v>100</x:v>
      </x:c>
      <x:c r="AO39" s="158">
        <x:v>100</x:v>
      </x:c>
      <x:c r="AP39" s="158">
        <x:v>100</x:v>
      </x:c>
      <x:c r="AQ39" s="158">
        <x:v>100</x:v>
      </x:c>
      <x:c r="AR39" s="584" t="s">
        <x:v>1102</x:v>
      </x:c>
      <x:c r="AS39" s="157">
        <x:v>100</x:v>
      </x:c>
      <x:c r="AT39" s="158">
        <x:v>100</x:v>
      </x:c>
      <x:c r="AU39" s="158">
        <x:v>100</x:v>
      </x:c>
      <x:c r="AV39" s="158">
        <x:v>100</x:v>
      </x:c>
      <x:c r="AW39" s="230">
        <x:v>100</x:v>
      </x:c>
      <x:c r="AX39" s="585" t="s">
        <x:v>1102</x:v>
      </x:c>
      <x:c r="AY39" s="33"/>
      <x:c r="AZ39" s="185"/>
      <x:c r="BA39" s="185"/>
      <x:c r="BB39" s="185"/>
      <x:c r="BC39" s="35"/>
      <x:c r="BD39" s="36"/>
      <x:c r="BE39" s="33"/>
      <x:c r="BF39" s="185"/>
      <x:c r="BG39" s="185"/>
      <x:c r="BH39" s="185"/>
      <x:c r="BI39" s="35"/>
      <x:c r="BJ39" s="36"/>
      <x:c r="BK39" s="33"/>
      <x:c r="BL39" s="185"/>
      <x:c r="BM39" s="185"/>
      <x:c r="BN39" s="185"/>
      <x:c r="BO39" s="35"/>
      <x:c r="BP39" s="36"/>
      <x:c r="BQ39" s="33"/>
      <x:c r="BR39" s="185"/>
      <x:c r="BS39" s="185"/>
      <x:c r="BT39" s="185"/>
      <x:c r="BU39" s="35"/>
      <x:c r="BV39" s="36"/>
    </x:row>
    <x:row r="40" spans="1:74" ht="22.5" customHeight="1" x14ac:dyDescent="0.25">
      <x:c r="A40" s="3" t="s">
        <x:v>127</x:v>
      </x:c>
      <x:c r="B40" s="3" t="s">
        <x:v>23</x:v>
      </x:c>
      <x:c r="C40" s="157"/>
      <x:c r="D40" s="158"/>
      <x:c r="E40" s="158"/>
      <x:c r="F40" s="158"/>
      <x:c r="G40" s="158"/>
      <x:c r="H40" s="159"/>
      <x:c r="I40" s="33"/>
      <x:c r="J40" s="185"/>
      <x:c r="K40" s="185"/>
      <x:c r="L40" s="185"/>
      <x:c r="M40" s="35"/>
      <x:c r="N40" s="36"/>
      <x:c r="O40" s="33"/>
      <x:c r="P40" s="185"/>
      <x:c r="Q40" s="185"/>
      <x:c r="R40" s="185"/>
      <x:c r="S40" s="35"/>
      <x:c r="T40" s="36"/>
      <x:c r="U40" s="33"/>
      <x:c r="V40" s="185"/>
      <x:c r="W40" s="185"/>
      <x:c r="X40" s="185"/>
      <x:c r="Y40" s="35"/>
      <x:c r="Z40" s="36"/>
      <x:c r="AA40" s="33"/>
      <x:c r="AB40" s="185"/>
      <x:c r="AC40" s="185"/>
      <x:c r="AD40" s="185"/>
      <x:c r="AE40" s="35"/>
      <x:c r="AF40" s="36"/>
      <x:c r="AG40" s="33"/>
      <x:c r="AH40" s="185"/>
      <x:c r="AI40" s="185"/>
      <x:c r="AJ40" s="185"/>
      <x:c r="AK40" s="35"/>
      <x:c r="AL40" s="36"/>
      <x:c r="AM40" s="157">
        <x:v>100</x:v>
      </x:c>
      <x:c r="AN40" s="158">
        <x:v>100</x:v>
      </x:c>
      <x:c r="AO40" s="158">
        <x:v>100</x:v>
      </x:c>
      <x:c r="AP40" s="158">
        <x:v>100</x:v>
      </x:c>
      <x:c r="AQ40" s="158">
        <x:v>100</x:v>
      </x:c>
      <x:c r="AR40" s="584" t="s">
        <x:v>1102</x:v>
      </x:c>
      <x:c r="AS40" s="157">
        <x:v>100</x:v>
      </x:c>
      <x:c r="AT40" s="158">
        <x:v>100</x:v>
      </x:c>
      <x:c r="AU40" s="158">
        <x:v>100</x:v>
      </x:c>
      <x:c r="AV40" s="158">
        <x:v>100</x:v>
      </x:c>
      <x:c r="AW40" s="230">
        <x:v>100</x:v>
      </x:c>
      <x:c r="AX40" s="585" t="s">
        <x:v>1102</x:v>
      </x:c>
      <x:c r="AY40" s="33"/>
      <x:c r="AZ40" s="185"/>
      <x:c r="BA40" s="185"/>
      <x:c r="BB40" s="185"/>
      <x:c r="BC40" s="35"/>
      <x:c r="BD40" s="36"/>
      <x:c r="BE40" s="33"/>
      <x:c r="BF40" s="185"/>
      <x:c r="BG40" s="185"/>
      <x:c r="BH40" s="185"/>
      <x:c r="BI40" s="35"/>
      <x:c r="BJ40" s="36"/>
      <x:c r="BK40" s="33"/>
      <x:c r="BL40" s="185"/>
      <x:c r="BM40" s="185"/>
      <x:c r="BN40" s="185"/>
      <x:c r="BO40" s="35"/>
      <x:c r="BP40" s="36"/>
      <x:c r="BQ40" s="33"/>
      <x:c r="BR40" s="185"/>
      <x:c r="BS40" s="185"/>
      <x:c r="BT40" s="185"/>
      <x:c r="BU40" s="35"/>
      <x:c r="BV40" s="36"/>
    </x:row>
    <x:row r="41" spans="1:74" ht="22.5" customHeight="1" x14ac:dyDescent="0.25">
      <x:c r="A41" s="3" t="s">
        <x:v>92</x:v>
      </x:c>
      <x:c r="B41" s="3" t="s">
        <x:v>16</x:v>
      </x:c>
      <x:c r="C41" s="157"/>
      <x:c r="D41" s="158"/>
      <x:c r="E41" s="158"/>
      <x:c r="F41" s="158"/>
      <x:c r="G41" s="158"/>
      <x:c r="H41" s="159"/>
      <x:c r="I41" s="33"/>
      <x:c r="J41" s="185"/>
      <x:c r="K41" s="185"/>
      <x:c r="L41" s="185"/>
      <x:c r="M41" s="35"/>
      <x:c r="N41" s="36"/>
      <x:c r="O41" s="33"/>
      <x:c r="P41" s="185"/>
      <x:c r="Q41" s="185"/>
      <x:c r="R41" s="185"/>
      <x:c r="S41" s="35"/>
      <x:c r="T41" s="36"/>
      <x:c r="U41" s="33"/>
      <x:c r="V41" s="185"/>
      <x:c r="W41" s="185"/>
      <x:c r="X41" s="185"/>
      <x:c r="Y41" s="35"/>
      <x:c r="Z41" s="36"/>
      <x:c r="AA41" s="33"/>
      <x:c r="AB41" s="185"/>
      <x:c r="AC41" s="185"/>
      <x:c r="AD41" s="185"/>
      <x:c r="AE41" s="35"/>
      <x:c r="AF41" s="36"/>
      <x:c r="AG41" s="33"/>
      <x:c r="AH41" s="185"/>
      <x:c r="AI41" s="185"/>
      <x:c r="AJ41" s="185"/>
      <x:c r="AK41" s="35"/>
      <x:c r="AL41" s="36"/>
      <x:c r="AM41" s="157">
        <x:v>100</x:v>
      </x:c>
      <x:c r="AN41" s="158">
        <x:v>100</x:v>
      </x:c>
      <x:c r="AO41" s="158">
        <x:v>100</x:v>
      </x:c>
      <x:c r="AP41" s="589">
        <x:v>0</x:v>
      </x:c>
      <x:c r="AQ41" s="589">
        <x:v>0</x:v>
      </x:c>
      <x:c r="AR41" s="584" t="s">
        <x:v>1102</x:v>
      </x:c>
      <x:c r="AS41" s="157">
        <x:v>100</x:v>
      </x:c>
      <x:c r="AT41" s="158">
        <x:v>100</x:v>
      </x:c>
      <x:c r="AU41" s="158">
        <x:v>100</x:v>
      </x:c>
      <x:c r="AV41" s="158">
        <x:v>80</x:v>
      </x:c>
      <x:c r="AW41" s="230">
        <x:v>69</x:v>
      </x:c>
      <x:c r="AX41" s="585" t="s">
        <x:v>1102</x:v>
      </x:c>
      <x:c r="AY41" s="33"/>
      <x:c r="AZ41" s="185"/>
      <x:c r="BA41" s="185"/>
      <x:c r="BB41" s="185"/>
      <x:c r="BC41" s="35"/>
      <x:c r="BD41" s="36"/>
      <x:c r="BE41" s="33"/>
      <x:c r="BF41" s="185"/>
      <x:c r="BG41" s="185"/>
      <x:c r="BH41" s="185"/>
      <x:c r="BI41" s="35"/>
      <x:c r="BJ41" s="36"/>
      <x:c r="BK41" s="33"/>
      <x:c r="BL41" s="185"/>
      <x:c r="BM41" s="185"/>
      <x:c r="BN41" s="185"/>
      <x:c r="BO41" s="35"/>
      <x:c r="BP41" s="36"/>
      <x:c r="BQ41" s="33"/>
      <x:c r="BR41" s="185"/>
      <x:c r="BS41" s="185"/>
      <x:c r="BT41" s="185"/>
      <x:c r="BU41" s="35"/>
      <x:c r="BV41" s="36"/>
    </x:row>
    <x:row r="42" spans="1:74" ht="22.5" customHeight="1" x14ac:dyDescent="0.25">
      <x:c r="A42" s="3" t="s">
        <x:v>97</x:v>
      </x:c>
      <x:c r="B42" s="3" t="s">
        <x:v>23</x:v>
      </x:c>
      <x:c r="C42" s="157"/>
      <x:c r="D42" s="158"/>
      <x:c r="E42" s="158"/>
      <x:c r="F42" s="158"/>
      <x:c r="G42" s="158"/>
      <x:c r="H42" s="159"/>
      <x:c r="I42" s="33"/>
      <x:c r="J42" s="185"/>
      <x:c r="K42" s="185"/>
      <x:c r="L42" s="185"/>
      <x:c r="M42" s="35"/>
      <x:c r="N42" s="36"/>
      <x:c r="O42" s="33"/>
      <x:c r="P42" s="185"/>
      <x:c r="Q42" s="185"/>
      <x:c r="R42" s="185"/>
      <x:c r="S42" s="35"/>
      <x:c r="T42" s="36"/>
      <x:c r="U42" s="33"/>
      <x:c r="V42" s="185"/>
      <x:c r="W42" s="185"/>
      <x:c r="X42" s="185"/>
      <x:c r="Y42" s="35"/>
      <x:c r="Z42" s="36"/>
      <x:c r="AA42" s="33"/>
      <x:c r="AB42" s="185"/>
      <x:c r="AC42" s="185"/>
      <x:c r="AD42" s="185"/>
      <x:c r="AE42" s="35"/>
      <x:c r="AF42" s="36"/>
      <x:c r="AG42" s="33"/>
      <x:c r="AH42" s="185"/>
      <x:c r="AI42" s="185"/>
      <x:c r="AJ42" s="185"/>
      <x:c r="AK42" s="35"/>
      <x:c r="AL42" s="36"/>
      <x:c r="AM42" s="157">
        <x:v>100</x:v>
      </x:c>
      <x:c r="AN42" s="158">
        <x:v>100</x:v>
      </x:c>
      <x:c r="AO42" s="158">
        <x:v>100</x:v>
      </x:c>
      <x:c r="AP42" s="158">
        <x:v>100</x:v>
      </x:c>
      <x:c r="AQ42" s="158">
        <x:v>97</x:v>
      </x:c>
      <x:c r="AR42" s="584" t="s">
        <x:v>1102</x:v>
      </x:c>
      <x:c r="AS42" s="157">
        <x:v>100</x:v>
      </x:c>
      <x:c r="AT42" s="158">
        <x:v>100</x:v>
      </x:c>
      <x:c r="AU42" s="158">
        <x:v>100</x:v>
      </x:c>
      <x:c r="AV42" s="158">
        <x:v>100</x:v>
      </x:c>
      <x:c r="AW42" s="230">
        <x:v>95</x:v>
      </x:c>
      <x:c r="AX42" s="585" t="s">
        <x:v>1102</x:v>
      </x:c>
      <x:c r="AY42" s="33"/>
      <x:c r="AZ42" s="185"/>
      <x:c r="BA42" s="185"/>
      <x:c r="BB42" s="185"/>
      <x:c r="BC42" s="35"/>
      <x:c r="BD42" s="36"/>
      <x:c r="BE42" s="33"/>
      <x:c r="BF42" s="185"/>
      <x:c r="BG42" s="185"/>
      <x:c r="BH42" s="185"/>
      <x:c r="BI42" s="35"/>
      <x:c r="BJ42" s="36"/>
      <x:c r="BK42" s="33"/>
      <x:c r="BL42" s="185"/>
      <x:c r="BM42" s="185"/>
      <x:c r="BN42" s="185"/>
      <x:c r="BO42" s="35"/>
      <x:c r="BP42" s="36"/>
      <x:c r="BQ42" s="33"/>
      <x:c r="BR42" s="185"/>
      <x:c r="BS42" s="185"/>
      <x:c r="BT42" s="185"/>
      <x:c r="BU42" s="35"/>
      <x:c r="BV42" s="36"/>
    </x:row>
    <x:row r="43" spans="1:74" ht="22.5" customHeight="1" x14ac:dyDescent="0.25">
      <x:c r="A43" s="3" t="s">
        <x:v>106</x:v>
      </x:c>
      <x:c r="B43" s="3" t="s">
        <x:v>23</x:v>
      </x:c>
      <x:c r="C43" s="157"/>
      <x:c r="D43" s="158"/>
      <x:c r="E43" s="158"/>
      <x:c r="F43" s="158"/>
      <x:c r="G43" s="158"/>
      <x:c r="H43" s="159"/>
      <x:c r="I43" s="33"/>
      <x:c r="J43" s="185"/>
      <x:c r="K43" s="185"/>
      <x:c r="L43" s="185"/>
      <x:c r="M43" s="35"/>
      <x:c r="N43" s="36"/>
      <x:c r="O43" s="33"/>
      <x:c r="P43" s="185"/>
      <x:c r="Q43" s="185"/>
      <x:c r="R43" s="185"/>
      <x:c r="S43" s="35"/>
      <x:c r="T43" s="36"/>
      <x:c r="U43" s="33"/>
      <x:c r="V43" s="185"/>
      <x:c r="W43" s="185"/>
      <x:c r="X43" s="185"/>
      <x:c r="Y43" s="35"/>
      <x:c r="Z43" s="36"/>
      <x:c r="AA43" s="33"/>
      <x:c r="AB43" s="185"/>
      <x:c r="AC43" s="185"/>
      <x:c r="AD43" s="185"/>
      <x:c r="AE43" s="35"/>
      <x:c r="AF43" s="36"/>
      <x:c r="AG43" s="33"/>
      <x:c r="AH43" s="185"/>
      <x:c r="AI43" s="185"/>
      <x:c r="AJ43" s="185"/>
      <x:c r="AK43" s="35"/>
      <x:c r="AL43" s="36"/>
      <x:c r="AM43" s="157">
        <x:v>100</x:v>
      </x:c>
      <x:c r="AN43" s="158">
        <x:v>100</x:v>
      </x:c>
      <x:c r="AO43" s="158">
        <x:v>100</x:v>
      </x:c>
      <x:c r="AP43" s="158">
        <x:v>100</x:v>
      </x:c>
      <x:c r="AQ43" s="158">
        <x:v>100</x:v>
      </x:c>
      <x:c r="AR43" s="584" t="s">
        <x:v>1102</x:v>
      </x:c>
      <x:c r="AS43" s="157">
        <x:v>100</x:v>
      </x:c>
      <x:c r="AT43" s="158">
        <x:v>100</x:v>
      </x:c>
      <x:c r="AU43" s="158">
        <x:v>100</x:v>
      </x:c>
      <x:c r="AV43" s="158">
        <x:v>100</x:v>
      </x:c>
      <x:c r="AW43" s="230">
        <x:v>100</x:v>
      </x:c>
      <x:c r="AX43" s="585" t="s">
        <x:v>1102</x:v>
      </x:c>
      <x:c r="AY43" s="33"/>
      <x:c r="AZ43" s="185"/>
      <x:c r="BA43" s="185"/>
      <x:c r="BB43" s="185"/>
      <x:c r="BC43" s="35"/>
      <x:c r="BD43" s="36"/>
      <x:c r="BE43" s="33"/>
      <x:c r="BF43" s="185"/>
      <x:c r="BG43" s="185"/>
      <x:c r="BH43" s="185"/>
      <x:c r="BI43" s="35"/>
      <x:c r="BJ43" s="36"/>
      <x:c r="BK43" s="33"/>
      <x:c r="BL43" s="185"/>
      <x:c r="BM43" s="185"/>
      <x:c r="BN43" s="185"/>
      <x:c r="BO43" s="35"/>
      <x:c r="BP43" s="36"/>
      <x:c r="BQ43" s="33"/>
      <x:c r="BR43" s="185"/>
      <x:c r="BS43" s="185"/>
      <x:c r="BT43" s="185"/>
      <x:c r="BU43" s="35"/>
      <x:c r="BV43" s="36"/>
    </x:row>
    <x:row r="44" spans="1:74" ht="22.5" customHeight="1" x14ac:dyDescent="0.25">
      <x:c r="A44" s="3" t="s">
        <x:v>94</x:v>
      </x:c>
      <x:c r="B44" s="3" t="s">
        <x:v>16</x:v>
      </x:c>
      <x:c r="C44" s="157"/>
      <x:c r="D44" s="158"/>
      <x:c r="E44" s="158"/>
      <x:c r="F44" s="158"/>
      <x:c r="G44" s="158"/>
      <x:c r="H44" s="159"/>
      <x:c r="I44" s="33"/>
      <x:c r="J44" s="185"/>
      <x:c r="K44" s="185"/>
      <x:c r="L44" s="185"/>
      <x:c r="M44" s="35"/>
      <x:c r="N44" s="36"/>
      <x:c r="O44" s="33"/>
      <x:c r="P44" s="185"/>
      <x:c r="Q44" s="185"/>
      <x:c r="R44" s="185"/>
      <x:c r="S44" s="35"/>
      <x:c r="T44" s="36"/>
      <x:c r="U44" s="33"/>
      <x:c r="V44" s="185"/>
      <x:c r="W44" s="185"/>
      <x:c r="X44" s="185"/>
      <x:c r="Y44" s="35"/>
      <x:c r="Z44" s="36"/>
      <x:c r="AA44" s="33"/>
      <x:c r="AB44" s="185"/>
      <x:c r="AC44" s="185"/>
      <x:c r="AD44" s="185"/>
      <x:c r="AE44" s="35"/>
      <x:c r="AF44" s="36"/>
      <x:c r="AG44" s="33"/>
      <x:c r="AH44" s="185"/>
      <x:c r="AI44" s="185"/>
      <x:c r="AJ44" s="185"/>
      <x:c r="AK44" s="35"/>
      <x:c r="AL44" s="36"/>
      <x:c r="AM44" s="157">
        <x:v>100</x:v>
      </x:c>
      <x:c r="AN44" s="158">
        <x:v>100</x:v>
      </x:c>
      <x:c r="AO44" s="158">
        <x:v>100</x:v>
      </x:c>
      <x:c r="AP44" s="158">
        <x:v>100</x:v>
      </x:c>
      <x:c r="AQ44" s="158">
        <x:v>100</x:v>
      </x:c>
      <x:c r="AR44" s="584" t="s">
        <x:v>1102</x:v>
      </x:c>
      <x:c r="AS44" s="157">
        <x:v>100</x:v>
      </x:c>
      <x:c r="AT44" s="158">
        <x:v>100</x:v>
      </x:c>
      <x:c r="AU44" s="158">
        <x:v>100</x:v>
      </x:c>
      <x:c r="AV44" s="158">
        <x:v>100</x:v>
      </x:c>
      <x:c r="AW44" s="230">
        <x:v>100</x:v>
      </x:c>
      <x:c r="AX44" s="585" t="s">
        <x:v>1102</x:v>
      </x:c>
      <x:c r="AY44" s="33"/>
      <x:c r="AZ44" s="185"/>
      <x:c r="BA44" s="185"/>
      <x:c r="BB44" s="185"/>
      <x:c r="BC44" s="35"/>
      <x:c r="BD44" s="36"/>
      <x:c r="BE44" s="33"/>
      <x:c r="BF44" s="185"/>
      <x:c r="BG44" s="185"/>
      <x:c r="BH44" s="185"/>
      <x:c r="BI44" s="35"/>
      <x:c r="BJ44" s="36"/>
      <x:c r="BK44" s="33"/>
      <x:c r="BL44" s="185"/>
      <x:c r="BM44" s="185"/>
      <x:c r="BN44" s="185"/>
      <x:c r="BO44" s="35"/>
      <x:c r="BP44" s="36"/>
      <x:c r="BQ44" s="33"/>
      <x:c r="BR44" s="185"/>
      <x:c r="BS44" s="185"/>
      <x:c r="BT44" s="185"/>
      <x:c r="BU44" s="35"/>
      <x:c r="BV44" s="36"/>
    </x:row>
    <x:row r="45" spans="1:74" ht="22.5" customHeight="1" x14ac:dyDescent="0.25">
      <x:c r="A45" s="3" t="s">
        <x:v>111</x:v>
      </x:c>
      <x:c r="B45" s="3" t="s">
        <x:v>37</x:v>
      </x:c>
      <x:c r="C45" s="157"/>
      <x:c r="D45" s="158"/>
      <x:c r="E45" s="158"/>
      <x:c r="F45" s="158"/>
      <x:c r="G45" s="158"/>
      <x:c r="H45" s="159"/>
      <x:c r="I45" s="33"/>
      <x:c r="J45" s="185"/>
      <x:c r="K45" s="185"/>
      <x:c r="L45" s="185"/>
      <x:c r="M45" s="35"/>
      <x:c r="N45" s="36"/>
      <x:c r="O45" s="33"/>
      <x:c r="P45" s="185"/>
      <x:c r="Q45" s="185"/>
      <x:c r="R45" s="185"/>
      <x:c r="S45" s="35"/>
      <x:c r="T45" s="36"/>
      <x:c r="U45" s="33"/>
      <x:c r="V45" s="185"/>
      <x:c r="W45" s="185"/>
      <x:c r="X45" s="185"/>
      <x:c r="Y45" s="35"/>
      <x:c r="Z45" s="36"/>
      <x:c r="AA45" s="33"/>
      <x:c r="AB45" s="185"/>
      <x:c r="AC45" s="185"/>
      <x:c r="AD45" s="185"/>
      <x:c r="AE45" s="35"/>
      <x:c r="AF45" s="36"/>
      <x:c r="AG45" s="33"/>
      <x:c r="AH45" s="185"/>
      <x:c r="AI45" s="185"/>
      <x:c r="AJ45" s="185"/>
      <x:c r="AK45" s="35"/>
      <x:c r="AL45" s="36"/>
      <x:c r="AM45" s="157">
        <x:v>100</x:v>
      </x:c>
      <x:c r="AN45" s="158">
        <x:v>100</x:v>
      </x:c>
      <x:c r="AO45" s="158">
        <x:v>100</x:v>
      </x:c>
      <x:c r="AP45" s="158">
        <x:v>100</x:v>
      </x:c>
      <x:c r="AQ45" s="158">
        <x:v>100</x:v>
      </x:c>
      <x:c r="AR45" s="584" t="s">
        <x:v>1102</x:v>
      </x:c>
      <x:c r="AS45" s="157">
        <x:v>100</x:v>
      </x:c>
      <x:c r="AT45" s="158">
        <x:v>100</x:v>
      </x:c>
      <x:c r="AU45" s="158">
        <x:v>100</x:v>
      </x:c>
      <x:c r="AV45" s="158">
        <x:v>100</x:v>
      </x:c>
      <x:c r="AW45" s="230">
        <x:v>100</x:v>
      </x:c>
      <x:c r="AX45" s="585" t="s">
        <x:v>1102</x:v>
      </x:c>
      <x:c r="AY45" s="33"/>
      <x:c r="AZ45" s="185"/>
      <x:c r="BA45" s="185"/>
      <x:c r="BB45" s="185"/>
      <x:c r="BC45" s="35"/>
      <x:c r="BD45" s="36"/>
      <x:c r="BE45" s="33"/>
      <x:c r="BF45" s="185"/>
      <x:c r="BG45" s="185"/>
      <x:c r="BH45" s="185"/>
      <x:c r="BI45" s="35"/>
      <x:c r="BJ45" s="36"/>
      <x:c r="BK45" s="33"/>
      <x:c r="BL45" s="185"/>
      <x:c r="BM45" s="185"/>
      <x:c r="BN45" s="185"/>
      <x:c r="BO45" s="35"/>
      <x:c r="BP45" s="36"/>
      <x:c r="BQ45" s="33"/>
      <x:c r="BR45" s="185"/>
      <x:c r="BS45" s="185"/>
      <x:c r="BT45" s="185"/>
      <x:c r="BU45" s="35"/>
      <x:c r="BV45" s="36"/>
    </x:row>
    <x:row r="46" spans="1:74" ht="22.5" customHeight="1" x14ac:dyDescent="0.25">
      <x:c r="A46" s="43" t="s">
        <x:v>115</x:v>
      </x:c>
      <x:c r="B46" s="43" t="s">
        <x:v>23</x:v>
      </x:c>
      <x:c r="C46" s="181"/>
      <x:c r="D46" s="182"/>
      <x:c r="E46" s="182"/>
      <x:c r="F46" s="182"/>
      <x:c r="G46" s="182"/>
      <x:c r="H46" s="183"/>
      <x:c r="I46" s="44"/>
      <x:c r="J46" s="45"/>
      <x:c r="K46" s="45"/>
      <x:c r="L46" s="45"/>
      <x:c r="M46" s="47"/>
      <x:c r="N46" s="48"/>
      <x:c r="O46" s="44"/>
      <x:c r="P46" s="45"/>
      <x:c r="Q46" s="45"/>
      <x:c r="R46" s="45"/>
      <x:c r="S46" s="47"/>
      <x:c r="T46" s="48"/>
      <x:c r="U46" s="44"/>
      <x:c r="V46" s="45"/>
      <x:c r="W46" s="45"/>
      <x:c r="X46" s="45"/>
      <x:c r="Y46" s="47"/>
      <x:c r="Z46" s="48"/>
      <x:c r="AA46" s="44"/>
      <x:c r="AB46" s="45"/>
      <x:c r="AC46" s="45"/>
      <x:c r="AD46" s="45"/>
      <x:c r="AE46" s="47"/>
      <x:c r="AF46" s="48"/>
      <x:c r="AG46" s="44"/>
      <x:c r="AH46" s="45"/>
      <x:c r="AI46" s="45"/>
      <x:c r="AJ46" s="45"/>
      <x:c r="AK46" s="47"/>
      <x:c r="AL46" s="48"/>
      <x:c r="AM46" s="181">
        <x:v>100</x:v>
      </x:c>
      <x:c r="AN46" s="182">
        <x:v>100</x:v>
      </x:c>
      <x:c r="AO46" s="182">
        <x:v>100</x:v>
      </x:c>
      <x:c r="AP46" s="182">
        <x:v>100</x:v>
      </x:c>
      <x:c r="AQ46" s="182">
        <x:v>100</x:v>
      </x:c>
      <x:c r="AR46" s="607" t="s">
        <x:v>1102</x:v>
      </x:c>
      <x:c r="AS46" s="181">
        <x:v>100</x:v>
      </x:c>
      <x:c r="AT46" s="182">
        <x:v>100</x:v>
      </x:c>
      <x:c r="AU46" s="182">
        <x:v>100</x:v>
      </x:c>
      <x:c r="AV46" s="182">
        <x:v>100</x:v>
      </x:c>
      <x:c r="AW46" s="243">
        <x:v>100</x:v>
      </x:c>
      <x:c r="AX46" s="608" t="s">
        <x:v>1102</x:v>
      </x:c>
      <x:c r="AY46" s="44"/>
      <x:c r="AZ46" s="45"/>
      <x:c r="BA46" s="45"/>
      <x:c r="BB46" s="45"/>
      <x:c r="BC46" s="47"/>
      <x:c r="BD46" s="48"/>
      <x:c r="BE46" s="44"/>
      <x:c r="BF46" s="45"/>
      <x:c r="BG46" s="45"/>
      <x:c r="BH46" s="45"/>
      <x:c r="BI46" s="47"/>
      <x:c r="BJ46" s="48"/>
      <x:c r="BK46" s="44"/>
      <x:c r="BL46" s="45"/>
      <x:c r="BM46" s="45"/>
      <x:c r="BN46" s="45"/>
      <x:c r="BO46" s="47"/>
      <x:c r="BP46" s="48"/>
      <x:c r="BQ46" s="44"/>
      <x:c r="BR46" s="45"/>
      <x:c r="BS46" s="45"/>
      <x:c r="BT46" s="45"/>
      <x:c r="BU46" s="47"/>
      <x:c r="BV46" s="48"/>
    </x:row>
    <x:row r="47" spans="1:74" ht="22.5" customHeight="1" x14ac:dyDescent="0.25">
      <x:c r="A47" s="605" t="s">
        <x:v>124</x:v>
      </x:c>
      <x:c r="B47" s="3" t="s">
        <x:v>23</x:v>
      </x:c>
      <x:c r="C47" s="181"/>
      <x:c r="D47" s="158"/>
      <x:c r="E47" s="158"/>
      <x:c r="F47" s="158"/>
      <x:c r="G47" s="158"/>
      <x:c r="H47" s="183"/>
      <x:c r="I47" s="44"/>
      <x:c r="J47" s="185"/>
      <x:c r="K47" s="185"/>
      <x:c r="L47" s="185"/>
      <x:c r="M47" s="185"/>
      <x:c r="N47" s="46"/>
      <x:c r="O47" s="44"/>
      <x:c r="P47" s="185"/>
      <x:c r="Q47" s="185"/>
      <x:c r="R47" s="185"/>
      <x:c r="S47" s="185"/>
      <x:c r="T47" s="46"/>
      <x:c r="U47" s="44"/>
      <x:c r="V47" s="185"/>
      <x:c r="W47" s="185"/>
      <x:c r="X47" s="185"/>
      <x:c r="Y47" s="185"/>
      <x:c r="Z47" s="46"/>
      <x:c r="AA47" s="44"/>
      <x:c r="AB47" s="185"/>
      <x:c r="AC47" s="185"/>
      <x:c r="AD47" s="185"/>
      <x:c r="AE47" s="185"/>
      <x:c r="AF47" s="46"/>
      <x:c r="AG47" s="44"/>
      <x:c r="AH47" s="185"/>
      <x:c r="AI47" s="185"/>
      <x:c r="AJ47" s="185"/>
      <x:c r="AK47" s="185"/>
      <x:c r="AL47" s="46"/>
      <x:c r="AM47" s="609">
        <x:v>0</x:v>
      </x:c>
      <x:c r="AN47" s="589">
        <x:v>0</x:v>
      </x:c>
      <x:c r="AO47" s="589">
        <x:v>0</x:v>
      </x:c>
      <x:c r="AP47" s="589">
        <x:v>0</x:v>
      </x:c>
      <x:c r="AQ47" s="589">
        <x:v>0</x:v>
      </x:c>
      <x:c r="AR47" s="610" t="s">
        <x:v>1103</x:v>
      </x:c>
      <x:c r="AS47" s="609">
        <x:v>0</x:v>
      </x:c>
      <x:c r="AT47" s="589">
        <x:v>0</x:v>
      </x:c>
      <x:c r="AU47" s="589">
        <x:v>0</x:v>
      </x:c>
      <x:c r="AV47" s="589">
        <x:v>0</x:v>
      </x:c>
      <x:c r="AW47" s="589">
        <x:v>0</x:v>
      </x:c>
      <x:c r="AX47" s="610" t="s">
        <x:v>1103</x:v>
      </x:c>
      <x:c r="AY47" s="44"/>
      <x:c r="AZ47" s="185"/>
      <x:c r="BA47" s="185"/>
      <x:c r="BB47" s="185"/>
      <x:c r="BC47" s="185"/>
      <x:c r="BD47" s="46"/>
      <x:c r="BE47" s="44"/>
      <x:c r="BF47" s="185"/>
      <x:c r="BG47" s="185"/>
      <x:c r="BH47" s="185"/>
      <x:c r="BI47" s="185"/>
      <x:c r="BJ47" s="46"/>
      <x:c r="BK47" s="44"/>
      <x:c r="BL47" s="185"/>
      <x:c r="BM47" s="185"/>
      <x:c r="BN47" s="185"/>
      <x:c r="BO47" s="185"/>
      <x:c r="BP47" s="46"/>
      <x:c r="BQ47" s="44"/>
      <x:c r="BR47" s="185"/>
      <x:c r="BS47" s="185"/>
      <x:c r="BT47" s="185"/>
      <x:c r="BU47" s="185"/>
      <x:c r="BV47" s="46"/>
    </x:row>
    <x:row r="48" spans="1:74" ht="22.5" customHeight="1" x14ac:dyDescent="0.25">
      <x:c r="A48" s="3" t="s">
        <x:v>96</x:v>
      </x:c>
      <x:c r="B48" s="3" t="s">
        <x:v>23</x:v>
      </x:c>
      <x:c r="C48" s="181"/>
      <x:c r="D48" s="158"/>
      <x:c r="E48" s="158"/>
      <x:c r="F48" s="158"/>
      <x:c r="G48" s="158"/>
      <x:c r="H48" s="183"/>
      <x:c r="I48" s="44"/>
      <x:c r="J48" s="185"/>
      <x:c r="K48" s="185"/>
      <x:c r="L48" s="185"/>
      <x:c r="M48" s="185"/>
      <x:c r="N48" s="46"/>
      <x:c r="O48" s="44"/>
      <x:c r="P48" s="185"/>
      <x:c r="Q48" s="185"/>
      <x:c r="R48" s="185"/>
      <x:c r="S48" s="185"/>
      <x:c r="T48" s="46"/>
      <x:c r="U48" s="44"/>
      <x:c r="V48" s="185"/>
      <x:c r="W48" s="185"/>
      <x:c r="X48" s="185"/>
      <x:c r="Y48" s="185"/>
      <x:c r="Z48" s="46"/>
      <x:c r="AA48" s="44"/>
      <x:c r="AB48" s="185"/>
      <x:c r="AC48" s="185"/>
      <x:c r="AD48" s="185"/>
      <x:c r="AE48" s="185"/>
      <x:c r="AF48" s="46"/>
      <x:c r="AG48" s="44"/>
      <x:c r="AH48" s="185"/>
      <x:c r="AI48" s="185"/>
      <x:c r="AJ48" s="185"/>
      <x:c r="AK48" s="185"/>
      <x:c r="AL48" s="46"/>
      <x:c r="AM48" s="181">
        <x:v>100</x:v>
      </x:c>
      <x:c r="AN48" s="158">
        <x:v>100</x:v>
      </x:c>
      <x:c r="AO48" s="158">
        <x:v>100</x:v>
      </x:c>
      <x:c r="AP48" s="158">
        <x:v>100</x:v>
      </x:c>
      <x:c r="AQ48" s="158">
        <x:v>100</x:v>
      </x:c>
      <x:c r="AR48" s="607" t="s">
        <x:v>1102</x:v>
      </x:c>
      <x:c r="AS48" s="181">
        <x:v>100</x:v>
      </x:c>
      <x:c r="AT48" s="158">
        <x:v>100</x:v>
      </x:c>
      <x:c r="AU48" s="158">
        <x:v>100</x:v>
      </x:c>
      <x:c r="AV48" s="158">
        <x:v>100</x:v>
      </x:c>
      <x:c r="AW48" s="158">
        <x:v>100</x:v>
      </x:c>
      <x:c r="AX48" s="611" t="s">
        <x:v>1102</x:v>
      </x:c>
      <x:c r="AY48" s="44"/>
      <x:c r="AZ48" s="185"/>
      <x:c r="BA48" s="185"/>
      <x:c r="BB48" s="185"/>
      <x:c r="BC48" s="185"/>
      <x:c r="BD48" s="46"/>
      <x:c r="BE48" s="44"/>
      <x:c r="BF48" s="185"/>
      <x:c r="BG48" s="185"/>
      <x:c r="BH48" s="185"/>
      <x:c r="BI48" s="185"/>
      <x:c r="BJ48" s="46"/>
      <x:c r="BK48" s="44"/>
      <x:c r="BL48" s="185"/>
      <x:c r="BM48" s="185"/>
      <x:c r="BN48" s="185"/>
      <x:c r="BO48" s="185"/>
      <x:c r="BP48" s="46"/>
      <x:c r="BQ48" s="44"/>
      <x:c r="BR48" s="185"/>
      <x:c r="BS48" s="185"/>
      <x:c r="BT48" s="185"/>
      <x:c r="BU48" s="185"/>
      <x:c r="BV48" s="46"/>
    </x:row>
    <x:row r="49" spans="1:74" ht="22.5" customHeight="1" x14ac:dyDescent="0.3">
      <x:c r="A49" s="605" t="s">
        <x:v>91</x:v>
      </x:c>
      <x:c r="B49" s="3" t="s">
        <x:v>16</x:v>
      </x:c>
      <x:c r="C49" s="160"/>
      <x:c r="D49" s="161"/>
      <x:c r="E49" s="161"/>
      <x:c r="F49" s="161"/>
      <x:c r="G49" s="161"/>
      <x:c r="H49" s="162"/>
      <x:c r="I49" s="38"/>
      <x:c r="J49" s="39"/>
      <x:c r="K49" s="39"/>
      <x:c r="L49" s="39"/>
      <x:c r="M49" s="39"/>
      <x:c r="N49" s="40"/>
      <x:c r="O49" s="38"/>
      <x:c r="P49" s="39"/>
      <x:c r="Q49" s="39"/>
      <x:c r="R49" s="39"/>
      <x:c r="S49" s="39"/>
      <x:c r="T49" s="40"/>
      <x:c r="U49" s="38"/>
      <x:c r="V49" s="39"/>
      <x:c r="W49" s="39"/>
      <x:c r="X49" s="39"/>
      <x:c r="Y49" s="39"/>
      <x:c r="Z49" s="40"/>
      <x:c r="AA49" s="38"/>
      <x:c r="AB49" s="39"/>
      <x:c r="AC49" s="39"/>
      <x:c r="AD49" s="39"/>
      <x:c r="AE49" s="39"/>
      <x:c r="AF49" s="40"/>
      <x:c r="AG49" s="38"/>
      <x:c r="AH49" s="39"/>
      <x:c r="AI49" s="39"/>
      <x:c r="AJ49" s="39"/>
      <x:c r="AK49" s="39"/>
      <x:c r="AL49" s="40"/>
      <x:c r="AM49" s="160">
        <x:v>100</x:v>
      </x:c>
      <x:c r="AN49" s="161">
        <x:v>100</x:v>
      </x:c>
      <x:c r="AO49" s="161">
        <x:v>100</x:v>
      </x:c>
      <x:c r="AP49" s="161">
        <x:v>100</x:v>
      </x:c>
      <x:c r="AQ49" s="161">
        <x:v>100</x:v>
      </x:c>
      <x:c r="AR49" s="593" t="s">
        <x:v>1102</x:v>
      </x:c>
      <x:c r="AS49" s="612">
        <x:v>0</x:v>
      </x:c>
      <x:c r="AT49" s="613">
        <x:v>0</x:v>
      </x:c>
      <x:c r="AU49" s="613">
        <x:v>0</x:v>
      </x:c>
      <x:c r="AV49" s="613">
        <x:v>0</x:v>
      </x:c>
      <x:c r="AW49" s="613">
        <x:v>0</x:v>
      </x:c>
      <x:c r="AX49" s="614" t="s">
        <x:v>1103</x:v>
      </x:c>
      <x:c r="AY49" s="38"/>
      <x:c r="AZ49" s="39"/>
      <x:c r="BA49" s="39"/>
      <x:c r="BB49" s="39"/>
      <x:c r="BC49" s="39"/>
      <x:c r="BD49" s="40"/>
      <x:c r="BE49" s="38"/>
      <x:c r="BF49" s="39"/>
      <x:c r="BG49" s="39"/>
      <x:c r="BH49" s="39"/>
      <x:c r="BI49" s="39"/>
      <x:c r="BJ49" s="40"/>
      <x:c r="BK49" s="38"/>
      <x:c r="BL49" s="39"/>
      <x:c r="BM49" s="39"/>
      <x:c r="BN49" s="39"/>
      <x:c r="BO49" s="39"/>
      <x:c r="BP49" s="40"/>
      <x:c r="BQ49" s="38"/>
      <x:c r="BR49" s="39"/>
      <x:c r="BS49" s="39"/>
      <x:c r="BT49" s="39"/>
      <x:c r="BU49" s="39"/>
      <x:c r="BV49" s="40"/>
    </x:row>
    <x:row r="50" spans="1:74" s="225" customFormat="1" x14ac:dyDescent="0.25">
      <x:c r="C50" s="501">
        <x:f t="array" ref="C50:C50">SUMPRODUCT((C3:C49&gt;=10)*(D3:D49&gt;=10)*(E3:E49&gt;=10)*(F3:F49&gt;=10)*(G3:G49&gt;=10))</x:f>
      </x:c>
      <x:c r="D50" s="503"/>
      <x:c r="E50" s="503"/>
      <x:c r="F50" s="503"/>
      <x:c r="G50" s="503"/>
      <x:c r="H50" s="227">
        <x:f>COUNTIF(H3:H49,"Да")</x:f>
      </x:c>
      <x:c r="I50" s="501">
        <x:f t="array" ref="I50:I50">SUMPRODUCT((I3:I49&gt;=10)*(J3:J49&gt;=10)*(K3:K49&gt;=10)*(L3:L49&gt;=10)*(M3:M49&gt;=10))</x:f>
      </x:c>
      <x:c r="J50" s="503"/>
      <x:c r="K50" s="503"/>
      <x:c r="L50" s="503"/>
      <x:c r="M50" s="503"/>
      <x:c r="N50" s="227">
        <x:f>COUNTIF(N3:N49,"Да")</x:f>
      </x:c>
      <x:c r="O50" s="501">
        <x:f t="array" ref="O50:O50">SUMPRODUCT((O3:O49&gt;=10)*(P3:P49&gt;=10)*(Q3:Q49&gt;=10)*(R3:R49&gt;=10)*(S3:S49&gt;=10))</x:f>
      </x:c>
      <x:c r="P50" s="503"/>
      <x:c r="Q50" s="503"/>
      <x:c r="R50" s="503"/>
      <x:c r="S50" s="503"/>
      <x:c r="T50" s="227">
        <x:f>COUNTIF(T3:T49,"Да")</x:f>
      </x:c>
      <x:c r="U50" s="501">
        <x:f t="array" ref="U50:U50">SUMPRODUCT((U3:U49&gt;=10)*(V3:V49&gt;=10)*(W3:W49&gt;=10)*(X3:X49&gt;=10)*(Y3:Y49&gt;=10))</x:f>
      </x:c>
      <x:c r="V50" s="503"/>
      <x:c r="W50" s="503"/>
      <x:c r="X50" s="503"/>
      <x:c r="Y50" s="503"/>
      <x:c r="Z50" s="227">
        <x:f>COUNTIF(Z3:Z49,"Да")</x:f>
      </x:c>
      <x:c r="AA50" s="501">
        <x:f t="array" ref="AA50:AA50">SUMPRODUCT((AA3:AA49&gt;=10)*(AB3:AB49&gt;=10)*(AC3:AC49&gt;=10)*(AD3:AD49&gt;=10)*(AE3:AE49&gt;=10))</x:f>
      </x:c>
      <x:c r="AB50" s="503"/>
      <x:c r="AC50" s="503"/>
      <x:c r="AD50" s="503"/>
      <x:c r="AE50" s="503"/>
      <x:c r="AF50" s="227">
        <x:f>COUNTIF(AF3:AF49,"Да")</x:f>
      </x:c>
      <x:c r="AG50" s="501">
        <x:f t="array" ref="AG50:AG50">SUMPRODUCT((AG3:AG49&gt;=10)*(AH3:AH49&gt;=10)*(AI3:AI49&gt;=10)*(AJ3:AJ49&gt;=10)*(AK3:AK49&gt;=10))</x:f>
      </x:c>
      <x:c r="AH50" s="503"/>
      <x:c r="AI50" s="503"/>
      <x:c r="AJ50" s="503"/>
      <x:c r="AK50" s="503"/>
      <x:c r="AL50" s="227">
        <x:f>COUNTIF(AL3:AL49,"Да")</x:f>
      </x:c>
      <x:c r="AM50" s="501">
        <x:f t="array" ref="AM50:AM50">SUMPRODUCT((AM3:AM49&gt;=10)*(AN3:AN49&gt;=10)*(AO3:AO49&gt;=10)*(AP3:AP49&gt;=10)*(AQ3:AQ49&gt;=10))</x:f>
      </x:c>
      <x:c r="AN50" s="503"/>
      <x:c r="AO50" s="503"/>
      <x:c r="AP50" s="503"/>
      <x:c r="AQ50" s="503"/>
      <x:c r="AR50" s="227">
        <x:f>COUNTIF(AR3:AR49,"Да")</x:f>
      </x:c>
      <x:c r="AS50" s="501">
        <x:f t="array" ref="AS50:AS50">SUMPRODUCT((AS3:AS49&gt;=10)*(AT3:AT49&gt;=10)*(AU3:AU49&gt;=10)*(AV3:AV49&gt;=10)*(AW3:AW49&gt;=10))</x:f>
      </x:c>
      <x:c r="AT50" s="503"/>
      <x:c r="AU50" s="503"/>
      <x:c r="AV50" s="503"/>
      <x:c r="AW50" s="503"/>
      <x:c r="AX50" s="227">
        <x:f>COUNTIF(AX3:AX49,"Да")</x:f>
      </x:c>
      <x:c r="AY50" s="501">
        <x:f t="array" ref="AY50:AY50">SUMPRODUCT((AY3:AY49&gt;=10)*(AZ3:AZ49&gt;=10)*(BA3:BA49&gt;=10)*(BB3:BB49&gt;=10)*(BC3:BC49&gt;=10))</x:f>
      </x:c>
      <x:c r="AZ50" s="503"/>
      <x:c r="BA50" s="503"/>
      <x:c r="BB50" s="503"/>
      <x:c r="BC50" s="503"/>
      <x:c r="BD50" s="227">
        <x:f>COUNTIF(BD3:BD49,"Да")</x:f>
      </x:c>
      <x:c r="BE50" s="501">
        <x:f t="array" ref="BE50:BE50">SUMPRODUCT((BE3:BE49&gt;=10)*(BF3:BF49&gt;=10)*(BG3:BG49&gt;=10)*(BH3:BH49&gt;=10)*(BI3:BI49&gt;=10))</x:f>
      </x:c>
      <x:c r="BF50" s="503"/>
      <x:c r="BG50" s="503"/>
      <x:c r="BH50" s="503"/>
      <x:c r="BI50" s="503"/>
      <x:c r="BJ50" s="227">
        <x:f>COUNTIF(BJ3:BJ49,"Да")</x:f>
      </x:c>
      <x:c r="BK50" s="501">
        <x:f t="array" ref="BK50:BK50">SUMPRODUCT((BK3:BK49&gt;=10)*(BL3:BL49&gt;=10)*(BM3:BM49&gt;=10)*(BN3:BN49&gt;=10)*(BO3:BO49&gt;=10))</x:f>
      </x:c>
      <x:c r="BL50" s="503"/>
      <x:c r="BM50" s="503"/>
      <x:c r="BN50" s="503"/>
      <x:c r="BO50" s="503"/>
      <x:c r="BP50" s="227">
        <x:f>COUNTIF(BP3:BP49,"Да")</x:f>
      </x:c>
      <x:c r="BQ50" s="501">
        <x:f t="array" ref="BQ50:BQ50">SUMPRODUCT((BQ3:BQ49&gt;=10)*(BR3:BR49&gt;=10)*(BS3:BS49&gt;=10)*(BT3:BT49&gt;=10)*(BU3:BU49&gt;=10))</x:f>
      </x:c>
      <x:c r="BR50" s="503"/>
      <x:c r="BS50" s="503"/>
      <x:c r="BT50" s="503"/>
      <x:c r="BU50" s="503"/>
      <x:c r="BV50" s="227">
        <x:f>COUNTIF(BV3:BV49,"Да")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50:G50"/>
    <x:mergeCell ref="I50:M50"/>
    <x:mergeCell ref="O50:S50"/>
    <x:mergeCell ref="U50:Y50"/>
    <x:mergeCell ref="AA50:AE50"/>
    <x:mergeCell ref="AG50:AK50"/>
    <x:mergeCell ref="AM50:AQ50"/>
    <x:mergeCell ref="AS50:AW50"/>
    <x:mergeCell ref="AY50:BC50"/>
    <x:mergeCell ref="BE50:BI50"/>
    <x:mergeCell ref="BK50:BO50"/>
    <x:mergeCell ref="BQ50:BU50"/>
  </x:mergeCells>
  <x:conditionalFormatting sqref="C3:BV49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49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BV46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10" style="0" customWidth="1"/>
    <x:col min="45" max="49" width="9.140625" style="0" customWidth="1"/>
    <x:col min="50" max="50" width="9.285156" style="0" customWidth="1"/>
    <x:col min="51" max="55" width="9.140625" style="0" customWidth="1"/>
    <x:col min="56" max="56" width="9.425781" style="0" customWidth="1"/>
    <x:col min="57" max="61" width="9.140625" style="0" customWidth="1"/>
    <x:col min="62" max="62" width="9.570312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10" style="0" customWidth="1"/>
  </x:cols>
  <x:sheetData>
    <x:row r="1" spans="1:74" ht="23.25" customHeight="1" x14ac:dyDescent="0.3">
      <x:c r="A1" s="22" t="s">
        <x:v>1108</x:v>
      </x:c>
      <x:c r="B1" s="496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497"/>
      <x:c r="C2" s="186">
        <x:v>1</x:v>
      </x:c>
      <x:c r="D2" s="187">
        <x:v>2</x:v>
      </x:c>
      <x:c r="E2" s="187">
        <x:v>3</x:v>
      </x:c>
      <x:c r="F2" s="187">
        <x:v>4</x:v>
      </x:c>
      <x:c r="G2" s="187">
        <x:v>5</x:v>
      </x:c>
      <x:c r="H2" s="188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28" t="s">
        <x:v>269</x:v>
      </x:c>
      <x:c r="B3" s="88" t="s">
        <x:v>23</x:v>
      </x:c>
      <x:c r="C3" s="154"/>
      <x:c r="D3" s="155"/>
      <x:c r="E3" s="155"/>
      <x:c r="F3" s="155"/>
      <x:c r="G3" s="155"/>
      <x:c r="H3" s="156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154">
        <x:v>100</x:v>
      </x:c>
      <x:c r="AN3" s="155">
        <x:v>100</x:v>
      </x:c>
      <x:c r="AO3" s="155">
        <x:v>100</x:v>
      </x:c>
      <x:c r="AP3" s="155">
        <x:v>100</x:v>
      </x:c>
      <x:c r="AQ3" s="155">
        <x:v>100</x:v>
      </x:c>
      <x:c r="AR3" s="582" t="s">
        <x:v>1102</x:v>
      </x:c>
      <x:c r="AS3" s="154">
        <x:v>100</x:v>
      </x:c>
      <x:c r="AT3" s="155">
        <x:v>100</x:v>
      </x:c>
      <x:c r="AU3" s="155">
        <x:v>100</x:v>
      </x:c>
      <x:c r="AV3" s="155">
        <x:v>100</x:v>
      </x:c>
      <x:c r="AW3" s="228">
        <x:v>100</x:v>
      </x:c>
      <x:c r="AX3" s="583" t="s">
        <x:v>1102</x:v>
      </x:c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ht="22.5" customHeight="1" x14ac:dyDescent="0.25">
      <x:c r="A4" s="32" t="s">
        <x:v>287</x:v>
      </x:c>
      <x:c r="B4" s="114" t="s">
        <x:v>37</x:v>
      </x:c>
      <x:c r="C4" s="175"/>
      <x:c r="D4" s="158"/>
      <x:c r="E4" s="158"/>
      <x:c r="F4" s="158"/>
      <x:c r="G4" s="158"/>
      <x:c r="H4" s="159"/>
      <x:c r="I4" s="33"/>
      <x:c r="J4" s="185"/>
      <x:c r="K4" s="185"/>
      <x:c r="L4" s="185"/>
      <x:c r="M4" s="35"/>
      <x:c r="N4" s="36"/>
      <x:c r="O4" s="33"/>
      <x:c r="P4" s="185"/>
      <x:c r="Q4" s="185"/>
      <x:c r="R4" s="185"/>
      <x:c r="S4" s="35"/>
      <x:c r="T4" s="36"/>
      <x:c r="U4" s="33"/>
      <x:c r="V4" s="185"/>
      <x:c r="W4" s="185"/>
      <x:c r="X4" s="185"/>
      <x:c r="Y4" s="35"/>
      <x:c r="Z4" s="36"/>
      <x:c r="AA4" s="33"/>
      <x:c r="AB4" s="185"/>
      <x:c r="AC4" s="185"/>
      <x:c r="AD4" s="185"/>
      <x:c r="AE4" s="35"/>
      <x:c r="AF4" s="36"/>
      <x:c r="AG4" s="33"/>
      <x:c r="AH4" s="185"/>
      <x:c r="AI4" s="185"/>
      <x:c r="AJ4" s="185"/>
      <x:c r="AK4" s="3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584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230">
        <x:v>100</x:v>
      </x:c>
      <x:c r="AX4" s="585" t="s">
        <x:v>1102</x:v>
      </x:c>
      <x:c r="AY4" s="33"/>
      <x:c r="AZ4" s="185"/>
      <x:c r="BA4" s="185"/>
      <x:c r="BB4" s="185"/>
      <x:c r="BC4" s="35"/>
      <x:c r="BD4" s="36"/>
      <x:c r="BE4" s="33"/>
      <x:c r="BF4" s="185"/>
      <x:c r="BG4" s="185"/>
      <x:c r="BH4" s="185"/>
      <x:c r="BI4" s="35"/>
      <x:c r="BJ4" s="36"/>
      <x:c r="BK4" s="33"/>
      <x:c r="BL4" s="185"/>
      <x:c r="BM4" s="185"/>
      <x:c r="BN4" s="185"/>
      <x:c r="BO4" s="35"/>
      <x:c r="BP4" s="36"/>
      <x:c r="BQ4" s="33"/>
      <x:c r="BR4" s="185"/>
      <x:c r="BS4" s="185"/>
      <x:c r="BT4" s="185"/>
      <x:c r="BU4" s="35"/>
      <x:c r="BV4" s="36"/>
    </x:row>
    <x:row r="5" spans="1:74" ht="22.5" customHeight="1" x14ac:dyDescent="0.25">
      <x:c r="A5" s="32" t="s">
        <x:v>281</x:v>
      </x:c>
      <x:c r="B5" s="114" t="s">
        <x:v>37</x:v>
      </x:c>
      <x:c r="C5" s="175"/>
      <x:c r="D5" s="158"/>
      <x:c r="E5" s="158"/>
      <x:c r="F5" s="158"/>
      <x:c r="G5" s="158"/>
      <x:c r="H5" s="159"/>
      <x:c r="I5" s="33"/>
      <x:c r="J5" s="185"/>
      <x:c r="K5" s="185"/>
      <x:c r="L5" s="185"/>
      <x:c r="M5" s="35"/>
      <x:c r="N5" s="36"/>
      <x:c r="O5" s="33"/>
      <x:c r="P5" s="185"/>
      <x:c r="Q5" s="185"/>
      <x:c r="R5" s="185"/>
      <x:c r="S5" s="35"/>
      <x:c r="T5" s="36"/>
      <x:c r="U5" s="33"/>
      <x:c r="V5" s="185"/>
      <x:c r="W5" s="185"/>
      <x:c r="X5" s="185"/>
      <x:c r="Y5" s="35"/>
      <x:c r="Z5" s="36"/>
      <x:c r="AA5" s="33"/>
      <x:c r="AB5" s="185"/>
      <x:c r="AC5" s="185"/>
      <x:c r="AD5" s="185"/>
      <x:c r="AE5" s="35"/>
      <x:c r="AF5" s="36"/>
      <x:c r="AG5" s="33"/>
      <x:c r="AH5" s="185"/>
      <x:c r="AI5" s="185"/>
      <x:c r="AJ5" s="185"/>
      <x:c r="AK5" s="3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584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230">
        <x:v>100</x:v>
      </x:c>
      <x:c r="AX5" s="585" t="s">
        <x:v>1102</x:v>
      </x:c>
      <x:c r="AY5" s="33"/>
      <x:c r="AZ5" s="185"/>
      <x:c r="BA5" s="185"/>
      <x:c r="BB5" s="185"/>
      <x:c r="BC5" s="35"/>
      <x:c r="BD5" s="36"/>
      <x:c r="BE5" s="33"/>
      <x:c r="BF5" s="185"/>
      <x:c r="BG5" s="185"/>
      <x:c r="BH5" s="185"/>
      <x:c r="BI5" s="35"/>
      <x:c r="BJ5" s="36"/>
      <x:c r="BK5" s="33"/>
      <x:c r="BL5" s="185"/>
      <x:c r="BM5" s="185"/>
      <x:c r="BN5" s="185"/>
      <x:c r="BO5" s="35"/>
      <x:c r="BP5" s="36"/>
      <x:c r="BQ5" s="33"/>
      <x:c r="BR5" s="185"/>
      <x:c r="BS5" s="185"/>
      <x:c r="BT5" s="185"/>
      <x:c r="BU5" s="35"/>
      <x:c r="BV5" s="36"/>
    </x:row>
    <x:row r="6" spans="1:74" ht="22.5" customHeight="1" x14ac:dyDescent="0.25">
      <x:c r="A6" s="32" t="s">
        <x:v>256</x:v>
      </x:c>
      <x:c r="B6" s="114" t="s">
        <x:v>16</x:v>
      </x:c>
      <x:c r="C6" s="175"/>
      <x:c r="D6" s="158"/>
      <x:c r="E6" s="158"/>
      <x:c r="F6" s="158"/>
      <x:c r="G6" s="158"/>
      <x:c r="H6" s="159"/>
      <x:c r="I6" s="33"/>
      <x:c r="J6" s="185"/>
      <x:c r="K6" s="185"/>
      <x:c r="L6" s="185"/>
      <x:c r="M6" s="35"/>
      <x:c r="N6" s="36"/>
      <x:c r="O6" s="33"/>
      <x:c r="P6" s="185"/>
      <x:c r="Q6" s="185"/>
      <x:c r="R6" s="185"/>
      <x:c r="S6" s="35"/>
      <x:c r="T6" s="36"/>
      <x:c r="U6" s="33"/>
      <x:c r="V6" s="185"/>
      <x:c r="W6" s="185"/>
      <x:c r="X6" s="185"/>
      <x:c r="Y6" s="35"/>
      <x:c r="Z6" s="36"/>
      <x:c r="AA6" s="33"/>
      <x:c r="AB6" s="185"/>
      <x:c r="AC6" s="185"/>
      <x:c r="AD6" s="185"/>
      <x:c r="AE6" s="35"/>
      <x:c r="AF6" s="36"/>
      <x:c r="AG6" s="33"/>
      <x:c r="AH6" s="185"/>
      <x:c r="AI6" s="185"/>
      <x:c r="AJ6" s="185"/>
      <x:c r="AK6" s="3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584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230">
        <x:v>100</x:v>
      </x:c>
      <x:c r="AX6" s="585" t="s">
        <x:v>1102</x:v>
      </x:c>
      <x:c r="AY6" s="33"/>
      <x:c r="AZ6" s="185"/>
      <x:c r="BA6" s="185"/>
      <x:c r="BB6" s="185"/>
      <x:c r="BC6" s="35"/>
      <x:c r="BD6" s="36"/>
      <x:c r="BE6" s="33"/>
      <x:c r="BF6" s="185"/>
      <x:c r="BG6" s="185"/>
      <x:c r="BH6" s="185"/>
      <x:c r="BI6" s="35"/>
      <x:c r="BJ6" s="36"/>
      <x:c r="BK6" s="33"/>
      <x:c r="BL6" s="185"/>
      <x:c r="BM6" s="185"/>
      <x:c r="BN6" s="185"/>
      <x:c r="BO6" s="35"/>
      <x:c r="BP6" s="36"/>
      <x:c r="BQ6" s="33"/>
      <x:c r="BR6" s="185"/>
      <x:c r="BS6" s="185"/>
      <x:c r="BT6" s="185"/>
      <x:c r="BU6" s="35"/>
      <x:c r="BV6" s="36"/>
    </x:row>
    <x:row r="7" spans="1:74" ht="22.5" customHeight="1" x14ac:dyDescent="0.25">
      <x:c r="A7" s="32" t="s">
        <x:v>277</x:v>
      </x:c>
      <x:c r="B7" s="114" t="s">
        <x:v>37</x:v>
      </x:c>
      <x:c r="C7" s="175"/>
      <x:c r="D7" s="158"/>
      <x:c r="E7" s="158"/>
      <x:c r="F7" s="158"/>
      <x:c r="G7" s="158"/>
      <x:c r="H7" s="159"/>
      <x:c r="I7" s="33"/>
      <x:c r="J7" s="185"/>
      <x:c r="K7" s="185"/>
      <x:c r="L7" s="185"/>
      <x:c r="M7" s="35"/>
      <x:c r="N7" s="36"/>
      <x:c r="O7" s="33"/>
      <x:c r="P7" s="185"/>
      <x:c r="Q7" s="185"/>
      <x:c r="R7" s="185"/>
      <x:c r="S7" s="35"/>
      <x:c r="T7" s="36"/>
      <x:c r="U7" s="33"/>
      <x:c r="V7" s="185"/>
      <x:c r="W7" s="185"/>
      <x:c r="X7" s="185"/>
      <x:c r="Y7" s="35"/>
      <x:c r="Z7" s="36"/>
      <x:c r="AA7" s="33"/>
      <x:c r="AB7" s="185"/>
      <x:c r="AC7" s="185"/>
      <x:c r="AD7" s="185"/>
      <x:c r="AE7" s="35"/>
      <x:c r="AF7" s="36"/>
      <x:c r="AG7" s="33"/>
      <x:c r="AH7" s="185"/>
      <x:c r="AI7" s="185"/>
      <x:c r="AJ7" s="185"/>
      <x:c r="AK7" s="3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584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230">
        <x:v>100</x:v>
      </x:c>
      <x:c r="AX7" s="585" t="s">
        <x:v>1102</x:v>
      </x:c>
      <x:c r="AY7" s="33"/>
      <x:c r="AZ7" s="185"/>
      <x:c r="BA7" s="185"/>
      <x:c r="BB7" s="185"/>
      <x:c r="BC7" s="35"/>
      <x:c r="BD7" s="36"/>
      <x:c r="BE7" s="33"/>
      <x:c r="BF7" s="185"/>
      <x:c r="BG7" s="185"/>
      <x:c r="BH7" s="185"/>
      <x:c r="BI7" s="35"/>
      <x:c r="BJ7" s="36"/>
      <x:c r="BK7" s="33"/>
      <x:c r="BL7" s="185"/>
      <x:c r="BM7" s="185"/>
      <x:c r="BN7" s="185"/>
      <x:c r="BO7" s="35"/>
      <x:c r="BP7" s="36"/>
      <x:c r="BQ7" s="33"/>
      <x:c r="BR7" s="185"/>
      <x:c r="BS7" s="185"/>
      <x:c r="BT7" s="185"/>
      <x:c r="BU7" s="35"/>
      <x:c r="BV7" s="36"/>
    </x:row>
    <x:row r="8" spans="1:74" ht="22.5" customHeight="1" x14ac:dyDescent="0.25">
      <x:c r="A8" s="32" t="s">
        <x:v>267</x:v>
      </x:c>
      <x:c r="B8" s="114" t="s">
        <x:v>23</x:v>
      </x:c>
      <x:c r="C8" s="175"/>
      <x:c r="D8" s="158"/>
      <x:c r="E8" s="158"/>
      <x:c r="F8" s="158"/>
      <x:c r="G8" s="158"/>
      <x:c r="H8" s="159"/>
      <x:c r="I8" s="33"/>
      <x:c r="J8" s="185"/>
      <x:c r="K8" s="185"/>
      <x:c r="L8" s="185"/>
      <x:c r="M8" s="35"/>
      <x:c r="N8" s="36"/>
      <x:c r="O8" s="33"/>
      <x:c r="P8" s="185"/>
      <x:c r="Q8" s="185"/>
      <x:c r="R8" s="185"/>
      <x:c r="S8" s="35"/>
      <x:c r="T8" s="36"/>
      <x:c r="U8" s="33"/>
      <x:c r="V8" s="185"/>
      <x:c r="W8" s="185"/>
      <x:c r="X8" s="185"/>
      <x:c r="Y8" s="35"/>
      <x:c r="Z8" s="36"/>
      <x:c r="AA8" s="33"/>
      <x:c r="AB8" s="185"/>
      <x:c r="AC8" s="185"/>
      <x:c r="AD8" s="185"/>
      <x:c r="AE8" s="35"/>
      <x:c r="AF8" s="36"/>
      <x:c r="AG8" s="33"/>
      <x:c r="AH8" s="185"/>
      <x:c r="AI8" s="185"/>
      <x:c r="AJ8" s="185"/>
      <x:c r="AK8" s="3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584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230">
        <x:v>100</x:v>
      </x:c>
      <x:c r="AX8" s="585" t="s">
        <x:v>1102</x:v>
      </x:c>
      <x:c r="AY8" s="33"/>
      <x:c r="AZ8" s="185"/>
      <x:c r="BA8" s="185"/>
      <x:c r="BB8" s="185"/>
      <x:c r="BC8" s="35"/>
      <x:c r="BD8" s="36"/>
      <x:c r="BE8" s="33"/>
      <x:c r="BF8" s="185"/>
      <x:c r="BG8" s="185"/>
      <x:c r="BH8" s="185"/>
      <x:c r="BI8" s="35"/>
      <x:c r="BJ8" s="36"/>
      <x:c r="BK8" s="33"/>
      <x:c r="BL8" s="185"/>
      <x:c r="BM8" s="185"/>
      <x:c r="BN8" s="185"/>
      <x:c r="BO8" s="35"/>
      <x:c r="BP8" s="36"/>
      <x:c r="BQ8" s="33"/>
      <x:c r="BR8" s="185"/>
      <x:c r="BS8" s="185"/>
      <x:c r="BT8" s="185"/>
      <x:c r="BU8" s="35"/>
      <x:c r="BV8" s="36"/>
    </x:row>
    <x:row r="9" spans="1:74" ht="22.5" customHeight="1" x14ac:dyDescent="0.25">
      <x:c r="A9" s="615" t="s">
        <x:v>289</x:v>
      </x:c>
      <x:c r="B9" s="114" t="s">
        <x:v>23</x:v>
      </x:c>
      <x:c r="C9" s="184"/>
      <x:c r="D9" s="185"/>
      <x:c r="E9" s="185"/>
      <x:c r="F9" s="185"/>
      <x:c r="G9" s="185"/>
      <x:c r="H9" s="159"/>
      <x:c r="I9" s="33"/>
      <x:c r="J9" s="185"/>
      <x:c r="K9" s="185"/>
      <x:c r="L9" s="185"/>
      <x:c r="M9" s="35"/>
      <x:c r="N9" s="36"/>
      <x:c r="O9" s="33"/>
      <x:c r="P9" s="185"/>
      <x:c r="Q9" s="185"/>
      <x:c r="R9" s="185"/>
      <x:c r="S9" s="35"/>
      <x:c r="T9" s="36"/>
      <x:c r="U9" s="33"/>
      <x:c r="V9" s="185"/>
      <x:c r="W9" s="185"/>
      <x:c r="X9" s="185"/>
      <x:c r="Y9" s="35"/>
      <x:c r="Z9" s="36"/>
      <x:c r="AA9" s="33"/>
      <x:c r="AB9" s="185"/>
      <x:c r="AC9" s="185"/>
      <x:c r="AD9" s="185"/>
      <x:c r="AE9" s="35"/>
      <x:c r="AF9" s="36"/>
      <x:c r="AG9" s="33"/>
      <x:c r="AH9" s="185"/>
      <x:c r="AI9" s="185"/>
      <x:c r="AJ9" s="185"/>
      <x:c r="AK9" s="35"/>
      <x:c r="AL9" s="36"/>
      <x:c r="AM9" s="616" t="s">
        <x:v>1109</x:v>
      </x:c>
      <x:c r="AN9" s="478"/>
      <x:c r="AO9" s="478"/>
      <x:c r="AP9" s="478"/>
      <x:c r="AQ9" s="221"/>
      <x:c r="AR9" s="592" t="s">
        <x:v>1103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230">
        <x:v>100</x:v>
      </x:c>
      <x:c r="AX9" s="585" t="s">
        <x:v>1102</x:v>
      </x:c>
      <x:c r="AY9" s="33"/>
      <x:c r="AZ9" s="185"/>
      <x:c r="BA9" s="185"/>
      <x:c r="BB9" s="185"/>
      <x:c r="BC9" s="35"/>
      <x:c r="BD9" s="36"/>
      <x:c r="BE9" s="33"/>
      <x:c r="BF9" s="185"/>
      <x:c r="BG9" s="185"/>
      <x:c r="BH9" s="185"/>
      <x:c r="BI9" s="35"/>
      <x:c r="BJ9" s="36"/>
      <x:c r="BK9" s="33"/>
      <x:c r="BL9" s="185"/>
      <x:c r="BM9" s="185"/>
      <x:c r="BN9" s="185"/>
      <x:c r="BO9" s="35"/>
      <x:c r="BP9" s="36"/>
      <x:c r="BQ9" s="33"/>
      <x:c r="BR9" s="185"/>
      <x:c r="BS9" s="185"/>
      <x:c r="BT9" s="185"/>
      <x:c r="BU9" s="35"/>
      <x:c r="BV9" s="36"/>
    </x:row>
    <x:row r="10" spans="1:74" ht="22.5" customHeight="1" x14ac:dyDescent="0.25">
      <x:c r="A10" s="32" t="s">
        <x:v>291</x:v>
      </x:c>
      <x:c r="B10" s="114" t="s">
        <x:v>23</x:v>
      </x:c>
      <x:c r="C10" s="175"/>
      <x:c r="D10" s="158"/>
      <x:c r="E10" s="158"/>
      <x:c r="F10" s="158"/>
      <x:c r="G10" s="158"/>
      <x:c r="H10" s="159"/>
      <x:c r="I10" s="33"/>
      <x:c r="J10" s="185"/>
      <x:c r="K10" s="185"/>
      <x:c r="L10" s="185"/>
      <x:c r="M10" s="35"/>
      <x:c r="N10" s="36"/>
      <x:c r="O10" s="33"/>
      <x:c r="P10" s="185"/>
      <x:c r="Q10" s="185"/>
      <x:c r="R10" s="185"/>
      <x:c r="S10" s="35"/>
      <x:c r="T10" s="36"/>
      <x:c r="U10" s="33"/>
      <x:c r="V10" s="185"/>
      <x:c r="W10" s="185"/>
      <x:c r="X10" s="185"/>
      <x:c r="Y10" s="35"/>
      <x:c r="Z10" s="36"/>
      <x:c r="AA10" s="33"/>
      <x:c r="AB10" s="185"/>
      <x:c r="AC10" s="185"/>
      <x:c r="AD10" s="185"/>
      <x:c r="AE10" s="35"/>
      <x:c r="AF10" s="36"/>
      <x:c r="AG10" s="33"/>
      <x:c r="AH10" s="185"/>
      <x:c r="AI10" s="185"/>
      <x:c r="AJ10" s="185"/>
      <x:c r="AK10" s="3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584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230">
        <x:v>100</x:v>
      </x:c>
      <x:c r="AX10" s="585" t="s">
        <x:v>1102</x:v>
      </x:c>
      <x:c r="AY10" s="33"/>
      <x:c r="AZ10" s="185"/>
      <x:c r="BA10" s="185"/>
      <x:c r="BB10" s="185"/>
      <x:c r="BC10" s="35"/>
      <x:c r="BD10" s="36"/>
      <x:c r="BE10" s="33"/>
      <x:c r="BF10" s="185"/>
      <x:c r="BG10" s="185"/>
      <x:c r="BH10" s="185"/>
      <x:c r="BI10" s="35"/>
      <x:c r="BJ10" s="36"/>
      <x:c r="BK10" s="33"/>
      <x:c r="BL10" s="185"/>
      <x:c r="BM10" s="185"/>
      <x:c r="BN10" s="185"/>
      <x:c r="BO10" s="35"/>
      <x:c r="BP10" s="36"/>
      <x:c r="BQ10" s="33"/>
      <x:c r="BR10" s="185"/>
      <x:c r="BS10" s="185"/>
      <x:c r="BT10" s="185"/>
      <x:c r="BU10" s="35"/>
      <x:c r="BV10" s="36"/>
    </x:row>
    <x:row r="11" spans="1:74" ht="22.5" customHeight="1" x14ac:dyDescent="0.25">
      <x:c r="A11" s="32" t="s">
        <x:v>268</x:v>
      </x:c>
      <x:c r="B11" s="114" t="s">
        <x:v>23</x:v>
      </x:c>
      <x:c r="C11" s="175"/>
      <x:c r="D11" s="158"/>
      <x:c r="E11" s="158"/>
      <x:c r="F11" s="158"/>
      <x:c r="G11" s="158"/>
      <x:c r="H11" s="159"/>
      <x:c r="I11" s="33"/>
      <x:c r="J11" s="185"/>
      <x:c r="K11" s="185"/>
      <x:c r="L11" s="185"/>
      <x:c r="M11" s="35"/>
      <x:c r="N11" s="36"/>
      <x:c r="O11" s="33"/>
      <x:c r="P11" s="185"/>
      <x:c r="Q11" s="185"/>
      <x:c r="R11" s="185"/>
      <x:c r="S11" s="35"/>
      <x:c r="T11" s="36"/>
      <x:c r="U11" s="33"/>
      <x:c r="V11" s="185"/>
      <x:c r="W11" s="185"/>
      <x:c r="X11" s="185"/>
      <x:c r="Y11" s="35"/>
      <x:c r="Z11" s="36"/>
      <x:c r="AA11" s="33"/>
      <x:c r="AB11" s="185"/>
      <x:c r="AC11" s="185"/>
      <x:c r="AD11" s="185"/>
      <x:c r="AE11" s="35"/>
      <x:c r="AF11" s="36"/>
      <x:c r="AG11" s="33"/>
      <x:c r="AH11" s="185"/>
      <x:c r="AI11" s="185"/>
      <x:c r="AJ11" s="185"/>
      <x:c r="AK11" s="3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584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230">
        <x:v>100</x:v>
      </x:c>
      <x:c r="AX11" s="585" t="s">
        <x:v>1102</x:v>
      </x:c>
      <x:c r="AY11" s="33"/>
      <x:c r="AZ11" s="185"/>
      <x:c r="BA11" s="185"/>
      <x:c r="BB11" s="185"/>
      <x:c r="BC11" s="35"/>
      <x:c r="BD11" s="36"/>
      <x:c r="BE11" s="33"/>
      <x:c r="BF11" s="185"/>
      <x:c r="BG11" s="185"/>
      <x:c r="BH11" s="185"/>
      <x:c r="BI11" s="35"/>
      <x:c r="BJ11" s="36"/>
      <x:c r="BK11" s="33"/>
      <x:c r="BL11" s="185"/>
      <x:c r="BM11" s="185"/>
      <x:c r="BN11" s="185"/>
      <x:c r="BO11" s="35"/>
      <x:c r="BP11" s="36"/>
      <x:c r="BQ11" s="33"/>
      <x:c r="BR11" s="185"/>
      <x:c r="BS11" s="185"/>
      <x:c r="BT11" s="185"/>
      <x:c r="BU11" s="35"/>
      <x:c r="BV11" s="36"/>
    </x:row>
    <x:row r="12" spans="1:74" ht="22.5" customHeight="1" x14ac:dyDescent="0.25">
      <x:c r="A12" s="32" t="s">
        <x:v>282</x:v>
      </x:c>
      <x:c r="B12" s="114" t="s">
        <x:v>37</x:v>
      </x:c>
      <x:c r="C12" s="175"/>
      <x:c r="D12" s="158"/>
      <x:c r="E12" s="158"/>
      <x:c r="F12" s="158"/>
      <x:c r="G12" s="158"/>
      <x:c r="H12" s="159"/>
      <x:c r="I12" s="33"/>
      <x:c r="J12" s="185"/>
      <x:c r="K12" s="185"/>
      <x:c r="L12" s="185"/>
      <x:c r="M12" s="35"/>
      <x:c r="N12" s="36"/>
      <x:c r="O12" s="33"/>
      <x:c r="P12" s="185"/>
      <x:c r="Q12" s="185"/>
      <x:c r="R12" s="185"/>
      <x:c r="S12" s="35"/>
      <x:c r="T12" s="36"/>
      <x:c r="U12" s="33"/>
      <x:c r="V12" s="185"/>
      <x:c r="W12" s="185"/>
      <x:c r="X12" s="185"/>
      <x:c r="Y12" s="35"/>
      <x:c r="Z12" s="36"/>
      <x:c r="AA12" s="33"/>
      <x:c r="AB12" s="185"/>
      <x:c r="AC12" s="185"/>
      <x:c r="AD12" s="185"/>
      <x:c r="AE12" s="35"/>
      <x:c r="AF12" s="36"/>
      <x:c r="AG12" s="33"/>
      <x:c r="AH12" s="185"/>
      <x:c r="AI12" s="185"/>
      <x:c r="AJ12" s="185"/>
      <x:c r="AK12" s="3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584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230">
        <x:v>100</x:v>
      </x:c>
      <x:c r="AX12" s="585" t="s">
        <x:v>1102</x:v>
      </x:c>
      <x:c r="AY12" s="33"/>
      <x:c r="AZ12" s="185"/>
      <x:c r="BA12" s="185"/>
      <x:c r="BB12" s="185"/>
      <x:c r="BC12" s="35"/>
      <x:c r="BD12" s="36"/>
      <x:c r="BE12" s="33"/>
      <x:c r="BF12" s="185"/>
      <x:c r="BG12" s="185"/>
      <x:c r="BH12" s="185"/>
      <x:c r="BI12" s="35"/>
      <x:c r="BJ12" s="36"/>
      <x:c r="BK12" s="33"/>
      <x:c r="BL12" s="185"/>
      <x:c r="BM12" s="185"/>
      <x:c r="BN12" s="185"/>
      <x:c r="BO12" s="35"/>
      <x:c r="BP12" s="36"/>
      <x:c r="BQ12" s="33"/>
      <x:c r="BR12" s="185"/>
      <x:c r="BS12" s="185"/>
      <x:c r="BT12" s="185"/>
      <x:c r="BU12" s="35"/>
      <x:c r="BV12" s="36"/>
    </x:row>
    <x:row r="13" spans="1:74" ht="22.5" customHeight="1" x14ac:dyDescent="0.25">
      <x:c r="A13" s="32" t="s">
        <x:v>257</x:v>
      </x:c>
      <x:c r="B13" s="114" t="s">
        <x:v>16</x:v>
      </x:c>
      <x:c r="C13" s="175"/>
      <x:c r="D13" s="158"/>
      <x:c r="E13" s="158"/>
      <x:c r="F13" s="158"/>
      <x:c r="G13" s="158"/>
      <x:c r="H13" s="159"/>
      <x:c r="I13" s="33"/>
      <x:c r="J13" s="185"/>
      <x:c r="K13" s="185"/>
      <x:c r="L13" s="185"/>
      <x:c r="M13" s="35"/>
      <x:c r="N13" s="36"/>
      <x:c r="O13" s="33"/>
      <x:c r="P13" s="185"/>
      <x:c r="Q13" s="185"/>
      <x:c r="R13" s="185"/>
      <x:c r="S13" s="35"/>
      <x:c r="T13" s="36"/>
      <x:c r="U13" s="33"/>
      <x:c r="V13" s="185"/>
      <x:c r="W13" s="185"/>
      <x:c r="X13" s="185"/>
      <x:c r="Y13" s="35"/>
      <x:c r="Z13" s="36"/>
      <x:c r="AA13" s="33"/>
      <x:c r="AB13" s="185"/>
      <x:c r="AC13" s="185"/>
      <x:c r="AD13" s="185"/>
      <x:c r="AE13" s="35"/>
      <x:c r="AF13" s="36"/>
      <x:c r="AG13" s="33"/>
      <x:c r="AH13" s="185"/>
      <x:c r="AI13" s="185"/>
      <x:c r="AJ13" s="185"/>
      <x:c r="AK13" s="3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584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230">
        <x:v>100</x:v>
      </x:c>
      <x:c r="AX13" s="585" t="s">
        <x:v>1102</x:v>
      </x:c>
      <x:c r="AY13" s="33"/>
      <x:c r="AZ13" s="185"/>
      <x:c r="BA13" s="185"/>
      <x:c r="BB13" s="185"/>
      <x:c r="BC13" s="35"/>
      <x:c r="BD13" s="36"/>
      <x:c r="BE13" s="33"/>
      <x:c r="BF13" s="185"/>
      <x:c r="BG13" s="185"/>
      <x:c r="BH13" s="185"/>
      <x:c r="BI13" s="35"/>
      <x:c r="BJ13" s="36"/>
      <x:c r="BK13" s="33"/>
      <x:c r="BL13" s="185"/>
      <x:c r="BM13" s="185"/>
      <x:c r="BN13" s="185"/>
      <x:c r="BO13" s="35"/>
      <x:c r="BP13" s="36"/>
      <x:c r="BQ13" s="33"/>
      <x:c r="BR13" s="185"/>
      <x:c r="BS13" s="185"/>
      <x:c r="BT13" s="185"/>
      <x:c r="BU13" s="35"/>
      <x:c r="BV13" s="36"/>
    </x:row>
    <x:row r="14" spans="1:74" ht="22.5" customHeight="1" x14ac:dyDescent="0.25">
      <x:c r="A14" s="32" t="s">
        <x:v>251</x:v>
      </x:c>
      <x:c r="B14" s="114" t="s">
        <x:v>183</x:v>
      </x:c>
      <x:c r="C14" s="175"/>
      <x:c r="D14" s="158"/>
      <x:c r="E14" s="158"/>
      <x:c r="F14" s="158"/>
      <x:c r="G14" s="158"/>
      <x:c r="H14" s="159"/>
      <x:c r="I14" s="33"/>
      <x:c r="J14" s="185"/>
      <x:c r="K14" s="185"/>
      <x:c r="L14" s="185"/>
      <x:c r="M14" s="35"/>
      <x:c r="N14" s="36"/>
      <x:c r="O14" s="33"/>
      <x:c r="P14" s="185"/>
      <x:c r="Q14" s="185"/>
      <x:c r="R14" s="185"/>
      <x:c r="S14" s="35"/>
      <x:c r="T14" s="36"/>
      <x:c r="U14" s="33"/>
      <x:c r="V14" s="185"/>
      <x:c r="W14" s="185"/>
      <x:c r="X14" s="185"/>
      <x:c r="Y14" s="35"/>
      <x:c r="Z14" s="36"/>
      <x:c r="AA14" s="33"/>
      <x:c r="AB14" s="185"/>
      <x:c r="AC14" s="185"/>
      <x:c r="AD14" s="185"/>
      <x:c r="AE14" s="35"/>
      <x:c r="AF14" s="36"/>
      <x:c r="AG14" s="33"/>
      <x:c r="AH14" s="185"/>
      <x:c r="AI14" s="185"/>
      <x:c r="AJ14" s="185"/>
      <x:c r="AK14" s="3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584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230">
        <x:v>100</x:v>
      </x:c>
      <x:c r="AX14" s="585" t="s">
        <x:v>1102</x:v>
      </x:c>
      <x:c r="AY14" s="33"/>
      <x:c r="AZ14" s="185"/>
      <x:c r="BA14" s="185"/>
      <x:c r="BB14" s="185"/>
      <x:c r="BC14" s="35"/>
      <x:c r="BD14" s="36"/>
      <x:c r="BE14" s="33"/>
      <x:c r="BF14" s="185"/>
      <x:c r="BG14" s="185"/>
      <x:c r="BH14" s="185"/>
      <x:c r="BI14" s="35"/>
      <x:c r="BJ14" s="36"/>
      <x:c r="BK14" s="33"/>
      <x:c r="BL14" s="185"/>
      <x:c r="BM14" s="185"/>
      <x:c r="BN14" s="185"/>
      <x:c r="BO14" s="35"/>
      <x:c r="BP14" s="36"/>
      <x:c r="BQ14" s="33"/>
      <x:c r="BR14" s="185"/>
      <x:c r="BS14" s="185"/>
      <x:c r="BT14" s="185"/>
      <x:c r="BU14" s="35"/>
      <x:c r="BV14" s="36"/>
    </x:row>
    <x:row r="15" spans="1:74" ht="22.5" customHeight="1" x14ac:dyDescent="0.25">
      <x:c r="A15" s="32" t="s">
        <x:v>290</x:v>
      </x:c>
      <x:c r="B15" s="114" t="s">
        <x:v>23</x:v>
      </x:c>
      <x:c r="C15" s="175"/>
      <x:c r="D15" s="158"/>
      <x:c r="E15" s="158"/>
      <x:c r="F15" s="158"/>
      <x:c r="G15" s="158"/>
      <x:c r="H15" s="159"/>
      <x:c r="I15" s="33"/>
      <x:c r="J15" s="185"/>
      <x:c r="K15" s="185"/>
      <x:c r="L15" s="185"/>
      <x:c r="M15" s="35"/>
      <x:c r="N15" s="36"/>
      <x:c r="O15" s="33"/>
      <x:c r="P15" s="185"/>
      <x:c r="Q15" s="185"/>
      <x:c r="R15" s="185"/>
      <x:c r="S15" s="35"/>
      <x:c r="T15" s="36"/>
      <x:c r="U15" s="33"/>
      <x:c r="V15" s="185"/>
      <x:c r="W15" s="185"/>
      <x:c r="X15" s="185"/>
      <x:c r="Y15" s="35"/>
      <x:c r="Z15" s="36"/>
      <x:c r="AA15" s="33"/>
      <x:c r="AB15" s="185"/>
      <x:c r="AC15" s="185"/>
      <x:c r="AD15" s="185"/>
      <x:c r="AE15" s="35"/>
      <x:c r="AF15" s="36"/>
      <x:c r="AG15" s="33"/>
      <x:c r="AH15" s="185"/>
      <x:c r="AI15" s="185"/>
      <x:c r="AJ15" s="185"/>
      <x:c r="AK15" s="3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584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99</x:v>
      </x:c>
      <x:c r="AW15" s="230">
        <x:v>99</x:v>
      </x:c>
      <x:c r="AX15" s="585" t="s">
        <x:v>1102</x:v>
      </x:c>
      <x:c r="AY15" s="33"/>
      <x:c r="AZ15" s="185"/>
      <x:c r="BA15" s="185"/>
      <x:c r="BB15" s="185"/>
      <x:c r="BC15" s="35"/>
      <x:c r="BD15" s="36"/>
      <x:c r="BE15" s="33"/>
      <x:c r="BF15" s="185"/>
      <x:c r="BG15" s="185"/>
      <x:c r="BH15" s="185"/>
      <x:c r="BI15" s="35"/>
      <x:c r="BJ15" s="36"/>
      <x:c r="BK15" s="33"/>
      <x:c r="BL15" s="185"/>
      <x:c r="BM15" s="185"/>
      <x:c r="BN15" s="185"/>
      <x:c r="BO15" s="35"/>
      <x:c r="BP15" s="36"/>
      <x:c r="BQ15" s="33"/>
      <x:c r="BR15" s="185"/>
      <x:c r="BS15" s="185"/>
      <x:c r="BT15" s="185"/>
      <x:c r="BU15" s="35"/>
      <x:c r="BV15" s="36"/>
    </x:row>
    <x:row r="16" spans="1:74" ht="22.5" customHeight="1" x14ac:dyDescent="0.25">
      <x:c r="A16" s="32" t="s">
        <x:v>271</x:v>
      </x:c>
      <x:c r="B16" s="114" t="s">
        <x:v>23</x:v>
      </x:c>
      <x:c r="C16" s="175"/>
      <x:c r="D16" s="158"/>
      <x:c r="E16" s="158"/>
      <x:c r="F16" s="158"/>
      <x:c r="G16" s="158"/>
      <x:c r="H16" s="159"/>
      <x:c r="I16" s="33"/>
      <x:c r="J16" s="185"/>
      <x:c r="K16" s="185"/>
      <x:c r="L16" s="185"/>
      <x:c r="M16" s="35"/>
      <x:c r="N16" s="36"/>
      <x:c r="O16" s="33"/>
      <x:c r="P16" s="185"/>
      <x:c r="Q16" s="185"/>
      <x:c r="R16" s="185"/>
      <x:c r="S16" s="35"/>
      <x:c r="T16" s="36"/>
      <x:c r="U16" s="33"/>
      <x:c r="V16" s="185"/>
      <x:c r="W16" s="185"/>
      <x:c r="X16" s="185"/>
      <x:c r="Y16" s="35"/>
      <x:c r="Z16" s="36"/>
      <x:c r="AA16" s="33"/>
      <x:c r="AB16" s="185"/>
      <x:c r="AC16" s="185"/>
      <x:c r="AD16" s="185"/>
      <x:c r="AE16" s="35"/>
      <x:c r="AF16" s="36"/>
      <x:c r="AG16" s="33"/>
      <x:c r="AH16" s="185"/>
      <x:c r="AI16" s="185"/>
      <x:c r="AJ16" s="185"/>
      <x:c r="AK16" s="3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584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230">
        <x:v>100</x:v>
      </x:c>
      <x:c r="AX16" s="585" t="s">
        <x:v>1102</x:v>
      </x:c>
      <x:c r="AY16" s="33"/>
      <x:c r="AZ16" s="185"/>
      <x:c r="BA16" s="185"/>
      <x:c r="BB16" s="185"/>
      <x:c r="BC16" s="35"/>
      <x:c r="BD16" s="36"/>
      <x:c r="BE16" s="33"/>
      <x:c r="BF16" s="185"/>
      <x:c r="BG16" s="185"/>
      <x:c r="BH16" s="185"/>
      <x:c r="BI16" s="35"/>
      <x:c r="BJ16" s="36"/>
      <x:c r="BK16" s="33"/>
      <x:c r="BL16" s="185"/>
      <x:c r="BM16" s="185"/>
      <x:c r="BN16" s="185"/>
      <x:c r="BO16" s="35"/>
      <x:c r="BP16" s="36"/>
      <x:c r="BQ16" s="33"/>
      <x:c r="BR16" s="185"/>
      <x:c r="BS16" s="185"/>
      <x:c r="BT16" s="185"/>
      <x:c r="BU16" s="35"/>
      <x:c r="BV16" s="36"/>
    </x:row>
    <x:row r="17" spans="1:74" ht="22.5" customHeight="1" x14ac:dyDescent="0.25">
      <x:c r="A17" s="32" t="s">
        <x:v>272</x:v>
      </x:c>
      <x:c r="B17" s="114" t="s">
        <x:v>23</x:v>
      </x:c>
      <x:c r="C17" s="175"/>
      <x:c r="D17" s="158"/>
      <x:c r="E17" s="158"/>
      <x:c r="F17" s="158"/>
      <x:c r="G17" s="158"/>
      <x:c r="H17" s="159"/>
      <x:c r="I17" s="33"/>
      <x:c r="J17" s="185"/>
      <x:c r="K17" s="185"/>
      <x:c r="L17" s="185"/>
      <x:c r="M17" s="35"/>
      <x:c r="N17" s="36"/>
      <x:c r="O17" s="33"/>
      <x:c r="P17" s="185"/>
      <x:c r="Q17" s="185"/>
      <x:c r="R17" s="185"/>
      <x:c r="S17" s="35"/>
      <x:c r="T17" s="36"/>
      <x:c r="U17" s="33"/>
      <x:c r="V17" s="185"/>
      <x:c r="W17" s="185"/>
      <x:c r="X17" s="185"/>
      <x:c r="Y17" s="35"/>
      <x:c r="Z17" s="36"/>
      <x:c r="AA17" s="33"/>
      <x:c r="AB17" s="185"/>
      <x:c r="AC17" s="185"/>
      <x:c r="AD17" s="185"/>
      <x:c r="AE17" s="35"/>
      <x:c r="AF17" s="36"/>
      <x:c r="AG17" s="33"/>
      <x:c r="AH17" s="185"/>
      <x:c r="AI17" s="185"/>
      <x:c r="AJ17" s="185"/>
      <x:c r="AK17" s="3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584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230">
        <x:v>100</x:v>
      </x:c>
      <x:c r="AX17" s="585" t="s">
        <x:v>1102</x:v>
      </x:c>
      <x:c r="AY17" s="33"/>
      <x:c r="AZ17" s="185"/>
      <x:c r="BA17" s="185"/>
      <x:c r="BB17" s="185"/>
      <x:c r="BC17" s="35"/>
      <x:c r="BD17" s="36"/>
      <x:c r="BE17" s="33"/>
      <x:c r="BF17" s="185"/>
      <x:c r="BG17" s="185"/>
      <x:c r="BH17" s="185"/>
      <x:c r="BI17" s="35"/>
      <x:c r="BJ17" s="36"/>
      <x:c r="BK17" s="33"/>
      <x:c r="BL17" s="185"/>
      <x:c r="BM17" s="185"/>
      <x:c r="BN17" s="185"/>
      <x:c r="BO17" s="35"/>
      <x:c r="BP17" s="36"/>
      <x:c r="BQ17" s="33"/>
      <x:c r="BR17" s="185"/>
      <x:c r="BS17" s="185"/>
      <x:c r="BT17" s="185"/>
      <x:c r="BU17" s="35"/>
      <x:c r="BV17" s="36"/>
    </x:row>
    <x:row r="18" spans="1:74" ht="22.5" customHeight="1" x14ac:dyDescent="0.25">
      <x:c r="A18" s="32" t="s">
        <x:v>292</x:v>
      </x:c>
      <x:c r="B18" s="114" t="s">
        <x:v>23</x:v>
      </x:c>
      <x:c r="C18" s="175"/>
      <x:c r="D18" s="158"/>
      <x:c r="E18" s="158"/>
      <x:c r="F18" s="158"/>
      <x:c r="G18" s="158"/>
      <x:c r="H18" s="159"/>
      <x:c r="I18" s="33"/>
      <x:c r="J18" s="185"/>
      <x:c r="K18" s="185"/>
      <x:c r="L18" s="185"/>
      <x:c r="M18" s="35"/>
      <x:c r="N18" s="36"/>
      <x:c r="O18" s="33"/>
      <x:c r="P18" s="185"/>
      <x:c r="Q18" s="185"/>
      <x:c r="R18" s="185"/>
      <x:c r="S18" s="35"/>
      <x:c r="T18" s="36"/>
      <x:c r="U18" s="33"/>
      <x:c r="V18" s="185"/>
      <x:c r="W18" s="185"/>
      <x:c r="X18" s="185"/>
      <x:c r="Y18" s="35"/>
      <x:c r="Z18" s="36"/>
      <x:c r="AA18" s="33"/>
      <x:c r="AB18" s="185"/>
      <x:c r="AC18" s="185"/>
      <x:c r="AD18" s="185"/>
      <x:c r="AE18" s="35"/>
      <x:c r="AF18" s="36"/>
      <x:c r="AG18" s="33"/>
      <x:c r="AH18" s="185"/>
      <x:c r="AI18" s="185"/>
      <x:c r="AJ18" s="185"/>
      <x:c r="AK18" s="3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84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230">
        <x:v>100</x:v>
      </x:c>
      <x:c r="AX18" s="585" t="s">
        <x:v>1102</x:v>
      </x:c>
      <x:c r="AY18" s="33"/>
      <x:c r="AZ18" s="185"/>
      <x:c r="BA18" s="185"/>
      <x:c r="BB18" s="185"/>
      <x:c r="BC18" s="35"/>
      <x:c r="BD18" s="36"/>
      <x:c r="BE18" s="33"/>
      <x:c r="BF18" s="185"/>
      <x:c r="BG18" s="185"/>
      <x:c r="BH18" s="185"/>
      <x:c r="BI18" s="35"/>
      <x:c r="BJ18" s="36"/>
      <x:c r="BK18" s="33"/>
      <x:c r="BL18" s="185"/>
      <x:c r="BM18" s="185"/>
      <x:c r="BN18" s="185"/>
      <x:c r="BO18" s="35"/>
      <x:c r="BP18" s="36"/>
      <x:c r="BQ18" s="33"/>
      <x:c r="BR18" s="185"/>
      <x:c r="BS18" s="185"/>
      <x:c r="BT18" s="185"/>
      <x:c r="BU18" s="35"/>
      <x:c r="BV18" s="36"/>
    </x:row>
    <x:row r="19" spans="1:74" ht="22.5" customHeight="1" x14ac:dyDescent="0.25">
      <x:c r="A19" s="32" t="s">
        <x:v>254</x:v>
      </x:c>
      <x:c r="B19" s="114" t="s">
        <x:v>183</x:v>
      </x:c>
      <x:c r="C19" s="175"/>
      <x:c r="D19" s="158"/>
      <x:c r="E19" s="158"/>
      <x:c r="F19" s="158"/>
      <x:c r="G19" s="158"/>
      <x:c r="H19" s="159"/>
      <x:c r="I19" s="33"/>
      <x:c r="J19" s="185"/>
      <x:c r="K19" s="185"/>
      <x:c r="L19" s="185"/>
      <x:c r="M19" s="35"/>
      <x:c r="N19" s="36"/>
      <x:c r="O19" s="33"/>
      <x:c r="P19" s="185"/>
      <x:c r="Q19" s="185"/>
      <x:c r="R19" s="185"/>
      <x:c r="S19" s="35"/>
      <x:c r="T19" s="36"/>
      <x:c r="U19" s="33"/>
      <x:c r="V19" s="185"/>
      <x:c r="W19" s="185"/>
      <x:c r="X19" s="185"/>
      <x:c r="Y19" s="35"/>
      <x:c r="Z19" s="36"/>
      <x:c r="AA19" s="33"/>
      <x:c r="AB19" s="185"/>
      <x:c r="AC19" s="185"/>
      <x:c r="AD19" s="185"/>
      <x:c r="AE19" s="35"/>
      <x:c r="AF19" s="36"/>
      <x:c r="AG19" s="33"/>
      <x:c r="AH19" s="185"/>
      <x:c r="AI19" s="185"/>
      <x:c r="AJ19" s="185"/>
      <x:c r="AK19" s="3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584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230">
        <x:v>100</x:v>
      </x:c>
      <x:c r="AX19" s="585" t="s">
        <x:v>1102</x:v>
      </x:c>
      <x:c r="AY19" s="33"/>
      <x:c r="AZ19" s="185"/>
      <x:c r="BA19" s="185"/>
      <x:c r="BB19" s="185"/>
      <x:c r="BC19" s="35"/>
      <x:c r="BD19" s="36"/>
      <x:c r="BE19" s="33"/>
      <x:c r="BF19" s="185"/>
      <x:c r="BG19" s="185"/>
      <x:c r="BH19" s="185"/>
      <x:c r="BI19" s="35"/>
      <x:c r="BJ19" s="36"/>
      <x:c r="BK19" s="33"/>
      <x:c r="BL19" s="185"/>
      <x:c r="BM19" s="185"/>
      <x:c r="BN19" s="185"/>
      <x:c r="BO19" s="35"/>
      <x:c r="BP19" s="36"/>
      <x:c r="BQ19" s="33"/>
      <x:c r="BR19" s="185"/>
      <x:c r="BS19" s="185"/>
      <x:c r="BT19" s="185"/>
      <x:c r="BU19" s="35"/>
      <x:c r="BV19" s="36"/>
    </x:row>
    <x:row r="20" spans="1:74" ht="22.5" customHeight="1" x14ac:dyDescent="0.25">
      <x:c r="A20" s="32" t="s">
        <x:v>288</x:v>
      </x:c>
      <x:c r="B20" s="114" t="s">
        <x:v>23</x:v>
      </x:c>
      <x:c r="C20" s="175"/>
      <x:c r="D20" s="158"/>
      <x:c r="E20" s="158"/>
      <x:c r="F20" s="158"/>
      <x:c r="G20" s="158"/>
      <x:c r="H20" s="159"/>
      <x:c r="I20" s="33"/>
      <x:c r="J20" s="185"/>
      <x:c r="K20" s="185"/>
      <x:c r="L20" s="185"/>
      <x:c r="M20" s="35"/>
      <x:c r="N20" s="36"/>
      <x:c r="O20" s="33"/>
      <x:c r="P20" s="185"/>
      <x:c r="Q20" s="185"/>
      <x:c r="R20" s="185"/>
      <x:c r="S20" s="35"/>
      <x:c r="T20" s="36"/>
      <x:c r="U20" s="33"/>
      <x:c r="V20" s="185"/>
      <x:c r="W20" s="185"/>
      <x:c r="X20" s="185"/>
      <x:c r="Y20" s="35"/>
      <x:c r="Z20" s="36"/>
      <x:c r="AA20" s="33"/>
      <x:c r="AB20" s="185"/>
      <x:c r="AC20" s="185"/>
      <x:c r="AD20" s="185"/>
      <x:c r="AE20" s="35"/>
      <x:c r="AF20" s="36"/>
      <x:c r="AG20" s="33"/>
      <x:c r="AH20" s="185"/>
      <x:c r="AI20" s="185"/>
      <x:c r="AJ20" s="185"/>
      <x:c r="AK20" s="3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584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230">
        <x:v>100</x:v>
      </x:c>
      <x:c r="AX20" s="585" t="s">
        <x:v>1102</x:v>
      </x:c>
      <x:c r="AY20" s="33"/>
      <x:c r="AZ20" s="185"/>
      <x:c r="BA20" s="185"/>
      <x:c r="BB20" s="185"/>
      <x:c r="BC20" s="35"/>
      <x:c r="BD20" s="36"/>
      <x:c r="BE20" s="33"/>
      <x:c r="BF20" s="185"/>
      <x:c r="BG20" s="185"/>
      <x:c r="BH20" s="185"/>
      <x:c r="BI20" s="35"/>
      <x:c r="BJ20" s="36"/>
      <x:c r="BK20" s="33"/>
      <x:c r="BL20" s="185"/>
      <x:c r="BM20" s="185"/>
      <x:c r="BN20" s="185"/>
      <x:c r="BO20" s="35"/>
      <x:c r="BP20" s="36"/>
      <x:c r="BQ20" s="33"/>
      <x:c r="BR20" s="185"/>
      <x:c r="BS20" s="185"/>
      <x:c r="BT20" s="185"/>
      <x:c r="BU20" s="35"/>
      <x:c r="BV20" s="36"/>
    </x:row>
    <x:row r="21" spans="1:74" ht="22.5" customHeight="1" x14ac:dyDescent="0.25">
      <x:c r="A21" s="32" t="s">
        <x:v>262</x:v>
      </x:c>
      <x:c r="B21" s="114" t="s">
        <x:v>23</x:v>
      </x:c>
      <x:c r="C21" s="175"/>
      <x:c r="D21" s="158"/>
      <x:c r="E21" s="158"/>
      <x:c r="F21" s="158"/>
      <x:c r="G21" s="158"/>
      <x:c r="H21" s="159"/>
      <x:c r="I21" s="33"/>
      <x:c r="J21" s="185"/>
      <x:c r="K21" s="185"/>
      <x:c r="L21" s="185"/>
      <x:c r="M21" s="35"/>
      <x:c r="N21" s="36"/>
      <x:c r="O21" s="33"/>
      <x:c r="P21" s="185"/>
      <x:c r="Q21" s="185"/>
      <x:c r="R21" s="185"/>
      <x:c r="S21" s="35"/>
      <x:c r="T21" s="36"/>
      <x:c r="U21" s="33"/>
      <x:c r="V21" s="185"/>
      <x:c r="W21" s="185"/>
      <x:c r="X21" s="185"/>
      <x:c r="Y21" s="35"/>
      <x:c r="Z21" s="36"/>
      <x:c r="AA21" s="33"/>
      <x:c r="AB21" s="185"/>
      <x:c r="AC21" s="185"/>
      <x:c r="AD21" s="185"/>
      <x:c r="AE21" s="35"/>
      <x:c r="AF21" s="36"/>
      <x:c r="AG21" s="33"/>
      <x:c r="AH21" s="185"/>
      <x:c r="AI21" s="185"/>
      <x:c r="AJ21" s="185"/>
      <x:c r="AK21" s="3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584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230">
        <x:v>100</x:v>
      </x:c>
      <x:c r="AX21" s="585" t="s">
        <x:v>1102</x:v>
      </x:c>
      <x:c r="AY21" s="33"/>
      <x:c r="AZ21" s="185"/>
      <x:c r="BA21" s="185"/>
      <x:c r="BB21" s="185"/>
      <x:c r="BC21" s="35"/>
      <x:c r="BD21" s="36"/>
      <x:c r="BE21" s="33"/>
      <x:c r="BF21" s="185"/>
      <x:c r="BG21" s="185"/>
      <x:c r="BH21" s="185"/>
      <x:c r="BI21" s="35"/>
      <x:c r="BJ21" s="36"/>
      <x:c r="BK21" s="33"/>
      <x:c r="BL21" s="185"/>
      <x:c r="BM21" s="185"/>
      <x:c r="BN21" s="185"/>
      <x:c r="BO21" s="35"/>
      <x:c r="BP21" s="36"/>
      <x:c r="BQ21" s="33"/>
      <x:c r="BR21" s="185"/>
      <x:c r="BS21" s="185"/>
      <x:c r="BT21" s="185"/>
      <x:c r="BU21" s="35"/>
      <x:c r="BV21" s="36"/>
    </x:row>
    <x:row r="22" spans="1:74" ht="22.5" customHeight="1" x14ac:dyDescent="0.25">
      <x:c r="A22" s="32" t="s">
        <x:v>261</x:v>
      </x:c>
      <x:c r="B22" s="114" t="s">
        <x:v>23</x:v>
      </x:c>
      <x:c r="C22" s="175"/>
      <x:c r="D22" s="158"/>
      <x:c r="E22" s="158"/>
      <x:c r="F22" s="158"/>
      <x:c r="G22" s="158"/>
      <x:c r="H22" s="159"/>
      <x:c r="I22" s="33"/>
      <x:c r="J22" s="185"/>
      <x:c r="K22" s="185"/>
      <x:c r="L22" s="185"/>
      <x:c r="M22" s="35"/>
      <x:c r="N22" s="36"/>
      <x:c r="O22" s="33"/>
      <x:c r="P22" s="185"/>
      <x:c r="Q22" s="185"/>
      <x:c r="R22" s="185"/>
      <x:c r="S22" s="35"/>
      <x:c r="T22" s="36"/>
      <x:c r="U22" s="33"/>
      <x:c r="V22" s="185"/>
      <x:c r="W22" s="185"/>
      <x:c r="X22" s="185"/>
      <x:c r="Y22" s="35"/>
      <x:c r="Z22" s="36"/>
      <x:c r="AA22" s="33"/>
      <x:c r="AB22" s="185"/>
      <x:c r="AC22" s="185"/>
      <x:c r="AD22" s="185"/>
      <x:c r="AE22" s="35"/>
      <x:c r="AF22" s="36"/>
      <x:c r="AG22" s="33"/>
      <x:c r="AH22" s="185"/>
      <x:c r="AI22" s="185"/>
      <x:c r="AJ22" s="185"/>
      <x:c r="AK22" s="3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584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230">
        <x:v>100</x:v>
      </x:c>
      <x:c r="AX22" s="585" t="s">
        <x:v>1102</x:v>
      </x:c>
      <x:c r="AY22" s="33"/>
      <x:c r="AZ22" s="185"/>
      <x:c r="BA22" s="185"/>
      <x:c r="BB22" s="185"/>
      <x:c r="BC22" s="35"/>
      <x:c r="BD22" s="36"/>
      <x:c r="BE22" s="33"/>
      <x:c r="BF22" s="185"/>
      <x:c r="BG22" s="185"/>
      <x:c r="BH22" s="185"/>
      <x:c r="BI22" s="35"/>
      <x:c r="BJ22" s="36"/>
      <x:c r="BK22" s="33"/>
      <x:c r="BL22" s="185"/>
      <x:c r="BM22" s="185"/>
      <x:c r="BN22" s="185"/>
      <x:c r="BO22" s="35"/>
      <x:c r="BP22" s="36"/>
      <x:c r="BQ22" s="33"/>
      <x:c r="BR22" s="185"/>
      <x:c r="BS22" s="185"/>
      <x:c r="BT22" s="185"/>
      <x:c r="BU22" s="35"/>
      <x:c r="BV22" s="36"/>
    </x:row>
    <x:row r="23" spans="1:74" ht="22.5" customHeight="1" x14ac:dyDescent="0.25">
      <x:c r="A23" s="32" t="s">
        <x:v>260</x:v>
      </x:c>
      <x:c r="B23" s="114" t="s">
        <x:v>23</x:v>
      </x:c>
      <x:c r="C23" s="175"/>
      <x:c r="D23" s="158"/>
      <x:c r="E23" s="158"/>
      <x:c r="F23" s="158"/>
      <x:c r="G23" s="158"/>
      <x:c r="H23" s="159"/>
      <x:c r="I23" s="33"/>
      <x:c r="J23" s="185"/>
      <x:c r="K23" s="185"/>
      <x:c r="L23" s="185"/>
      <x:c r="M23" s="35"/>
      <x:c r="N23" s="36"/>
      <x:c r="O23" s="33"/>
      <x:c r="P23" s="185"/>
      <x:c r="Q23" s="185"/>
      <x:c r="R23" s="185"/>
      <x:c r="S23" s="35"/>
      <x:c r="T23" s="36"/>
      <x:c r="U23" s="33"/>
      <x:c r="V23" s="185"/>
      <x:c r="W23" s="185"/>
      <x:c r="X23" s="185"/>
      <x:c r="Y23" s="35"/>
      <x:c r="Z23" s="36"/>
      <x:c r="AA23" s="33"/>
      <x:c r="AB23" s="185"/>
      <x:c r="AC23" s="185"/>
      <x:c r="AD23" s="185"/>
      <x:c r="AE23" s="35"/>
      <x:c r="AF23" s="36"/>
      <x:c r="AG23" s="33"/>
      <x:c r="AH23" s="185"/>
      <x:c r="AI23" s="185"/>
      <x:c r="AJ23" s="185"/>
      <x:c r="AK23" s="3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584" t="s">
        <x:v>1102</x:v>
      </x:c>
      <x:c r="AS23" s="157">
        <x:v>100</x:v>
      </x:c>
      <x:c r="AT23" s="158">
        <x:v>100</x:v>
      </x:c>
      <x:c r="AU23" s="158">
        <x:v>100</x:v>
      </x:c>
      <x:c r="AV23" s="158">
        <x:v>100</x:v>
      </x:c>
      <x:c r="AW23" s="230">
        <x:v>100</x:v>
      </x:c>
      <x:c r="AX23" s="585" t="s">
        <x:v>1102</x:v>
      </x:c>
      <x:c r="AY23" s="33"/>
      <x:c r="AZ23" s="185"/>
      <x:c r="BA23" s="185"/>
      <x:c r="BB23" s="185"/>
      <x:c r="BC23" s="35"/>
      <x:c r="BD23" s="36"/>
      <x:c r="BE23" s="33"/>
      <x:c r="BF23" s="185"/>
      <x:c r="BG23" s="185"/>
      <x:c r="BH23" s="185"/>
      <x:c r="BI23" s="35"/>
      <x:c r="BJ23" s="36"/>
      <x:c r="BK23" s="33"/>
      <x:c r="BL23" s="185"/>
      <x:c r="BM23" s="185"/>
      <x:c r="BN23" s="185"/>
      <x:c r="BO23" s="35"/>
      <x:c r="BP23" s="36"/>
      <x:c r="BQ23" s="33"/>
      <x:c r="BR23" s="185"/>
      <x:c r="BS23" s="185"/>
      <x:c r="BT23" s="185"/>
      <x:c r="BU23" s="35"/>
      <x:c r="BV23" s="36"/>
    </x:row>
    <x:row r="24" spans="1:74" ht="22.5" customHeight="1" x14ac:dyDescent="0.25">
      <x:c r="A24" s="32" t="s">
        <x:v>259</x:v>
      </x:c>
      <x:c r="B24" s="114" t="s">
        <x:v>16</x:v>
      </x:c>
      <x:c r="C24" s="175"/>
      <x:c r="D24" s="158"/>
      <x:c r="E24" s="158"/>
      <x:c r="F24" s="158"/>
      <x:c r="G24" s="158"/>
      <x:c r="H24" s="159"/>
      <x:c r="I24" s="33"/>
      <x:c r="J24" s="185"/>
      <x:c r="K24" s="185"/>
      <x:c r="L24" s="185"/>
      <x:c r="M24" s="35"/>
      <x:c r="N24" s="36"/>
      <x:c r="O24" s="33"/>
      <x:c r="P24" s="185"/>
      <x:c r="Q24" s="185"/>
      <x:c r="R24" s="185"/>
      <x:c r="S24" s="35"/>
      <x:c r="T24" s="36"/>
      <x:c r="U24" s="33"/>
      <x:c r="V24" s="185"/>
      <x:c r="W24" s="185"/>
      <x:c r="X24" s="185"/>
      <x:c r="Y24" s="35"/>
      <x:c r="Z24" s="36"/>
      <x:c r="AA24" s="33"/>
      <x:c r="AB24" s="185"/>
      <x:c r="AC24" s="185"/>
      <x:c r="AD24" s="185"/>
      <x:c r="AE24" s="35"/>
      <x:c r="AF24" s="36"/>
      <x:c r="AG24" s="33"/>
      <x:c r="AH24" s="185"/>
      <x:c r="AI24" s="185"/>
      <x:c r="AJ24" s="185"/>
      <x:c r="AK24" s="35"/>
      <x:c r="AL24" s="36"/>
      <x:c r="AM24" s="157">
        <x:v>100</x:v>
      </x:c>
      <x:c r="AN24" s="158">
        <x:v>100</x:v>
      </x:c>
      <x:c r="AO24" s="158">
        <x:v>100</x:v>
      </x:c>
      <x:c r="AP24" s="158">
        <x:v>100</x:v>
      </x:c>
      <x:c r="AQ24" s="158">
        <x:v>100</x:v>
      </x:c>
      <x:c r="AR24" s="584" t="s">
        <x:v>1102</x:v>
      </x:c>
      <x:c r="AS24" s="157">
        <x:v>100</x:v>
      </x:c>
      <x:c r="AT24" s="158">
        <x:v>100</x:v>
      </x:c>
      <x:c r="AU24" s="158">
        <x:v>100</x:v>
      </x:c>
      <x:c r="AV24" s="158">
        <x:v>100</x:v>
      </x:c>
      <x:c r="AW24" s="230">
        <x:v>100</x:v>
      </x:c>
      <x:c r="AX24" s="585" t="s">
        <x:v>1102</x:v>
      </x:c>
      <x:c r="AY24" s="33"/>
      <x:c r="AZ24" s="185"/>
      <x:c r="BA24" s="185"/>
      <x:c r="BB24" s="185"/>
      <x:c r="BC24" s="35"/>
      <x:c r="BD24" s="36"/>
      <x:c r="BE24" s="33"/>
      <x:c r="BF24" s="185"/>
      <x:c r="BG24" s="185"/>
      <x:c r="BH24" s="185"/>
      <x:c r="BI24" s="35"/>
      <x:c r="BJ24" s="36"/>
      <x:c r="BK24" s="33"/>
      <x:c r="BL24" s="185"/>
      <x:c r="BM24" s="185"/>
      <x:c r="BN24" s="185"/>
      <x:c r="BO24" s="35"/>
      <x:c r="BP24" s="36"/>
      <x:c r="BQ24" s="33"/>
      <x:c r="BR24" s="185"/>
      <x:c r="BS24" s="185"/>
      <x:c r="BT24" s="185"/>
      <x:c r="BU24" s="35"/>
      <x:c r="BV24" s="36"/>
    </x:row>
    <x:row r="25" spans="1:74" ht="22.5" customHeight="1" x14ac:dyDescent="0.25">
      <x:c r="A25" s="32" t="s">
        <x:v>266</x:v>
      </x:c>
      <x:c r="B25" s="114" t="s">
        <x:v>23</x:v>
      </x:c>
      <x:c r="C25" s="175"/>
      <x:c r="D25" s="158"/>
      <x:c r="E25" s="158"/>
      <x:c r="F25" s="158"/>
      <x:c r="G25" s="158"/>
      <x:c r="H25" s="159"/>
      <x:c r="I25" s="33"/>
      <x:c r="J25" s="185"/>
      <x:c r="K25" s="185"/>
      <x:c r="L25" s="185"/>
      <x:c r="M25" s="35"/>
      <x:c r="N25" s="36"/>
      <x:c r="O25" s="33"/>
      <x:c r="P25" s="185"/>
      <x:c r="Q25" s="185"/>
      <x:c r="R25" s="185"/>
      <x:c r="S25" s="35"/>
      <x:c r="T25" s="36"/>
      <x:c r="U25" s="33"/>
      <x:c r="V25" s="185"/>
      <x:c r="W25" s="185"/>
      <x:c r="X25" s="185"/>
      <x:c r="Y25" s="35"/>
      <x:c r="Z25" s="36"/>
      <x:c r="AA25" s="33"/>
      <x:c r="AB25" s="185"/>
      <x:c r="AC25" s="185"/>
      <x:c r="AD25" s="185"/>
      <x:c r="AE25" s="35"/>
      <x:c r="AF25" s="36"/>
      <x:c r="AG25" s="33"/>
      <x:c r="AH25" s="185"/>
      <x:c r="AI25" s="185"/>
      <x:c r="AJ25" s="185"/>
      <x:c r="AK25" s="35"/>
      <x:c r="AL25" s="36"/>
      <x:c r="AM25" s="157">
        <x:v>100</x:v>
      </x:c>
      <x:c r="AN25" s="158">
        <x:v>100</x:v>
      </x:c>
      <x:c r="AO25" s="158">
        <x:v>100</x:v>
      </x:c>
      <x:c r="AP25" s="158">
        <x:v>100</x:v>
      </x:c>
      <x:c r="AQ25" s="158">
        <x:v>100</x:v>
      </x:c>
      <x:c r="AR25" s="584" t="s">
        <x:v>1102</x:v>
      </x:c>
      <x:c r="AS25" s="157">
        <x:v>100</x:v>
      </x:c>
      <x:c r="AT25" s="158">
        <x:v>100</x:v>
      </x:c>
      <x:c r="AU25" s="158">
        <x:v>100</x:v>
      </x:c>
      <x:c r="AV25" s="158">
        <x:v>100</x:v>
      </x:c>
      <x:c r="AW25" s="230">
        <x:v>100</x:v>
      </x:c>
      <x:c r="AX25" s="585" t="s">
        <x:v>1102</x:v>
      </x:c>
      <x:c r="AY25" s="33"/>
      <x:c r="AZ25" s="185"/>
      <x:c r="BA25" s="185"/>
      <x:c r="BB25" s="185"/>
      <x:c r="BC25" s="35"/>
      <x:c r="BD25" s="36"/>
      <x:c r="BE25" s="33"/>
      <x:c r="BF25" s="185"/>
      <x:c r="BG25" s="185"/>
      <x:c r="BH25" s="185"/>
      <x:c r="BI25" s="35"/>
      <x:c r="BJ25" s="36"/>
      <x:c r="BK25" s="33"/>
      <x:c r="BL25" s="185"/>
      <x:c r="BM25" s="185"/>
      <x:c r="BN25" s="185"/>
      <x:c r="BO25" s="35"/>
      <x:c r="BP25" s="36"/>
      <x:c r="BQ25" s="33"/>
      <x:c r="BR25" s="185"/>
      <x:c r="BS25" s="185"/>
      <x:c r="BT25" s="185"/>
      <x:c r="BU25" s="35"/>
      <x:c r="BV25" s="36"/>
    </x:row>
    <x:row r="26" spans="1:74" ht="22.5" customHeight="1" x14ac:dyDescent="0.25">
      <x:c r="A26" s="587" t="s">
        <x:v>273</x:v>
      </x:c>
      <x:c r="B26" s="114" t="s">
        <x:v>23</x:v>
      </x:c>
      <x:c r="C26" s="184"/>
      <x:c r="D26" s="185"/>
      <x:c r="E26" s="185"/>
      <x:c r="F26" s="185"/>
      <x:c r="G26" s="185"/>
      <x:c r="H26" s="159"/>
      <x:c r="I26" s="33"/>
      <x:c r="J26" s="185"/>
      <x:c r="K26" s="185"/>
      <x:c r="L26" s="185"/>
      <x:c r="M26" s="35"/>
      <x:c r="N26" s="36"/>
      <x:c r="O26" s="33"/>
      <x:c r="P26" s="185"/>
      <x:c r="Q26" s="185"/>
      <x:c r="R26" s="185"/>
      <x:c r="S26" s="35"/>
      <x:c r="T26" s="36"/>
      <x:c r="U26" s="33"/>
      <x:c r="V26" s="185"/>
      <x:c r="W26" s="185"/>
      <x:c r="X26" s="185"/>
      <x:c r="Y26" s="35"/>
      <x:c r="Z26" s="36"/>
      <x:c r="AA26" s="33"/>
      <x:c r="AB26" s="185"/>
      <x:c r="AC26" s="185"/>
      <x:c r="AD26" s="185"/>
      <x:c r="AE26" s="35"/>
      <x:c r="AF26" s="36"/>
      <x:c r="AG26" s="33"/>
      <x:c r="AH26" s="185"/>
      <x:c r="AI26" s="185"/>
      <x:c r="AJ26" s="185"/>
      <x:c r="AK26" s="35"/>
      <x:c r="AL26" s="36"/>
      <x:c r="AM26" s="616" t="s">
        <x:v>1110</x:v>
      </x:c>
      <x:c r="AN26" s="478"/>
      <x:c r="AO26" s="478"/>
      <x:c r="AP26" s="478"/>
      <x:c r="AQ26" s="221"/>
      <x:c r="AR26" s="592" t="s">
        <x:v>1103</x:v>
      </x:c>
      <x:c r="AS26" s="588">
        <x:v>0</x:v>
      </x:c>
      <x:c r="AT26" s="589">
        <x:v>0</x:v>
      </x:c>
      <x:c r="AU26" s="589">
        <x:v>0</x:v>
      </x:c>
      <x:c r="AV26" s="589">
        <x:v>0</x:v>
      </x:c>
      <x:c r="AW26" s="590">
        <x:v>0</x:v>
      </x:c>
      <x:c r="AX26" s="591" t="s">
        <x:v>1103</x:v>
      </x:c>
      <x:c r="AY26" s="33"/>
      <x:c r="AZ26" s="185"/>
      <x:c r="BA26" s="185"/>
      <x:c r="BB26" s="185"/>
      <x:c r="BC26" s="35"/>
      <x:c r="BD26" s="36"/>
      <x:c r="BE26" s="33"/>
      <x:c r="BF26" s="185"/>
      <x:c r="BG26" s="185"/>
      <x:c r="BH26" s="185"/>
      <x:c r="BI26" s="35"/>
      <x:c r="BJ26" s="36"/>
      <x:c r="BK26" s="33"/>
      <x:c r="BL26" s="185"/>
      <x:c r="BM26" s="185"/>
      <x:c r="BN26" s="185"/>
      <x:c r="BO26" s="35"/>
      <x:c r="BP26" s="36"/>
      <x:c r="BQ26" s="33"/>
      <x:c r="BR26" s="185"/>
      <x:c r="BS26" s="185"/>
      <x:c r="BT26" s="185"/>
      <x:c r="BU26" s="35"/>
      <x:c r="BV26" s="36"/>
    </x:row>
    <x:row r="27" spans="1:74" ht="22.5" customHeight="1" x14ac:dyDescent="0.25">
      <x:c r="A27" s="32" t="s">
        <x:v>263</x:v>
      </x:c>
      <x:c r="B27" s="114" t="s">
        <x:v>23</x:v>
      </x:c>
      <x:c r="C27" s="175"/>
      <x:c r="D27" s="158"/>
      <x:c r="E27" s="158"/>
      <x:c r="F27" s="158"/>
      <x:c r="G27" s="158"/>
      <x:c r="H27" s="159"/>
      <x:c r="I27" s="33"/>
      <x:c r="J27" s="185"/>
      <x:c r="K27" s="185"/>
      <x:c r="L27" s="185"/>
      <x:c r="M27" s="35"/>
      <x:c r="N27" s="36"/>
      <x:c r="O27" s="33"/>
      <x:c r="P27" s="185"/>
      <x:c r="Q27" s="185"/>
      <x:c r="R27" s="185"/>
      <x:c r="S27" s="35"/>
      <x:c r="T27" s="36"/>
      <x:c r="U27" s="33"/>
      <x:c r="V27" s="185"/>
      <x:c r="W27" s="185"/>
      <x:c r="X27" s="185"/>
      <x:c r="Y27" s="35"/>
      <x:c r="Z27" s="36"/>
      <x:c r="AA27" s="33"/>
      <x:c r="AB27" s="185"/>
      <x:c r="AC27" s="185"/>
      <x:c r="AD27" s="185"/>
      <x:c r="AE27" s="35"/>
      <x:c r="AF27" s="36"/>
      <x:c r="AG27" s="33"/>
      <x:c r="AH27" s="185"/>
      <x:c r="AI27" s="185"/>
      <x:c r="AJ27" s="185"/>
      <x:c r="AK27" s="35"/>
      <x:c r="AL27" s="36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584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230">
        <x:v>100</x:v>
      </x:c>
      <x:c r="AX27" s="585" t="s">
        <x:v>1102</x:v>
      </x:c>
      <x:c r="AY27" s="33"/>
      <x:c r="AZ27" s="185"/>
      <x:c r="BA27" s="185"/>
      <x:c r="BB27" s="185"/>
      <x:c r="BC27" s="35"/>
      <x:c r="BD27" s="36"/>
      <x:c r="BE27" s="33"/>
      <x:c r="BF27" s="185"/>
      <x:c r="BG27" s="185"/>
      <x:c r="BH27" s="185"/>
      <x:c r="BI27" s="35"/>
      <x:c r="BJ27" s="36"/>
      <x:c r="BK27" s="33"/>
      <x:c r="BL27" s="185"/>
      <x:c r="BM27" s="185"/>
      <x:c r="BN27" s="185"/>
      <x:c r="BO27" s="35"/>
      <x:c r="BP27" s="36"/>
      <x:c r="BQ27" s="33"/>
      <x:c r="BR27" s="185"/>
      <x:c r="BS27" s="185"/>
      <x:c r="BT27" s="185"/>
      <x:c r="BU27" s="35"/>
      <x:c r="BV27" s="36"/>
    </x:row>
    <x:row r="28" spans="1:74" ht="22.5" customHeight="1" x14ac:dyDescent="0.25">
      <x:c r="A28" s="32" t="s">
        <x:v>265</x:v>
      </x:c>
      <x:c r="B28" s="114" t="s">
        <x:v>23</x:v>
      </x:c>
      <x:c r="C28" s="175"/>
      <x:c r="D28" s="158"/>
      <x:c r="E28" s="158"/>
      <x:c r="F28" s="158"/>
      <x:c r="G28" s="158"/>
      <x:c r="H28" s="159"/>
      <x:c r="I28" s="33"/>
      <x:c r="J28" s="185"/>
      <x:c r="K28" s="185"/>
      <x:c r="L28" s="185"/>
      <x:c r="M28" s="35"/>
      <x:c r="N28" s="36"/>
      <x:c r="O28" s="33"/>
      <x:c r="P28" s="185"/>
      <x:c r="Q28" s="185"/>
      <x:c r="R28" s="185"/>
      <x:c r="S28" s="35"/>
      <x:c r="T28" s="36"/>
      <x:c r="U28" s="33"/>
      <x:c r="V28" s="185"/>
      <x:c r="W28" s="185"/>
      <x:c r="X28" s="185"/>
      <x:c r="Y28" s="35"/>
      <x:c r="Z28" s="36"/>
      <x:c r="AA28" s="33"/>
      <x:c r="AB28" s="185"/>
      <x:c r="AC28" s="185"/>
      <x:c r="AD28" s="185"/>
      <x:c r="AE28" s="35"/>
      <x:c r="AF28" s="36"/>
      <x:c r="AG28" s="33"/>
      <x:c r="AH28" s="185"/>
      <x:c r="AI28" s="185"/>
      <x:c r="AJ28" s="185"/>
      <x:c r="AK28" s="35"/>
      <x:c r="AL28" s="36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584" t="s">
        <x:v>1102</x:v>
      </x:c>
      <x:c r="AS28" s="157">
        <x:v>100</x:v>
      </x:c>
      <x:c r="AT28" s="158">
        <x:v>100</x:v>
      </x:c>
      <x:c r="AU28" s="158">
        <x:v>100</x:v>
      </x:c>
      <x:c r="AV28" s="158">
        <x:v>100</x:v>
      </x:c>
      <x:c r="AW28" s="230">
        <x:v>100</x:v>
      </x:c>
      <x:c r="AX28" s="585" t="s">
        <x:v>1102</x:v>
      </x:c>
      <x:c r="AY28" s="33"/>
      <x:c r="AZ28" s="185"/>
      <x:c r="BA28" s="185"/>
      <x:c r="BB28" s="185"/>
      <x:c r="BC28" s="35"/>
      <x:c r="BD28" s="36"/>
      <x:c r="BE28" s="33"/>
      <x:c r="BF28" s="185"/>
      <x:c r="BG28" s="185"/>
      <x:c r="BH28" s="185"/>
      <x:c r="BI28" s="35"/>
      <x:c r="BJ28" s="36"/>
      <x:c r="BK28" s="33"/>
      <x:c r="BL28" s="185"/>
      <x:c r="BM28" s="185"/>
      <x:c r="BN28" s="185"/>
      <x:c r="BO28" s="35"/>
      <x:c r="BP28" s="36"/>
      <x:c r="BQ28" s="33"/>
      <x:c r="BR28" s="185"/>
      <x:c r="BS28" s="185"/>
      <x:c r="BT28" s="185"/>
      <x:c r="BU28" s="35"/>
      <x:c r="BV28" s="36"/>
    </x:row>
    <x:row r="29" spans="1:74" ht="22.5" customHeight="1" x14ac:dyDescent="0.25">
      <x:c r="A29" s="32" t="s">
        <x:v>284</x:v>
      </x:c>
      <x:c r="B29" s="114" t="s">
        <x:v>23</x:v>
      </x:c>
      <x:c r="C29" s="175"/>
      <x:c r="D29" s="158"/>
      <x:c r="E29" s="158"/>
      <x:c r="F29" s="158"/>
      <x:c r="G29" s="158"/>
      <x:c r="H29" s="159"/>
      <x:c r="I29" s="33"/>
      <x:c r="J29" s="185"/>
      <x:c r="K29" s="185"/>
      <x:c r="L29" s="185"/>
      <x:c r="M29" s="35"/>
      <x:c r="N29" s="36"/>
      <x:c r="O29" s="33"/>
      <x:c r="P29" s="185"/>
      <x:c r="Q29" s="185"/>
      <x:c r="R29" s="185"/>
      <x:c r="S29" s="35"/>
      <x:c r="T29" s="36"/>
      <x:c r="U29" s="33"/>
      <x:c r="V29" s="185"/>
      <x:c r="W29" s="185"/>
      <x:c r="X29" s="185"/>
      <x:c r="Y29" s="35"/>
      <x:c r="Z29" s="36"/>
      <x:c r="AA29" s="33"/>
      <x:c r="AB29" s="185"/>
      <x:c r="AC29" s="185"/>
      <x:c r="AD29" s="185"/>
      <x:c r="AE29" s="35"/>
      <x:c r="AF29" s="36"/>
      <x:c r="AG29" s="33"/>
      <x:c r="AH29" s="185"/>
      <x:c r="AI29" s="185"/>
      <x:c r="AJ29" s="185"/>
      <x:c r="AK29" s="35"/>
      <x:c r="AL29" s="36"/>
      <x:c r="AM29" s="157">
        <x:v>100</x:v>
      </x:c>
      <x:c r="AN29" s="158">
        <x:v>100</x:v>
      </x:c>
      <x:c r="AO29" s="158">
        <x:v>100</x:v>
      </x:c>
      <x:c r="AP29" s="158">
        <x:v>100</x:v>
      </x:c>
      <x:c r="AQ29" s="158">
        <x:v>100</x:v>
      </x:c>
      <x:c r="AR29" s="584" t="s">
        <x:v>1102</x:v>
      </x:c>
      <x:c r="AS29" s="157">
        <x:v>100</x:v>
      </x:c>
      <x:c r="AT29" s="158">
        <x:v>100</x:v>
      </x:c>
      <x:c r="AU29" s="158">
        <x:v>100</x:v>
      </x:c>
      <x:c r="AV29" s="158">
        <x:v>100</x:v>
      </x:c>
      <x:c r="AW29" s="230">
        <x:v>100</x:v>
      </x:c>
      <x:c r="AX29" s="585" t="s">
        <x:v>1102</x:v>
      </x:c>
      <x:c r="AY29" s="33"/>
      <x:c r="AZ29" s="185"/>
      <x:c r="BA29" s="185"/>
      <x:c r="BB29" s="185"/>
      <x:c r="BC29" s="35"/>
      <x:c r="BD29" s="36"/>
      <x:c r="BE29" s="33"/>
      <x:c r="BF29" s="185"/>
      <x:c r="BG29" s="185"/>
      <x:c r="BH29" s="185"/>
      <x:c r="BI29" s="35"/>
      <x:c r="BJ29" s="36"/>
      <x:c r="BK29" s="33"/>
      <x:c r="BL29" s="185"/>
      <x:c r="BM29" s="185"/>
      <x:c r="BN29" s="185"/>
      <x:c r="BO29" s="35"/>
      <x:c r="BP29" s="36"/>
      <x:c r="BQ29" s="33"/>
      <x:c r="BR29" s="185"/>
      <x:c r="BS29" s="185"/>
      <x:c r="BT29" s="185"/>
      <x:c r="BU29" s="35"/>
      <x:c r="BV29" s="36"/>
    </x:row>
    <x:row r="30" spans="1:74" ht="22.5" customHeight="1" x14ac:dyDescent="0.25">
      <x:c r="A30" s="32" t="s">
        <x:v>270</x:v>
      </x:c>
      <x:c r="B30" s="114" t="s">
        <x:v>23</x:v>
      </x:c>
      <x:c r="C30" s="175"/>
      <x:c r="D30" s="158"/>
      <x:c r="E30" s="158"/>
      <x:c r="F30" s="158"/>
      <x:c r="G30" s="158"/>
      <x:c r="H30" s="159"/>
      <x:c r="I30" s="33"/>
      <x:c r="J30" s="185"/>
      <x:c r="K30" s="185"/>
      <x:c r="L30" s="185"/>
      <x:c r="M30" s="35"/>
      <x:c r="N30" s="36"/>
      <x:c r="O30" s="33"/>
      <x:c r="P30" s="185"/>
      <x:c r="Q30" s="185"/>
      <x:c r="R30" s="185"/>
      <x:c r="S30" s="35"/>
      <x:c r="T30" s="36"/>
      <x:c r="U30" s="33"/>
      <x:c r="V30" s="185"/>
      <x:c r="W30" s="185"/>
      <x:c r="X30" s="185"/>
      <x:c r="Y30" s="35"/>
      <x:c r="Z30" s="36"/>
      <x:c r="AA30" s="33"/>
      <x:c r="AB30" s="185"/>
      <x:c r="AC30" s="185"/>
      <x:c r="AD30" s="185"/>
      <x:c r="AE30" s="35"/>
      <x:c r="AF30" s="36"/>
      <x:c r="AG30" s="33"/>
      <x:c r="AH30" s="185"/>
      <x:c r="AI30" s="185"/>
      <x:c r="AJ30" s="185"/>
      <x:c r="AK30" s="35"/>
      <x:c r="AL30" s="36"/>
      <x:c r="AM30" s="157">
        <x:v>100</x:v>
      </x:c>
      <x:c r="AN30" s="158">
        <x:v>100</x:v>
      </x:c>
      <x:c r="AO30" s="158">
        <x:v>100</x:v>
      </x:c>
      <x:c r="AP30" s="158">
        <x:v>100</x:v>
      </x:c>
      <x:c r="AQ30" s="158">
        <x:v>100</x:v>
      </x:c>
      <x:c r="AR30" s="584" t="s">
        <x:v>1102</x:v>
      </x:c>
      <x:c r="AS30" s="157">
        <x:v>100</x:v>
      </x:c>
      <x:c r="AT30" s="158">
        <x:v>100</x:v>
      </x:c>
      <x:c r="AU30" s="158">
        <x:v>100</x:v>
      </x:c>
      <x:c r="AV30" s="158">
        <x:v>100</x:v>
      </x:c>
      <x:c r="AW30" s="230">
        <x:v>100</x:v>
      </x:c>
      <x:c r="AX30" s="585" t="s">
        <x:v>1102</x:v>
      </x:c>
      <x:c r="AY30" s="33"/>
      <x:c r="AZ30" s="185"/>
      <x:c r="BA30" s="185"/>
      <x:c r="BB30" s="185"/>
      <x:c r="BC30" s="35"/>
      <x:c r="BD30" s="36"/>
      <x:c r="BE30" s="33"/>
      <x:c r="BF30" s="185"/>
      <x:c r="BG30" s="185"/>
      <x:c r="BH30" s="185"/>
      <x:c r="BI30" s="35"/>
      <x:c r="BJ30" s="36"/>
      <x:c r="BK30" s="33"/>
      <x:c r="BL30" s="185"/>
      <x:c r="BM30" s="185"/>
      <x:c r="BN30" s="185"/>
      <x:c r="BO30" s="35"/>
      <x:c r="BP30" s="36"/>
      <x:c r="BQ30" s="33"/>
      <x:c r="BR30" s="185"/>
      <x:c r="BS30" s="185"/>
      <x:c r="BT30" s="185"/>
      <x:c r="BU30" s="35"/>
      <x:c r="BV30" s="36"/>
    </x:row>
    <x:row r="31" spans="1:74" ht="22.5" customHeight="1" x14ac:dyDescent="0.25">
      <x:c r="A31" s="32" t="s">
        <x:v>274</x:v>
      </x:c>
      <x:c r="B31" s="114" t="s">
        <x:v>23</x:v>
      </x:c>
      <x:c r="C31" s="175"/>
      <x:c r="D31" s="158"/>
      <x:c r="E31" s="158"/>
      <x:c r="F31" s="158"/>
      <x:c r="G31" s="158"/>
      <x:c r="H31" s="159"/>
      <x:c r="I31" s="33"/>
      <x:c r="J31" s="185"/>
      <x:c r="K31" s="185"/>
      <x:c r="L31" s="185"/>
      <x:c r="M31" s="35"/>
      <x:c r="N31" s="36"/>
      <x:c r="O31" s="33"/>
      <x:c r="P31" s="185"/>
      <x:c r="Q31" s="185"/>
      <x:c r="R31" s="185"/>
      <x:c r="S31" s="35"/>
      <x:c r="T31" s="36"/>
      <x:c r="U31" s="33"/>
      <x:c r="V31" s="185"/>
      <x:c r="W31" s="185"/>
      <x:c r="X31" s="185"/>
      <x:c r="Y31" s="35"/>
      <x:c r="Z31" s="36"/>
      <x:c r="AA31" s="33"/>
      <x:c r="AB31" s="185"/>
      <x:c r="AC31" s="185"/>
      <x:c r="AD31" s="185"/>
      <x:c r="AE31" s="35"/>
      <x:c r="AF31" s="36"/>
      <x:c r="AG31" s="33"/>
      <x:c r="AH31" s="185"/>
      <x:c r="AI31" s="185"/>
      <x:c r="AJ31" s="185"/>
      <x:c r="AK31" s="35"/>
      <x:c r="AL31" s="36"/>
      <x:c r="AM31" s="157">
        <x:v>100</x:v>
      </x:c>
      <x:c r="AN31" s="158">
        <x:v>100</x:v>
      </x:c>
      <x:c r="AO31" s="158">
        <x:v>100</x:v>
      </x:c>
      <x:c r="AP31" s="158">
        <x:v>100</x:v>
      </x:c>
      <x:c r="AQ31" s="158">
        <x:v>100</x:v>
      </x:c>
      <x:c r="AR31" s="584" t="s">
        <x:v>1102</x:v>
      </x:c>
      <x:c r="AS31" s="157">
        <x:v>100</x:v>
      </x:c>
      <x:c r="AT31" s="158">
        <x:v>100</x:v>
      </x:c>
      <x:c r="AU31" s="158">
        <x:v>100</x:v>
      </x:c>
      <x:c r="AV31" s="158">
        <x:v>100</x:v>
      </x:c>
      <x:c r="AW31" s="230">
        <x:v>100</x:v>
      </x:c>
      <x:c r="AX31" s="585" t="s">
        <x:v>1102</x:v>
      </x:c>
      <x:c r="AY31" s="33"/>
      <x:c r="AZ31" s="185"/>
      <x:c r="BA31" s="185"/>
      <x:c r="BB31" s="185"/>
      <x:c r="BC31" s="35"/>
      <x:c r="BD31" s="36"/>
      <x:c r="BE31" s="33"/>
      <x:c r="BF31" s="185"/>
      <x:c r="BG31" s="185"/>
      <x:c r="BH31" s="185"/>
      <x:c r="BI31" s="35"/>
      <x:c r="BJ31" s="36"/>
      <x:c r="BK31" s="33"/>
      <x:c r="BL31" s="185"/>
      <x:c r="BM31" s="185"/>
      <x:c r="BN31" s="185"/>
      <x:c r="BO31" s="35"/>
      <x:c r="BP31" s="36"/>
      <x:c r="BQ31" s="33"/>
      <x:c r="BR31" s="185"/>
      <x:c r="BS31" s="185"/>
      <x:c r="BT31" s="185"/>
      <x:c r="BU31" s="35"/>
      <x:c r="BV31" s="36"/>
    </x:row>
    <x:row r="32" spans="1:74" ht="22.5" customHeight="1" x14ac:dyDescent="0.25">
      <x:c r="A32" s="32" t="s">
        <x:v>258</x:v>
      </x:c>
      <x:c r="B32" s="114" t="s">
        <x:v>16</x:v>
      </x:c>
      <x:c r="C32" s="175"/>
      <x:c r="D32" s="158"/>
      <x:c r="E32" s="158"/>
      <x:c r="F32" s="158"/>
      <x:c r="G32" s="158"/>
      <x:c r="H32" s="159"/>
      <x:c r="I32" s="33"/>
      <x:c r="J32" s="185"/>
      <x:c r="K32" s="185"/>
      <x:c r="L32" s="185"/>
      <x:c r="M32" s="35"/>
      <x:c r="N32" s="36"/>
      <x:c r="O32" s="33"/>
      <x:c r="P32" s="185"/>
      <x:c r="Q32" s="185"/>
      <x:c r="R32" s="185"/>
      <x:c r="S32" s="35"/>
      <x:c r="T32" s="36"/>
      <x:c r="U32" s="33"/>
      <x:c r="V32" s="185"/>
      <x:c r="W32" s="185"/>
      <x:c r="X32" s="185"/>
      <x:c r="Y32" s="35"/>
      <x:c r="Z32" s="36"/>
      <x:c r="AA32" s="33"/>
      <x:c r="AB32" s="185"/>
      <x:c r="AC32" s="185"/>
      <x:c r="AD32" s="185"/>
      <x:c r="AE32" s="35"/>
      <x:c r="AF32" s="36"/>
      <x:c r="AG32" s="33"/>
      <x:c r="AH32" s="185"/>
      <x:c r="AI32" s="185"/>
      <x:c r="AJ32" s="185"/>
      <x:c r="AK32" s="35"/>
      <x:c r="AL32" s="36"/>
      <x:c r="AM32" s="157">
        <x:v>100</x:v>
      </x:c>
      <x:c r="AN32" s="158">
        <x:v>100</x:v>
      </x:c>
      <x:c r="AO32" s="158">
        <x:v>100</x:v>
      </x:c>
      <x:c r="AP32" s="158">
        <x:v>100</x:v>
      </x:c>
      <x:c r="AQ32" s="158">
        <x:v>100</x:v>
      </x:c>
      <x:c r="AR32" s="584" t="s">
        <x:v>1102</x:v>
      </x:c>
      <x:c r="AS32" s="157">
        <x:v>100</x:v>
      </x:c>
      <x:c r="AT32" s="158">
        <x:v>100</x:v>
      </x:c>
      <x:c r="AU32" s="158">
        <x:v>100</x:v>
      </x:c>
      <x:c r="AV32" s="158">
        <x:v>100</x:v>
      </x:c>
      <x:c r="AW32" s="230">
        <x:v>100</x:v>
      </x:c>
      <x:c r="AX32" s="585" t="s">
        <x:v>1102</x:v>
      </x:c>
      <x:c r="AY32" s="33"/>
      <x:c r="AZ32" s="185"/>
      <x:c r="BA32" s="185"/>
      <x:c r="BB32" s="185"/>
      <x:c r="BC32" s="35"/>
      <x:c r="BD32" s="36"/>
      <x:c r="BE32" s="33"/>
      <x:c r="BF32" s="185"/>
      <x:c r="BG32" s="185"/>
      <x:c r="BH32" s="185"/>
      <x:c r="BI32" s="35"/>
      <x:c r="BJ32" s="36"/>
      <x:c r="BK32" s="33"/>
      <x:c r="BL32" s="185"/>
      <x:c r="BM32" s="185"/>
      <x:c r="BN32" s="185"/>
      <x:c r="BO32" s="35"/>
      <x:c r="BP32" s="36"/>
      <x:c r="BQ32" s="33"/>
      <x:c r="BR32" s="185"/>
      <x:c r="BS32" s="185"/>
      <x:c r="BT32" s="185"/>
      <x:c r="BU32" s="35"/>
      <x:c r="BV32" s="36"/>
    </x:row>
    <x:row r="33" spans="1:74" ht="22.5" customHeight="1" x14ac:dyDescent="0.25">
      <x:c r="A33" s="586" t="s">
        <x:v>249</x:v>
      </x:c>
      <x:c r="B33" s="114" t="s">
        <x:v>14</x:v>
      </x:c>
      <x:c r="C33" s="175"/>
      <x:c r="D33" s="158"/>
      <x:c r="E33" s="158"/>
      <x:c r="F33" s="158"/>
      <x:c r="G33" s="158"/>
      <x:c r="H33" s="159"/>
      <x:c r="I33" s="33"/>
      <x:c r="J33" s="185"/>
      <x:c r="K33" s="185"/>
      <x:c r="L33" s="185"/>
      <x:c r="M33" s="35"/>
      <x:c r="N33" s="36"/>
      <x:c r="O33" s="33"/>
      <x:c r="P33" s="185"/>
      <x:c r="Q33" s="185"/>
      <x:c r="R33" s="185"/>
      <x:c r="S33" s="35"/>
      <x:c r="T33" s="36"/>
      <x:c r="U33" s="33"/>
      <x:c r="V33" s="185"/>
      <x:c r="W33" s="185"/>
      <x:c r="X33" s="185"/>
      <x:c r="Y33" s="35"/>
      <x:c r="Z33" s="36"/>
      <x:c r="AA33" s="33"/>
      <x:c r="AB33" s="185"/>
      <x:c r="AC33" s="185"/>
      <x:c r="AD33" s="185"/>
      <x:c r="AE33" s="35"/>
      <x:c r="AF33" s="36"/>
      <x:c r="AG33" s="33"/>
      <x:c r="AH33" s="185"/>
      <x:c r="AI33" s="185"/>
      <x:c r="AJ33" s="185"/>
      <x:c r="AK33" s="35"/>
      <x:c r="AL33" s="36"/>
      <x:c r="AM33" s="157">
        <x:v>100</x:v>
      </x:c>
      <x:c r="AN33" s="158">
        <x:v>100</x:v>
      </x:c>
      <x:c r="AO33" s="158">
        <x:v>100</x:v>
      </x:c>
      <x:c r="AP33" s="158">
        <x:v>100</x:v>
      </x:c>
      <x:c r="AQ33" s="158">
        <x:v>100</x:v>
      </x:c>
      <x:c r="AR33" s="584" t="s">
        <x:v>1102</x:v>
      </x:c>
      <x:c r="AS33" s="157">
        <x:v>100</x:v>
      </x:c>
      <x:c r="AT33" s="158">
        <x:v>100</x:v>
      </x:c>
      <x:c r="AU33" s="158">
        <x:v>100</x:v>
      </x:c>
      <x:c r="AV33" s="158">
        <x:v>100</x:v>
      </x:c>
      <x:c r="AW33" s="230">
        <x:v>100</x:v>
      </x:c>
      <x:c r="AX33" s="585" t="s">
        <x:v>1102</x:v>
      </x:c>
      <x:c r="AY33" s="33"/>
      <x:c r="AZ33" s="185"/>
      <x:c r="BA33" s="185"/>
      <x:c r="BB33" s="185"/>
      <x:c r="BC33" s="35"/>
      <x:c r="BD33" s="36"/>
      <x:c r="BE33" s="33"/>
      <x:c r="BF33" s="185"/>
      <x:c r="BG33" s="185"/>
      <x:c r="BH33" s="185"/>
      <x:c r="BI33" s="35"/>
      <x:c r="BJ33" s="36"/>
      <x:c r="BK33" s="33"/>
      <x:c r="BL33" s="185"/>
      <x:c r="BM33" s="185"/>
      <x:c r="BN33" s="185"/>
      <x:c r="BO33" s="35"/>
      <x:c r="BP33" s="36"/>
      <x:c r="BQ33" s="33"/>
      <x:c r="BR33" s="185"/>
      <x:c r="BS33" s="185"/>
      <x:c r="BT33" s="185"/>
      <x:c r="BU33" s="35"/>
      <x:c r="BV33" s="36"/>
    </x:row>
    <x:row r="34" spans="1:74" ht="22.5" customHeight="1" x14ac:dyDescent="0.25">
      <x:c r="A34" s="32" t="s">
        <x:v>278</x:v>
      </x:c>
      <x:c r="B34" s="114" t="s">
        <x:v>37</x:v>
      </x:c>
      <x:c r="C34" s="175"/>
      <x:c r="D34" s="158"/>
      <x:c r="E34" s="158"/>
      <x:c r="F34" s="158"/>
      <x:c r="G34" s="158"/>
      <x:c r="H34" s="159"/>
      <x:c r="I34" s="33"/>
      <x:c r="J34" s="185"/>
      <x:c r="K34" s="185"/>
      <x:c r="L34" s="185"/>
      <x:c r="M34" s="35"/>
      <x:c r="N34" s="36"/>
      <x:c r="O34" s="33"/>
      <x:c r="P34" s="185"/>
      <x:c r="Q34" s="185"/>
      <x:c r="R34" s="185"/>
      <x:c r="S34" s="35"/>
      <x:c r="T34" s="36"/>
      <x:c r="U34" s="33"/>
      <x:c r="V34" s="185"/>
      <x:c r="W34" s="185"/>
      <x:c r="X34" s="185"/>
      <x:c r="Y34" s="35"/>
      <x:c r="Z34" s="36"/>
      <x:c r="AA34" s="33"/>
      <x:c r="AB34" s="185"/>
      <x:c r="AC34" s="185"/>
      <x:c r="AD34" s="185"/>
      <x:c r="AE34" s="35"/>
      <x:c r="AF34" s="36"/>
      <x:c r="AG34" s="33"/>
      <x:c r="AH34" s="185"/>
      <x:c r="AI34" s="185"/>
      <x:c r="AJ34" s="185"/>
      <x:c r="AK34" s="35"/>
      <x:c r="AL34" s="36"/>
      <x:c r="AM34" s="157">
        <x:v>100</x:v>
      </x:c>
      <x:c r="AN34" s="158">
        <x:v>100</x:v>
      </x:c>
      <x:c r="AO34" s="158">
        <x:v>100</x:v>
      </x:c>
      <x:c r="AP34" s="158">
        <x:v>100</x:v>
      </x:c>
      <x:c r="AQ34" s="158">
        <x:v>100</x:v>
      </x:c>
      <x:c r="AR34" s="584" t="s">
        <x:v>1102</x:v>
      </x:c>
      <x:c r="AS34" s="157">
        <x:v>100</x:v>
      </x:c>
      <x:c r="AT34" s="158">
        <x:v>100</x:v>
      </x:c>
      <x:c r="AU34" s="158">
        <x:v>100</x:v>
      </x:c>
      <x:c r="AV34" s="158">
        <x:v>100</x:v>
      </x:c>
      <x:c r="AW34" s="230">
        <x:v>100</x:v>
      </x:c>
      <x:c r="AX34" s="585" t="s">
        <x:v>1102</x:v>
      </x:c>
      <x:c r="AY34" s="33"/>
      <x:c r="AZ34" s="185"/>
      <x:c r="BA34" s="185"/>
      <x:c r="BB34" s="185"/>
      <x:c r="BC34" s="35"/>
      <x:c r="BD34" s="36"/>
      <x:c r="BE34" s="33"/>
      <x:c r="BF34" s="185"/>
      <x:c r="BG34" s="185"/>
      <x:c r="BH34" s="185"/>
      <x:c r="BI34" s="35"/>
      <x:c r="BJ34" s="36"/>
      <x:c r="BK34" s="33"/>
      <x:c r="BL34" s="185"/>
      <x:c r="BM34" s="185"/>
      <x:c r="BN34" s="185"/>
      <x:c r="BO34" s="35"/>
      <x:c r="BP34" s="36"/>
      <x:c r="BQ34" s="33"/>
      <x:c r="BR34" s="185"/>
      <x:c r="BS34" s="185"/>
      <x:c r="BT34" s="185"/>
      <x:c r="BU34" s="35"/>
      <x:c r="BV34" s="36"/>
    </x:row>
    <x:row r="35" spans="1:74" ht="22.5" customHeight="1" x14ac:dyDescent="0.25">
      <x:c r="A35" s="32" t="s">
        <x:v>264</x:v>
      </x:c>
      <x:c r="B35" s="114" t="s">
        <x:v>23</x:v>
      </x:c>
      <x:c r="C35" s="175"/>
      <x:c r="D35" s="158"/>
      <x:c r="E35" s="158"/>
      <x:c r="F35" s="158"/>
      <x:c r="G35" s="158"/>
      <x:c r="H35" s="159"/>
      <x:c r="I35" s="33"/>
      <x:c r="J35" s="185"/>
      <x:c r="K35" s="185"/>
      <x:c r="L35" s="185"/>
      <x:c r="M35" s="35"/>
      <x:c r="N35" s="36"/>
      <x:c r="O35" s="33"/>
      <x:c r="P35" s="185"/>
      <x:c r="Q35" s="185"/>
      <x:c r="R35" s="185"/>
      <x:c r="S35" s="35"/>
      <x:c r="T35" s="36"/>
      <x:c r="U35" s="33"/>
      <x:c r="V35" s="185"/>
      <x:c r="W35" s="185"/>
      <x:c r="X35" s="185"/>
      <x:c r="Y35" s="35"/>
      <x:c r="Z35" s="36"/>
      <x:c r="AA35" s="33"/>
      <x:c r="AB35" s="185"/>
      <x:c r="AC35" s="185"/>
      <x:c r="AD35" s="185"/>
      <x:c r="AE35" s="35"/>
      <x:c r="AF35" s="36"/>
      <x:c r="AG35" s="33"/>
      <x:c r="AH35" s="185"/>
      <x:c r="AI35" s="185"/>
      <x:c r="AJ35" s="185"/>
      <x:c r="AK35" s="35"/>
      <x:c r="AL35" s="36"/>
      <x:c r="AM35" s="157">
        <x:v>100</x:v>
      </x:c>
      <x:c r="AN35" s="158">
        <x:v>100</x:v>
      </x:c>
      <x:c r="AO35" s="158">
        <x:v>100</x:v>
      </x:c>
      <x:c r="AP35" s="158">
        <x:v>100</x:v>
      </x:c>
      <x:c r="AQ35" s="158">
        <x:v>100</x:v>
      </x:c>
      <x:c r="AR35" s="584" t="s">
        <x:v>1102</x:v>
      </x:c>
      <x:c r="AS35" s="157">
        <x:v>100</x:v>
      </x:c>
      <x:c r="AT35" s="158">
        <x:v>100</x:v>
      </x:c>
      <x:c r="AU35" s="158">
        <x:v>100</x:v>
      </x:c>
      <x:c r="AV35" s="158">
        <x:v>100</x:v>
      </x:c>
      <x:c r="AW35" s="230">
        <x:v>100</x:v>
      </x:c>
      <x:c r="AX35" s="585" t="s">
        <x:v>1102</x:v>
      </x:c>
      <x:c r="AY35" s="33"/>
      <x:c r="AZ35" s="185"/>
      <x:c r="BA35" s="185"/>
      <x:c r="BB35" s="185"/>
      <x:c r="BC35" s="35"/>
      <x:c r="BD35" s="36"/>
      <x:c r="BE35" s="33"/>
      <x:c r="BF35" s="185"/>
      <x:c r="BG35" s="185"/>
      <x:c r="BH35" s="185"/>
      <x:c r="BI35" s="35"/>
      <x:c r="BJ35" s="36"/>
      <x:c r="BK35" s="33"/>
      <x:c r="BL35" s="185"/>
      <x:c r="BM35" s="185"/>
      <x:c r="BN35" s="185"/>
      <x:c r="BO35" s="35"/>
      <x:c r="BP35" s="36"/>
      <x:c r="BQ35" s="33"/>
      <x:c r="BR35" s="185"/>
      <x:c r="BS35" s="185"/>
      <x:c r="BT35" s="185"/>
      <x:c r="BU35" s="35"/>
      <x:c r="BV35" s="36"/>
    </x:row>
    <x:row r="36" spans="1:74" ht="22.5" customHeight="1" x14ac:dyDescent="0.25">
      <x:c r="A36" s="32" t="s">
        <x:v>283</x:v>
      </x:c>
      <x:c r="B36" s="114" t="s">
        <x:v>23</x:v>
      </x:c>
      <x:c r="C36" s="175"/>
      <x:c r="D36" s="158"/>
      <x:c r="E36" s="158"/>
      <x:c r="F36" s="158"/>
      <x:c r="G36" s="158"/>
      <x:c r="H36" s="159"/>
      <x:c r="I36" s="33"/>
      <x:c r="J36" s="185"/>
      <x:c r="K36" s="185"/>
      <x:c r="L36" s="185"/>
      <x:c r="M36" s="35"/>
      <x:c r="N36" s="36"/>
      <x:c r="O36" s="33"/>
      <x:c r="P36" s="185"/>
      <x:c r="Q36" s="185"/>
      <x:c r="R36" s="185"/>
      <x:c r="S36" s="35"/>
      <x:c r="T36" s="36"/>
      <x:c r="U36" s="33"/>
      <x:c r="V36" s="185"/>
      <x:c r="W36" s="185"/>
      <x:c r="X36" s="185"/>
      <x:c r="Y36" s="35"/>
      <x:c r="Z36" s="36"/>
      <x:c r="AA36" s="33"/>
      <x:c r="AB36" s="185"/>
      <x:c r="AC36" s="185"/>
      <x:c r="AD36" s="185"/>
      <x:c r="AE36" s="35"/>
      <x:c r="AF36" s="36"/>
      <x:c r="AG36" s="33"/>
      <x:c r="AH36" s="185"/>
      <x:c r="AI36" s="185"/>
      <x:c r="AJ36" s="185"/>
      <x:c r="AK36" s="35"/>
      <x:c r="AL36" s="36"/>
      <x:c r="AM36" s="157">
        <x:v>100</x:v>
      </x:c>
      <x:c r="AN36" s="158">
        <x:v>100</x:v>
      </x:c>
      <x:c r="AO36" s="158">
        <x:v>100</x:v>
      </x:c>
      <x:c r="AP36" s="158">
        <x:v>100</x:v>
      </x:c>
      <x:c r="AQ36" s="158">
        <x:v>100</x:v>
      </x:c>
      <x:c r="AR36" s="584" t="s">
        <x:v>1102</x:v>
      </x:c>
      <x:c r="AS36" s="157">
        <x:v>100</x:v>
      </x:c>
      <x:c r="AT36" s="158">
        <x:v>100</x:v>
      </x:c>
      <x:c r="AU36" s="158">
        <x:v>100</x:v>
      </x:c>
      <x:c r="AV36" s="158">
        <x:v>100</x:v>
      </x:c>
      <x:c r="AW36" s="230">
        <x:v>100</x:v>
      </x:c>
      <x:c r="AX36" s="585" t="s">
        <x:v>1102</x:v>
      </x:c>
      <x:c r="AY36" s="33"/>
      <x:c r="AZ36" s="185"/>
      <x:c r="BA36" s="185"/>
      <x:c r="BB36" s="185"/>
      <x:c r="BC36" s="35"/>
      <x:c r="BD36" s="36"/>
      <x:c r="BE36" s="33"/>
      <x:c r="BF36" s="185"/>
      <x:c r="BG36" s="185"/>
      <x:c r="BH36" s="185"/>
      <x:c r="BI36" s="35"/>
      <x:c r="BJ36" s="36"/>
      <x:c r="BK36" s="33"/>
      <x:c r="BL36" s="185"/>
      <x:c r="BM36" s="185"/>
      <x:c r="BN36" s="185"/>
      <x:c r="BO36" s="35"/>
      <x:c r="BP36" s="36"/>
      <x:c r="BQ36" s="33"/>
      <x:c r="BR36" s="185"/>
      <x:c r="BS36" s="185"/>
      <x:c r="BT36" s="185"/>
      <x:c r="BU36" s="35"/>
      <x:c r="BV36" s="36"/>
    </x:row>
    <x:row r="37" spans="1:74" ht="22.5" customHeight="1" x14ac:dyDescent="0.25">
      <x:c r="A37" s="587" t="s">
        <x:v>286</x:v>
      </x:c>
      <x:c r="B37" s="114" t="s">
        <x:v>37</x:v>
      </x:c>
      <x:c r="C37" s="184"/>
      <x:c r="D37" s="185"/>
      <x:c r="E37" s="185"/>
      <x:c r="F37" s="185"/>
      <x:c r="G37" s="185"/>
      <x:c r="H37" s="159"/>
      <x:c r="I37" s="33"/>
      <x:c r="J37" s="185"/>
      <x:c r="K37" s="185"/>
      <x:c r="L37" s="185"/>
      <x:c r="M37" s="35"/>
      <x:c r="N37" s="36"/>
      <x:c r="O37" s="33"/>
      <x:c r="P37" s="185"/>
      <x:c r="Q37" s="185"/>
      <x:c r="R37" s="185"/>
      <x:c r="S37" s="35"/>
      <x:c r="T37" s="36"/>
      <x:c r="U37" s="33"/>
      <x:c r="V37" s="185"/>
      <x:c r="W37" s="185"/>
      <x:c r="X37" s="185"/>
      <x:c r="Y37" s="35"/>
      <x:c r="Z37" s="36"/>
      <x:c r="AA37" s="33"/>
      <x:c r="AB37" s="185"/>
      <x:c r="AC37" s="185"/>
      <x:c r="AD37" s="185"/>
      <x:c r="AE37" s="35"/>
      <x:c r="AF37" s="36"/>
      <x:c r="AG37" s="33"/>
      <x:c r="AH37" s="185"/>
      <x:c r="AI37" s="185"/>
      <x:c r="AJ37" s="185"/>
      <x:c r="AK37" s="35"/>
      <x:c r="AL37" s="36"/>
      <x:c r="AM37" s="616" t="s">
        <x:v>1111</x:v>
      </x:c>
      <x:c r="AN37" s="478"/>
      <x:c r="AO37" s="478"/>
      <x:c r="AP37" s="478"/>
      <x:c r="AQ37" s="221"/>
      <x:c r="AR37" s="592" t="s">
        <x:v>1103</x:v>
      </x:c>
      <x:c r="AS37" s="588">
        <x:v>0</x:v>
      </x:c>
      <x:c r="AT37" s="589">
        <x:v>0</x:v>
      </x:c>
      <x:c r="AU37" s="589">
        <x:v>0</x:v>
      </x:c>
      <x:c r="AV37" s="589">
        <x:v>0</x:v>
      </x:c>
      <x:c r="AW37" s="590">
        <x:v>0</x:v>
      </x:c>
      <x:c r="AX37" s="591" t="s">
        <x:v>1103</x:v>
      </x:c>
      <x:c r="AY37" s="33"/>
      <x:c r="AZ37" s="185"/>
      <x:c r="BA37" s="185"/>
      <x:c r="BB37" s="185"/>
      <x:c r="BC37" s="35"/>
      <x:c r="BD37" s="36"/>
      <x:c r="BE37" s="33"/>
      <x:c r="BF37" s="185"/>
      <x:c r="BG37" s="185"/>
      <x:c r="BH37" s="185"/>
      <x:c r="BI37" s="35"/>
      <x:c r="BJ37" s="36"/>
      <x:c r="BK37" s="33"/>
      <x:c r="BL37" s="185"/>
      <x:c r="BM37" s="185"/>
      <x:c r="BN37" s="185"/>
      <x:c r="BO37" s="35"/>
      <x:c r="BP37" s="36"/>
      <x:c r="BQ37" s="33"/>
      <x:c r="BR37" s="185"/>
      <x:c r="BS37" s="185"/>
      <x:c r="BT37" s="185"/>
      <x:c r="BU37" s="35"/>
      <x:c r="BV37" s="36"/>
    </x:row>
    <x:row r="38" spans="1:74" ht="22.5" customHeight="1" x14ac:dyDescent="0.25">
      <x:c r="A38" s="32" t="s">
        <x:v>279</x:v>
      </x:c>
      <x:c r="B38" s="114" t="s">
        <x:v>37</x:v>
      </x:c>
      <x:c r="C38" s="175"/>
      <x:c r="D38" s="158"/>
      <x:c r="E38" s="158"/>
      <x:c r="F38" s="158"/>
      <x:c r="G38" s="158"/>
      <x:c r="H38" s="159"/>
      <x:c r="I38" s="33"/>
      <x:c r="J38" s="185"/>
      <x:c r="K38" s="185"/>
      <x:c r="L38" s="185"/>
      <x:c r="M38" s="35"/>
      <x:c r="N38" s="36"/>
      <x:c r="O38" s="33"/>
      <x:c r="P38" s="185"/>
      <x:c r="Q38" s="185"/>
      <x:c r="R38" s="185"/>
      <x:c r="S38" s="35"/>
      <x:c r="T38" s="36"/>
      <x:c r="U38" s="33"/>
      <x:c r="V38" s="185"/>
      <x:c r="W38" s="185"/>
      <x:c r="X38" s="185"/>
      <x:c r="Y38" s="35"/>
      <x:c r="Z38" s="36"/>
      <x:c r="AA38" s="33"/>
      <x:c r="AB38" s="185"/>
      <x:c r="AC38" s="185"/>
      <x:c r="AD38" s="185"/>
      <x:c r="AE38" s="35"/>
      <x:c r="AF38" s="36"/>
      <x:c r="AG38" s="33"/>
      <x:c r="AH38" s="185"/>
      <x:c r="AI38" s="185"/>
      <x:c r="AJ38" s="185"/>
      <x:c r="AK38" s="35"/>
      <x:c r="AL38" s="36"/>
      <x:c r="AM38" s="157">
        <x:v>100</x:v>
      </x:c>
      <x:c r="AN38" s="158">
        <x:v>100</x:v>
      </x:c>
      <x:c r="AO38" s="158">
        <x:v>100</x:v>
      </x:c>
      <x:c r="AP38" s="158">
        <x:v>100</x:v>
      </x:c>
      <x:c r="AQ38" s="158">
        <x:v>100</x:v>
      </x:c>
      <x:c r="AR38" s="584" t="s">
        <x:v>1102</x:v>
      </x:c>
      <x:c r="AS38" s="157">
        <x:v>100</x:v>
      </x:c>
      <x:c r="AT38" s="158">
        <x:v>100</x:v>
      </x:c>
      <x:c r="AU38" s="158">
        <x:v>100</x:v>
      </x:c>
      <x:c r="AV38" s="158">
        <x:v>100</x:v>
      </x:c>
      <x:c r="AW38" s="230">
        <x:v>100</x:v>
      </x:c>
      <x:c r="AX38" s="585" t="s">
        <x:v>1102</x:v>
      </x:c>
      <x:c r="AY38" s="33"/>
      <x:c r="AZ38" s="185"/>
      <x:c r="BA38" s="185"/>
      <x:c r="BB38" s="185"/>
      <x:c r="BC38" s="35"/>
      <x:c r="BD38" s="36"/>
      <x:c r="BE38" s="33"/>
      <x:c r="BF38" s="185"/>
      <x:c r="BG38" s="185"/>
      <x:c r="BH38" s="185"/>
      <x:c r="BI38" s="35"/>
      <x:c r="BJ38" s="36"/>
      <x:c r="BK38" s="33"/>
      <x:c r="BL38" s="185"/>
      <x:c r="BM38" s="185"/>
      <x:c r="BN38" s="185"/>
      <x:c r="BO38" s="35"/>
      <x:c r="BP38" s="36"/>
      <x:c r="BQ38" s="33"/>
      <x:c r="BR38" s="185"/>
      <x:c r="BS38" s="185"/>
      <x:c r="BT38" s="185"/>
      <x:c r="BU38" s="35"/>
      <x:c r="BV38" s="36"/>
    </x:row>
    <x:row r="39" spans="1:74" ht="22.5" customHeight="1" x14ac:dyDescent="0.25">
      <x:c r="A39" s="615" t="s">
        <x:v>255</x:v>
      </x:c>
      <x:c r="B39" s="114" t="s">
        <x:v>191</x:v>
      </x:c>
      <x:c r="C39" s="175"/>
      <x:c r="D39" s="158"/>
      <x:c r="E39" s="158"/>
      <x:c r="F39" s="158"/>
      <x:c r="G39" s="158"/>
      <x:c r="H39" s="159"/>
      <x:c r="I39" s="33"/>
      <x:c r="J39" s="185"/>
      <x:c r="K39" s="185"/>
      <x:c r="L39" s="185"/>
      <x:c r="M39" s="35"/>
      <x:c r="N39" s="36"/>
      <x:c r="O39" s="33"/>
      <x:c r="P39" s="185"/>
      <x:c r="Q39" s="185"/>
      <x:c r="R39" s="185"/>
      <x:c r="S39" s="35"/>
      <x:c r="T39" s="36"/>
      <x:c r="U39" s="33"/>
      <x:c r="V39" s="185"/>
      <x:c r="W39" s="185"/>
      <x:c r="X39" s="185"/>
      <x:c r="Y39" s="35"/>
      <x:c r="Z39" s="36"/>
      <x:c r="AA39" s="33"/>
      <x:c r="AB39" s="185"/>
      <x:c r="AC39" s="185"/>
      <x:c r="AD39" s="185"/>
      <x:c r="AE39" s="35"/>
      <x:c r="AF39" s="36"/>
      <x:c r="AG39" s="33"/>
      <x:c r="AH39" s="185"/>
      <x:c r="AI39" s="185"/>
      <x:c r="AJ39" s="185"/>
      <x:c r="AK39" s="35"/>
      <x:c r="AL39" s="36"/>
      <x:c r="AM39" s="588">
        <x:v>0</x:v>
      </x:c>
      <x:c r="AN39" s="589">
        <x:v>0</x:v>
      </x:c>
      <x:c r="AO39" s="589">
        <x:v>0</x:v>
      </x:c>
      <x:c r="AP39" s="589">
        <x:v>0</x:v>
      </x:c>
      <x:c r="AQ39" s="589">
        <x:v>0</x:v>
      </x:c>
      <x:c r="AR39" s="592" t="s">
        <x:v>1103</x:v>
      </x:c>
      <x:c r="AS39" s="157">
        <x:v>100</x:v>
      </x:c>
      <x:c r="AT39" s="158">
        <x:v>100</x:v>
      </x:c>
      <x:c r="AU39" s="158">
        <x:v>100</x:v>
      </x:c>
      <x:c r="AV39" s="158">
        <x:v>100</x:v>
      </x:c>
      <x:c r="AW39" s="230">
        <x:v>100</x:v>
      </x:c>
      <x:c r="AX39" s="585" t="s">
        <x:v>1102</x:v>
      </x:c>
      <x:c r="AY39" s="33"/>
      <x:c r="AZ39" s="185"/>
      <x:c r="BA39" s="185"/>
      <x:c r="BB39" s="185"/>
      <x:c r="BC39" s="35"/>
      <x:c r="BD39" s="36"/>
      <x:c r="BE39" s="33"/>
      <x:c r="BF39" s="185"/>
      <x:c r="BG39" s="185"/>
      <x:c r="BH39" s="185"/>
      <x:c r="BI39" s="35"/>
      <x:c r="BJ39" s="36"/>
      <x:c r="BK39" s="33"/>
      <x:c r="BL39" s="185"/>
      <x:c r="BM39" s="185"/>
      <x:c r="BN39" s="185"/>
      <x:c r="BO39" s="35"/>
      <x:c r="BP39" s="36"/>
      <x:c r="BQ39" s="33"/>
      <x:c r="BR39" s="185"/>
      <x:c r="BS39" s="185"/>
      <x:c r="BT39" s="185"/>
      <x:c r="BU39" s="35"/>
      <x:c r="BV39" s="36"/>
    </x:row>
    <x:row r="40" spans="1:74" ht="22.5" customHeight="1" x14ac:dyDescent="0.25">
      <x:c r="A40" s="32" t="s">
        <x:v>285</x:v>
      </x:c>
      <x:c r="B40" s="114" t="s">
        <x:v>23</x:v>
      </x:c>
      <x:c r="C40" s="175"/>
      <x:c r="D40" s="158"/>
      <x:c r="E40" s="158"/>
      <x:c r="F40" s="158"/>
      <x:c r="G40" s="158"/>
      <x:c r="H40" s="159"/>
      <x:c r="I40" s="33"/>
      <x:c r="J40" s="185"/>
      <x:c r="K40" s="185"/>
      <x:c r="L40" s="185"/>
      <x:c r="M40" s="35"/>
      <x:c r="N40" s="36"/>
      <x:c r="O40" s="33"/>
      <x:c r="P40" s="185"/>
      <x:c r="Q40" s="185"/>
      <x:c r="R40" s="185"/>
      <x:c r="S40" s="35"/>
      <x:c r="T40" s="36"/>
      <x:c r="U40" s="33"/>
      <x:c r="V40" s="185"/>
      <x:c r="W40" s="185"/>
      <x:c r="X40" s="185"/>
      <x:c r="Y40" s="35"/>
      <x:c r="Z40" s="36"/>
      <x:c r="AA40" s="33"/>
      <x:c r="AB40" s="185"/>
      <x:c r="AC40" s="185"/>
      <x:c r="AD40" s="185"/>
      <x:c r="AE40" s="35"/>
      <x:c r="AF40" s="36"/>
      <x:c r="AG40" s="33"/>
      <x:c r="AH40" s="185"/>
      <x:c r="AI40" s="185"/>
      <x:c r="AJ40" s="185"/>
      <x:c r="AK40" s="35"/>
      <x:c r="AL40" s="36"/>
      <x:c r="AM40" s="157">
        <x:v>100</x:v>
      </x:c>
      <x:c r="AN40" s="158">
        <x:v>100</x:v>
      </x:c>
      <x:c r="AO40" s="158">
        <x:v>100</x:v>
      </x:c>
      <x:c r="AP40" s="158">
        <x:v>100</x:v>
      </x:c>
      <x:c r="AQ40" s="158">
        <x:v>100</x:v>
      </x:c>
      <x:c r="AR40" s="584" t="s">
        <x:v>1102</x:v>
      </x:c>
      <x:c r="AS40" s="157">
        <x:v>100</x:v>
      </x:c>
      <x:c r="AT40" s="158">
        <x:v>100</x:v>
      </x:c>
      <x:c r="AU40" s="158">
        <x:v>100</x:v>
      </x:c>
      <x:c r="AV40" s="158">
        <x:v>100</x:v>
      </x:c>
      <x:c r="AW40" s="230">
        <x:v>100</x:v>
      </x:c>
      <x:c r="AX40" s="585" t="s">
        <x:v>1102</x:v>
      </x:c>
      <x:c r="AY40" s="33"/>
      <x:c r="AZ40" s="185"/>
      <x:c r="BA40" s="185"/>
      <x:c r="BB40" s="185"/>
      <x:c r="BC40" s="35"/>
      <x:c r="BD40" s="36"/>
      <x:c r="BE40" s="33"/>
      <x:c r="BF40" s="185"/>
      <x:c r="BG40" s="185"/>
      <x:c r="BH40" s="185"/>
      <x:c r="BI40" s="35"/>
      <x:c r="BJ40" s="36"/>
      <x:c r="BK40" s="33"/>
      <x:c r="BL40" s="185"/>
      <x:c r="BM40" s="185"/>
      <x:c r="BN40" s="185"/>
      <x:c r="BO40" s="35"/>
      <x:c r="BP40" s="36"/>
      <x:c r="BQ40" s="33"/>
      <x:c r="BR40" s="185"/>
      <x:c r="BS40" s="185"/>
      <x:c r="BT40" s="185"/>
      <x:c r="BU40" s="35"/>
      <x:c r="BV40" s="36"/>
    </x:row>
    <x:row r="41" spans="1:74" ht="22.5" customHeight="1" x14ac:dyDescent="0.25">
      <x:c r="A41" s="32" t="s">
        <x:v>252</x:v>
      </x:c>
      <x:c r="B41" s="114" t="s">
        <x:v>183</x:v>
      </x:c>
      <x:c r="C41" s="175"/>
      <x:c r="D41" s="158"/>
      <x:c r="E41" s="158"/>
      <x:c r="F41" s="158"/>
      <x:c r="G41" s="158"/>
      <x:c r="H41" s="159"/>
      <x:c r="I41" s="33"/>
      <x:c r="J41" s="185"/>
      <x:c r="K41" s="185"/>
      <x:c r="L41" s="185"/>
      <x:c r="M41" s="35"/>
      <x:c r="N41" s="36"/>
      <x:c r="O41" s="33"/>
      <x:c r="P41" s="185"/>
      <x:c r="Q41" s="185"/>
      <x:c r="R41" s="185"/>
      <x:c r="S41" s="35"/>
      <x:c r="T41" s="36"/>
      <x:c r="U41" s="33"/>
      <x:c r="V41" s="185"/>
      <x:c r="W41" s="185"/>
      <x:c r="X41" s="185"/>
      <x:c r="Y41" s="35"/>
      <x:c r="Z41" s="36"/>
      <x:c r="AA41" s="33"/>
      <x:c r="AB41" s="185"/>
      <x:c r="AC41" s="185"/>
      <x:c r="AD41" s="185"/>
      <x:c r="AE41" s="35"/>
      <x:c r="AF41" s="36"/>
      <x:c r="AG41" s="33"/>
      <x:c r="AH41" s="185"/>
      <x:c r="AI41" s="185"/>
      <x:c r="AJ41" s="185"/>
      <x:c r="AK41" s="35"/>
      <x:c r="AL41" s="36"/>
      <x:c r="AM41" s="157">
        <x:v>100</x:v>
      </x:c>
      <x:c r="AN41" s="158">
        <x:v>100</x:v>
      </x:c>
      <x:c r="AO41" s="158">
        <x:v>100</x:v>
      </x:c>
      <x:c r="AP41" s="158">
        <x:v>100</x:v>
      </x:c>
      <x:c r="AQ41" s="158">
        <x:v>100</x:v>
      </x:c>
      <x:c r="AR41" s="584" t="s">
        <x:v>1102</x:v>
      </x:c>
      <x:c r="AS41" s="157">
        <x:v>100</x:v>
      </x:c>
      <x:c r="AT41" s="158">
        <x:v>100</x:v>
      </x:c>
      <x:c r="AU41" s="158">
        <x:v>100</x:v>
      </x:c>
      <x:c r="AV41" s="158">
        <x:v>100</x:v>
      </x:c>
      <x:c r="AW41" s="230">
        <x:v>100</x:v>
      </x:c>
      <x:c r="AX41" s="585" t="s">
        <x:v>1102</x:v>
      </x:c>
      <x:c r="AY41" s="33"/>
      <x:c r="AZ41" s="185"/>
      <x:c r="BA41" s="185"/>
      <x:c r="BB41" s="185"/>
      <x:c r="BC41" s="35"/>
      <x:c r="BD41" s="36"/>
      <x:c r="BE41" s="33"/>
      <x:c r="BF41" s="185"/>
      <x:c r="BG41" s="185"/>
      <x:c r="BH41" s="185"/>
      <x:c r="BI41" s="35"/>
      <x:c r="BJ41" s="36"/>
      <x:c r="BK41" s="33"/>
      <x:c r="BL41" s="185"/>
      <x:c r="BM41" s="185"/>
      <x:c r="BN41" s="185"/>
      <x:c r="BO41" s="35"/>
      <x:c r="BP41" s="36"/>
      <x:c r="BQ41" s="33"/>
      <x:c r="BR41" s="185"/>
      <x:c r="BS41" s="185"/>
      <x:c r="BT41" s="185"/>
      <x:c r="BU41" s="35"/>
      <x:c r="BV41" s="36"/>
    </x:row>
    <x:row r="42" spans="1:74" ht="22.5" customHeight="1" x14ac:dyDescent="0.25">
      <x:c r="A42" s="32" t="s">
        <x:v>276</x:v>
      </x:c>
      <x:c r="B42" s="114" t="s">
        <x:v>21</x:v>
      </x:c>
      <x:c r="C42" s="175"/>
      <x:c r="D42" s="158"/>
      <x:c r="E42" s="158"/>
      <x:c r="F42" s="158"/>
      <x:c r="G42" s="158"/>
      <x:c r="H42" s="159"/>
      <x:c r="I42" s="33"/>
      <x:c r="J42" s="185"/>
      <x:c r="K42" s="185"/>
      <x:c r="L42" s="185"/>
      <x:c r="M42" s="35"/>
      <x:c r="N42" s="36"/>
      <x:c r="O42" s="33"/>
      <x:c r="P42" s="185"/>
      <x:c r="Q42" s="185"/>
      <x:c r="R42" s="185"/>
      <x:c r="S42" s="35"/>
      <x:c r="T42" s="36"/>
      <x:c r="U42" s="33"/>
      <x:c r="V42" s="185"/>
      <x:c r="W42" s="185"/>
      <x:c r="X42" s="185"/>
      <x:c r="Y42" s="35"/>
      <x:c r="Z42" s="36"/>
      <x:c r="AA42" s="33"/>
      <x:c r="AB42" s="185"/>
      <x:c r="AC42" s="185"/>
      <x:c r="AD42" s="185"/>
      <x:c r="AE42" s="35"/>
      <x:c r="AF42" s="36"/>
      <x:c r="AG42" s="33"/>
      <x:c r="AH42" s="185"/>
      <x:c r="AI42" s="185"/>
      <x:c r="AJ42" s="185"/>
      <x:c r="AK42" s="35"/>
      <x:c r="AL42" s="36"/>
      <x:c r="AM42" s="157">
        <x:v>100</x:v>
      </x:c>
      <x:c r="AN42" s="158">
        <x:v>100</x:v>
      </x:c>
      <x:c r="AO42" s="158">
        <x:v>100</x:v>
      </x:c>
      <x:c r="AP42" s="158">
        <x:v>100</x:v>
      </x:c>
      <x:c r="AQ42" s="158">
        <x:v>100</x:v>
      </x:c>
      <x:c r="AR42" s="584" t="s">
        <x:v>1102</x:v>
      </x:c>
      <x:c r="AS42" s="157">
        <x:v>100</x:v>
      </x:c>
      <x:c r="AT42" s="158">
        <x:v>100</x:v>
      </x:c>
      <x:c r="AU42" s="158">
        <x:v>100</x:v>
      </x:c>
      <x:c r="AV42" s="158">
        <x:v>100</x:v>
      </x:c>
      <x:c r="AW42" s="230">
        <x:v>100</x:v>
      </x:c>
      <x:c r="AX42" s="585" t="s">
        <x:v>1102</x:v>
      </x:c>
      <x:c r="AY42" s="33"/>
      <x:c r="AZ42" s="185"/>
      <x:c r="BA42" s="185"/>
      <x:c r="BB42" s="185"/>
      <x:c r="BC42" s="35"/>
      <x:c r="BD42" s="36"/>
      <x:c r="BE42" s="33"/>
      <x:c r="BF42" s="185"/>
      <x:c r="BG42" s="185"/>
      <x:c r="BH42" s="185"/>
      <x:c r="BI42" s="35"/>
      <x:c r="BJ42" s="36"/>
      <x:c r="BK42" s="33"/>
      <x:c r="BL42" s="185"/>
      <x:c r="BM42" s="185"/>
      <x:c r="BN42" s="185"/>
      <x:c r="BO42" s="35"/>
      <x:c r="BP42" s="36"/>
      <x:c r="BQ42" s="33"/>
      <x:c r="BR42" s="185"/>
      <x:c r="BS42" s="185"/>
      <x:c r="BT42" s="185"/>
      <x:c r="BU42" s="35"/>
      <x:c r="BV42" s="36"/>
    </x:row>
    <x:row r="43" spans="1:74" ht="22.5" customHeight="1" x14ac:dyDescent="0.25">
      <x:c r="A43" s="32" t="s">
        <x:v>275</x:v>
      </x:c>
      <x:c r="B43" s="114" t="s">
        <x:v>23</x:v>
      </x:c>
      <x:c r="C43" s="175"/>
      <x:c r="D43" s="158"/>
      <x:c r="E43" s="158"/>
      <x:c r="F43" s="158"/>
      <x:c r="G43" s="158"/>
      <x:c r="H43" s="159"/>
      <x:c r="I43" s="33"/>
      <x:c r="J43" s="185"/>
      <x:c r="K43" s="185"/>
      <x:c r="L43" s="185"/>
      <x:c r="M43" s="35"/>
      <x:c r="N43" s="36"/>
      <x:c r="O43" s="33"/>
      <x:c r="P43" s="185"/>
      <x:c r="Q43" s="185"/>
      <x:c r="R43" s="185"/>
      <x:c r="S43" s="35"/>
      <x:c r="T43" s="36"/>
      <x:c r="U43" s="33"/>
      <x:c r="V43" s="185"/>
      <x:c r="W43" s="185"/>
      <x:c r="X43" s="185"/>
      <x:c r="Y43" s="35"/>
      <x:c r="Z43" s="36"/>
      <x:c r="AA43" s="33"/>
      <x:c r="AB43" s="185"/>
      <x:c r="AC43" s="185"/>
      <x:c r="AD43" s="185"/>
      <x:c r="AE43" s="35"/>
      <x:c r="AF43" s="36"/>
      <x:c r="AG43" s="33"/>
      <x:c r="AH43" s="185"/>
      <x:c r="AI43" s="185"/>
      <x:c r="AJ43" s="185"/>
      <x:c r="AK43" s="35"/>
      <x:c r="AL43" s="36"/>
      <x:c r="AM43" s="157">
        <x:v>100</x:v>
      </x:c>
      <x:c r="AN43" s="158">
        <x:v>100</x:v>
      </x:c>
      <x:c r="AO43" s="158">
        <x:v>100</x:v>
      </x:c>
      <x:c r="AP43" s="158">
        <x:v>100</x:v>
      </x:c>
      <x:c r="AQ43" s="158">
        <x:v>100</x:v>
      </x:c>
      <x:c r="AR43" s="584" t="s">
        <x:v>1102</x:v>
      </x:c>
      <x:c r="AS43" s="157">
        <x:v>100</x:v>
      </x:c>
      <x:c r="AT43" s="158">
        <x:v>100</x:v>
      </x:c>
      <x:c r="AU43" s="158">
        <x:v>100</x:v>
      </x:c>
      <x:c r="AV43" s="158">
        <x:v>100</x:v>
      </x:c>
      <x:c r="AW43" s="230">
        <x:v>100</x:v>
      </x:c>
      <x:c r="AX43" s="585" t="s">
        <x:v>1102</x:v>
      </x:c>
      <x:c r="AY43" s="33"/>
      <x:c r="AZ43" s="185"/>
      <x:c r="BA43" s="185"/>
      <x:c r="BB43" s="185"/>
      <x:c r="BC43" s="35"/>
      <x:c r="BD43" s="36"/>
      <x:c r="BE43" s="33"/>
      <x:c r="BF43" s="185"/>
      <x:c r="BG43" s="185"/>
      <x:c r="BH43" s="185"/>
      <x:c r="BI43" s="35"/>
      <x:c r="BJ43" s="36"/>
      <x:c r="BK43" s="33"/>
      <x:c r="BL43" s="185"/>
      <x:c r="BM43" s="185"/>
      <x:c r="BN43" s="185"/>
      <x:c r="BO43" s="35"/>
      <x:c r="BP43" s="36"/>
      <x:c r="BQ43" s="33"/>
      <x:c r="BR43" s="185"/>
      <x:c r="BS43" s="185"/>
      <x:c r="BT43" s="185"/>
      <x:c r="BU43" s="35"/>
      <x:c r="BV43" s="36"/>
    </x:row>
    <x:row r="44" spans="1:74" ht="22.5" customHeight="1" x14ac:dyDescent="0.25">
      <x:c r="A44" s="32" t="s">
        <x:v>280</x:v>
      </x:c>
      <x:c r="B44" s="114" t="s">
        <x:v>37</x:v>
      </x:c>
      <x:c r="C44" s="175"/>
      <x:c r="D44" s="158"/>
      <x:c r="E44" s="158"/>
      <x:c r="F44" s="158"/>
      <x:c r="G44" s="158"/>
      <x:c r="H44" s="159"/>
      <x:c r="I44" s="33"/>
      <x:c r="J44" s="185"/>
      <x:c r="K44" s="185"/>
      <x:c r="L44" s="185"/>
      <x:c r="M44" s="35"/>
      <x:c r="N44" s="36"/>
      <x:c r="O44" s="33"/>
      <x:c r="P44" s="185"/>
      <x:c r="Q44" s="185"/>
      <x:c r="R44" s="185"/>
      <x:c r="S44" s="35"/>
      <x:c r="T44" s="36"/>
      <x:c r="U44" s="33"/>
      <x:c r="V44" s="185"/>
      <x:c r="W44" s="185"/>
      <x:c r="X44" s="185"/>
      <x:c r="Y44" s="35"/>
      <x:c r="Z44" s="36"/>
      <x:c r="AA44" s="33"/>
      <x:c r="AB44" s="185"/>
      <x:c r="AC44" s="185"/>
      <x:c r="AD44" s="185"/>
      <x:c r="AE44" s="35"/>
      <x:c r="AF44" s="36"/>
      <x:c r="AG44" s="33"/>
      <x:c r="AH44" s="185"/>
      <x:c r="AI44" s="185"/>
      <x:c r="AJ44" s="185"/>
      <x:c r="AK44" s="35"/>
      <x:c r="AL44" s="36"/>
      <x:c r="AM44" s="157">
        <x:v>100</x:v>
      </x:c>
      <x:c r="AN44" s="158">
        <x:v>100</x:v>
      </x:c>
      <x:c r="AO44" s="158">
        <x:v>100</x:v>
      </x:c>
      <x:c r="AP44" s="158">
        <x:v>100</x:v>
      </x:c>
      <x:c r="AQ44" s="158">
        <x:v>100</x:v>
      </x:c>
      <x:c r="AR44" s="584" t="s">
        <x:v>1102</x:v>
      </x:c>
      <x:c r="AS44" s="157">
        <x:v>100</x:v>
      </x:c>
      <x:c r="AT44" s="158">
        <x:v>100</x:v>
      </x:c>
      <x:c r="AU44" s="158">
        <x:v>100</x:v>
      </x:c>
      <x:c r="AV44" s="158">
        <x:v>100</x:v>
      </x:c>
      <x:c r="AW44" s="230">
        <x:v>97</x:v>
      </x:c>
      <x:c r="AX44" s="585" t="s">
        <x:v>1102</x:v>
      </x:c>
      <x:c r="AY44" s="33"/>
      <x:c r="AZ44" s="185"/>
      <x:c r="BA44" s="185"/>
      <x:c r="BB44" s="185"/>
      <x:c r="BC44" s="35"/>
      <x:c r="BD44" s="36"/>
      <x:c r="BE44" s="33"/>
      <x:c r="BF44" s="185"/>
      <x:c r="BG44" s="185"/>
      <x:c r="BH44" s="185"/>
      <x:c r="BI44" s="35"/>
      <x:c r="BJ44" s="36"/>
      <x:c r="BK44" s="33"/>
      <x:c r="BL44" s="185"/>
      <x:c r="BM44" s="185"/>
      <x:c r="BN44" s="185"/>
      <x:c r="BO44" s="35"/>
      <x:c r="BP44" s="36"/>
      <x:c r="BQ44" s="33"/>
      <x:c r="BR44" s="185"/>
      <x:c r="BS44" s="185"/>
      <x:c r="BT44" s="185"/>
      <x:c r="BU44" s="35"/>
      <x:c r="BV44" s="36"/>
    </x:row>
    <x:row r="45" spans="1:74" ht="22.5" customHeight="1" x14ac:dyDescent="0.3">
      <x:c r="A45" s="32" t="s">
        <x:v>253</x:v>
      </x:c>
      <x:c r="B45" s="114" t="s">
        <x:v>183</x:v>
      </x:c>
      <x:c r="C45" s="160"/>
      <x:c r="D45" s="161"/>
      <x:c r="E45" s="161"/>
      <x:c r="F45" s="161"/>
      <x:c r="G45" s="161"/>
      <x:c r="H45" s="162"/>
      <x:c r="I45" s="33"/>
      <x:c r="J45" s="185"/>
      <x:c r="K45" s="185"/>
      <x:c r="L45" s="185"/>
      <x:c r="M45" s="35"/>
      <x:c r="N45" s="36"/>
      <x:c r="O45" s="33"/>
      <x:c r="P45" s="185"/>
      <x:c r="Q45" s="185"/>
      <x:c r="R45" s="185"/>
      <x:c r="S45" s="35"/>
      <x:c r="T45" s="36"/>
      <x:c r="U45" s="33"/>
      <x:c r="V45" s="185"/>
      <x:c r="W45" s="185"/>
      <x:c r="X45" s="185"/>
      <x:c r="Y45" s="35"/>
      <x:c r="Z45" s="36"/>
      <x:c r="AA45" s="33"/>
      <x:c r="AB45" s="185"/>
      <x:c r="AC45" s="185"/>
      <x:c r="AD45" s="185"/>
      <x:c r="AE45" s="35"/>
      <x:c r="AF45" s="36"/>
      <x:c r="AG45" s="33"/>
      <x:c r="AH45" s="185"/>
      <x:c r="AI45" s="185"/>
      <x:c r="AJ45" s="185"/>
      <x:c r="AK45" s="35"/>
      <x:c r="AL45" s="36"/>
      <x:c r="AM45" s="157">
        <x:v>100</x:v>
      </x:c>
      <x:c r="AN45" s="158">
        <x:v>100</x:v>
      </x:c>
      <x:c r="AO45" s="158">
        <x:v>100</x:v>
      </x:c>
      <x:c r="AP45" s="158">
        <x:v>100</x:v>
      </x:c>
      <x:c r="AQ45" s="158">
        <x:v>100</x:v>
      </x:c>
      <x:c r="AR45" s="584" t="s">
        <x:v>1102</x:v>
      </x:c>
      <x:c r="AS45" s="157">
        <x:v>100</x:v>
      </x:c>
      <x:c r="AT45" s="158">
        <x:v>100</x:v>
      </x:c>
      <x:c r="AU45" s="158">
        <x:v>100</x:v>
      </x:c>
      <x:c r="AV45" s="158">
        <x:v>100</x:v>
      </x:c>
      <x:c r="AW45" s="230">
        <x:v>100</x:v>
      </x:c>
      <x:c r="AX45" s="585" t="s">
        <x:v>1102</x:v>
      </x:c>
      <x:c r="AY45" s="33"/>
      <x:c r="AZ45" s="185"/>
      <x:c r="BA45" s="185"/>
      <x:c r="BB45" s="185"/>
      <x:c r="BC45" s="35"/>
      <x:c r="BD45" s="36"/>
      <x:c r="BE45" s="33"/>
      <x:c r="BF45" s="185"/>
      <x:c r="BG45" s="185"/>
      <x:c r="BH45" s="185"/>
      <x:c r="BI45" s="35"/>
      <x:c r="BJ45" s="36"/>
      <x:c r="BK45" s="33"/>
      <x:c r="BL45" s="185"/>
      <x:c r="BM45" s="185"/>
      <x:c r="BN45" s="185"/>
      <x:c r="BO45" s="35"/>
      <x:c r="BP45" s="36"/>
      <x:c r="BQ45" s="33"/>
      <x:c r="BR45" s="185"/>
      <x:c r="BS45" s="185"/>
      <x:c r="BT45" s="185"/>
      <x:c r="BU45" s="35"/>
      <x:c r="BV45" s="36"/>
    </x:row>
    <x:row r="46" spans="1:74" x14ac:dyDescent="0.25">
      <x:c r="C46" s="498">
        <x:f t="array" ref="C46:C46">SUMPRODUCT((C3:C45&gt;=10)*(D3:D45&gt;=10)*(E3:E45&gt;=10)*(F3:F45&gt;=10)*(G3:G45&gt;=10))</x:f>
      </x:c>
      <x:c r="H46" s="227">
        <x:f>COUNTIF(H3:H45,"Да")</x:f>
      </x:c>
      <x:c r="I46" s="501">
        <x:f t="array" ref="I46:I46">SUMPRODUCT((I3:I45&gt;=10)*(J3:J45&gt;=10)*(K3:K45&gt;=10)*(L3:L45&gt;=10)*(M3:M45&gt;=10))</x:f>
      </x:c>
      <x:c r="J46" s="503"/>
      <x:c r="K46" s="503"/>
      <x:c r="L46" s="503"/>
      <x:c r="M46" s="503"/>
      <x:c r="N46" s="227">
        <x:f>COUNTIF(N3:N45,"Да")</x:f>
      </x:c>
      <x:c r="O46" s="501">
        <x:f t="array" ref="O46:O46">SUMPRODUCT((O3:O45&gt;=10)*(P3:P45&gt;=10)*(Q3:Q45&gt;=10)*(R3:R45&gt;=10)*(S3:S45&gt;=10))</x:f>
      </x:c>
      <x:c r="P46" s="503"/>
      <x:c r="Q46" s="503"/>
      <x:c r="R46" s="503"/>
      <x:c r="S46" s="503"/>
      <x:c r="T46" s="227">
        <x:f>COUNTIF(T3:T45,"Да")</x:f>
      </x:c>
      <x:c r="U46" s="501">
        <x:f t="array" ref="U46:U46">SUMPRODUCT((U3:U45&gt;=10)*(V3:V45&gt;=10)*(W3:W45&gt;=10)*(X3:X45&gt;=10)*(Y3:Y45&gt;=10))</x:f>
      </x:c>
      <x:c r="V46" s="503"/>
      <x:c r="W46" s="503"/>
      <x:c r="X46" s="503"/>
      <x:c r="Y46" s="503"/>
      <x:c r="Z46" s="227">
        <x:f>COUNTIF(Z3:Z45,"Да")</x:f>
      </x:c>
      <x:c r="AA46" s="501">
        <x:f t="array" ref="AA46:AA46">SUMPRODUCT((AA3:AA45&gt;=10)*(AB3:AB45&gt;=10)*(AC3:AC45&gt;=10)*(AD3:AD45&gt;=10)*(AE3:AE45&gt;=10))</x:f>
      </x:c>
      <x:c r="AB46" s="503"/>
      <x:c r="AC46" s="503"/>
      <x:c r="AD46" s="503"/>
      <x:c r="AE46" s="503"/>
      <x:c r="AF46" s="227">
        <x:f>COUNTIF(AF3:AF45,"Да")</x:f>
      </x:c>
      <x:c r="AG46" s="501">
        <x:f t="array" ref="AG46:AG46">SUMPRODUCT((AG3:AG45&gt;=10)*(AH3:AH45&gt;=10)*(AI3:AI45&gt;=10)*(AJ3:AJ45&gt;=10)*(AK3:AK45&gt;=10))</x:f>
      </x:c>
      <x:c r="AH46" s="503"/>
      <x:c r="AI46" s="503"/>
      <x:c r="AJ46" s="503"/>
      <x:c r="AK46" s="503"/>
      <x:c r="AL46" s="227">
        <x:f>COUNTIF(AL3:AL45,"Да")</x:f>
      </x:c>
      <x:c r="AM46" s="501">
        <x:f t="array" ref="AM46:AM46">SUMPRODUCT((AM3:AM45&gt;=10)*(AN3:AN45&gt;=10)*(AO3:AO45&gt;=10)*(AP3:AP45&gt;=10)*(AQ3:AQ45&gt;=10))</x:f>
      </x:c>
      <x:c r="AN46" s="503"/>
      <x:c r="AO46" s="503"/>
      <x:c r="AP46" s="503"/>
      <x:c r="AQ46" s="503"/>
      <x:c r="AR46" s="227">
        <x:f>COUNTIF(AR3:AR45,"Да")</x:f>
      </x:c>
      <x:c r="AS46" s="501">
        <x:f t="array" ref="AS46:AS46">SUMPRODUCT((AS3:AS45&gt;=10)*(AT3:AT45&gt;=10)*(AU3:AU45&gt;=10)*(AV3:AV45&gt;=10)*(AW3:AW45&gt;=10))</x:f>
      </x:c>
      <x:c r="AT46" s="503"/>
      <x:c r="AU46" s="503"/>
      <x:c r="AV46" s="503"/>
      <x:c r="AW46" s="503"/>
      <x:c r="AX46" s="227">
        <x:f>COUNTIF(AX3:AX45,"Да")</x:f>
      </x:c>
      <x:c r="AY46" s="501">
        <x:f t="array" ref="AY46:AY46">SUMPRODUCT((AY3:AY45&gt;=10)*(AZ3:AZ45&gt;=10)*(BA3:BA45&gt;=10)*(BB3:BB45&gt;=10)*(BC3:BC45&gt;=10))</x:f>
      </x:c>
      <x:c r="AZ46" s="503"/>
      <x:c r="BA46" s="503"/>
      <x:c r="BB46" s="503"/>
      <x:c r="BC46" s="503"/>
      <x:c r="BD46" s="227">
        <x:f>COUNTIF(BD3:BD45,"Да")</x:f>
      </x:c>
      <x:c r="BE46" s="501">
        <x:f t="array" ref="BE46:BE46">SUMPRODUCT((BE3:BE45&gt;=10)*(BF3:BF45&gt;=10)*(BG3:BG45&gt;=10)*(BH3:BH45&gt;=10)*(BI3:BI45&gt;=10))</x:f>
      </x:c>
      <x:c r="BF46" s="503"/>
      <x:c r="BG46" s="503"/>
      <x:c r="BH46" s="503"/>
      <x:c r="BI46" s="503"/>
      <x:c r="BJ46" s="227">
        <x:f>COUNTIF(BJ3:BJ45,"Да")</x:f>
      </x:c>
      <x:c r="BK46" s="501">
        <x:f t="array" ref="BK46:BK46">SUMPRODUCT((BK3:BK45&gt;=10)*(BL3:BL45&gt;=10)*(BM3:BM45&gt;=10)*(BN3:BN45&gt;=10)*(BO3:BO45&gt;=10))</x:f>
      </x:c>
      <x:c r="BL46" s="503"/>
      <x:c r="BM46" s="503"/>
      <x:c r="BN46" s="503"/>
      <x:c r="BO46" s="503"/>
      <x:c r="BP46" s="227">
        <x:f>COUNTIF(BP3:BP45,"Да")</x:f>
      </x:c>
      <x:c r="BQ46" s="501">
        <x:f t="array" ref="BQ46:BQ46">SUMPRODUCT((BQ3:BQ45&gt;=10)*(BR3:BR45&gt;=10)*(BS3:BS45&gt;=10)*(BT3:BT45&gt;=10)*(BU3:BU45&gt;=10))</x:f>
      </x:c>
      <x:c r="BR46" s="503"/>
      <x:c r="BS46" s="503"/>
      <x:c r="BT46" s="503"/>
      <x:c r="BU46" s="503"/>
      <x:c r="BV46" s="227">
        <x:f>COUNTIF(BV3:BV45,"Да")</x:f>
      </x:c>
    </x:row>
  </x:sheetData>
  <x:mergeCells count="28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AM9:AQ9"/>
    <x:mergeCell ref="AM26:AQ26"/>
    <x:mergeCell ref="AM37:AQ37"/>
    <x:mergeCell ref="C46:G46"/>
    <x:mergeCell ref="I46:M46"/>
    <x:mergeCell ref="O46:S46"/>
    <x:mergeCell ref="U46:Y46"/>
    <x:mergeCell ref="AA46:AE46"/>
    <x:mergeCell ref="AG46:AK46"/>
    <x:mergeCell ref="AM46:AQ46"/>
    <x:mergeCell ref="AS46:AW46"/>
    <x:mergeCell ref="AY46:BC46"/>
    <x:mergeCell ref="BE46:BI46"/>
    <x:mergeCell ref="BK46:BO46"/>
    <x:mergeCell ref="BQ46:BU46"/>
  </x:mergeCells>
  <x:conditionalFormatting sqref="C3:BV45">
    <x:cfRule type="containsBlanks" dxfId="8" priority="1">
      <x:formula>LEN(TRIM(C3))=0</x:formula>
    </x:cfRule>
    <x:cfRule type="expression" priority="6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45">
    <x:cfRule type="duplicateValues" dxfId="0" priority="8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BV35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8.1406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9.285156" style="0" customWidth="1"/>
    <x:col min="45" max="49" width="9.140625" style="0" customWidth="1"/>
    <x:col min="50" max="50" width="9.855469" style="0" customWidth="1"/>
    <x:col min="51" max="55" width="9.140625" style="0" customWidth="1"/>
    <x:col min="56" max="56" width="9.855469" style="0" customWidth="1"/>
    <x:col min="57" max="61" width="9.140625" style="0" customWidth="1"/>
    <x:col min="62" max="62" width="9.710938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9.855469" style="0" customWidth="1"/>
  </x:cols>
  <x:sheetData>
    <x:row r="1" spans="1:74" ht="23.25" customHeight="1" x14ac:dyDescent="0.3">
      <x:c r="A1" s="22" t="s">
        <x:v>1112</x:v>
      </x:c>
      <x:c r="B1" s="496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6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4.75" customHeight="1" x14ac:dyDescent="0.25">
      <x:c r="A3" s="28" t="s">
        <x:v>220</x:v>
      </x:c>
      <x:c r="B3" s="28" t="s">
        <x:v>16</x:v>
      </x:c>
      <x:c r="C3" s="154"/>
      <x:c r="D3" s="155"/>
      <x:c r="E3" s="155"/>
      <x:c r="F3" s="155"/>
      <x:c r="G3" s="155"/>
      <x:c r="H3" s="156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154">
        <x:v>100</x:v>
      </x:c>
      <x:c r="AN3" s="155">
        <x:v>100</x:v>
      </x:c>
      <x:c r="AO3" s="155">
        <x:v>100</x:v>
      </x:c>
      <x:c r="AP3" s="155">
        <x:v>100</x:v>
      </x:c>
      <x:c r="AQ3" s="155">
        <x:v>100</x:v>
      </x:c>
      <x:c r="AR3" s="582" t="s">
        <x:v>1102</x:v>
      </x:c>
      <x:c r="AS3" s="154">
        <x:v>100</x:v>
      </x:c>
      <x:c r="AT3" s="155">
        <x:v>100</x:v>
      </x:c>
      <x:c r="AU3" s="155">
        <x:v>100</x:v>
      </x:c>
      <x:c r="AV3" s="155">
        <x:v>100</x:v>
      </x:c>
      <x:c r="AW3" s="228">
        <x:v>100</x:v>
      </x:c>
      <x:c r="AX3" s="583" t="s">
        <x:v>1102</x:v>
      </x:c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ht="22.5" customHeight="1" x14ac:dyDescent="0.25">
      <x:c r="A4" s="32" t="s">
        <x:v>231</x:v>
      </x:c>
      <x:c r="B4" s="32" t="s">
        <x:v>23</x:v>
      </x:c>
      <x:c r="C4" s="157"/>
      <x:c r="D4" s="158"/>
      <x:c r="E4" s="158"/>
      <x:c r="F4" s="158"/>
      <x:c r="G4" s="158"/>
      <x:c r="H4" s="159"/>
      <x:c r="I4" s="167"/>
      <x:c r="J4" s="185"/>
      <x:c r="K4" s="185"/>
      <x:c r="L4" s="185"/>
      <x:c r="M4" s="35"/>
      <x:c r="N4" s="36"/>
      <x:c r="O4" s="167"/>
      <x:c r="P4" s="185"/>
      <x:c r="Q4" s="185"/>
      <x:c r="R4" s="185"/>
      <x:c r="S4" s="35"/>
      <x:c r="T4" s="36"/>
      <x:c r="U4" s="167"/>
      <x:c r="V4" s="185"/>
      <x:c r="W4" s="185"/>
      <x:c r="X4" s="185"/>
      <x:c r="Y4" s="35"/>
      <x:c r="Z4" s="36"/>
      <x:c r="AA4" s="167"/>
      <x:c r="AB4" s="185"/>
      <x:c r="AC4" s="185"/>
      <x:c r="AD4" s="185"/>
      <x:c r="AE4" s="35"/>
      <x:c r="AF4" s="36"/>
      <x:c r="AG4" s="167"/>
      <x:c r="AH4" s="185"/>
      <x:c r="AI4" s="185"/>
      <x:c r="AJ4" s="185"/>
      <x:c r="AK4" s="3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584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230">
        <x:v>100</x:v>
      </x:c>
      <x:c r="AX4" s="585" t="s">
        <x:v>1102</x:v>
      </x:c>
      <x:c r="AY4" s="167"/>
      <x:c r="AZ4" s="185"/>
      <x:c r="BA4" s="185"/>
      <x:c r="BB4" s="185"/>
      <x:c r="BC4" s="35"/>
      <x:c r="BD4" s="36"/>
      <x:c r="BE4" s="167"/>
      <x:c r="BF4" s="185"/>
      <x:c r="BG4" s="185"/>
      <x:c r="BH4" s="185"/>
      <x:c r="BI4" s="35"/>
      <x:c r="BJ4" s="36"/>
      <x:c r="BK4" s="167"/>
      <x:c r="BL4" s="185"/>
      <x:c r="BM4" s="185"/>
      <x:c r="BN4" s="185"/>
      <x:c r="BO4" s="35"/>
      <x:c r="BP4" s="36"/>
      <x:c r="BQ4" s="167"/>
      <x:c r="BR4" s="185"/>
      <x:c r="BS4" s="185"/>
      <x:c r="BT4" s="185"/>
      <x:c r="BU4" s="35"/>
      <x:c r="BV4" s="36"/>
    </x:row>
    <x:row r="5" spans="1:74" ht="22.5" customHeight="1" x14ac:dyDescent="0.25">
      <x:c r="A5" s="32" t="s">
        <x:v>237</x:v>
      </x:c>
      <x:c r="B5" s="32" t="s">
        <x:v>233</x:v>
      </x:c>
      <x:c r="C5" s="157"/>
      <x:c r="D5" s="158"/>
      <x:c r="E5" s="158"/>
      <x:c r="F5" s="158"/>
      <x:c r="G5" s="158"/>
      <x:c r="H5" s="159"/>
      <x:c r="I5" s="167"/>
      <x:c r="J5" s="185"/>
      <x:c r="K5" s="185"/>
      <x:c r="L5" s="185"/>
      <x:c r="M5" s="35"/>
      <x:c r="N5" s="36"/>
      <x:c r="O5" s="167"/>
      <x:c r="P5" s="185"/>
      <x:c r="Q5" s="185"/>
      <x:c r="R5" s="185"/>
      <x:c r="S5" s="35"/>
      <x:c r="T5" s="36"/>
      <x:c r="U5" s="167"/>
      <x:c r="V5" s="185"/>
      <x:c r="W5" s="185"/>
      <x:c r="X5" s="185"/>
      <x:c r="Y5" s="35"/>
      <x:c r="Z5" s="36"/>
      <x:c r="AA5" s="167"/>
      <x:c r="AB5" s="185"/>
      <x:c r="AC5" s="185"/>
      <x:c r="AD5" s="185"/>
      <x:c r="AE5" s="35"/>
      <x:c r="AF5" s="36"/>
      <x:c r="AG5" s="167"/>
      <x:c r="AH5" s="185"/>
      <x:c r="AI5" s="185"/>
      <x:c r="AJ5" s="185"/>
      <x:c r="AK5" s="3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584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230">
        <x:v>100</x:v>
      </x:c>
      <x:c r="AX5" s="585" t="s">
        <x:v>1102</x:v>
      </x:c>
      <x:c r="AY5" s="167"/>
      <x:c r="AZ5" s="185"/>
      <x:c r="BA5" s="185"/>
      <x:c r="BB5" s="185"/>
      <x:c r="BC5" s="35"/>
      <x:c r="BD5" s="36"/>
      <x:c r="BE5" s="167"/>
      <x:c r="BF5" s="185"/>
      <x:c r="BG5" s="185"/>
      <x:c r="BH5" s="185"/>
      <x:c r="BI5" s="35"/>
      <x:c r="BJ5" s="36"/>
      <x:c r="BK5" s="167"/>
      <x:c r="BL5" s="185"/>
      <x:c r="BM5" s="185"/>
      <x:c r="BN5" s="185"/>
      <x:c r="BO5" s="35"/>
      <x:c r="BP5" s="36"/>
      <x:c r="BQ5" s="167"/>
      <x:c r="BR5" s="185"/>
      <x:c r="BS5" s="185"/>
      <x:c r="BT5" s="185"/>
      <x:c r="BU5" s="35"/>
      <x:c r="BV5" s="36"/>
    </x:row>
    <x:row r="6" spans="1:74" ht="22.5" customHeight="1" x14ac:dyDescent="0.25">
      <x:c r="A6" s="32" t="s">
        <x:v>227</x:v>
      </x:c>
      <x:c r="B6" s="32" t="s">
        <x:v>23</x:v>
      </x:c>
      <x:c r="C6" s="157"/>
      <x:c r="D6" s="158"/>
      <x:c r="E6" s="158"/>
      <x:c r="F6" s="158"/>
      <x:c r="G6" s="158"/>
      <x:c r="H6" s="159"/>
      <x:c r="I6" s="167"/>
      <x:c r="J6" s="185"/>
      <x:c r="K6" s="185"/>
      <x:c r="L6" s="185"/>
      <x:c r="M6" s="35"/>
      <x:c r="N6" s="36"/>
      <x:c r="O6" s="167"/>
      <x:c r="P6" s="185"/>
      <x:c r="Q6" s="185"/>
      <x:c r="R6" s="185"/>
      <x:c r="S6" s="35"/>
      <x:c r="T6" s="36"/>
      <x:c r="U6" s="167"/>
      <x:c r="V6" s="185"/>
      <x:c r="W6" s="185"/>
      <x:c r="X6" s="185"/>
      <x:c r="Y6" s="35"/>
      <x:c r="Z6" s="36"/>
      <x:c r="AA6" s="167"/>
      <x:c r="AB6" s="185"/>
      <x:c r="AC6" s="185"/>
      <x:c r="AD6" s="185"/>
      <x:c r="AE6" s="35"/>
      <x:c r="AF6" s="36"/>
      <x:c r="AG6" s="167"/>
      <x:c r="AH6" s="185"/>
      <x:c r="AI6" s="185"/>
      <x:c r="AJ6" s="185"/>
      <x:c r="AK6" s="3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584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230">
        <x:v>100</x:v>
      </x:c>
      <x:c r="AX6" s="585" t="s">
        <x:v>1102</x:v>
      </x:c>
      <x:c r="AY6" s="167"/>
      <x:c r="AZ6" s="185"/>
      <x:c r="BA6" s="185"/>
      <x:c r="BB6" s="185"/>
      <x:c r="BC6" s="35"/>
      <x:c r="BD6" s="36"/>
      <x:c r="BE6" s="167"/>
      <x:c r="BF6" s="185"/>
      <x:c r="BG6" s="185"/>
      <x:c r="BH6" s="185"/>
      <x:c r="BI6" s="35"/>
      <x:c r="BJ6" s="36"/>
      <x:c r="BK6" s="167"/>
      <x:c r="BL6" s="185"/>
      <x:c r="BM6" s="185"/>
      <x:c r="BN6" s="185"/>
      <x:c r="BO6" s="35"/>
      <x:c r="BP6" s="36"/>
      <x:c r="BQ6" s="167"/>
      <x:c r="BR6" s="185"/>
      <x:c r="BS6" s="185"/>
      <x:c r="BT6" s="185"/>
      <x:c r="BU6" s="35"/>
      <x:c r="BV6" s="36"/>
    </x:row>
    <x:row r="7" spans="1:74" ht="22.5" customHeight="1" x14ac:dyDescent="0.25">
      <x:c r="A7" s="32" t="s">
        <x:v>247</x:v>
      </x:c>
      <x:c r="B7" s="32" t="s">
        <x:v>37</x:v>
      </x:c>
      <x:c r="C7" s="157"/>
      <x:c r="D7" s="158"/>
      <x:c r="E7" s="158"/>
      <x:c r="F7" s="158"/>
      <x:c r="G7" s="158"/>
      <x:c r="H7" s="159"/>
      <x:c r="I7" s="167"/>
      <x:c r="J7" s="185"/>
      <x:c r="K7" s="185"/>
      <x:c r="L7" s="185"/>
      <x:c r="M7" s="35"/>
      <x:c r="N7" s="36"/>
      <x:c r="O7" s="167"/>
      <x:c r="P7" s="185"/>
      <x:c r="Q7" s="185"/>
      <x:c r="R7" s="185"/>
      <x:c r="S7" s="35"/>
      <x:c r="T7" s="36"/>
      <x:c r="U7" s="167"/>
      <x:c r="V7" s="185"/>
      <x:c r="W7" s="185"/>
      <x:c r="X7" s="185"/>
      <x:c r="Y7" s="35"/>
      <x:c r="Z7" s="36"/>
      <x:c r="AA7" s="167"/>
      <x:c r="AB7" s="185"/>
      <x:c r="AC7" s="185"/>
      <x:c r="AD7" s="185"/>
      <x:c r="AE7" s="35"/>
      <x:c r="AF7" s="36"/>
      <x:c r="AG7" s="167"/>
      <x:c r="AH7" s="185"/>
      <x:c r="AI7" s="185"/>
      <x:c r="AJ7" s="185"/>
      <x:c r="AK7" s="3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584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230">
        <x:v>100</x:v>
      </x:c>
      <x:c r="AX7" s="585" t="s">
        <x:v>1102</x:v>
      </x:c>
      <x:c r="AY7" s="167"/>
      <x:c r="AZ7" s="185"/>
      <x:c r="BA7" s="185"/>
      <x:c r="BB7" s="185"/>
      <x:c r="BC7" s="35"/>
      <x:c r="BD7" s="36"/>
      <x:c r="BE7" s="167"/>
      <x:c r="BF7" s="185"/>
      <x:c r="BG7" s="185"/>
      <x:c r="BH7" s="185"/>
      <x:c r="BI7" s="35"/>
      <x:c r="BJ7" s="36"/>
      <x:c r="BK7" s="167"/>
      <x:c r="BL7" s="185"/>
      <x:c r="BM7" s="185"/>
      <x:c r="BN7" s="185"/>
      <x:c r="BO7" s="35"/>
      <x:c r="BP7" s="36"/>
      <x:c r="BQ7" s="167"/>
      <x:c r="BR7" s="185"/>
      <x:c r="BS7" s="185"/>
      <x:c r="BT7" s="185"/>
      <x:c r="BU7" s="35"/>
      <x:c r="BV7" s="36"/>
    </x:row>
    <x:row r="8" spans="1:74" ht="22.5" customHeight="1" x14ac:dyDescent="0.25">
      <x:c r="A8" s="32" t="s">
        <x:v>218</x:v>
      </x:c>
      <x:c r="B8" s="32" t="s">
        <x:v>16</x:v>
      </x:c>
      <x:c r="C8" s="157"/>
      <x:c r="D8" s="158"/>
      <x:c r="E8" s="158"/>
      <x:c r="F8" s="158"/>
      <x:c r="G8" s="158"/>
      <x:c r="H8" s="159"/>
      <x:c r="I8" s="167"/>
      <x:c r="J8" s="185"/>
      <x:c r="K8" s="185"/>
      <x:c r="L8" s="185"/>
      <x:c r="M8" s="35"/>
      <x:c r="N8" s="36"/>
      <x:c r="O8" s="167"/>
      <x:c r="P8" s="185"/>
      <x:c r="Q8" s="185"/>
      <x:c r="R8" s="185"/>
      <x:c r="S8" s="35"/>
      <x:c r="T8" s="36"/>
      <x:c r="U8" s="167"/>
      <x:c r="V8" s="185"/>
      <x:c r="W8" s="185"/>
      <x:c r="X8" s="185"/>
      <x:c r="Y8" s="35"/>
      <x:c r="Z8" s="36"/>
      <x:c r="AA8" s="167"/>
      <x:c r="AB8" s="185"/>
      <x:c r="AC8" s="185"/>
      <x:c r="AD8" s="185"/>
      <x:c r="AE8" s="35"/>
      <x:c r="AF8" s="36"/>
      <x:c r="AG8" s="167"/>
      <x:c r="AH8" s="185"/>
      <x:c r="AI8" s="185"/>
      <x:c r="AJ8" s="185"/>
      <x:c r="AK8" s="3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584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230">
        <x:v>100</x:v>
      </x:c>
      <x:c r="AX8" s="585" t="s">
        <x:v>1102</x:v>
      </x:c>
      <x:c r="AY8" s="167"/>
      <x:c r="AZ8" s="185"/>
      <x:c r="BA8" s="185"/>
      <x:c r="BB8" s="185"/>
      <x:c r="BC8" s="35"/>
      <x:c r="BD8" s="36"/>
      <x:c r="BE8" s="167"/>
      <x:c r="BF8" s="185"/>
      <x:c r="BG8" s="185"/>
      <x:c r="BH8" s="185"/>
      <x:c r="BI8" s="35"/>
      <x:c r="BJ8" s="36"/>
      <x:c r="BK8" s="167"/>
      <x:c r="BL8" s="185"/>
      <x:c r="BM8" s="185"/>
      <x:c r="BN8" s="185"/>
      <x:c r="BO8" s="35"/>
      <x:c r="BP8" s="36"/>
      <x:c r="BQ8" s="167"/>
      <x:c r="BR8" s="185"/>
      <x:c r="BS8" s="185"/>
      <x:c r="BT8" s="185"/>
      <x:c r="BU8" s="35"/>
      <x:c r="BV8" s="36"/>
    </x:row>
    <x:row r="9" spans="1:74" ht="17.25" customHeight="1" x14ac:dyDescent="0.25">
      <x:c r="A9" s="587" t="s">
        <x:v>214</x:v>
      </x:c>
      <x:c r="B9" s="586" t="s">
        <x:v>14</x:v>
      </x:c>
      <x:c r="C9" s="157"/>
      <x:c r="D9" s="158"/>
      <x:c r="E9" s="158"/>
      <x:c r="F9" s="158"/>
      <x:c r="G9" s="158"/>
      <x:c r="H9" s="159"/>
      <x:c r="I9" s="167"/>
      <x:c r="J9" s="185"/>
      <x:c r="K9" s="185"/>
      <x:c r="L9" s="185"/>
      <x:c r="M9" s="35"/>
      <x:c r="N9" s="36"/>
      <x:c r="O9" s="167"/>
      <x:c r="P9" s="185"/>
      <x:c r="Q9" s="185"/>
      <x:c r="R9" s="185"/>
      <x:c r="S9" s="35"/>
      <x:c r="T9" s="36"/>
      <x:c r="U9" s="167"/>
      <x:c r="V9" s="185"/>
      <x:c r="W9" s="185"/>
      <x:c r="X9" s="185"/>
      <x:c r="Y9" s="35"/>
      <x:c r="Z9" s="36"/>
      <x:c r="AA9" s="167"/>
      <x:c r="AB9" s="185"/>
      <x:c r="AC9" s="185"/>
      <x:c r="AD9" s="185"/>
      <x:c r="AE9" s="35"/>
      <x:c r="AF9" s="36"/>
      <x:c r="AG9" s="167"/>
      <x:c r="AH9" s="185"/>
      <x:c r="AI9" s="185"/>
      <x:c r="AJ9" s="185"/>
      <x:c r="AK9" s="35"/>
      <x:c r="AL9" s="36"/>
      <x:c r="AM9" s="588">
        <x:v>0</x:v>
      </x:c>
      <x:c r="AN9" s="589">
        <x:v>0</x:v>
      </x:c>
      <x:c r="AO9" s="589">
        <x:v>0</x:v>
      </x:c>
      <x:c r="AP9" s="589">
        <x:v>0</x:v>
      </x:c>
      <x:c r="AQ9" s="589">
        <x:v>0</x:v>
      </x:c>
      <x:c r="AR9" s="592" t="s">
        <x:v>1103</x:v>
      </x:c>
      <x:c r="AS9" s="617">
        <x:v>0</x:v>
      </x:c>
      <x:c r="AT9" s="589">
        <x:v>0</x:v>
      </x:c>
      <x:c r="AU9" s="589">
        <x:v>0</x:v>
      </x:c>
      <x:c r="AV9" s="589">
        <x:v>0</x:v>
      </x:c>
      <x:c r="AW9" s="590">
        <x:v>0</x:v>
      </x:c>
      <x:c r="AX9" s="591" t="s">
        <x:v>1103</x:v>
      </x:c>
      <x:c r="AY9" s="167"/>
      <x:c r="AZ9" s="185"/>
      <x:c r="BA9" s="185"/>
      <x:c r="BB9" s="185"/>
      <x:c r="BC9" s="35"/>
      <x:c r="BD9" s="36"/>
      <x:c r="BE9" s="167"/>
      <x:c r="BF9" s="185"/>
      <x:c r="BG9" s="185"/>
      <x:c r="BH9" s="185"/>
      <x:c r="BI9" s="35"/>
      <x:c r="BJ9" s="36"/>
      <x:c r="BK9" s="167"/>
      <x:c r="BL9" s="185"/>
      <x:c r="BM9" s="185"/>
      <x:c r="BN9" s="185"/>
      <x:c r="BO9" s="35"/>
      <x:c r="BP9" s="36"/>
      <x:c r="BQ9" s="167"/>
      <x:c r="BR9" s="185"/>
      <x:c r="BS9" s="185"/>
      <x:c r="BT9" s="185"/>
      <x:c r="BU9" s="35"/>
      <x:c r="BV9" s="36"/>
    </x:row>
    <x:row r="10" spans="1:74" ht="22.5" customHeight="1" x14ac:dyDescent="0.25">
      <x:c r="A10" s="32" t="s">
        <x:v>244</x:v>
      </x:c>
      <x:c r="B10" s="32" t="s">
        <x:v>243</x:v>
      </x:c>
      <x:c r="C10" s="157"/>
      <x:c r="D10" s="158"/>
      <x:c r="E10" s="158"/>
      <x:c r="F10" s="158"/>
      <x:c r="G10" s="158"/>
      <x:c r="H10" s="159"/>
      <x:c r="I10" s="167"/>
      <x:c r="J10" s="185"/>
      <x:c r="K10" s="185"/>
      <x:c r="L10" s="185"/>
      <x:c r="M10" s="35"/>
      <x:c r="N10" s="36"/>
      <x:c r="O10" s="167"/>
      <x:c r="P10" s="185"/>
      <x:c r="Q10" s="185"/>
      <x:c r="R10" s="185"/>
      <x:c r="S10" s="35"/>
      <x:c r="T10" s="36"/>
      <x:c r="U10" s="167"/>
      <x:c r="V10" s="185"/>
      <x:c r="W10" s="185"/>
      <x:c r="X10" s="185"/>
      <x:c r="Y10" s="35"/>
      <x:c r="Z10" s="36"/>
      <x:c r="AA10" s="167"/>
      <x:c r="AB10" s="185"/>
      <x:c r="AC10" s="185"/>
      <x:c r="AD10" s="185"/>
      <x:c r="AE10" s="35"/>
      <x:c r="AF10" s="36"/>
      <x:c r="AG10" s="167"/>
      <x:c r="AH10" s="185"/>
      <x:c r="AI10" s="185"/>
      <x:c r="AJ10" s="185"/>
      <x:c r="AK10" s="3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584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230">
        <x:v>100</x:v>
      </x:c>
      <x:c r="AX10" s="585" t="s">
        <x:v>1102</x:v>
      </x:c>
      <x:c r="AY10" s="167"/>
      <x:c r="AZ10" s="185"/>
      <x:c r="BA10" s="185"/>
      <x:c r="BB10" s="185"/>
      <x:c r="BC10" s="35"/>
      <x:c r="BD10" s="36"/>
      <x:c r="BE10" s="167"/>
      <x:c r="BF10" s="185"/>
      <x:c r="BG10" s="185"/>
      <x:c r="BH10" s="185"/>
      <x:c r="BI10" s="35"/>
      <x:c r="BJ10" s="36"/>
      <x:c r="BK10" s="167"/>
      <x:c r="BL10" s="185"/>
      <x:c r="BM10" s="185"/>
      <x:c r="BN10" s="185"/>
      <x:c r="BO10" s="35"/>
      <x:c r="BP10" s="36"/>
      <x:c r="BQ10" s="167"/>
      <x:c r="BR10" s="185"/>
      <x:c r="BS10" s="185"/>
      <x:c r="BT10" s="185"/>
      <x:c r="BU10" s="35"/>
      <x:c r="BV10" s="36"/>
    </x:row>
    <x:row r="11" spans="1:74" ht="22.5" customHeight="1" x14ac:dyDescent="0.25">
      <x:c r="A11" s="32" t="s">
        <x:v>219</x:v>
      </x:c>
      <x:c r="B11" s="32" t="s">
        <x:v>16</x:v>
      </x:c>
      <x:c r="C11" s="157"/>
      <x:c r="D11" s="158"/>
      <x:c r="E11" s="158"/>
      <x:c r="F11" s="158"/>
      <x:c r="G11" s="158"/>
      <x:c r="H11" s="159"/>
      <x:c r="I11" s="167"/>
      <x:c r="J11" s="185"/>
      <x:c r="K11" s="185"/>
      <x:c r="L11" s="185"/>
      <x:c r="M11" s="35"/>
      <x:c r="N11" s="36"/>
      <x:c r="O11" s="167"/>
      <x:c r="P11" s="185"/>
      <x:c r="Q11" s="185"/>
      <x:c r="R11" s="185"/>
      <x:c r="S11" s="35"/>
      <x:c r="T11" s="36"/>
      <x:c r="U11" s="167"/>
      <x:c r="V11" s="185"/>
      <x:c r="W11" s="185"/>
      <x:c r="X11" s="185"/>
      <x:c r="Y11" s="35"/>
      <x:c r="Z11" s="36"/>
      <x:c r="AA11" s="167"/>
      <x:c r="AB11" s="185"/>
      <x:c r="AC11" s="185"/>
      <x:c r="AD11" s="185"/>
      <x:c r="AE11" s="35"/>
      <x:c r="AF11" s="36"/>
      <x:c r="AG11" s="167"/>
      <x:c r="AH11" s="185"/>
      <x:c r="AI11" s="185"/>
      <x:c r="AJ11" s="185"/>
      <x:c r="AK11" s="3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584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230">
        <x:v>100</x:v>
      </x:c>
      <x:c r="AX11" s="585" t="s">
        <x:v>1102</x:v>
      </x:c>
      <x:c r="AY11" s="167"/>
      <x:c r="AZ11" s="185"/>
      <x:c r="BA11" s="185"/>
      <x:c r="BB11" s="185"/>
      <x:c r="BC11" s="35"/>
      <x:c r="BD11" s="36"/>
      <x:c r="BE11" s="167"/>
      <x:c r="BF11" s="185"/>
      <x:c r="BG11" s="185"/>
      <x:c r="BH11" s="185"/>
      <x:c r="BI11" s="35"/>
      <x:c r="BJ11" s="36"/>
      <x:c r="BK11" s="167"/>
      <x:c r="BL11" s="185"/>
      <x:c r="BM11" s="185"/>
      <x:c r="BN11" s="185"/>
      <x:c r="BO11" s="35"/>
      <x:c r="BP11" s="36"/>
      <x:c r="BQ11" s="167"/>
      <x:c r="BR11" s="185"/>
      <x:c r="BS11" s="185"/>
      <x:c r="BT11" s="185"/>
      <x:c r="BU11" s="35"/>
      <x:c r="BV11" s="36"/>
    </x:row>
    <x:row r="12" spans="1:74" ht="22.5" customHeight="1" x14ac:dyDescent="0.25">
      <x:c r="A12" s="32" t="s">
        <x:v>223</x:v>
      </x:c>
      <x:c r="B12" s="32" t="s">
        <x:v>23</x:v>
      </x:c>
      <x:c r="C12" s="157"/>
      <x:c r="D12" s="158"/>
      <x:c r="E12" s="158"/>
      <x:c r="F12" s="158"/>
      <x:c r="G12" s="158"/>
      <x:c r="H12" s="159"/>
      <x:c r="I12" s="167"/>
      <x:c r="J12" s="185"/>
      <x:c r="K12" s="185"/>
      <x:c r="L12" s="185"/>
      <x:c r="M12" s="35"/>
      <x:c r="N12" s="36"/>
      <x:c r="O12" s="167"/>
      <x:c r="P12" s="185"/>
      <x:c r="Q12" s="185"/>
      <x:c r="R12" s="185"/>
      <x:c r="S12" s="35"/>
      <x:c r="T12" s="36"/>
      <x:c r="U12" s="167"/>
      <x:c r="V12" s="185"/>
      <x:c r="W12" s="185"/>
      <x:c r="X12" s="185"/>
      <x:c r="Y12" s="35"/>
      <x:c r="Z12" s="36"/>
      <x:c r="AA12" s="167"/>
      <x:c r="AB12" s="185"/>
      <x:c r="AC12" s="185"/>
      <x:c r="AD12" s="185"/>
      <x:c r="AE12" s="35"/>
      <x:c r="AF12" s="36"/>
      <x:c r="AG12" s="167"/>
      <x:c r="AH12" s="185"/>
      <x:c r="AI12" s="185"/>
      <x:c r="AJ12" s="185"/>
      <x:c r="AK12" s="3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584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230">
        <x:v>100</x:v>
      </x:c>
      <x:c r="AX12" s="585" t="s">
        <x:v>1102</x:v>
      </x:c>
      <x:c r="AY12" s="167"/>
      <x:c r="AZ12" s="185"/>
      <x:c r="BA12" s="185"/>
      <x:c r="BB12" s="185"/>
      <x:c r="BC12" s="35"/>
      <x:c r="BD12" s="36"/>
      <x:c r="BE12" s="167"/>
      <x:c r="BF12" s="185"/>
      <x:c r="BG12" s="185"/>
      <x:c r="BH12" s="185"/>
      <x:c r="BI12" s="35"/>
      <x:c r="BJ12" s="36"/>
      <x:c r="BK12" s="167"/>
      <x:c r="BL12" s="185"/>
      <x:c r="BM12" s="185"/>
      <x:c r="BN12" s="185"/>
      <x:c r="BO12" s="35"/>
      <x:c r="BP12" s="36"/>
      <x:c r="BQ12" s="167"/>
      <x:c r="BR12" s="185"/>
      <x:c r="BS12" s="185"/>
      <x:c r="BT12" s="185"/>
      <x:c r="BU12" s="35"/>
      <x:c r="BV12" s="36"/>
    </x:row>
    <x:row r="13" spans="1:74" ht="22.5" customHeight="1" x14ac:dyDescent="0.25">
      <x:c r="A13" s="32" t="s">
        <x:v>236</x:v>
      </x:c>
      <x:c r="B13" s="32" t="s">
        <x:v>233</x:v>
      </x:c>
      <x:c r="C13" s="157"/>
      <x:c r="D13" s="158"/>
      <x:c r="E13" s="158"/>
      <x:c r="F13" s="158"/>
      <x:c r="G13" s="158"/>
      <x:c r="H13" s="159"/>
      <x:c r="I13" s="167"/>
      <x:c r="J13" s="185"/>
      <x:c r="K13" s="185"/>
      <x:c r="L13" s="185"/>
      <x:c r="M13" s="35"/>
      <x:c r="N13" s="36"/>
      <x:c r="O13" s="167"/>
      <x:c r="P13" s="185"/>
      <x:c r="Q13" s="185"/>
      <x:c r="R13" s="185"/>
      <x:c r="S13" s="35"/>
      <x:c r="T13" s="36"/>
      <x:c r="U13" s="167"/>
      <x:c r="V13" s="185"/>
      <x:c r="W13" s="185"/>
      <x:c r="X13" s="185"/>
      <x:c r="Y13" s="35"/>
      <x:c r="Z13" s="36"/>
      <x:c r="AA13" s="167"/>
      <x:c r="AB13" s="185"/>
      <x:c r="AC13" s="185"/>
      <x:c r="AD13" s="185"/>
      <x:c r="AE13" s="35"/>
      <x:c r="AF13" s="36"/>
      <x:c r="AG13" s="167"/>
      <x:c r="AH13" s="185"/>
      <x:c r="AI13" s="185"/>
      <x:c r="AJ13" s="185"/>
      <x:c r="AK13" s="3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584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230">
        <x:v>100</x:v>
      </x:c>
      <x:c r="AX13" s="585" t="s">
        <x:v>1102</x:v>
      </x:c>
      <x:c r="AY13" s="167"/>
      <x:c r="AZ13" s="185"/>
      <x:c r="BA13" s="185"/>
      <x:c r="BB13" s="185"/>
      <x:c r="BC13" s="35"/>
      <x:c r="BD13" s="36"/>
      <x:c r="BE13" s="167"/>
      <x:c r="BF13" s="185"/>
      <x:c r="BG13" s="185"/>
      <x:c r="BH13" s="185"/>
      <x:c r="BI13" s="35"/>
      <x:c r="BJ13" s="36"/>
      <x:c r="BK13" s="167"/>
      <x:c r="BL13" s="185"/>
      <x:c r="BM13" s="185"/>
      <x:c r="BN13" s="185"/>
      <x:c r="BO13" s="35"/>
      <x:c r="BP13" s="36"/>
      <x:c r="BQ13" s="167"/>
      <x:c r="BR13" s="185"/>
      <x:c r="BS13" s="185"/>
      <x:c r="BT13" s="185"/>
      <x:c r="BU13" s="35"/>
      <x:c r="BV13" s="36"/>
    </x:row>
    <x:row r="14" spans="1:74" ht="22.5" customHeight="1" x14ac:dyDescent="0.25">
      <x:c r="A14" s="32" t="s">
        <x:v>226</x:v>
      </x:c>
      <x:c r="B14" s="32" t="s">
        <x:v>23</x:v>
      </x:c>
      <x:c r="C14" s="157"/>
      <x:c r="D14" s="158"/>
      <x:c r="E14" s="158"/>
      <x:c r="F14" s="158"/>
      <x:c r="G14" s="158"/>
      <x:c r="H14" s="159"/>
      <x:c r="I14" s="167"/>
      <x:c r="J14" s="185"/>
      <x:c r="K14" s="185"/>
      <x:c r="L14" s="185"/>
      <x:c r="M14" s="35"/>
      <x:c r="N14" s="36"/>
      <x:c r="O14" s="167"/>
      <x:c r="P14" s="185"/>
      <x:c r="Q14" s="185"/>
      <x:c r="R14" s="185"/>
      <x:c r="S14" s="35"/>
      <x:c r="T14" s="36"/>
      <x:c r="U14" s="167"/>
      <x:c r="V14" s="185"/>
      <x:c r="W14" s="185"/>
      <x:c r="X14" s="185"/>
      <x:c r="Y14" s="35"/>
      <x:c r="Z14" s="36"/>
      <x:c r="AA14" s="167"/>
      <x:c r="AB14" s="185"/>
      <x:c r="AC14" s="185"/>
      <x:c r="AD14" s="185"/>
      <x:c r="AE14" s="35"/>
      <x:c r="AF14" s="36"/>
      <x:c r="AG14" s="167"/>
      <x:c r="AH14" s="185"/>
      <x:c r="AI14" s="185"/>
      <x:c r="AJ14" s="185"/>
      <x:c r="AK14" s="3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584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230">
        <x:v>100</x:v>
      </x:c>
      <x:c r="AX14" s="585" t="s">
        <x:v>1102</x:v>
      </x:c>
      <x:c r="AY14" s="167"/>
      <x:c r="AZ14" s="185"/>
      <x:c r="BA14" s="185"/>
      <x:c r="BB14" s="185"/>
      <x:c r="BC14" s="35"/>
      <x:c r="BD14" s="36"/>
      <x:c r="BE14" s="167"/>
      <x:c r="BF14" s="185"/>
      <x:c r="BG14" s="185"/>
      <x:c r="BH14" s="185"/>
      <x:c r="BI14" s="35"/>
      <x:c r="BJ14" s="36"/>
      <x:c r="BK14" s="167"/>
      <x:c r="BL14" s="185"/>
      <x:c r="BM14" s="185"/>
      <x:c r="BN14" s="185"/>
      <x:c r="BO14" s="35"/>
      <x:c r="BP14" s="36"/>
      <x:c r="BQ14" s="167"/>
      <x:c r="BR14" s="185"/>
      <x:c r="BS14" s="185"/>
      <x:c r="BT14" s="185"/>
      <x:c r="BU14" s="35"/>
      <x:c r="BV14" s="36"/>
    </x:row>
    <x:row r="15" spans="1:74" ht="22.5" customHeight="1" x14ac:dyDescent="0.25">
      <x:c r="A15" s="32" t="s">
        <x:v>246</x:v>
      </x:c>
      <x:c r="B15" s="32" t="s">
        <x:v>37</x:v>
      </x:c>
      <x:c r="C15" s="157"/>
      <x:c r="D15" s="158"/>
      <x:c r="E15" s="158"/>
      <x:c r="F15" s="158"/>
      <x:c r="G15" s="158"/>
      <x:c r="H15" s="159"/>
      <x:c r="I15" s="167"/>
      <x:c r="J15" s="185"/>
      <x:c r="K15" s="185"/>
      <x:c r="L15" s="185"/>
      <x:c r="M15" s="35"/>
      <x:c r="N15" s="36"/>
      <x:c r="O15" s="167"/>
      <x:c r="P15" s="185"/>
      <x:c r="Q15" s="185"/>
      <x:c r="R15" s="185"/>
      <x:c r="S15" s="35"/>
      <x:c r="T15" s="36"/>
      <x:c r="U15" s="167"/>
      <x:c r="V15" s="185"/>
      <x:c r="W15" s="185"/>
      <x:c r="X15" s="185"/>
      <x:c r="Y15" s="35"/>
      <x:c r="Z15" s="36"/>
      <x:c r="AA15" s="167"/>
      <x:c r="AB15" s="185"/>
      <x:c r="AC15" s="185"/>
      <x:c r="AD15" s="185"/>
      <x:c r="AE15" s="35"/>
      <x:c r="AF15" s="36"/>
      <x:c r="AG15" s="167"/>
      <x:c r="AH15" s="185"/>
      <x:c r="AI15" s="185"/>
      <x:c r="AJ15" s="185"/>
      <x:c r="AK15" s="3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584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230">
        <x:v>100</x:v>
      </x:c>
      <x:c r="AX15" s="585" t="s">
        <x:v>1102</x:v>
      </x:c>
      <x:c r="AY15" s="167"/>
      <x:c r="AZ15" s="185"/>
      <x:c r="BA15" s="185"/>
      <x:c r="BB15" s="185"/>
      <x:c r="BC15" s="35"/>
      <x:c r="BD15" s="36"/>
      <x:c r="BE15" s="167"/>
      <x:c r="BF15" s="185"/>
      <x:c r="BG15" s="185"/>
      <x:c r="BH15" s="185"/>
      <x:c r="BI15" s="35"/>
      <x:c r="BJ15" s="36"/>
      <x:c r="BK15" s="167"/>
      <x:c r="BL15" s="185"/>
      <x:c r="BM15" s="185"/>
      <x:c r="BN15" s="185"/>
      <x:c r="BO15" s="35"/>
      <x:c r="BP15" s="36"/>
      <x:c r="BQ15" s="167"/>
      <x:c r="BR15" s="185"/>
      <x:c r="BS15" s="185"/>
      <x:c r="BT15" s="185"/>
      <x:c r="BU15" s="35"/>
      <x:c r="BV15" s="36"/>
    </x:row>
    <x:row r="16" spans="1:74" ht="22.5" customHeight="1" x14ac:dyDescent="0.25">
      <x:c r="A16" s="32" t="s">
        <x:v>224</x:v>
      </x:c>
      <x:c r="B16" s="32" t="s">
        <x:v>23</x:v>
      </x:c>
      <x:c r="C16" s="157"/>
      <x:c r="D16" s="158"/>
      <x:c r="E16" s="158"/>
      <x:c r="F16" s="158"/>
      <x:c r="G16" s="158"/>
      <x:c r="H16" s="159"/>
      <x:c r="I16" s="167"/>
      <x:c r="J16" s="185"/>
      <x:c r="K16" s="185"/>
      <x:c r="L16" s="185"/>
      <x:c r="M16" s="35"/>
      <x:c r="N16" s="36"/>
      <x:c r="O16" s="167"/>
      <x:c r="P16" s="185"/>
      <x:c r="Q16" s="185"/>
      <x:c r="R16" s="185"/>
      <x:c r="S16" s="35"/>
      <x:c r="T16" s="36"/>
      <x:c r="U16" s="167"/>
      <x:c r="V16" s="185"/>
      <x:c r="W16" s="185"/>
      <x:c r="X16" s="185"/>
      <x:c r="Y16" s="35"/>
      <x:c r="Z16" s="36"/>
      <x:c r="AA16" s="167"/>
      <x:c r="AB16" s="185"/>
      <x:c r="AC16" s="185"/>
      <x:c r="AD16" s="185"/>
      <x:c r="AE16" s="35"/>
      <x:c r="AF16" s="36"/>
      <x:c r="AG16" s="167"/>
      <x:c r="AH16" s="185"/>
      <x:c r="AI16" s="185"/>
      <x:c r="AJ16" s="185"/>
      <x:c r="AK16" s="3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584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230">
        <x:v>100</x:v>
      </x:c>
      <x:c r="AX16" s="585" t="s">
        <x:v>1102</x:v>
      </x:c>
      <x:c r="AY16" s="167"/>
      <x:c r="AZ16" s="185"/>
      <x:c r="BA16" s="185"/>
      <x:c r="BB16" s="185"/>
      <x:c r="BC16" s="35"/>
      <x:c r="BD16" s="36"/>
      <x:c r="BE16" s="167"/>
      <x:c r="BF16" s="185"/>
      <x:c r="BG16" s="185"/>
      <x:c r="BH16" s="185"/>
      <x:c r="BI16" s="35"/>
      <x:c r="BJ16" s="36"/>
      <x:c r="BK16" s="167"/>
      <x:c r="BL16" s="185"/>
      <x:c r="BM16" s="185"/>
      <x:c r="BN16" s="185"/>
      <x:c r="BO16" s="35"/>
      <x:c r="BP16" s="36"/>
      <x:c r="BQ16" s="167"/>
      <x:c r="BR16" s="185"/>
      <x:c r="BS16" s="185"/>
      <x:c r="BT16" s="185"/>
      <x:c r="BU16" s="35"/>
      <x:c r="BV16" s="36"/>
    </x:row>
    <x:row r="17" spans="1:74" ht="22.5" customHeight="1" x14ac:dyDescent="0.25">
      <x:c r="A17" s="32" t="s">
        <x:v>245</x:v>
      </x:c>
      <x:c r="B17" s="32" t="s">
        <x:v>37</x:v>
      </x:c>
      <x:c r="C17" s="157"/>
      <x:c r="D17" s="158"/>
      <x:c r="E17" s="158"/>
      <x:c r="F17" s="158"/>
      <x:c r="G17" s="158"/>
      <x:c r="H17" s="159"/>
      <x:c r="I17" s="167"/>
      <x:c r="J17" s="185"/>
      <x:c r="K17" s="185"/>
      <x:c r="L17" s="185"/>
      <x:c r="M17" s="35"/>
      <x:c r="N17" s="36"/>
      <x:c r="O17" s="167"/>
      <x:c r="P17" s="185"/>
      <x:c r="Q17" s="185"/>
      <x:c r="R17" s="185"/>
      <x:c r="S17" s="35"/>
      <x:c r="T17" s="36"/>
      <x:c r="U17" s="167"/>
      <x:c r="V17" s="185"/>
      <x:c r="W17" s="185"/>
      <x:c r="X17" s="185"/>
      <x:c r="Y17" s="35"/>
      <x:c r="Z17" s="36"/>
      <x:c r="AA17" s="167"/>
      <x:c r="AB17" s="185"/>
      <x:c r="AC17" s="185"/>
      <x:c r="AD17" s="185"/>
      <x:c r="AE17" s="35"/>
      <x:c r="AF17" s="36"/>
      <x:c r="AG17" s="167"/>
      <x:c r="AH17" s="185"/>
      <x:c r="AI17" s="185"/>
      <x:c r="AJ17" s="185"/>
      <x:c r="AK17" s="3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99</x:v>
      </x:c>
      <x:c r="AR17" s="584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230">
        <x:v>100</x:v>
      </x:c>
      <x:c r="AX17" s="585" t="s">
        <x:v>1102</x:v>
      </x:c>
      <x:c r="AY17" s="167"/>
      <x:c r="AZ17" s="185"/>
      <x:c r="BA17" s="185"/>
      <x:c r="BB17" s="185"/>
      <x:c r="BC17" s="35"/>
      <x:c r="BD17" s="36"/>
      <x:c r="BE17" s="167"/>
      <x:c r="BF17" s="185"/>
      <x:c r="BG17" s="185"/>
      <x:c r="BH17" s="185"/>
      <x:c r="BI17" s="35"/>
      <x:c r="BJ17" s="36"/>
      <x:c r="BK17" s="167"/>
      <x:c r="BL17" s="185"/>
      <x:c r="BM17" s="185"/>
      <x:c r="BN17" s="185"/>
      <x:c r="BO17" s="35"/>
      <x:c r="BP17" s="36"/>
      <x:c r="BQ17" s="167"/>
      <x:c r="BR17" s="185"/>
      <x:c r="BS17" s="185"/>
      <x:c r="BT17" s="185"/>
      <x:c r="BU17" s="35"/>
      <x:c r="BV17" s="36"/>
    </x:row>
    <x:row r="18" spans="1:74" ht="22.5" customHeight="1" x14ac:dyDescent="0.25">
      <x:c r="A18" s="32" t="s">
        <x:v>242</x:v>
      </x:c>
      <x:c r="B18" s="32" t="s">
        <x:v>243</x:v>
      </x:c>
      <x:c r="C18" s="157"/>
      <x:c r="D18" s="158"/>
      <x:c r="E18" s="158"/>
      <x:c r="F18" s="158"/>
      <x:c r="G18" s="158"/>
      <x:c r="H18" s="159"/>
      <x:c r="I18" s="167"/>
      <x:c r="J18" s="185"/>
      <x:c r="K18" s="185"/>
      <x:c r="L18" s="185"/>
      <x:c r="M18" s="35"/>
      <x:c r="N18" s="36"/>
      <x:c r="O18" s="167"/>
      <x:c r="P18" s="185"/>
      <x:c r="Q18" s="185"/>
      <x:c r="R18" s="185"/>
      <x:c r="S18" s="35"/>
      <x:c r="T18" s="36"/>
      <x:c r="U18" s="167"/>
      <x:c r="V18" s="185"/>
      <x:c r="W18" s="185"/>
      <x:c r="X18" s="185"/>
      <x:c r="Y18" s="35"/>
      <x:c r="Z18" s="36"/>
      <x:c r="AA18" s="167"/>
      <x:c r="AB18" s="185"/>
      <x:c r="AC18" s="185"/>
      <x:c r="AD18" s="185"/>
      <x:c r="AE18" s="35"/>
      <x:c r="AF18" s="36"/>
      <x:c r="AG18" s="167"/>
      <x:c r="AH18" s="185"/>
      <x:c r="AI18" s="185"/>
      <x:c r="AJ18" s="185"/>
      <x:c r="AK18" s="3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84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230">
        <x:v>100</x:v>
      </x:c>
      <x:c r="AX18" s="585" t="s">
        <x:v>1102</x:v>
      </x:c>
      <x:c r="AY18" s="167"/>
      <x:c r="AZ18" s="185"/>
      <x:c r="BA18" s="185"/>
      <x:c r="BB18" s="185"/>
      <x:c r="BC18" s="35"/>
      <x:c r="BD18" s="36"/>
      <x:c r="BE18" s="167"/>
      <x:c r="BF18" s="185"/>
      <x:c r="BG18" s="185"/>
      <x:c r="BH18" s="185"/>
      <x:c r="BI18" s="35"/>
      <x:c r="BJ18" s="36"/>
      <x:c r="BK18" s="167"/>
      <x:c r="BL18" s="185"/>
      <x:c r="BM18" s="185"/>
      <x:c r="BN18" s="185"/>
      <x:c r="BO18" s="35"/>
      <x:c r="BP18" s="36"/>
      <x:c r="BQ18" s="167"/>
      <x:c r="BR18" s="185"/>
      <x:c r="BS18" s="185"/>
      <x:c r="BT18" s="185"/>
      <x:c r="BU18" s="35"/>
      <x:c r="BV18" s="36"/>
    </x:row>
    <x:row r="19" spans="1:74" ht="22.5" customHeight="1" x14ac:dyDescent="0.25">
      <x:c r="A19" s="32" t="s">
        <x:v>234</x:v>
      </x:c>
      <x:c r="B19" s="32" t="s">
        <x:v>233</x:v>
      </x:c>
      <x:c r="C19" s="157"/>
      <x:c r="D19" s="158"/>
      <x:c r="E19" s="158"/>
      <x:c r="F19" s="158"/>
      <x:c r="G19" s="158"/>
      <x:c r="H19" s="159"/>
      <x:c r="I19" s="167"/>
      <x:c r="J19" s="185"/>
      <x:c r="K19" s="185"/>
      <x:c r="L19" s="185"/>
      <x:c r="M19" s="35"/>
      <x:c r="N19" s="36"/>
      <x:c r="O19" s="167"/>
      <x:c r="P19" s="185"/>
      <x:c r="Q19" s="185"/>
      <x:c r="R19" s="185"/>
      <x:c r="S19" s="35"/>
      <x:c r="T19" s="36"/>
      <x:c r="U19" s="167"/>
      <x:c r="V19" s="185"/>
      <x:c r="W19" s="185"/>
      <x:c r="X19" s="185"/>
      <x:c r="Y19" s="35"/>
      <x:c r="Z19" s="36"/>
      <x:c r="AA19" s="167"/>
      <x:c r="AB19" s="185"/>
      <x:c r="AC19" s="185"/>
      <x:c r="AD19" s="185"/>
      <x:c r="AE19" s="35"/>
      <x:c r="AF19" s="36"/>
      <x:c r="AG19" s="167"/>
      <x:c r="AH19" s="185"/>
      <x:c r="AI19" s="185"/>
      <x:c r="AJ19" s="185"/>
      <x:c r="AK19" s="3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584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230">
        <x:v>100</x:v>
      </x:c>
      <x:c r="AX19" s="585" t="s">
        <x:v>1102</x:v>
      </x:c>
      <x:c r="AY19" s="167"/>
      <x:c r="AZ19" s="185"/>
      <x:c r="BA19" s="185"/>
      <x:c r="BB19" s="185"/>
      <x:c r="BC19" s="35"/>
      <x:c r="BD19" s="36"/>
      <x:c r="BE19" s="167"/>
      <x:c r="BF19" s="185"/>
      <x:c r="BG19" s="185"/>
      <x:c r="BH19" s="185"/>
      <x:c r="BI19" s="35"/>
      <x:c r="BJ19" s="36"/>
      <x:c r="BK19" s="167"/>
      <x:c r="BL19" s="185"/>
      <x:c r="BM19" s="185"/>
      <x:c r="BN19" s="185"/>
      <x:c r="BO19" s="35"/>
      <x:c r="BP19" s="36"/>
      <x:c r="BQ19" s="167"/>
      <x:c r="BR19" s="185"/>
      <x:c r="BS19" s="185"/>
      <x:c r="BT19" s="185"/>
      <x:c r="BU19" s="35"/>
      <x:c r="BV19" s="36"/>
    </x:row>
    <x:row r="20" spans="1:74" ht="33.75" customHeight="1" x14ac:dyDescent="0.25">
      <x:c r="A20" s="587" t="s">
        <x:v>239</x:v>
      </x:c>
      <x:c r="B20" s="32" t="s">
        <x:v>233</x:v>
      </x:c>
      <x:c r="C20" s="157"/>
      <x:c r="D20" s="158"/>
      <x:c r="E20" s="158"/>
      <x:c r="F20" s="158"/>
      <x:c r="G20" s="158"/>
      <x:c r="H20" s="159"/>
      <x:c r="I20" s="167"/>
      <x:c r="J20" s="185"/>
      <x:c r="K20" s="185"/>
      <x:c r="L20" s="185"/>
      <x:c r="M20" s="35"/>
      <x:c r="N20" s="36"/>
      <x:c r="O20" s="167"/>
      <x:c r="P20" s="185"/>
      <x:c r="Q20" s="185"/>
      <x:c r="R20" s="185"/>
      <x:c r="S20" s="35"/>
      <x:c r="T20" s="36"/>
      <x:c r="U20" s="167"/>
      <x:c r="V20" s="185"/>
      <x:c r="W20" s="185"/>
      <x:c r="X20" s="185"/>
      <x:c r="Y20" s="35"/>
      <x:c r="Z20" s="36"/>
      <x:c r="AA20" s="167"/>
      <x:c r="AB20" s="185"/>
      <x:c r="AC20" s="185"/>
      <x:c r="AD20" s="185"/>
      <x:c r="AE20" s="35"/>
      <x:c r="AF20" s="36"/>
      <x:c r="AG20" s="167"/>
      <x:c r="AH20" s="185"/>
      <x:c r="AI20" s="185"/>
      <x:c r="AJ20" s="185"/>
      <x:c r="AK20" s="35"/>
      <x:c r="AL20" s="36"/>
      <x:c r="AM20" s="588">
        <x:v>0</x:v>
      </x:c>
      <x:c r="AN20" s="589">
        <x:v>0</x:v>
      </x:c>
      <x:c r="AO20" s="589">
        <x:v>0</x:v>
      </x:c>
      <x:c r="AP20" s="589">
        <x:v>0</x:v>
      </x:c>
      <x:c r="AQ20" s="589">
        <x:v>0</x:v>
      </x:c>
      <x:c r="AR20" s="592" t="s">
        <x:v>1103</x:v>
      </x:c>
      <x:c r="AS20" s="617">
        <x:v>0</x:v>
      </x:c>
      <x:c r="AT20" s="589">
        <x:v>0</x:v>
      </x:c>
      <x:c r="AU20" s="589">
        <x:v>0</x:v>
      </x:c>
      <x:c r="AV20" s="589">
        <x:v>0</x:v>
      </x:c>
      <x:c r="AW20" s="590">
        <x:v>0</x:v>
      </x:c>
      <x:c r="AX20" s="591" t="s">
        <x:v>1103</x:v>
      </x:c>
      <x:c r="AY20" s="167"/>
      <x:c r="AZ20" s="185"/>
      <x:c r="BA20" s="185"/>
      <x:c r="BB20" s="185"/>
      <x:c r="BC20" s="35"/>
      <x:c r="BD20" s="36"/>
      <x:c r="BE20" s="167"/>
      <x:c r="BF20" s="185"/>
      <x:c r="BG20" s="185"/>
      <x:c r="BH20" s="185"/>
      <x:c r="BI20" s="35"/>
      <x:c r="BJ20" s="36"/>
      <x:c r="BK20" s="167"/>
      <x:c r="BL20" s="185"/>
      <x:c r="BM20" s="185"/>
      <x:c r="BN20" s="185"/>
      <x:c r="BO20" s="35"/>
      <x:c r="BP20" s="36"/>
      <x:c r="BQ20" s="167"/>
      <x:c r="BR20" s="185"/>
      <x:c r="BS20" s="185"/>
      <x:c r="BT20" s="185"/>
      <x:c r="BU20" s="35"/>
      <x:c r="BV20" s="36"/>
    </x:row>
    <x:row r="21" spans="1:74" ht="20.25" customHeight="1" x14ac:dyDescent="0.25">
      <x:c r="A21" s="615" t="s">
        <x:v>216</x:v>
      </x:c>
      <x:c r="B21" s="586" t="s">
        <x:v>14</x:v>
      </x:c>
      <x:c r="C21" s="157"/>
      <x:c r="D21" s="158"/>
      <x:c r="E21" s="158"/>
      <x:c r="F21" s="158"/>
      <x:c r="G21" s="158"/>
      <x:c r="H21" s="159"/>
      <x:c r="I21" s="167"/>
      <x:c r="J21" s="185"/>
      <x:c r="K21" s="185"/>
      <x:c r="L21" s="185"/>
      <x:c r="M21" s="35"/>
      <x:c r="N21" s="36"/>
      <x:c r="O21" s="167"/>
      <x:c r="P21" s="185"/>
      <x:c r="Q21" s="185"/>
      <x:c r="R21" s="185"/>
      <x:c r="S21" s="35"/>
      <x:c r="T21" s="36"/>
      <x:c r="U21" s="167"/>
      <x:c r="V21" s="185"/>
      <x:c r="W21" s="185"/>
      <x:c r="X21" s="185"/>
      <x:c r="Y21" s="35"/>
      <x:c r="Z21" s="36"/>
      <x:c r="AA21" s="167"/>
      <x:c r="AB21" s="185"/>
      <x:c r="AC21" s="185"/>
      <x:c r="AD21" s="185"/>
      <x:c r="AE21" s="35"/>
      <x:c r="AF21" s="36"/>
      <x:c r="AG21" s="167"/>
      <x:c r="AH21" s="185"/>
      <x:c r="AI21" s="185"/>
      <x:c r="AJ21" s="185"/>
      <x:c r="AK21" s="35"/>
      <x:c r="AL21" s="36"/>
      <x:c r="AM21" s="588">
        <x:v>0</x:v>
      </x:c>
      <x:c r="AN21" s="589">
        <x:v>0</x:v>
      </x:c>
      <x:c r="AO21" s="589">
        <x:v>0</x:v>
      </x:c>
      <x:c r="AP21" s="589">
        <x:v>0</x:v>
      </x:c>
      <x:c r="AQ21" s="589">
        <x:v>0</x:v>
      </x:c>
      <x:c r="AR21" s="592" t="s">
        <x:v>1103</x:v>
      </x:c>
      <x:c r="AS21" s="175">
        <x:v>100</x:v>
      </x:c>
      <x:c r="AT21" s="158">
        <x:v>100</x:v>
      </x:c>
      <x:c r="AU21" s="158">
        <x:v>100</x:v>
      </x:c>
      <x:c r="AV21" s="158">
        <x:v>100</x:v>
      </x:c>
      <x:c r="AW21" s="230">
        <x:v>100</x:v>
      </x:c>
      <x:c r="AX21" s="585" t="s">
        <x:v>1102</x:v>
      </x:c>
      <x:c r="AY21" s="167"/>
      <x:c r="AZ21" s="185"/>
      <x:c r="BA21" s="185"/>
      <x:c r="BB21" s="185"/>
      <x:c r="BC21" s="35"/>
      <x:c r="BD21" s="36"/>
      <x:c r="BE21" s="167"/>
      <x:c r="BF21" s="185"/>
      <x:c r="BG21" s="185"/>
      <x:c r="BH21" s="185"/>
      <x:c r="BI21" s="35"/>
      <x:c r="BJ21" s="36"/>
      <x:c r="BK21" s="167"/>
      <x:c r="BL21" s="185"/>
      <x:c r="BM21" s="185"/>
      <x:c r="BN21" s="185"/>
      <x:c r="BO21" s="35"/>
      <x:c r="BP21" s="36"/>
      <x:c r="BQ21" s="167"/>
      <x:c r="BR21" s="185"/>
      <x:c r="BS21" s="185"/>
      <x:c r="BT21" s="185"/>
      <x:c r="BU21" s="35"/>
      <x:c r="BV21" s="36"/>
    </x:row>
    <x:row r="22" spans="1:74" ht="33.75" customHeight="1" x14ac:dyDescent="0.25">
      <x:c r="A22" s="32" t="s">
        <x:v>240</x:v>
      </x:c>
      <x:c r="B22" s="32" t="s">
        <x:v>233</x:v>
      </x:c>
      <x:c r="C22" s="157"/>
      <x:c r="D22" s="158"/>
      <x:c r="E22" s="158"/>
      <x:c r="F22" s="158"/>
      <x:c r="G22" s="158"/>
      <x:c r="H22" s="159"/>
      <x:c r="I22" s="167"/>
      <x:c r="J22" s="185"/>
      <x:c r="K22" s="185"/>
      <x:c r="L22" s="185"/>
      <x:c r="M22" s="35"/>
      <x:c r="N22" s="36"/>
      <x:c r="O22" s="167"/>
      <x:c r="P22" s="185"/>
      <x:c r="Q22" s="185"/>
      <x:c r="R22" s="185"/>
      <x:c r="S22" s="35"/>
      <x:c r="T22" s="36"/>
      <x:c r="U22" s="167"/>
      <x:c r="V22" s="185"/>
      <x:c r="W22" s="185"/>
      <x:c r="X22" s="185"/>
      <x:c r="Y22" s="35"/>
      <x:c r="Z22" s="36"/>
      <x:c r="AA22" s="167"/>
      <x:c r="AB22" s="185"/>
      <x:c r="AC22" s="185"/>
      <x:c r="AD22" s="185"/>
      <x:c r="AE22" s="35"/>
      <x:c r="AF22" s="36"/>
      <x:c r="AG22" s="167"/>
      <x:c r="AH22" s="185"/>
      <x:c r="AI22" s="185"/>
      <x:c r="AJ22" s="185"/>
      <x:c r="AK22" s="3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584" t="s">
        <x:v>1102</x:v>
      </x:c>
      <x:c r="AS22" s="175">
        <x:v>100</x:v>
      </x:c>
      <x:c r="AT22" s="158">
        <x:v>100</x:v>
      </x:c>
      <x:c r="AU22" s="158">
        <x:v>100</x:v>
      </x:c>
      <x:c r="AV22" s="158">
        <x:v>100</x:v>
      </x:c>
      <x:c r="AW22" s="230">
        <x:v>100</x:v>
      </x:c>
      <x:c r="AX22" s="585" t="s">
        <x:v>1102</x:v>
      </x:c>
      <x:c r="AY22" s="167"/>
      <x:c r="AZ22" s="185"/>
      <x:c r="BA22" s="185"/>
      <x:c r="BB22" s="185"/>
      <x:c r="BC22" s="35"/>
      <x:c r="BD22" s="36"/>
      <x:c r="BE22" s="167"/>
      <x:c r="BF22" s="185"/>
      <x:c r="BG22" s="185"/>
      <x:c r="BH22" s="185"/>
      <x:c r="BI22" s="35"/>
      <x:c r="BJ22" s="36"/>
      <x:c r="BK22" s="167"/>
      <x:c r="BL22" s="185"/>
      <x:c r="BM22" s="185"/>
      <x:c r="BN22" s="185"/>
      <x:c r="BO22" s="35"/>
      <x:c r="BP22" s="36"/>
      <x:c r="BQ22" s="167"/>
      <x:c r="BR22" s="185"/>
      <x:c r="BS22" s="185"/>
      <x:c r="BT22" s="185"/>
      <x:c r="BU22" s="35"/>
      <x:c r="BV22" s="36"/>
    </x:row>
    <x:row r="23" spans="1:74" ht="21.75" customHeight="1" x14ac:dyDescent="0.25">
      <x:c r="A23" s="32" t="s">
        <x:v>222</x:v>
      </x:c>
      <x:c r="B23" s="32" t="s">
        <x:v>23</x:v>
      </x:c>
      <x:c r="C23" s="157"/>
      <x:c r="D23" s="158"/>
      <x:c r="E23" s="158"/>
      <x:c r="F23" s="158"/>
      <x:c r="G23" s="158"/>
      <x:c r="H23" s="159"/>
      <x:c r="I23" s="167"/>
      <x:c r="J23" s="185"/>
      <x:c r="K23" s="185"/>
      <x:c r="L23" s="185"/>
      <x:c r="M23" s="35"/>
      <x:c r="N23" s="36"/>
      <x:c r="O23" s="167"/>
      <x:c r="P23" s="185"/>
      <x:c r="Q23" s="185"/>
      <x:c r="R23" s="185"/>
      <x:c r="S23" s="35"/>
      <x:c r="T23" s="36"/>
      <x:c r="U23" s="167"/>
      <x:c r="V23" s="185"/>
      <x:c r="W23" s="185"/>
      <x:c r="X23" s="185"/>
      <x:c r="Y23" s="35"/>
      <x:c r="Z23" s="36"/>
      <x:c r="AA23" s="167"/>
      <x:c r="AB23" s="185"/>
      <x:c r="AC23" s="185"/>
      <x:c r="AD23" s="185"/>
      <x:c r="AE23" s="35"/>
      <x:c r="AF23" s="36"/>
      <x:c r="AG23" s="167"/>
      <x:c r="AH23" s="185"/>
      <x:c r="AI23" s="185"/>
      <x:c r="AJ23" s="185"/>
      <x:c r="AK23" s="3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584" t="s">
        <x:v>1102</x:v>
      </x:c>
      <x:c r="AS23" s="175">
        <x:v>100</x:v>
      </x:c>
      <x:c r="AT23" s="158">
        <x:v>100</x:v>
      </x:c>
      <x:c r="AU23" s="158">
        <x:v>100</x:v>
      </x:c>
      <x:c r="AV23" s="158">
        <x:v>100</x:v>
      </x:c>
      <x:c r="AW23" s="230">
        <x:v>100</x:v>
      </x:c>
      <x:c r="AX23" s="585" t="s">
        <x:v>1102</x:v>
      </x:c>
      <x:c r="AY23" s="167"/>
      <x:c r="AZ23" s="185"/>
      <x:c r="BA23" s="185"/>
      <x:c r="BB23" s="185"/>
      <x:c r="BC23" s="35"/>
      <x:c r="BD23" s="36"/>
      <x:c r="BE23" s="167"/>
      <x:c r="BF23" s="185"/>
      <x:c r="BG23" s="185"/>
      <x:c r="BH23" s="185"/>
      <x:c r="BI23" s="35"/>
      <x:c r="BJ23" s="36"/>
      <x:c r="BK23" s="167"/>
      <x:c r="BL23" s="185"/>
      <x:c r="BM23" s="185"/>
      <x:c r="BN23" s="185"/>
      <x:c r="BO23" s="35"/>
      <x:c r="BP23" s="36"/>
      <x:c r="BQ23" s="167"/>
      <x:c r="BR23" s="185"/>
      <x:c r="BS23" s="185"/>
      <x:c r="BT23" s="185"/>
      <x:c r="BU23" s="35"/>
      <x:c r="BV23" s="36"/>
    </x:row>
    <x:row r="24" spans="1:74" ht="23.25" customHeight="1" x14ac:dyDescent="0.25">
      <x:c r="A24" s="32" t="s">
        <x:v>230</x:v>
      </x:c>
      <x:c r="B24" s="32" t="s">
        <x:v>23</x:v>
      </x:c>
      <x:c r="C24" s="157"/>
      <x:c r="D24" s="158"/>
      <x:c r="E24" s="158"/>
      <x:c r="F24" s="158"/>
      <x:c r="G24" s="158"/>
      <x:c r="H24" s="159"/>
      <x:c r="I24" s="167"/>
      <x:c r="J24" s="185"/>
      <x:c r="K24" s="185"/>
      <x:c r="L24" s="185"/>
      <x:c r="M24" s="35"/>
      <x:c r="N24" s="36"/>
      <x:c r="O24" s="167"/>
      <x:c r="P24" s="185"/>
      <x:c r="Q24" s="185"/>
      <x:c r="R24" s="185"/>
      <x:c r="S24" s="35"/>
      <x:c r="T24" s="36"/>
      <x:c r="U24" s="167"/>
      <x:c r="V24" s="185"/>
      <x:c r="W24" s="185"/>
      <x:c r="X24" s="185"/>
      <x:c r="Y24" s="35"/>
      <x:c r="Z24" s="36"/>
      <x:c r="AA24" s="167"/>
      <x:c r="AB24" s="185"/>
      <x:c r="AC24" s="185"/>
      <x:c r="AD24" s="185"/>
      <x:c r="AE24" s="35"/>
      <x:c r="AF24" s="36"/>
      <x:c r="AG24" s="167"/>
      <x:c r="AH24" s="185"/>
      <x:c r="AI24" s="185"/>
      <x:c r="AJ24" s="185"/>
      <x:c r="AK24" s="35"/>
      <x:c r="AL24" s="36"/>
      <x:c r="AM24" s="157">
        <x:v>100</x:v>
      </x:c>
      <x:c r="AN24" s="158">
        <x:v>100</x:v>
      </x:c>
      <x:c r="AO24" s="158">
        <x:v>100</x:v>
      </x:c>
      <x:c r="AP24" s="158">
        <x:v>100</x:v>
      </x:c>
      <x:c r="AQ24" s="158">
        <x:v>100</x:v>
      </x:c>
      <x:c r="AR24" s="584" t="s">
        <x:v>1102</x:v>
      </x:c>
      <x:c r="AS24" s="175">
        <x:v>100</x:v>
      </x:c>
      <x:c r="AT24" s="158">
        <x:v>100</x:v>
      </x:c>
      <x:c r="AU24" s="158">
        <x:v>100</x:v>
      </x:c>
      <x:c r="AV24" s="158">
        <x:v>100</x:v>
      </x:c>
      <x:c r="AW24" s="230">
        <x:v>100</x:v>
      </x:c>
      <x:c r="AX24" s="585" t="s">
        <x:v>1102</x:v>
      </x:c>
      <x:c r="AY24" s="167"/>
      <x:c r="AZ24" s="185"/>
      <x:c r="BA24" s="185"/>
      <x:c r="BB24" s="185"/>
      <x:c r="BC24" s="35"/>
      <x:c r="BD24" s="36"/>
      <x:c r="BE24" s="167"/>
      <x:c r="BF24" s="185"/>
      <x:c r="BG24" s="185"/>
      <x:c r="BH24" s="185"/>
      <x:c r="BI24" s="35"/>
      <x:c r="BJ24" s="36"/>
      <x:c r="BK24" s="167"/>
      <x:c r="BL24" s="185"/>
      <x:c r="BM24" s="185"/>
      <x:c r="BN24" s="185"/>
      <x:c r="BO24" s="35"/>
      <x:c r="BP24" s="36"/>
      <x:c r="BQ24" s="167"/>
      <x:c r="BR24" s="185"/>
      <x:c r="BS24" s="185"/>
      <x:c r="BT24" s="185"/>
      <x:c r="BU24" s="35"/>
      <x:c r="BV24" s="36"/>
    </x:row>
    <x:row r="25" spans="1:74" ht="22.5" customHeight="1" x14ac:dyDescent="0.25">
      <x:c r="A25" s="32" t="s">
        <x:v>248</x:v>
      </x:c>
      <x:c r="B25" s="32" t="s">
        <x:v>37</x:v>
      </x:c>
      <x:c r="C25" s="157"/>
      <x:c r="D25" s="158"/>
      <x:c r="E25" s="158"/>
      <x:c r="F25" s="158"/>
      <x:c r="G25" s="158"/>
      <x:c r="H25" s="159"/>
      <x:c r="I25" s="167"/>
      <x:c r="J25" s="185"/>
      <x:c r="K25" s="185"/>
      <x:c r="L25" s="185"/>
      <x:c r="M25" s="35"/>
      <x:c r="N25" s="36"/>
      <x:c r="O25" s="167"/>
      <x:c r="P25" s="185"/>
      <x:c r="Q25" s="185"/>
      <x:c r="R25" s="185"/>
      <x:c r="S25" s="35"/>
      <x:c r="T25" s="36"/>
      <x:c r="U25" s="167"/>
      <x:c r="V25" s="185"/>
      <x:c r="W25" s="185"/>
      <x:c r="X25" s="185"/>
      <x:c r="Y25" s="35"/>
      <x:c r="Z25" s="36"/>
      <x:c r="AA25" s="167"/>
      <x:c r="AB25" s="185"/>
      <x:c r="AC25" s="185"/>
      <x:c r="AD25" s="185"/>
      <x:c r="AE25" s="35"/>
      <x:c r="AF25" s="36"/>
      <x:c r="AG25" s="167"/>
      <x:c r="AH25" s="185"/>
      <x:c r="AI25" s="185"/>
      <x:c r="AJ25" s="185"/>
      <x:c r="AK25" s="35"/>
      <x:c r="AL25" s="36"/>
      <x:c r="AM25" s="157">
        <x:v>100</x:v>
      </x:c>
      <x:c r="AN25" s="158">
        <x:v>100</x:v>
      </x:c>
      <x:c r="AO25" s="158">
        <x:v>100</x:v>
      </x:c>
      <x:c r="AP25" s="158">
        <x:v>100</x:v>
      </x:c>
      <x:c r="AQ25" s="158">
        <x:v>100</x:v>
      </x:c>
      <x:c r="AR25" s="584" t="s">
        <x:v>1102</x:v>
      </x:c>
      <x:c r="AS25" s="175">
        <x:v>100</x:v>
      </x:c>
      <x:c r="AT25" s="158">
        <x:v>100</x:v>
      </x:c>
      <x:c r="AU25" s="158">
        <x:v>100</x:v>
      </x:c>
      <x:c r="AV25" s="158">
        <x:v>100</x:v>
      </x:c>
      <x:c r="AW25" s="230">
        <x:v>100</x:v>
      </x:c>
      <x:c r="AX25" s="585" t="s">
        <x:v>1102</x:v>
      </x:c>
      <x:c r="AY25" s="167"/>
      <x:c r="AZ25" s="185"/>
      <x:c r="BA25" s="185"/>
      <x:c r="BB25" s="185"/>
      <x:c r="BC25" s="35"/>
      <x:c r="BD25" s="36"/>
      <x:c r="BE25" s="167"/>
      <x:c r="BF25" s="185"/>
      <x:c r="BG25" s="185"/>
      <x:c r="BH25" s="185"/>
      <x:c r="BI25" s="35"/>
      <x:c r="BJ25" s="36"/>
      <x:c r="BK25" s="167"/>
      <x:c r="BL25" s="185"/>
      <x:c r="BM25" s="185"/>
      <x:c r="BN25" s="185"/>
      <x:c r="BO25" s="35"/>
      <x:c r="BP25" s="36"/>
      <x:c r="BQ25" s="167"/>
      <x:c r="BR25" s="185"/>
      <x:c r="BS25" s="185"/>
      <x:c r="BT25" s="185"/>
      <x:c r="BU25" s="35"/>
      <x:c r="BV25" s="36"/>
    </x:row>
    <x:row r="26" spans="1:74" ht="33.75" customHeight="1" x14ac:dyDescent="0.25">
      <x:c r="A26" s="32" t="s">
        <x:v>238</x:v>
      </x:c>
      <x:c r="B26" s="32" t="s">
        <x:v>233</x:v>
      </x:c>
      <x:c r="C26" s="157"/>
      <x:c r="D26" s="158"/>
      <x:c r="E26" s="158"/>
      <x:c r="F26" s="158"/>
      <x:c r="G26" s="158"/>
      <x:c r="H26" s="159"/>
      <x:c r="I26" s="167"/>
      <x:c r="J26" s="185"/>
      <x:c r="K26" s="185"/>
      <x:c r="L26" s="185"/>
      <x:c r="M26" s="35"/>
      <x:c r="N26" s="36"/>
      <x:c r="O26" s="167"/>
      <x:c r="P26" s="185"/>
      <x:c r="Q26" s="185"/>
      <x:c r="R26" s="185"/>
      <x:c r="S26" s="35"/>
      <x:c r="T26" s="36"/>
      <x:c r="U26" s="167"/>
      <x:c r="V26" s="185"/>
      <x:c r="W26" s="185"/>
      <x:c r="X26" s="185"/>
      <x:c r="Y26" s="35"/>
      <x:c r="Z26" s="36"/>
      <x:c r="AA26" s="167"/>
      <x:c r="AB26" s="185"/>
      <x:c r="AC26" s="185"/>
      <x:c r="AD26" s="185"/>
      <x:c r="AE26" s="35"/>
      <x:c r="AF26" s="36"/>
      <x:c r="AG26" s="167"/>
      <x:c r="AH26" s="185"/>
      <x:c r="AI26" s="185"/>
      <x:c r="AJ26" s="185"/>
      <x:c r="AK26" s="35"/>
      <x:c r="AL26" s="36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584" t="s">
        <x:v>1102</x:v>
      </x:c>
      <x:c r="AS26" s="175">
        <x:v>100</x:v>
      </x:c>
      <x:c r="AT26" s="158">
        <x:v>100</x:v>
      </x:c>
      <x:c r="AU26" s="158">
        <x:v>100</x:v>
      </x:c>
      <x:c r="AV26" s="158">
        <x:v>100</x:v>
      </x:c>
      <x:c r="AW26" s="230">
        <x:v>100</x:v>
      </x:c>
      <x:c r="AX26" s="585" t="s">
        <x:v>1102</x:v>
      </x:c>
      <x:c r="AY26" s="167"/>
      <x:c r="AZ26" s="185"/>
      <x:c r="BA26" s="185"/>
      <x:c r="BB26" s="185"/>
      <x:c r="BC26" s="35"/>
      <x:c r="BD26" s="36"/>
      <x:c r="BE26" s="167"/>
      <x:c r="BF26" s="185"/>
      <x:c r="BG26" s="185"/>
      <x:c r="BH26" s="185"/>
      <x:c r="BI26" s="35"/>
      <x:c r="BJ26" s="36"/>
      <x:c r="BK26" s="167"/>
      <x:c r="BL26" s="185"/>
      <x:c r="BM26" s="185"/>
      <x:c r="BN26" s="185"/>
      <x:c r="BO26" s="35"/>
      <x:c r="BP26" s="36"/>
      <x:c r="BQ26" s="167"/>
      <x:c r="BR26" s="185"/>
      <x:c r="BS26" s="185"/>
      <x:c r="BT26" s="185"/>
      <x:c r="BU26" s="35"/>
      <x:c r="BV26" s="36"/>
    </x:row>
    <x:row r="27" spans="1:74" ht="33.75" customHeight="1" x14ac:dyDescent="0.25">
      <x:c r="A27" s="587" t="s">
        <x:v>232</x:v>
      </x:c>
      <x:c r="B27" s="32" t="s">
        <x:v>233</x:v>
      </x:c>
      <x:c r="C27" s="157"/>
      <x:c r="D27" s="158"/>
      <x:c r="E27" s="158"/>
      <x:c r="F27" s="158"/>
      <x:c r="G27" s="158"/>
      <x:c r="H27" s="159"/>
      <x:c r="I27" s="167"/>
      <x:c r="J27" s="185"/>
      <x:c r="K27" s="185"/>
      <x:c r="L27" s="185"/>
      <x:c r="M27" s="35"/>
      <x:c r="N27" s="36"/>
      <x:c r="O27" s="167"/>
      <x:c r="P27" s="185"/>
      <x:c r="Q27" s="185"/>
      <x:c r="R27" s="185"/>
      <x:c r="S27" s="35"/>
      <x:c r="T27" s="36"/>
      <x:c r="U27" s="167"/>
      <x:c r="V27" s="185"/>
      <x:c r="W27" s="185"/>
      <x:c r="X27" s="185"/>
      <x:c r="Y27" s="35"/>
      <x:c r="Z27" s="36"/>
      <x:c r="AA27" s="167"/>
      <x:c r="AB27" s="185"/>
      <x:c r="AC27" s="185"/>
      <x:c r="AD27" s="185"/>
      <x:c r="AE27" s="35"/>
      <x:c r="AF27" s="36"/>
      <x:c r="AG27" s="167"/>
      <x:c r="AH27" s="185"/>
      <x:c r="AI27" s="185"/>
      <x:c r="AJ27" s="185"/>
      <x:c r="AK27" s="35"/>
      <x:c r="AL27" s="36"/>
      <x:c r="AM27" s="588">
        <x:v>0</x:v>
      </x:c>
      <x:c r="AN27" s="589">
        <x:v>0</x:v>
      </x:c>
      <x:c r="AO27" s="589">
        <x:v>0</x:v>
      </x:c>
      <x:c r="AP27" s="589">
        <x:v>0</x:v>
      </x:c>
      <x:c r="AQ27" s="589">
        <x:v>0</x:v>
      </x:c>
      <x:c r="AR27" s="592" t="s">
        <x:v>1103</x:v>
      </x:c>
      <x:c r="AS27" s="617">
        <x:v>0</x:v>
      </x:c>
      <x:c r="AT27" s="589">
        <x:v>0</x:v>
      </x:c>
      <x:c r="AU27" s="589">
        <x:v>0</x:v>
      </x:c>
      <x:c r="AV27" s="589">
        <x:v>0</x:v>
      </x:c>
      <x:c r="AW27" s="590">
        <x:v>0</x:v>
      </x:c>
      <x:c r="AX27" s="591" t="s">
        <x:v>1103</x:v>
      </x:c>
      <x:c r="AY27" s="167"/>
      <x:c r="AZ27" s="185"/>
      <x:c r="BA27" s="185"/>
      <x:c r="BB27" s="185"/>
      <x:c r="BC27" s="35"/>
      <x:c r="BD27" s="36"/>
      <x:c r="BE27" s="167"/>
      <x:c r="BF27" s="185"/>
      <x:c r="BG27" s="185"/>
      <x:c r="BH27" s="185"/>
      <x:c r="BI27" s="35"/>
      <x:c r="BJ27" s="36"/>
      <x:c r="BK27" s="167"/>
      <x:c r="BL27" s="185"/>
      <x:c r="BM27" s="185"/>
      <x:c r="BN27" s="185"/>
      <x:c r="BO27" s="35"/>
      <x:c r="BP27" s="36"/>
      <x:c r="BQ27" s="167"/>
      <x:c r="BR27" s="185"/>
      <x:c r="BS27" s="185"/>
      <x:c r="BT27" s="185"/>
      <x:c r="BU27" s="35"/>
      <x:c r="BV27" s="36"/>
    </x:row>
    <x:row r="28" spans="1:74" ht="22.5" customHeight="1" x14ac:dyDescent="0.25">
      <x:c r="A28" s="32" t="s">
        <x:v>221</x:v>
      </x:c>
      <x:c r="B28" s="32" t="s">
        <x:v>23</x:v>
      </x:c>
      <x:c r="C28" s="157"/>
      <x:c r="D28" s="158"/>
      <x:c r="E28" s="158"/>
      <x:c r="F28" s="158"/>
      <x:c r="G28" s="158"/>
      <x:c r="H28" s="159"/>
      <x:c r="I28" s="167"/>
      <x:c r="J28" s="185"/>
      <x:c r="K28" s="185"/>
      <x:c r="L28" s="185"/>
      <x:c r="M28" s="35"/>
      <x:c r="N28" s="36"/>
      <x:c r="O28" s="167"/>
      <x:c r="P28" s="185"/>
      <x:c r="Q28" s="185"/>
      <x:c r="R28" s="185"/>
      <x:c r="S28" s="35"/>
      <x:c r="T28" s="36"/>
      <x:c r="U28" s="167"/>
      <x:c r="V28" s="185"/>
      <x:c r="W28" s="185"/>
      <x:c r="X28" s="185"/>
      <x:c r="Y28" s="35"/>
      <x:c r="Z28" s="36"/>
      <x:c r="AA28" s="167"/>
      <x:c r="AB28" s="185"/>
      <x:c r="AC28" s="185"/>
      <x:c r="AD28" s="185"/>
      <x:c r="AE28" s="35"/>
      <x:c r="AF28" s="36"/>
      <x:c r="AG28" s="167"/>
      <x:c r="AH28" s="185"/>
      <x:c r="AI28" s="185"/>
      <x:c r="AJ28" s="185"/>
      <x:c r="AK28" s="35"/>
      <x:c r="AL28" s="36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584" t="s">
        <x:v>1102</x:v>
      </x:c>
      <x:c r="AS28" s="175">
        <x:v>100</x:v>
      </x:c>
      <x:c r="AT28" s="158">
        <x:v>100</x:v>
      </x:c>
      <x:c r="AU28" s="158">
        <x:v>100</x:v>
      </x:c>
      <x:c r="AV28" s="158">
        <x:v>100</x:v>
      </x:c>
      <x:c r="AW28" s="230">
        <x:v>100</x:v>
      </x:c>
      <x:c r="AX28" s="585" t="s">
        <x:v>1102</x:v>
      </x:c>
      <x:c r="AY28" s="167"/>
      <x:c r="AZ28" s="185"/>
      <x:c r="BA28" s="185"/>
      <x:c r="BB28" s="185"/>
      <x:c r="BC28" s="35"/>
      <x:c r="BD28" s="36"/>
      <x:c r="BE28" s="167"/>
      <x:c r="BF28" s="185"/>
      <x:c r="BG28" s="185"/>
      <x:c r="BH28" s="185"/>
      <x:c r="BI28" s="35"/>
      <x:c r="BJ28" s="36"/>
      <x:c r="BK28" s="167"/>
      <x:c r="BL28" s="185"/>
      <x:c r="BM28" s="185"/>
      <x:c r="BN28" s="185"/>
      <x:c r="BO28" s="35"/>
      <x:c r="BP28" s="36"/>
      <x:c r="BQ28" s="167"/>
      <x:c r="BR28" s="185"/>
      <x:c r="BS28" s="185"/>
      <x:c r="BT28" s="185"/>
      <x:c r="BU28" s="35"/>
      <x:c r="BV28" s="36"/>
    </x:row>
    <x:row r="29" spans="1:74" ht="33.75" customHeight="1" x14ac:dyDescent="0.25">
      <x:c r="A29" s="32" t="s">
        <x:v>235</x:v>
      </x:c>
      <x:c r="B29" s="32" t="s">
        <x:v>233</x:v>
      </x:c>
      <x:c r="C29" s="157"/>
      <x:c r="D29" s="158"/>
      <x:c r="E29" s="158"/>
      <x:c r="F29" s="158"/>
      <x:c r="G29" s="158"/>
      <x:c r="H29" s="159"/>
      <x:c r="I29" s="167"/>
      <x:c r="J29" s="185"/>
      <x:c r="K29" s="185"/>
      <x:c r="L29" s="185"/>
      <x:c r="M29" s="35"/>
      <x:c r="N29" s="36"/>
      <x:c r="O29" s="167"/>
      <x:c r="P29" s="185"/>
      <x:c r="Q29" s="185"/>
      <x:c r="R29" s="185"/>
      <x:c r="S29" s="35"/>
      <x:c r="T29" s="36"/>
      <x:c r="U29" s="167"/>
      <x:c r="V29" s="185"/>
      <x:c r="W29" s="185"/>
      <x:c r="X29" s="185"/>
      <x:c r="Y29" s="35"/>
      <x:c r="Z29" s="36"/>
      <x:c r="AA29" s="167"/>
      <x:c r="AB29" s="185"/>
      <x:c r="AC29" s="185"/>
      <x:c r="AD29" s="185"/>
      <x:c r="AE29" s="35"/>
      <x:c r="AF29" s="36"/>
      <x:c r="AG29" s="167"/>
      <x:c r="AH29" s="185"/>
      <x:c r="AI29" s="185"/>
      <x:c r="AJ29" s="185"/>
      <x:c r="AK29" s="35"/>
      <x:c r="AL29" s="36"/>
      <x:c r="AM29" s="157">
        <x:v>100</x:v>
      </x:c>
      <x:c r="AN29" s="158">
        <x:v>100</x:v>
      </x:c>
      <x:c r="AO29" s="158">
        <x:v>100</x:v>
      </x:c>
      <x:c r="AP29" s="158">
        <x:v>100</x:v>
      </x:c>
      <x:c r="AQ29" s="158">
        <x:v>100</x:v>
      </x:c>
      <x:c r="AR29" s="584" t="s">
        <x:v>1102</x:v>
      </x:c>
      <x:c r="AS29" s="175">
        <x:v>100</x:v>
      </x:c>
      <x:c r="AT29" s="158">
        <x:v>100</x:v>
      </x:c>
      <x:c r="AU29" s="158">
        <x:v>100</x:v>
      </x:c>
      <x:c r="AV29" s="158">
        <x:v>100</x:v>
      </x:c>
      <x:c r="AW29" s="230">
        <x:v>100</x:v>
      </x:c>
      <x:c r="AX29" s="585" t="s">
        <x:v>1102</x:v>
      </x:c>
      <x:c r="AY29" s="167"/>
      <x:c r="AZ29" s="185"/>
      <x:c r="BA29" s="185"/>
      <x:c r="BB29" s="185"/>
      <x:c r="BC29" s="35"/>
      <x:c r="BD29" s="36"/>
      <x:c r="BE29" s="167"/>
      <x:c r="BF29" s="185"/>
      <x:c r="BG29" s="185"/>
      <x:c r="BH29" s="185"/>
      <x:c r="BI29" s="35"/>
      <x:c r="BJ29" s="36"/>
      <x:c r="BK29" s="167"/>
      <x:c r="BL29" s="185"/>
      <x:c r="BM29" s="185"/>
      <x:c r="BN29" s="185"/>
      <x:c r="BO29" s="35"/>
      <x:c r="BP29" s="36"/>
      <x:c r="BQ29" s="167"/>
      <x:c r="BR29" s="185"/>
      <x:c r="BS29" s="185"/>
      <x:c r="BT29" s="185"/>
      <x:c r="BU29" s="35"/>
      <x:c r="BV29" s="36"/>
    </x:row>
    <x:row r="30" spans="1:74" ht="22.5" customHeight="1" x14ac:dyDescent="0.25">
      <x:c r="A30" s="32" t="s">
        <x:v>229</x:v>
      </x:c>
      <x:c r="B30" s="32" t="s">
        <x:v>23</x:v>
      </x:c>
      <x:c r="C30" s="157"/>
      <x:c r="D30" s="158"/>
      <x:c r="E30" s="158"/>
      <x:c r="F30" s="158"/>
      <x:c r="G30" s="158"/>
      <x:c r="H30" s="159"/>
      <x:c r="I30" s="167"/>
      <x:c r="J30" s="185"/>
      <x:c r="K30" s="185"/>
      <x:c r="L30" s="185"/>
      <x:c r="M30" s="35"/>
      <x:c r="N30" s="36"/>
      <x:c r="O30" s="167"/>
      <x:c r="P30" s="185"/>
      <x:c r="Q30" s="185"/>
      <x:c r="R30" s="185"/>
      <x:c r="S30" s="35"/>
      <x:c r="T30" s="36"/>
      <x:c r="U30" s="167"/>
      <x:c r="V30" s="185"/>
      <x:c r="W30" s="185"/>
      <x:c r="X30" s="185"/>
      <x:c r="Y30" s="35"/>
      <x:c r="Z30" s="36"/>
      <x:c r="AA30" s="167"/>
      <x:c r="AB30" s="185"/>
      <x:c r="AC30" s="185"/>
      <x:c r="AD30" s="185"/>
      <x:c r="AE30" s="35"/>
      <x:c r="AF30" s="36"/>
      <x:c r="AG30" s="167"/>
      <x:c r="AH30" s="185"/>
      <x:c r="AI30" s="185"/>
      <x:c r="AJ30" s="185"/>
      <x:c r="AK30" s="35"/>
      <x:c r="AL30" s="36"/>
      <x:c r="AM30" s="157">
        <x:v>100</x:v>
      </x:c>
      <x:c r="AN30" s="158">
        <x:v>100</x:v>
      </x:c>
      <x:c r="AO30" s="158">
        <x:v>100</x:v>
      </x:c>
      <x:c r="AP30" s="158">
        <x:v>100</x:v>
      </x:c>
      <x:c r="AQ30" s="158">
        <x:v>100</x:v>
      </x:c>
      <x:c r="AR30" s="584" t="s">
        <x:v>1102</x:v>
      </x:c>
      <x:c r="AS30" s="175">
        <x:v>100</x:v>
      </x:c>
      <x:c r="AT30" s="158">
        <x:v>100</x:v>
      </x:c>
      <x:c r="AU30" s="158">
        <x:v>100</x:v>
      </x:c>
      <x:c r="AV30" s="158">
        <x:v>100</x:v>
      </x:c>
      <x:c r="AW30" s="230">
        <x:v>100</x:v>
      </x:c>
      <x:c r="AX30" s="585" t="s">
        <x:v>1102</x:v>
      </x:c>
      <x:c r="AY30" s="167"/>
      <x:c r="AZ30" s="185"/>
      <x:c r="BA30" s="185"/>
      <x:c r="BB30" s="185"/>
      <x:c r="BC30" s="35"/>
      <x:c r="BD30" s="36"/>
      <x:c r="BE30" s="167"/>
      <x:c r="BF30" s="185"/>
      <x:c r="BG30" s="185"/>
      <x:c r="BH30" s="185"/>
      <x:c r="BI30" s="35"/>
      <x:c r="BJ30" s="36"/>
      <x:c r="BK30" s="167"/>
      <x:c r="BL30" s="185"/>
      <x:c r="BM30" s="185"/>
      <x:c r="BN30" s="185"/>
      <x:c r="BO30" s="35"/>
      <x:c r="BP30" s="36"/>
      <x:c r="BQ30" s="167"/>
      <x:c r="BR30" s="185"/>
      <x:c r="BS30" s="185"/>
      <x:c r="BT30" s="185"/>
      <x:c r="BU30" s="35"/>
      <x:c r="BV30" s="36"/>
    </x:row>
    <x:row r="31" spans="1:74" ht="22.5" customHeight="1" x14ac:dyDescent="0.25">
      <x:c r="A31" s="32" t="s">
        <x:v>228</x:v>
      </x:c>
      <x:c r="B31" s="32" t="s">
        <x:v>23</x:v>
      </x:c>
      <x:c r="C31" s="157"/>
      <x:c r="D31" s="158"/>
      <x:c r="E31" s="158"/>
      <x:c r="F31" s="158"/>
      <x:c r="G31" s="158"/>
      <x:c r="H31" s="159"/>
      <x:c r="I31" s="167"/>
      <x:c r="J31" s="185"/>
      <x:c r="K31" s="185"/>
      <x:c r="L31" s="185"/>
      <x:c r="M31" s="35"/>
      <x:c r="N31" s="36"/>
      <x:c r="O31" s="167"/>
      <x:c r="P31" s="185"/>
      <x:c r="Q31" s="185"/>
      <x:c r="R31" s="185"/>
      <x:c r="S31" s="35"/>
      <x:c r="T31" s="36"/>
      <x:c r="U31" s="167"/>
      <x:c r="V31" s="185"/>
      <x:c r="W31" s="185"/>
      <x:c r="X31" s="185"/>
      <x:c r="Y31" s="35"/>
      <x:c r="Z31" s="36"/>
      <x:c r="AA31" s="167"/>
      <x:c r="AB31" s="185"/>
      <x:c r="AC31" s="185"/>
      <x:c r="AD31" s="185"/>
      <x:c r="AE31" s="35"/>
      <x:c r="AF31" s="36"/>
      <x:c r="AG31" s="167"/>
      <x:c r="AH31" s="185"/>
      <x:c r="AI31" s="185"/>
      <x:c r="AJ31" s="185"/>
      <x:c r="AK31" s="35"/>
      <x:c r="AL31" s="36"/>
      <x:c r="AM31" s="157">
        <x:v>100</x:v>
      </x:c>
      <x:c r="AN31" s="158">
        <x:v>100</x:v>
      </x:c>
      <x:c r="AO31" s="158">
        <x:v>100</x:v>
      </x:c>
      <x:c r="AP31" s="158">
        <x:v>100</x:v>
      </x:c>
      <x:c r="AQ31" s="158">
        <x:v>100</x:v>
      </x:c>
      <x:c r="AR31" s="584" t="s">
        <x:v>1102</x:v>
      </x:c>
      <x:c r="AS31" s="175">
        <x:v>100</x:v>
      </x:c>
      <x:c r="AT31" s="158">
        <x:v>100</x:v>
      </x:c>
      <x:c r="AU31" s="158">
        <x:v>100</x:v>
      </x:c>
      <x:c r="AV31" s="158">
        <x:v>100</x:v>
      </x:c>
      <x:c r="AW31" s="230">
        <x:v>100</x:v>
      </x:c>
      <x:c r="AX31" s="585" t="s">
        <x:v>1102</x:v>
      </x:c>
      <x:c r="AY31" s="167"/>
      <x:c r="AZ31" s="185"/>
      <x:c r="BA31" s="185"/>
      <x:c r="BB31" s="185"/>
      <x:c r="BC31" s="35"/>
      <x:c r="BD31" s="36"/>
      <x:c r="BE31" s="167"/>
      <x:c r="BF31" s="185"/>
      <x:c r="BG31" s="185"/>
      <x:c r="BH31" s="185"/>
      <x:c r="BI31" s="35"/>
      <x:c r="BJ31" s="36"/>
      <x:c r="BK31" s="167"/>
      <x:c r="BL31" s="185"/>
      <x:c r="BM31" s="185"/>
      <x:c r="BN31" s="185"/>
      <x:c r="BO31" s="35"/>
      <x:c r="BP31" s="36"/>
      <x:c r="BQ31" s="167"/>
      <x:c r="BR31" s="185"/>
      <x:c r="BS31" s="185"/>
      <x:c r="BT31" s="185"/>
      <x:c r="BU31" s="35"/>
      <x:c r="BV31" s="36"/>
    </x:row>
    <x:row r="32" spans="1:74" ht="22.5" customHeight="1" x14ac:dyDescent="0.25">
      <x:c r="A32" s="32" t="s">
        <x:v>217</x:v>
      </x:c>
      <x:c r="B32" s="32" t="s">
        <x:v>16</x:v>
      </x:c>
      <x:c r="C32" s="157"/>
      <x:c r="D32" s="158"/>
      <x:c r="E32" s="158"/>
      <x:c r="F32" s="158"/>
      <x:c r="G32" s="158"/>
      <x:c r="H32" s="159"/>
      <x:c r="I32" s="167"/>
      <x:c r="J32" s="185"/>
      <x:c r="K32" s="185"/>
      <x:c r="L32" s="185"/>
      <x:c r="M32" s="35"/>
      <x:c r="N32" s="36"/>
      <x:c r="O32" s="167"/>
      <x:c r="P32" s="185"/>
      <x:c r="Q32" s="185"/>
      <x:c r="R32" s="185"/>
      <x:c r="S32" s="35"/>
      <x:c r="T32" s="36"/>
      <x:c r="U32" s="167"/>
      <x:c r="V32" s="185"/>
      <x:c r="W32" s="185"/>
      <x:c r="X32" s="185"/>
      <x:c r="Y32" s="35"/>
      <x:c r="Z32" s="36"/>
      <x:c r="AA32" s="167"/>
      <x:c r="AB32" s="185"/>
      <x:c r="AC32" s="185"/>
      <x:c r="AD32" s="185"/>
      <x:c r="AE32" s="35"/>
      <x:c r="AF32" s="36"/>
      <x:c r="AG32" s="167"/>
      <x:c r="AH32" s="185"/>
      <x:c r="AI32" s="185"/>
      <x:c r="AJ32" s="185"/>
      <x:c r="AK32" s="35"/>
      <x:c r="AL32" s="36"/>
      <x:c r="AM32" s="157">
        <x:v>100</x:v>
      </x:c>
      <x:c r="AN32" s="158">
        <x:v>100</x:v>
      </x:c>
      <x:c r="AO32" s="158">
        <x:v>100</x:v>
      </x:c>
      <x:c r="AP32" s="158">
        <x:v>100</x:v>
      </x:c>
      <x:c r="AQ32" s="158">
        <x:v>100</x:v>
      </x:c>
      <x:c r="AR32" s="584" t="s">
        <x:v>1102</x:v>
      </x:c>
      <x:c r="AS32" s="175">
        <x:v>100</x:v>
      </x:c>
      <x:c r="AT32" s="158">
        <x:v>100</x:v>
      </x:c>
      <x:c r="AU32" s="158">
        <x:v>100</x:v>
      </x:c>
      <x:c r="AV32" s="158">
        <x:v>100</x:v>
      </x:c>
      <x:c r="AW32" s="230">
        <x:v>100</x:v>
      </x:c>
      <x:c r="AX32" s="585" t="s">
        <x:v>1102</x:v>
      </x:c>
      <x:c r="AY32" s="167"/>
      <x:c r="AZ32" s="185"/>
      <x:c r="BA32" s="185"/>
      <x:c r="BB32" s="185"/>
      <x:c r="BC32" s="35"/>
      <x:c r="BD32" s="36"/>
      <x:c r="BE32" s="167"/>
      <x:c r="BF32" s="185"/>
      <x:c r="BG32" s="185"/>
      <x:c r="BH32" s="185"/>
      <x:c r="BI32" s="35"/>
      <x:c r="BJ32" s="36"/>
      <x:c r="BK32" s="167"/>
      <x:c r="BL32" s="185"/>
      <x:c r="BM32" s="185"/>
      <x:c r="BN32" s="185"/>
      <x:c r="BO32" s="35"/>
      <x:c r="BP32" s="36"/>
      <x:c r="BQ32" s="167"/>
      <x:c r="BR32" s="185"/>
      <x:c r="BS32" s="185"/>
      <x:c r="BT32" s="185"/>
      <x:c r="BU32" s="35"/>
      <x:c r="BV32" s="36"/>
    </x:row>
    <x:row r="33" spans="1:74" ht="22.5" customHeight="1" x14ac:dyDescent="0.25">
      <x:c r="A33" s="32" t="s">
        <x:v>241</x:v>
      </x:c>
      <x:c r="B33" s="32" t="s">
        <x:v>21</x:v>
      </x:c>
      <x:c r="C33" s="157"/>
      <x:c r="D33" s="158"/>
      <x:c r="E33" s="158"/>
      <x:c r="F33" s="158"/>
      <x:c r="G33" s="158"/>
      <x:c r="H33" s="159"/>
      <x:c r="I33" s="167"/>
      <x:c r="J33" s="185"/>
      <x:c r="K33" s="185"/>
      <x:c r="L33" s="185"/>
      <x:c r="M33" s="35"/>
      <x:c r="N33" s="36"/>
      <x:c r="O33" s="167"/>
      <x:c r="P33" s="185"/>
      <x:c r="Q33" s="185"/>
      <x:c r="R33" s="185"/>
      <x:c r="S33" s="35"/>
      <x:c r="T33" s="36"/>
      <x:c r="U33" s="167"/>
      <x:c r="V33" s="185"/>
      <x:c r="W33" s="185"/>
      <x:c r="X33" s="185"/>
      <x:c r="Y33" s="35"/>
      <x:c r="Z33" s="36"/>
      <x:c r="AA33" s="167"/>
      <x:c r="AB33" s="185"/>
      <x:c r="AC33" s="185"/>
      <x:c r="AD33" s="185"/>
      <x:c r="AE33" s="35"/>
      <x:c r="AF33" s="36"/>
      <x:c r="AG33" s="167"/>
      <x:c r="AH33" s="185"/>
      <x:c r="AI33" s="185"/>
      <x:c r="AJ33" s="185"/>
      <x:c r="AK33" s="35"/>
      <x:c r="AL33" s="36"/>
      <x:c r="AM33" s="157">
        <x:v>100</x:v>
      </x:c>
      <x:c r="AN33" s="158">
        <x:v>100</x:v>
      </x:c>
      <x:c r="AO33" s="158">
        <x:v>100</x:v>
      </x:c>
      <x:c r="AP33" s="158">
        <x:v>100</x:v>
      </x:c>
      <x:c r="AQ33" s="158">
        <x:v>100</x:v>
      </x:c>
      <x:c r="AR33" s="584" t="s">
        <x:v>1102</x:v>
      </x:c>
      <x:c r="AS33" s="175">
        <x:v>100</x:v>
      </x:c>
      <x:c r="AT33" s="158">
        <x:v>100</x:v>
      </x:c>
      <x:c r="AU33" s="158">
        <x:v>100</x:v>
      </x:c>
      <x:c r="AV33" s="158">
        <x:v>100</x:v>
      </x:c>
      <x:c r="AW33" s="230">
        <x:v>100</x:v>
      </x:c>
      <x:c r="AX33" s="585" t="s">
        <x:v>1102</x:v>
      </x:c>
      <x:c r="AY33" s="167"/>
      <x:c r="AZ33" s="185"/>
      <x:c r="BA33" s="185"/>
      <x:c r="BB33" s="185"/>
      <x:c r="BC33" s="35"/>
      <x:c r="BD33" s="36"/>
      <x:c r="BE33" s="167"/>
      <x:c r="BF33" s="185"/>
      <x:c r="BG33" s="185"/>
      <x:c r="BH33" s="185"/>
      <x:c r="BI33" s="35"/>
      <x:c r="BJ33" s="36"/>
      <x:c r="BK33" s="167"/>
      <x:c r="BL33" s="185"/>
      <x:c r="BM33" s="185"/>
      <x:c r="BN33" s="185"/>
      <x:c r="BO33" s="35"/>
      <x:c r="BP33" s="36"/>
      <x:c r="BQ33" s="167"/>
      <x:c r="BR33" s="185"/>
      <x:c r="BS33" s="185"/>
      <x:c r="BT33" s="185"/>
      <x:c r="BU33" s="35"/>
      <x:c r="BV33" s="36"/>
    </x:row>
    <x:row r="34" spans="1:74" ht="22.5" customHeight="1" x14ac:dyDescent="0.3">
      <x:c r="A34" s="32" t="s">
        <x:v>225</x:v>
      </x:c>
      <x:c r="B34" s="32" t="s">
        <x:v>23</x:v>
      </x:c>
      <x:c r="C34" s="160"/>
      <x:c r="D34" s="161"/>
      <x:c r="E34" s="161"/>
      <x:c r="F34" s="161"/>
      <x:c r="G34" s="161"/>
      <x:c r="H34" s="162"/>
      <x:c r="I34" s="38"/>
      <x:c r="J34" s="39"/>
      <x:c r="K34" s="39"/>
      <x:c r="L34" s="39"/>
      <x:c r="M34" s="41"/>
      <x:c r="N34" s="42"/>
      <x:c r="O34" s="38"/>
      <x:c r="P34" s="39"/>
      <x:c r="Q34" s="39"/>
      <x:c r="R34" s="39"/>
      <x:c r="S34" s="41"/>
      <x:c r="T34" s="42"/>
      <x:c r="U34" s="38"/>
      <x:c r="V34" s="39"/>
      <x:c r="W34" s="39"/>
      <x:c r="X34" s="39"/>
      <x:c r="Y34" s="41"/>
      <x:c r="Z34" s="42"/>
      <x:c r="AA34" s="38"/>
      <x:c r="AB34" s="39"/>
      <x:c r="AC34" s="39"/>
      <x:c r="AD34" s="39"/>
      <x:c r="AE34" s="41"/>
      <x:c r="AF34" s="42"/>
      <x:c r="AG34" s="38"/>
      <x:c r="AH34" s="39"/>
      <x:c r="AI34" s="39"/>
      <x:c r="AJ34" s="39"/>
      <x:c r="AK34" s="41"/>
      <x:c r="AL34" s="42"/>
      <x:c r="AM34" s="160">
        <x:v>100</x:v>
      </x:c>
      <x:c r="AN34" s="161">
        <x:v>100</x:v>
      </x:c>
      <x:c r="AO34" s="161">
        <x:v>100</x:v>
      </x:c>
      <x:c r="AP34" s="161">
        <x:v>100</x:v>
      </x:c>
      <x:c r="AQ34" s="161">
        <x:v>100</x:v>
      </x:c>
      <x:c r="AR34" s="593" t="s">
        <x:v>1102</x:v>
      </x:c>
      <x:c r="AS34" s="160">
        <x:v>100</x:v>
      </x:c>
      <x:c r="AT34" s="161">
        <x:v>100</x:v>
      </x:c>
      <x:c r="AU34" s="161">
        <x:v>100</x:v>
      </x:c>
      <x:c r="AV34" s="161">
        <x:v>100</x:v>
      </x:c>
      <x:c r="AW34" s="237">
        <x:v>100</x:v>
      </x:c>
      <x:c r="AX34" s="594" t="s">
        <x:v>1102</x:v>
      </x:c>
      <x:c r="AY34" s="38"/>
      <x:c r="AZ34" s="39"/>
      <x:c r="BA34" s="39"/>
      <x:c r="BB34" s="39"/>
      <x:c r="BC34" s="41"/>
      <x:c r="BD34" s="42"/>
      <x:c r="BE34" s="38"/>
      <x:c r="BF34" s="39"/>
      <x:c r="BG34" s="39"/>
      <x:c r="BH34" s="39"/>
      <x:c r="BI34" s="41"/>
      <x:c r="BJ34" s="42"/>
      <x:c r="BK34" s="38"/>
      <x:c r="BL34" s="39"/>
      <x:c r="BM34" s="39"/>
      <x:c r="BN34" s="39"/>
      <x:c r="BO34" s="41"/>
      <x:c r="BP34" s="42"/>
      <x:c r="BQ34" s="38"/>
      <x:c r="BR34" s="39"/>
      <x:c r="BS34" s="39"/>
      <x:c r="BT34" s="39"/>
      <x:c r="BU34" s="41"/>
      <x:c r="BV34" s="42"/>
    </x:row>
    <x:row r="35" spans="1:74" x14ac:dyDescent="0.25">
      <x:c r="C35" s="498">
        <x:f t="array" ref="C35:C35">SUMPRODUCT((C3:C34&gt;=10)*(D3:D34&gt;=10)*(E3:E34&gt;=10)*(F3:F34&gt;=10)*(G3:G34&gt;=10)*(NOT(ISERROR(FIND("Оператор",$B$3:$B$34)))))</x:f>
      </x:c>
      <x:c r="H35" s="227">
        <x:f>COUNTIF(H3:H34,"Да")</x:f>
      </x:c>
      <x:c r="I35" s="498">
        <x:f t="array" ref="I35:I35">SUMPRODUCT((I3:I34&gt;=10)*(J3:J34&gt;=10)*(K3:K34&gt;=10)*(L3:L34&gt;=10)*(M3:M34&gt;=10)*(NOT(ISERROR(FIND("Оператор",$B$3:$B$34)))))</x:f>
      </x:c>
      <x:c r="N35" s="227">
        <x:f>COUNTIF(N3:N34,"Да")</x:f>
      </x:c>
      <x:c r="O35" s="498">
        <x:f t="array" ref="O35:O35">SUMPRODUCT((O3:O34&gt;=10)*(P3:P34&gt;=10)*(Q3:Q34&gt;=10)*(R3:R34&gt;=10)*(S3:S34&gt;=10)*(NOT(ISERROR(FIND("Оператор",$B$3:$B$34)))))</x:f>
      </x:c>
      <x:c r="T35" s="227">
        <x:f>COUNTIF(T3:T34,"Да")</x:f>
      </x:c>
      <x:c r="U35" s="498">
        <x:f t="array" ref="U35:U35">SUMPRODUCT((U3:U34&gt;=10)*(V3:V34&gt;=10)*(W3:W34&gt;=10)*(X3:X34&gt;=10)*(Y3:Y34&gt;=10)*(NOT(ISERROR(FIND("Оператор",$B$3:$B$34)))))</x:f>
      </x:c>
      <x:c r="Z35" s="227">
        <x:f>COUNTIF(Z3:Z34,"Да")</x:f>
      </x:c>
      <x:c r="AA35" s="498">
        <x:f t="array" ref="AA35:AA35">SUMPRODUCT((AA3:AA34&gt;=10)*(AB3:AB34&gt;=10)*(AC3:AC34&gt;=10)*(AD3:AD34&gt;=10)*(AE3:AE34&gt;=10)*(NOT(ISERROR(FIND("Оператор",$B$3:$B$34)))))</x:f>
      </x:c>
      <x:c r="AF35" s="227">
        <x:f>COUNTIF(AF3:AF34,"Да")</x:f>
      </x:c>
      <x:c r="AG35" s="498">
        <x:f t="array" ref="AG35:AG35">SUMPRODUCT((AG3:AG34&gt;=10)*(AH3:AH34&gt;=10)*(AI3:AI34&gt;=10)*(AJ3:AJ34&gt;=10)*(AK3:AK34&gt;=10)*(NOT(ISERROR(FIND("Оператор",$B$3:$B$34)))))</x:f>
      </x:c>
      <x:c r="AL35" s="227">
        <x:f>COUNTIF(AL3:AL34,"Да")</x:f>
      </x:c>
      <x:c r="AM35" s="498">
        <x:f t="array" ref="AM35:AM35">SUMPRODUCT((AM3:AM34&gt;=10)*(AN3:AN34&gt;=10)*(AO3:AO34&gt;=10)*(AP3:AP34&gt;=10)*(AQ3:AQ34&gt;=10)*(NOT(ISERROR(FIND("Оператор",$B$3:$B$34)))))</x:f>
      </x:c>
      <x:c r="AR35" s="227">
        <x:f>COUNTIF(AR3:AR34,"Да")</x:f>
      </x:c>
      <x:c r="AS35" s="498">
        <x:f t="array" ref="AS35:AS35">SUMPRODUCT((AS3:AS34&gt;=10)*(AT3:AT34&gt;=10)*(AU3:AU34&gt;=10)*(AV3:AV34&gt;=10)*(AW3:AW34&gt;=10)*(NOT(ISERROR(FIND("Оператор",$B$3:$B$34)))))</x:f>
      </x:c>
      <x:c r="AX35" s="227">
        <x:f>COUNTIF(AX3:AX34,"Да")</x:f>
      </x:c>
      <x:c r="AY35" s="498">
        <x:f t="array" ref="AY35:AY35">SUMPRODUCT((AY3:AY34&gt;=10)*(AZ3:AZ34&gt;=10)*(BA3:BA34&gt;=10)*(BB3:BB34&gt;=10)*(BC3:BC34&gt;=10)*(NOT(ISERROR(FIND("Оператор",$B$3:$B$34)))))</x:f>
      </x:c>
      <x:c r="BD35" s="227">
        <x:f>COUNTIF(BD3:BD34,"Да")</x:f>
      </x:c>
      <x:c r="BE35" s="498">
        <x:f t="array" ref="BE35:BE35">SUMPRODUCT((BE3:BE34&gt;=10)*(BF3:BF34&gt;=10)*(BG3:BG34&gt;=10)*(BH3:BH34&gt;=10)*(BI3:BI34&gt;=10)*(NOT(ISERROR(FIND("Оператор",$B$3:$B$34)))))</x:f>
      </x:c>
      <x:c r="BJ35" s="227">
        <x:f>COUNTIF(BJ3:BJ34,"Да")</x:f>
      </x:c>
      <x:c r="BK35" s="498">
        <x:f t="array" ref="BK35:BK35">SUMPRODUCT((BK3:BK34&gt;=10)*(BL3:BL34&gt;=10)*(BM3:BM34&gt;=10)*(BN3:BN34&gt;=10)*(BO3:BO34&gt;=10)*(NOT(ISERROR(FIND("Оператор",$B$3:$B$34)))))</x:f>
      </x:c>
      <x:c r="BP35" s="227">
        <x:f>COUNTIF(BP3:BP34,"Да")</x:f>
      </x:c>
      <x:c r="BQ35" s="498">
        <x:f t="array" ref="BQ35:BQ35">SUMPRODUCT((BQ3:BQ34&gt;=10)*(BR3:BR34&gt;=10)*(BS3:BS34&gt;=10)*(BT3:BT34&gt;=10)*(BU3:BU34&gt;=10)*(NOT(ISERROR(FIND("Оператор",$B$3:$B$34)))))</x:f>
      </x:c>
      <x:c r="BV35" s="227">
        <x:f>COUNTIF(BV3:BV34,"Да")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35:G35"/>
    <x:mergeCell ref="I35:M35"/>
    <x:mergeCell ref="O35:S35"/>
    <x:mergeCell ref="U35:Y35"/>
    <x:mergeCell ref="AA35:AE35"/>
    <x:mergeCell ref="AG35:AK35"/>
    <x:mergeCell ref="AM35:AQ35"/>
    <x:mergeCell ref="AS35:AW35"/>
    <x:mergeCell ref="AY35:BC35"/>
    <x:mergeCell ref="BE35:BI35"/>
    <x:mergeCell ref="BK35:BO35"/>
    <x:mergeCell ref="BQ35:BU35"/>
  </x:mergeCells>
  <x:conditionalFormatting sqref="C3:BV34">
    <x:cfRule type="containsBlanks" dxfId="8" priority="1">
      <x:formula>LEN(TRIM(C3))=0</x:formula>
    </x:cfRule>
    <x:cfRule type="expression" priority="7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6"/>
  </x:conditionalFormatting>
  <x:conditionalFormatting sqref="A3:A34">
    <x:cfRule type="duplicateValues" dxfId="0" priority="8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BV25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10.140625" style="0" customWidth="1"/>
    <x:col min="45" max="49" width="9.140625" style="0" customWidth="1"/>
    <x:col min="50" max="50" width="9.570312" style="0" customWidth="1"/>
    <x:col min="51" max="55" width="9.140625" style="0" customWidth="1"/>
    <x:col min="56" max="56" width="9.710938" style="0" customWidth="1"/>
    <x:col min="57" max="61" width="9.140625" style="0" customWidth="1"/>
    <x:col min="62" max="62" width="9.425781" style="0" customWidth="1"/>
    <x:col min="63" max="67" width="9.140625" style="0" customWidth="1"/>
    <x:col min="68" max="68" width="9.855469" style="0" customWidth="1"/>
    <x:col min="69" max="73" width="9.140625" style="0" customWidth="1"/>
    <x:col min="74" max="74" width="10" style="0" customWidth="1"/>
  </x:cols>
  <x:sheetData>
    <x:row r="1" spans="1:74" ht="23.25" customHeight="1" x14ac:dyDescent="0.3">
      <x:c r="A1" s="22" t="s">
        <x:v>1113</x:v>
      </x:c>
      <x:c r="B1" s="496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6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7" t="s">
        <x:v>208</x:v>
      </x:c>
      <x:c r="B3" s="53" t="s">
        <x:v>23</x:v>
      </x:c>
      <x:c r="C3" s="154"/>
      <x:c r="D3" s="155"/>
      <x:c r="E3" s="155"/>
      <x:c r="F3" s="155"/>
      <x:c r="G3" s="155"/>
      <x:c r="H3" s="156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154">
        <x:v>100</x:v>
      </x:c>
      <x:c r="AN3" s="155">
        <x:v>100</x:v>
      </x:c>
      <x:c r="AO3" s="155">
        <x:v>100</x:v>
      </x:c>
      <x:c r="AP3" s="155">
        <x:v>100</x:v>
      </x:c>
      <x:c r="AQ3" s="155">
        <x:v>100</x:v>
      </x:c>
      <x:c r="AR3" s="582" t="s">
        <x:v>1102</x:v>
      </x:c>
      <x:c r="AS3" s="154">
        <x:v>100</x:v>
      </x:c>
      <x:c r="AT3" s="155">
        <x:v>100</x:v>
      </x:c>
      <x:c r="AU3" s="155">
        <x:v>100</x:v>
      </x:c>
      <x:c r="AV3" s="155">
        <x:v>100</x:v>
      </x:c>
      <x:c r="AW3" s="228">
        <x:v>100</x:v>
      </x:c>
      <x:c r="AX3" s="583" t="s">
        <x:v>1102</x:v>
      </x:c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ht="22.5" customHeight="1" x14ac:dyDescent="0.25">
      <x:c r="A4" s="97" t="s">
        <x:v>201</x:v>
      </x:c>
      <x:c r="B4" s="57" t="s">
        <x:v>16</x:v>
      </x:c>
      <x:c r="C4" s="175"/>
      <x:c r="D4" s="158"/>
      <x:c r="E4" s="158"/>
      <x:c r="F4" s="158"/>
      <x:c r="G4" s="158"/>
      <x:c r="H4" s="159"/>
      <x:c r="I4" s="167"/>
      <x:c r="J4" s="185"/>
      <x:c r="K4" s="185"/>
      <x:c r="L4" s="185"/>
      <x:c r="M4" s="35"/>
      <x:c r="N4" s="36"/>
      <x:c r="O4" s="167"/>
      <x:c r="P4" s="185"/>
      <x:c r="Q4" s="185"/>
      <x:c r="R4" s="185"/>
      <x:c r="S4" s="35"/>
      <x:c r="T4" s="36"/>
      <x:c r="U4" s="167"/>
      <x:c r="V4" s="185"/>
      <x:c r="W4" s="185"/>
      <x:c r="X4" s="185"/>
      <x:c r="Y4" s="35"/>
      <x:c r="Z4" s="36"/>
      <x:c r="AA4" s="167"/>
      <x:c r="AB4" s="185"/>
      <x:c r="AC4" s="185"/>
      <x:c r="AD4" s="185"/>
      <x:c r="AE4" s="35"/>
      <x:c r="AF4" s="36"/>
      <x:c r="AG4" s="167"/>
      <x:c r="AH4" s="185"/>
      <x:c r="AI4" s="185"/>
      <x:c r="AJ4" s="185"/>
      <x:c r="AK4" s="35"/>
      <x:c r="AL4" s="36"/>
      <x:c r="AM4" s="175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584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230">
        <x:v>100</x:v>
      </x:c>
      <x:c r="AX4" s="585" t="s">
        <x:v>1102</x:v>
      </x:c>
      <x:c r="AY4" s="167"/>
      <x:c r="AZ4" s="185"/>
      <x:c r="BA4" s="185"/>
      <x:c r="BB4" s="185"/>
      <x:c r="BC4" s="35"/>
      <x:c r="BD4" s="36"/>
      <x:c r="BE4" s="167"/>
      <x:c r="BF4" s="185"/>
      <x:c r="BG4" s="185"/>
      <x:c r="BH4" s="185"/>
      <x:c r="BI4" s="35"/>
      <x:c r="BJ4" s="36"/>
      <x:c r="BK4" s="167"/>
      <x:c r="BL4" s="185"/>
      <x:c r="BM4" s="185"/>
      <x:c r="BN4" s="185"/>
      <x:c r="BO4" s="35"/>
      <x:c r="BP4" s="36"/>
      <x:c r="BQ4" s="167"/>
      <x:c r="BR4" s="185"/>
      <x:c r="BS4" s="185"/>
      <x:c r="BT4" s="185"/>
      <x:c r="BU4" s="35"/>
      <x:c r="BV4" s="36"/>
    </x:row>
    <x:row r="5" spans="1:74" ht="22.5" customHeight="1" x14ac:dyDescent="0.25">
      <x:c r="A5" s="97" t="s">
        <x:v>203</x:v>
      </x:c>
      <x:c r="B5" s="57" t="s">
        <x:v>23</x:v>
      </x:c>
      <x:c r="C5" s="175"/>
      <x:c r="D5" s="158"/>
      <x:c r="E5" s="158"/>
      <x:c r="F5" s="158"/>
      <x:c r="G5" s="158"/>
      <x:c r="H5" s="159"/>
      <x:c r="I5" s="167"/>
      <x:c r="J5" s="185"/>
      <x:c r="K5" s="185"/>
      <x:c r="L5" s="185"/>
      <x:c r="M5" s="35"/>
      <x:c r="N5" s="36"/>
      <x:c r="O5" s="167"/>
      <x:c r="P5" s="185"/>
      <x:c r="Q5" s="185"/>
      <x:c r="R5" s="185"/>
      <x:c r="S5" s="35"/>
      <x:c r="T5" s="36"/>
      <x:c r="U5" s="167"/>
      <x:c r="V5" s="185"/>
      <x:c r="W5" s="185"/>
      <x:c r="X5" s="185"/>
      <x:c r="Y5" s="35"/>
      <x:c r="Z5" s="36"/>
      <x:c r="AA5" s="167"/>
      <x:c r="AB5" s="185"/>
      <x:c r="AC5" s="185"/>
      <x:c r="AD5" s="185"/>
      <x:c r="AE5" s="35"/>
      <x:c r="AF5" s="36"/>
      <x:c r="AG5" s="167"/>
      <x:c r="AH5" s="185"/>
      <x:c r="AI5" s="185"/>
      <x:c r="AJ5" s="185"/>
      <x:c r="AK5" s="35"/>
      <x:c r="AL5" s="36"/>
      <x:c r="AM5" s="175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584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230">
        <x:v>100</x:v>
      </x:c>
      <x:c r="AX5" s="585" t="s">
        <x:v>1102</x:v>
      </x:c>
      <x:c r="AY5" s="167"/>
      <x:c r="AZ5" s="185"/>
      <x:c r="BA5" s="185"/>
      <x:c r="BB5" s="185"/>
      <x:c r="BC5" s="35"/>
      <x:c r="BD5" s="36"/>
      <x:c r="BE5" s="167"/>
      <x:c r="BF5" s="185"/>
      <x:c r="BG5" s="185"/>
      <x:c r="BH5" s="185"/>
      <x:c r="BI5" s="35"/>
      <x:c r="BJ5" s="36"/>
      <x:c r="BK5" s="167"/>
      <x:c r="BL5" s="185"/>
      <x:c r="BM5" s="185"/>
      <x:c r="BN5" s="185"/>
      <x:c r="BO5" s="35"/>
      <x:c r="BP5" s="36"/>
      <x:c r="BQ5" s="167"/>
      <x:c r="BR5" s="185"/>
      <x:c r="BS5" s="185"/>
      <x:c r="BT5" s="185"/>
      <x:c r="BU5" s="35"/>
      <x:c r="BV5" s="36"/>
    </x:row>
    <x:row r="6" spans="1:74" ht="22.5" customHeight="1" x14ac:dyDescent="0.25">
      <x:c r="A6" s="618" t="s">
        <x:v>213</x:v>
      </x:c>
      <x:c r="B6" s="57" t="s">
        <x:v>37</x:v>
      </x:c>
      <x:c r="C6" s="175"/>
      <x:c r="D6" s="158"/>
      <x:c r="E6" s="158"/>
      <x:c r="F6" s="158"/>
      <x:c r="G6" s="158"/>
      <x:c r="H6" s="159"/>
      <x:c r="I6" s="167"/>
      <x:c r="J6" s="185"/>
      <x:c r="K6" s="185"/>
      <x:c r="L6" s="185"/>
      <x:c r="M6" s="35"/>
      <x:c r="N6" s="36"/>
      <x:c r="O6" s="167"/>
      <x:c r="P6" s="185"/>
      <x:c r="Q6" s="185"/>
      <x:c r="R6" s="185"/>
      <x:c r="S6" s="35"/>
      <x:c r="T6" s="36"/>
      <x:c r="U6" s="167"/>
      <x:c r="V6" s="185"/>
      <x:c r="W6" s="185"/>
      <x:c r="X6" s="185"/>
      <x:c r="Y6" s="35"/>
      <x:c r="Z6" s="36"/>
      <x:c r="AA6" s="167"/>
      <x:c r="AB6" s="185"/>
      <x:c r="AC6" s="185"/>
      <x:c r="AD6" s="185"/>
      <x:c r="AE6" s="35"/>
      <x:c r="AF6" s="36"/>
      <x:c r="AG6" s="167"/>
      <x:c r="AH6" s="185"/>
      <x:c r="AI6" s="185"/>
      <x:c r="AJ6" s="185"/>
      <x:c r="AK6" s="35"/>
      <x:c r="AL6" s="36"/>
      <x:c r="AM6" s="175">
        <x:v>100</x:v>
      </x:c>
      <x:c r="AN6" s="158">
        <x:v>100</x:v>
      </x:c>
      <x:c r="AO6" s="158">
        <x:v>100</x:v>
      </x:c>
      <x:c r="AP6" s="158">
        <x:v>95</x:v>
      </x:c>
      <x:c r="AQ6" s="158">
        <x:v>51</x:v>
      </x:c>
      <x:c r="AR6" s="584" t="s">
        <x:v>1102</x:v>
      </x:c>
      <x:c r="AS6" s="617">
        <x:v>0</x:v>
      </x:c>
      <x:c r="AT6" s="589">
        <x:v>0</x:v>
      </x:c>
      <x:c r="AU6" s="589">
        <x:v>0</x:v>
      </x:c>
      <x:c r="AV6" s="589">
        <x:v>0</x:v>
      </x:c>
      <x:c r="AW6" s="590">
        <x:v>0</x:v>
      </x:c>
      <x:c r="AX6" s="591" t="s">
        <x:v>1103</x:v>
      </x:c>
      <x:c r="AY6" s="167"/>
      <x:c r="AZ6" s="185"/>
      <x:c r="BA6" s="185"/>
      <x:c r="BB6" s="185"/>
      <x:c r="BC6" s="35"/>
      <x:c r="BD6" s="36"/>
      <x:c r="BE6" s="167"/>
      <x:c r="BF6" s="185"/>
      <x:c r="BG6" s="185"/>
      <x:c r="BH6" s="185"/>
      <x:c r="BI6" s="35"/>
      <x:c r="BJ6" s="36"/>
      <x:c r="BK6" s="167"/>
      <x:c r="BL6" s="185"/>
      <x:c r="BM6" s="185"/>
      <x:c r="BN6" s="185"/>
      <x:c r="BO6" s="35"/>
      <x:c r="BP6" s="36"/>
      <x:c r="BQ6" s="167"/>
      <x:c r="BR6" s="185"/>
      <x:c r="BS6" s="185"/>
      <x:c r="BT6" s="185"/>
      <x:c r="BU6" s="35"/>
      <x:c r="BV6" s="36"/>
    </x:row>
    <x:row r="7" spans="1:74" ht="22.5" customHeight="1" x14ac:dyDescent="0.25">
      <x:c r="A7" s="619" t="s">
        <x:v>192</x:v>
      </x:c>
      <x:c r="B7" s="57" t="s">
        <x:v>14</x:v>
      </x:c>
      <x:c r="C7" s="175"/>
      <x:c r="D7" s="158"/>
      <x:c r="E7" s="158"/>
      <x:c r="F7" s="158"/>
      <x:c r="G7" s="158"/>
      <x:c r="H7" s="159"/>
      <x:c r="I7" s="167"/>
      <x:c r="J7" s="185"/>
      <x:c r="K7" s="185"/>
      <x:c r="L7" s="185"/>
      <x:c r="M7" s="35"/>
      <x:c r="N7" s="36"/>
      <x:c r="O7" s="167"/>
      <x:c r="P7" s="185"/>
      <x:c r="Q7" s="185"/>
      <x:c r="R7" s="185"/>
      <x:c r="S7" s="35"/>
      <x:c r="T7" s="36"/>
      <x:c r="U7" s="167"/>
      <x:c r="V7" s="185"/>
      <x:c r="W7" s="185"/>
      <x:c r="X7" s="185"/>
      <x:c r="Y7" s="35"/>
      <x:c r="Z7" s="36"/>
      <x:c r="AA7" s="167"/>
      <x:c r="AB7" s="185"/>
      <x:c r="AC7" s="185"/>
      <x:c r="AD7" s="185"/>
      <x:c r="AE7" s="35"/>
      <x:c r="AF7" s="36"/>
      <x:c r="AG7" s="167"/>
      <x:c r="AH7" s="185"/>
      <x:c r="AI7" s="185"/>
      <x:c r="AJ7" s="185"/>
      <x:c r="AK7" s="35"/>
      <x:c r="AL7" s="36"/>
      <x:c r="AM7" s="617">
        <x:v>0</x:v>
      </x:c>
      <x:c r="AN7" s="589">
        <x:v>0</x:v>
      </x:c>
      <x:c r="AO7" s="589">
        <x:v>0</x:v>
      </x:c>
      <x:c r="AP7" s="589">
        <x:v>0</x:v>
      </x:c>
      <x:c r="AQ7" s="589">
        <x:v>0</x:v>
      </x:c>
      <x:c r="AR7" s="592" t="s">
        <x:v>1103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230">
        <x:v>97</x:v>
      </x:c>
      <x:c r="AX7" s="585" t="s">
        <x:v>1102</x:v>
      </x:c>
      <x:c r="AY7" s="167"/>
      <x:c r="AZ7" s="185"/>
      <x:c r="BA7" s="185"/>
      <x:c r="BB7" s="185"/>
      <x:c r="BC7" s="35"/>
      <x:c r="BD7" s="36"/>
      <x:c r="BE7" s="167"/>
      <x:c r="BF7" s="185"/>
      <x:c r="BG7" s="185"/>
      <x:c r="BH7" s="185"/>
      <x:c r="BI7" s="35"/>
      <x:c r="BJ7" s="36"/>
      <x:c r="BK7" s="167"/>
      <x:c r="BL7" s="185"/>
      <x:c r="BM7" s="185"/>
      <x:c r="BN7" s="185"/>
      <x:c r="BO7" s="35"/>
      <x:c r="BP7" s="36"/>
      <x:c r="BQ7" s="167"/>
      <x:c r="BR7" s="185"/>
      <x:c r="BS7" s="185"/>
      <x:c r="BT7" s="185"/>
      <x:c r="BU7" s="35"/>
      <x:c r="BV7" s="36"/>
    </x:row>
    <x:row r="8" spans="1:74" ht="22.5" customHeight="1" x14ac:dyDescent="0.25">
      <x:c r="A8" s="97" t="s">
        <x:v>210</x:v>
      </x:c>
      <x:c r="B8" s="57" t="s">
        <x:v>21</x:v>
      </x:c>
      <x:c r="C8" s="175"/>
      <x:c r="D8" s="158"/>
      <x:c r="E8" s="158"/>
      <x:c r="F8" s="158"/>
      <x:c r="G8" s="158"/>
      <x:c r="H8" s="159"/>
      <x:c r="I8" s="167"/>
      <x:c r="J8" s="185"/>
      <x:c r="K8" s="185"/>
      <x:c r="L8" s="185"/>
      <x:c r="M8" s="35"/>
      <x:c r="N8" s="36"/>
      <x:c r="O8" s="167"/>
      <x:c r="P8" s="185"/>
      <x:c r="Q8" s="185"/>
      <x:c r="R8" s="185"/>
      <x:c r="S8" s="35"/>
      <x:c r="T8" s="36"/>
      <x:c r="U8" s="167"/>
      <x:c r="V8" s="185"/>
      <x:c r="W8" s="185"/>
      <x:c r="X8" s="185"/>
      <x:c r="Y8" s="35"/>
      <x:c r="Z8" s="36"/>
      <x:c r="AA8" s="167"/>
      <x:c r="AB8" s="185"/>
      <x:c r="AC8" s="185"/>
      <x:c r="AD8" s="185"/>
      <x:c r="AE8" s="35"/>
      <x:c r="AF8" s="36"/>
      <x:c r="AG8" s="167"/>
      <x:c r="AH8" s="185"/>
      <x:c r="AI8" s="185"/>
      <x:c r="AJ8" s="185"/>
      <x:c r="AK8" s="35"/>
      <x:c r="AL8" s="36"/>
      <x:c r="AM8" s="175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584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230">
        <x:v>100</x:v>
      </x:c>
      <x:c r="AX8" s="585" t="s">
        <x:v>1102</x:v>
      </x:c>
      <x:c r="AY8" s="167"/>
      <x:c r="AZ8" s="185"/>
      <x:c r="BA8" s="185"/>
      <x:c r="BB8" s="185"/>
      <x:c r="BC8" s="35"/>
      <x:c r="BD8" s="36"/>
      <x:c r="BE8" s="167"/>
      <x:c r="BF8" s="185"/>
      <x:c r="BG8" s="185"/>
      <x:c r="BH8" s="185"/>
      <x:c r="BI8" s="35"/>
      <x:c r="BJ8" s="36"/>
      <x:c r="BK8" s="167"/>
      <x:c r="BL8" s="185"/>
      <x:c r="BM8" s="185"/>
      <x:c r="BN8" s="185"/>
      <x:c r="BO8" s="35"/>
      <x:c r="BP8" s="36"/>
      <x:c r="BQ8" s="167"/>
      <x:c r="BR8" s="185"/>
      <x:c r="BS8" s="185"/>
      <x:c r="BT8" s="185"/>
      <x:c r="BU8" s="35"/>
      <x:c r="BV8" s="36"/>
    </x:row>
    <x:row r="9" spans="1:74" ht="22.5" customHeight="1" x14ac:dyDescent="0.25">
      <x:c r="A9" s="97" t="s">
        <x:v>194</x:v>
      </x:c>
      <x:c r="B9" s="57" t="s">
        <x:v>183</x:v>
      </x:c>
      <x:c r="C9" s="175"/>
      <x:c r="D9" s="158"/>
      <x:c r="E9" s="158"/>
      <x:c r="F9" s="158"/>
      <x:c r="G9" s="158"/>
      <x:c r="H9" s="159"/>
      <x:c r="I9" s="167"/>
      <x:c r="J9" s="185"/>
      <x:c r="K9" s="185"/>
      <x:c r="L9" s="185"/>
      <x:c r="M9" s="35"/>
      <x:c r="N9" s="36"/>
      <x:c r="O9" s="167"/>
      <x:c r="P9" s="185"/>
      <x:c r="Q9" s="185"/>
      <x:c r="R9" s="185"/>
      <x:c r="S9" s="35"/>
      <x:c r="T9" s="36"/>
      <x:c r="U9" s="167"/>
      <x:c r="V9" s="185"/>
      <x:c r="W9" s="185"/>
      <x:c r="X9" s="185"/>
      <x:c r="Y9" s="35"/>
      <x:c r="Z9" s="36"/>
      <x:c r="AA9" s="167"/>
      <x:c r="AB9" s="185"/>
      <x:c r="AC9" s="185"/>
      <x:c r="AD9" s="185"/>
      <x:c r="AE9" s="35"/>
      <x:c r="AF9" s="36"/>
      <x:c r="AG9" s="167"/>
      <x:c r="AH9" s="185"/>
      <x:c r="AI9" s="185"/>
      <x:c r="AJ9" s="185"/>
      <x:c r="AK9" s="35"/>
      <x:c r="AL9" s="36"/>
      <x:c r="AM9" s="175">
        <x:v>100</x:v>
      </x:c>
      <x:c r="AN9" s="158">
        <x:v>100</x:v>
      </x:c>
      <x:c r="AO9" s="158">
        <x:v>100</x:v>
      </x:c>
      <x:c r="AP9" s="589">
        <x:v>0</x:v>
      </x:c>
      <x:c r="AQ9" s="589">
        <x:v>0</x:v>
      </x:c>
      <x:c r="AR9" s="584" t="s">
        <x:v>1102</x:v>
      </x:c>
      <x:c r="AS9" s="175">
        <x:v>100</x:v>
      </x:c>
      <x:c r="AT9" s="158">
        <x:v>100</x:v>
      </x:c>
      <x:c r="AU9" s="158">
        <x:v>100</x:v>
      </x:c>
      <x:c r="AV9" s="600">
        <x:v>0</x:v>
      </x:c>
      <x:c r="AW9" s="601">
        <x:v>0</x:v>
      </x:c>
      <x:c r="AX9" s="585" t="s">
        <x:v>1102</x:v>
      </x:c>
      <x:c r="AY9" s="167"/>
      <x:c r="AZ9" s="185"/>
      <x:c r="BA9" s="185"/>
      <x:c r="BB9" s="185"/>
      <x:c r="BC9" s="35"/>
      <x:c r="BD9" s="36"/>
      <x:c r="BE9" s="167"/>
      <x:c r="BF9" s="185"/>
      <x:c r="BG9" s="185"/>
      <x:c r="BH9" s="185"/>
      <x:c r="BI9" s="35"/>
      <x:c r="BJ9" s="36"/>
      <x:c r="BK9" s="167"/>
      <x:c r="BL9" s="185"/>
      <x:c r="BM9" s="185"/>
      <x:c r="BN9" s="185"/>
      <x:c r="BO9" s="35"/>
      <x:c r="BP9" s="36"/>
      <x:c r="BQ9" s="167"/>
      <x:c r="BR9" s="185"/>
      <x:c r="BS9" s="185"/>
      <x:c r="BT9" s="185"/>
      <x:c r="BU9" s="35"/>
      <x:c r="BV9" s="36"/>
    </x:row>
    <x:row r="10" spans="1:74" ht="22.5" customHeight="1" x14ac:dyDescent="0.25">
      <x:c r="A10" s="97" t="s">
        <x:v>202</x:v>
      </x:c>
      <x:c r="B10" s="57" t="s">
        <x:v>16</x:v>
      </x:c>
      <x:c r="C10" s="175"/>
      <x:c r="D10" s="158"/>
      <x:c r="E10" s="158"/>
      <x:c r="F10" s="158"/>
      <x:c r="G10" s="158"/>
      <x:c r="H10" s="159"/>
      <x:c r="I10" s="167"/>
      <x:c r="J10" s="185"/>
      <x:c r="K10" s="185"/>
      <x:c r="L10" s="185"/>
      <x:c r="M10" s="35"/>
      <x:c r="N10" s="36"/>
      <x:c r="O10" s="167"/>
      <x:c r="P10" s="185"/>
      <x:c r="Q10" s="185"/>
      <x:c r="R10" s="185"/>
      <x:c r="S10" s="35"/>
      <x:c r="T10" s="36"/>
      <x:c r="U10" s="167"/>
      <x:c r="V10" s="185"/>
      <x:c r="W10" s="185"/>
      <x:c r="X10" s="185"/>
      <x:c r="Y10" s="35"/>
      <x:c r="Z10" s="36"/>
      <x:c r="AA10" s="167"/>
      <x:c r="AB10" s="185"/>
      <x:c r="AC10" s="185"/>
      <x:c r="AD10" s="185"/>
      <x:c r="AE10" s="35"/>
      <x:c r="AF10" s="36"/>
      <x:c r="AG10" s="167"/>
      <x:c r="AH10" s="185"/>
      <x:c r="AI10" s="185"/>
      <x:c r="AJ10" s="185"/>
      <x:c r="AK10" s="35"/>
      <x:c r="AL10" s="36"/>
      <x:c r="AM10" s="175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584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230">
        <x:v>100</x:v>
      </x:c>
      <x:c r="AX10" s="585" t="s">
        <x:v>1102</x:v>
      </x:c>
      <x:c r="AY10" s="167"/>
      <x:c r="AZ10" s="185"/>
      <x:c r="BA10" s="185"/>
      <x:c r="BB10" s="185"/>
      <x:c r="BC10" s="35"/>
      <x:c r="BD10" s="36"/>
      <x:c r="BE10" s="167"/>
      <x:c r="BF10" s="185"/>
      <x:c r="BG10" s="185"/>
      <x:c r="BH10" s="185"/>
      <x:c r="BI10" s="35"/>
      <x:c r="BJ10" s="36"/>
      <x:c r="BK10" s="167"/>
      <x:c r="BL10" s="185"/>
      <x:c r="BM10" s="185"/>
      <x:c r="BN10" s="185"/>
      <x:c r="BO10" s="35"/>
      <x:c r="BP10" s="36"/>
      <x:c r="BQ10" s="167"/>
      <x:c r="BR10" s="185"/>
      <x:c r="BS10" s="185"/>
      <x:c r="BT10" s="185"/>
      <x:c r="BU10" s="35"/>
      <x:c r="BV10" s="36"/>
    </x:row>
    <x:row r="11" spans="1:74" ht="22.5" customHeight="1" x14ac:dyDescent="0.25">
      <x:c r="A11" s="97" t="s">
        <x:v>199</x:v>
      </x:c>
      <x:c r="B11" s="57" t="s">
        <x:v>16</x:v>
      </x:c>
      <x:c r="C11" s="175"/>
      <x:c r="D11" s="158"/>
      <x:c r="E11" s="158"/>
      <x:c r="F11" s="158"/>
      <x:c r="G11" s="158"/>
      <x:c r="H11" s="159"/>
      <x:c r="I11" s="167"/>
      <x:c r="J11" s="185"/>
      <x:c r="K11" s="185"/>
      <x:c r="L11" s="185"/>
      <x:c r="M11" s="35"/>
      <x:c r="N11" s="36"/>
      <x:c r="O11" s="167"/>
      <x:c r="P11" s="185"/>
      <x:c r="Q11" s="185"/>
      <x:c r="R11" s="185"/>
      <x:c r="S11" s="35"/>
      <x:c r="T11" s="36"/>
      <x:c r="U11" s="167"/>
      <x:c r="V11" s="185"/>
      <x:c r="W11" s="185"/>
      <x:c r="X11" s="185"/>
      <x:c r="Y11" s="35"/>
      <x:c r="Z11" s="36"/>
      <x:c r="AA11" s="167"/>
      <x:c r="AB11" s="185"/>
      <x:c r="AC11" s="185"/>
      <x:c r="AD11" s="185"/>
      <x:c r="AE11" s="35"/>
      <x:c r="AF11" s="36"/>
      <x:c r="AG11" s="167"/>
      <x:c r="AH11" s="185"/>
      <x:c r="AI11" s="185"/>
      <x:c r="AJ11" s="185"/>
      <x:c r="AK11" s="35"/>
      <x:c r="AL11" s="36"/>
      <x:c r="AM11" s="175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584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230">
        <x:v>100</x:v>
      </x:c>
      <x:c r="AX11" s="585" t="s">
        <x:v>1102</x:v>
      </x:c>
      <x:c r="AY11" s="167"/>
      <x:c r="AZ11" s="185"/>
      <x:c r="BA11" s="185"/>
      <x:c r="BB11" s="185"/>
      <x:c r="BC11" s="35"/>
      <x:c r="BD11" s="36"/>
      <x:c r="BE11" s="167"/>
      <x:c r="BF11" s="185"/>
      <x:c r="BG11" s="185"/>
      <x:c r="BH11" s="185"/>
      <x:c r="BI11" s="35"/>
      <x:c r="BJ11" s="36"/>
      <x:c r="BK11" s="167"/>
      <x:c r="BL11" s="185"/>
      <x:c r="BM11" s="185"/>
      <x:c r="BN11" s="185"/>
      <x:c r="BO11" s="35"/>
      <x:c r="BP11" s="36"/>
      <x:c r="BQ11" s="167"/>
      <x:c r="BR11" s="185"/>
      <x:c r="BS11" s="185"/>
      <x:c r="BT11" s="185"/>
      <x:c r="BU11" s="35"/>
      <x:c r="BV11" s="36"/>
    </x:row>
    <x:row r="12" spans="1:74" ht="22.5" customHeight="1" x14ac:dyDescent="0.25">
      <x:c r="A12" s="619" t="s">
        <x:v>209</x:v>
      </x:c>
      <x:c r="B12" s="57" t="s">
        <x:v>23</x:v>
      </x:c>
      <x:c r="C12" s="175"/>
      <x:c r="D12" s="158"/>
      <x:c r="E12" s="158"/>
      <x:c r="F12" s="158"/>
      <x:c r="G12" s="158"/>
      <x:c r="H12" s="159"/>
      <x:c r="I12" s="167"/>
      <x:c r="J12" s="185"/>
      <x:c r="K12" s="185"/>
      <x:c r="L12" s="185"/>
      <x:c r="M12" s="35"/>
      <x:c r="N12" s="36"/>
      <x:c r="O12" s="167"/>
      <x:c r="P12" s="185"/>
      <x:c r="Q12" s="185"/>
      <x:c r="R12" s="185"/>
      <x:c r="S12" s="35"/>
      <x:c r="T12" s="36"/>
      <x:c r="U12" s="167"/>
      <x:c r="V12" s="185"/>
      <x:c r="W12" s="185"/>
      <x:c r="X12" s="185"/>
      <x:c r="Y12" s="35"/>
      <x:c r="Z12" s="36"/>
      <x:c r="AA12" s="167"/>
      <x:c r="AB12" s="185"/>
      <x:c r="AC12" s="185"/>
      <x:c r="AD12" s="185"/>
      <x:c r="AE12" s="35"/>
      <x:c r="AF12" s="36"/>
      <x:c r="AG12" s="167"/>
      <x:c r="AH12" s="185"/>
      <x:c r="AI12" s="185"/>
      <x:c r="AJ12" s="185"/>
      <x:c r="AK12" s="35"/>
      <x:c r="AL12" s="36"/>
      <x:c r="AM12" s="617">
        <x:v>0</x:v>
      </x:c>
      <x:c r="AN12" s="589">
        <x:v>0</x:v>
      </x:c>
      <x:c r="AO12" s="589">
        <x:v>0</x:v>
      </x:c>
      <x:c r="AP12" s="589">
        <x:v>0</x:v>
      </x:c>
      <x:c r="AQ12" s="589">
        <x:v>0</x:v>
      </x:c>
      <x:c r="AR12" s="592" t="s">
        <x:v>1103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230">
        <x:v>100</x:v>
      </x:c>
      <x:c r="AX12" s="585" t="s">
        <x:v>1102</x:v>
      </x:c>
      <x:c r="AY12" s="167"/>
      <x:c r="AZ12" s="185"/>
      <x:c r="BA12" s="185"/>
      <x:c r="BB12" s="185"/>
      <x:c r="BC12" s="35"/>
      <x:c r="BD12" s="36"/>
      <x:c r="BE12" s="167"/>
      <x:c r="BF12" s="185"/>
      <x:c r="BG12" s="185"/>
      <x:c r="BH12" s="185"/>
      <x:c r="BI12" s="35"/>
      <x:c r="BJ12" s="36"/>
      <x:c r="BK12" s="167"/>
      <x:c r="BL12" s="185"/>
      <x:c r="BM12" s="185"/>
      <x:c r="BN12" s="185"/>
      <x:c r="BO12" s="35"/>
      <x:c r="BP12" s="36"/>
      <x:c r="BQ12" s="167"/>
      <x:c r="BR12" s="185"/>
      <x:c r="BS12" s="185"/>
      <x:c r="BT12" s="185"/>
      <x:c r="BU12" s="35"/>
      <x:c r="BV12" s="36"/>
    </x:row>
    <x:row r="13" spans="1:74" ht="22.5" customHeight="1" x14ac:dyDescent="0.25">
      <x:c r="A13" s="97" t="s">
        <x:v>207</x:v>
      </x:c>
      <x:c r="B13" s="57" t="s">
        <x:v>23</x:v>
      </x:c>
      <x:c r="C13" s="175"/>
      <x:c r="D13" s="158"/>
      <x:c r="E13" s="158"/>
      <x:c r="F13" s="158"/>
      <x:c r="G13" s="158"/>
      <x:c r="H13" s="159"/>
      <x:c r="I13" s="167"/>
      <x:c r="J13" s="185"/>
      <x:c r="K13" s="185"/>
      <x:c r="L13" s="185"/>
      <x:c r="M13" s="35"/>
      <x:c r="N13" s="36"/>
      <x:c r="O13" s="167"/>
      <x:c r="P13" s="185"/>
      <x:c r="Q13" s="185"/>
      <x:c r="R13" s="185"/>
      <x:c r="S13" s="35"/>
      <x:c r="T13" s="36"/>
      <x:c r="U13" s="167"/>
      <x:c r="V13" s="185"/>
      <x:c r="W13" s="185"/>
      <x:c r="X13" s="185"/>
      <x:c r="Y13" s="35"/>
      <x:c r="Z13" s="36"/>
      <x:c r="AA13" s="167"/>
      <x:c r="AB13" s="185"/>
      <x:c r="AC13" s="185"/>
      <x:c r="AD13" s="185"/>
      <x:c r="AE13" s="35"/>
      <x:c r="AF13" s="36"/>
      <x:c r="AG13" s="167"/>
      <x:c r="AH13" s="185"/>
      <x:c r="AI13" s="185"/>
      <x:c r="AJ13" s="185"/>
      <x:c r="AK13" s="35"/>
      <x:c r="AL13" s="36"/>
      <x:c r="AM13" s="175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584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230">
        <x:v>100</x:v>
      </x:c>
      <x:c r="AX13" s="585" t="s">
        <x:v>1102</x:v>
      </x:c>
      <x:c r="AY13" s="167"/>
      <x:c r="AZ13" s="185"/>
      <x:c r="BA13" s="185"/>
      <x:c r="BB13" s="185"/>
      <x:c r="BC13" s="35"/>
      <x:c r="BD13" s="36"/>
      <x:c r="BE13" s="167"/>
      <x:c r="BF13" s="185"/>
      <x:c r="BG13" s="185"/>
      <x:c r="BH13" s="185"/>
      <x:c r="BI13" s="35"/>
      <x:c r="BJ13" s="36"/>
      <x:c r="BK13" s="167"/>
      <x:c r="BL13" s="185"/>
      <x:c r="BM13" s="185"/>
      <x:c r="BN13" s="185"/>
      <x:c r="BO13" s="35"/>
      <x:c r="BP13" s="36"/>
      <x:c r="BQ13" s="167"/>
      <x:c r="BR13" s="185"/>
      <x:c r="BS13" s="185"/>
      <x:c r="BT13" s="185"/>
      <x:c r="BU13" s="35"/>
      <x:c r="BV13" s="36"/>
    </x:row>
    <x:row r="14" spans="1:74" ht="22.5" customHeight="1" x14ac:dyDescent="0.25">
      <x:c r="A14" s="97" t="s">
        <x:v>212</x:v>
      </x:c>
      <x:c r="B14" s="57" t="s">
        <x:v>37</x:v>
      </x:c>
      <x:c r="C14" s="175"/>
      <x:c r="D14" s="158"/>
      <x:c r="E14" s="158"/>
      <x:c r="F14" s="158"/>
      <x:c r="G14" s="158"/>
      <x:c r="H14" s="159"/>
      <x:c r="I14" s="167"/>
      <x:c r="J14" s="185"/>
      <x:c r="K14" s="185"/>
      <x:c r="L14" s="185"/>
      <x:c r="M14" s="35"/>
      <x:c r="N14" s="36"/>
      <x:c r="O14" s="167"/>
      <x:c r="P14" s="185"/>
      <x:c r="Q14" s="185"/>
      <x:c r="R14" s="185"/>
      <x:c r="S14" s="35"/>
      <x:c r="T14" s="36"/>
      <x:c r="U14" s="167"/>
      <x:c r="V14" s="185"/>
      <x:c r="W14" s="185"/>
      <x:c r="X14" s="185"/>
      <x:c r="Y14" s="35"/>
      <x:c r="Z14" s="36"/>
      <x:c r="AA14" s="167"/>
      <x:c r="AB14" s="185"/>
      <x:c r="AC14" s="185"/>
      <x:c r="AD14" s="185"/>
      <x:c r="AE14" s="35"/>
      <x:c r="AF14" s="36"/>
      <x:c r="AG14" s="167"/>
      <x:c r="AH14" s="185"/>
      <x:c r="AI14" s="185"/>
      <x:c r="AJ14" s="185"/>
      <x:c r="AK14" s="35"/>
      <x:c r="AL14" s="36"/>
      <x:c r="AM14" s="175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584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230">
        <x:v>100</x:v>
      </x:c>
      <x:c r="AX14" s="585" t="s">
        <x:v>1102</x:v>
      </x:c>
      <x:c r="AY14" s="167"/>
      <x:c r="AZ14" s="185"/>
      <x:c r="BA14" s="185"/>
      <x:c r="BB14" s="185"/>
      <x:c r="BC14" s="35"/>
      <x:c r="BD14" s="36"/>
      <x:c r="BE14" s="167"/>
      <x:c r="BF14" s="185"/>
      <x:c r="BG14" s="185"/>
      <x:c r="BH14" s="185"/>
      <x:c r="BI14" s="35"/>
      <x:c r="BJ14" s="36"/>
      <x:c r="BK14" s="167"/>
      <x:c r="BL14" s="185"/>
      <x:c r="BM14" s="185"/>
      <x:c r="BN14" s="185"/>
      <x:c r="BO14" s="35"/>
      <x:c r="BP14" s="36"/>
      <x:c r="BQ14" s="167"/>
      <x:c r="BR14" s="185"/>
      <x:c r="BS14" s="185"/>
      <x:c r="BT14" s="185"/>
      <x:c r="BU14" s="35"/>
      <x:c r="BV14" s="36"/>
    </x:row>
    <x:row r="15" spans="1:74" ht="22.5" customHeight="1" x14ac:dyDescent="0.25">
      <x:c r="A15" s="97" t="s">
        <x:v>198</x:v>
      </x:c>
      <x:c r="B15" s="57" t="s">
        <x:v>191</x:v>
      </x:c>
      <x:c r="C15" s="175"/>
      <x:c r="D15" s="158"/>
      <x:c r="E15" s="158"/>
      <x:c r="F15" s="158"/>
      <x:c r="G15" s="158"/>
      <x:c r="H15" s="159"/>
      <x:c r="I15" s="167"/>
      <x:c r="J15" s="185"/>
      <x:c r="K15" s="185"/>
      <x:c r="L15" s="185"/>
      <x:c r="M15" s="35"/>
      <x:c r="N15" s="36"/>
      <x:c r="O15" s="167"/>
      <x:c r="P15" s="185"/>
      <x:c r="Q15" s="185"/>
      <x:c r="R15" s="185"/>
      <x:c r="S15" s="35"/>
      <x:c r="T15" s="36"/>
      <x:c r="U15" s="167"/>
      <x:c r="V15" s="185"/>
      <x:c r="W15" s="185"/>
      <x:c r="X15" s="185"/>
      <x:c r="Y15" s="35"/>
      <x:c r="Z15" s="36"/>
      <x:c r="AA15" s="167"/>
      <x:c r="AB15" s="185"/>
      <x:c r="AC15" s="185"/>
      <x:c r="AD15" s="185"/>
      <x:c r="AE15" s="35"/>
      <x:c r="AF15" s="36"/>
      <x:c r="AG15" s="167"/>
      <x:c r="AH15" s="185"/>
      <x:c r="AI15" s="185"/>
      <x:c r="AJ15" s="185"/>
      <x:c r="AK15" s="35"/>
      <x:c r="AL15" s="36"/>
      <x:c r="AM15" s="175">
        <x:v>100</x:v>
      </x:c>
      <x:c r="AN15" s="158">
        <x:v>100</x:v>
      </x:c>
      <x:c r="AO15" s="158">
        <x:v>100</x:v>
      </x:c>
      <x:c r="AP15" s="589">
        <x:v>0</x:v>
      </x:c>
      <x:c r="AQ15" s="589">
        <x:v>0</x:v>
      </x:c>
      <x:c r="AR15" s="584" t="s">
        <x:v>1102</x:v>
      </x:c>
      <x:c r="AS15" s="175">
        <x:v>100</x:v>
      </x:c>
      <x:c r="AT15" s="158">
        <x:v>100</x:v>
      </x:c>
      <x:c r="AU15" s="158">
        <x:v>100</x:v>
      </x:c>
      <x:c r="AV15" s="600">
        <x:v>0</x:v>
      </x:c>
      <x:c r="AW15" s="601">
        <x:v>0</x:v>
      </x:c>
      <x:c r="AX15" s="585" t="s">
        <x:v>1102</x:v>
      </x:c>
      <x:c r="AY15" s="167"/>
      <x:c r="AZ15" s="185"/>
      <x:c r="BA15" s="185"/>
      <x:c r="BB15" s="185"/>
      <x:c r="BC15" s="35"/>
      <x:c r="BD15" s="36"/>
      <x:c r="BE15" s="167"/>
      <x:c r="BF15" s="185"/>
      <x:c r="BG15" s="185"/>
      <x:c r="BH15" s="185"/>
      <x:c r="BI15" s="35"/>
      <x:c r="BJ15" s="36"/>
      <x:c r="BK15" s="167"/>
      <x:c r="BL15" s="185"/>
      <x:c r="BM15" s="185"/>
      <x:c r="BN15" s="185"/>
      <x:c r="BO15" s="35"/>
      <x:c r="BP15" s="36"/>
      <x:c r="BQ15" s="167"/>
      <x:c r="BR15" s="185"/>
      <x:c r="BS15" s="185"/>
      <x:c r="BT15" s="185"/>
      <x:c r="BU15" s="35"/>
      <x:c r="BV15" s="36"/>
    </x:row>
    <x:row r="16" spans="1:74" ht="22.5" customHeight="1" x14ac:dyDescent="0.25">
      <x:c r="A16" s="97" t="s">
        <x:v>204</x:v>
      </x:c>
      <x:c r="B16" s="57" t="s">
        <x:v>23</x:v>
      </x:c>
      <x:c r="C16" s="175"/>
      <x:c r="D16" s="158"/>
      <x:c r="E16" s="158"/>
      <x:c r="F16" s="158"/>
      <x:c r="G16" s="158"/>
      <x:c r="H16" s="159"/>
      <x:c r="I16" s="167"/>
      <x:c r="J16" s="185"/>
      <x:c r="K16" s="185"/>
      <x:c r="L16" s="185"/>
      <x:c r="M16" s="35"/>
      <x:c r="N16" s="36"/>
      <x:c r="O16" s="167"/>
      <x:c r="P16" s="185"/>
      <x:c r="Q16" s="185"/>
      <x:c r="R16" s="185"/>
      <x:c r="S16" s="35"/>
      <x:c r="T16" s="36"/>
      <x:c r="U16" s="167"/>
      <x:c r="V16" s="185"/>
      <x:c r="W16" s="185"/>
      <x:c r="X16" s="185"/>
      <x:c r="Y16" s="35"/>
      <x:c r="Z16" s="36"/>
      <x:c r="AA16" s="167"/>
      <x:c r="AB16" s="185"/>
      <x:c r="AC16" s="185"/>
      <x:c r="AD16" s="185"/>
      <x:c r="AE16" s="35"/>
      <x:c r="AF16" s="36"/>
      <x:c r="AG16" s="167"/>
      <x:c r="AH16" s="185"/>
      <x:c r="AI16" s="185"/>
      <x:c r="AJ16" s="185"/>
      <x:c r="AK16" s="35"/>
      <x:c r="AL16" s="36"/>
      <x:c r="AM16" s="175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584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230">
        <x:v>100</x:v>
      </x:c>
      <x:c r="AX16" s="585" t="s">
        <x:v>1102</x:v>
      </x:c>
      <x:c r="AY16" s="167"/>
      <x:c r="AZ16" s="185"/>
      <x:c r="BA16" s="185"/>
      <x:c r="BB16" s="185"/>
      <x:c r="BC16" s="35"/>
      <x:c r="BD16" s="36"/>
      <x:c r="BE16" s="167"/>
      <x:c r="BF16" s="185"/>
      <x:c r="BG16" s="185"/>
      <x:c r="BH16" s="185"/>
      <x:c r="BI16" s="35"/>
      <x:c r="BJ16" s="36"/>
      <x:c r="BK16" s="167"/>
      <x:c r="BL16" s="185"/>
      <x:c r="BM16" s="185"/>
      <x:c r="BN16" s="185"/>
      <x:c r="BO16" s="35"/>
      <x:c r="BP16" s="36"/>
      <x:c r="BQ16" s="167"/>
      <x:c r="BR16" s="185"/>
      <x:c r="BS16" s="185"/>
      <x:c r="BT16" s="185"/>
      <x:c r="BU16" s="35"/>
      <x:c r="BV16" s="36"/>
    </x:row>
    <x:row r="17" spans="1:74" ht="22.5" customHeight="1" x14ac:dyDescent="0.25">
      <x:c r="A17" s="97" t="s">
        <x:v>211</x:v>
      </x:c>
      <x:c r="B17" s="57" t="s">
        <x:v>37</x:v>
      </x:c>
      <x:c r="C17" s="175"/>
      <x:c r="D17" s="158"/>
      <x:c r="E17" s="158"/>
      <x:c r="F17" s="158"/>
      <x:c r="G17" s="158"/>
      <x:c r="H17" s="159"/>
      <x:c r="I17" s="167"/>
      <x:c r="J17" s="185"/>
      <x:c r="K17" s="185"/>
      <x:c r="L17" s="185"/>
      <x:c r="M17" s="35"/>
      <x:c r="N17" s="36"/>
      <x:c r="O17" s="167"/>
      <x:c r="P17" s="185"/>
      <x:c r="Q17" s="185"/>
      <x:c r="R17" s="185"/>
      <x:c r="S17" s="35"/>
      <x:c r="T17" s="36"/>
      <x:c r="U17" s="167"/>
      <x:c r="V17" s="185"/>
      <x:c r="W17" s="185"/>
      <x:c r="X17" s="185"/>
      <x:c r="Y17" s="35"/>
      <x:c r="Z17" s="36"/>
      <x:c r="AA17" s="167"/>
      <x:c r="AB17" s="185"/>
      <x:c r="AC17" s="185"/>
      <x:c r="AD17" s="185"/>
      <x:c r="AE17" s="35"/>
      <x:c r="AF17" s="36"/>
      <x:c r="AG17" s="167"/>
      <x:c r="AH17" s="185"/>
      <x:c r="AI17" s="185"/>
      <x:c r="AJ17" s="185"/>
      <x:c r="AK17" s="35"/>
      <x:c r="AL17" s="36"/>
      <x:c r="AM17" s="175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584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230">
        <x:v>100</x:v>
      </x:c>
      <x:c r="AX17" s="585" t="s">
        <x:v>1102</x:v>
      </x:c>
      <x:c r="AY17" s="167"/>
      <x:c r="AZ17" s="185"/>
      <x:c r="BA17" s="185"/>
      <x:c r="BB17" s="185"/>
      <x:c r="BC17" s="35"/>
      <x:c r="BD17" s="36"/>
      <x:c r="BE17" s="167"/>
      <x:c r="BF17" s="185"/>
      <x:c r="BG17" s="185"/>
      <x:c r="BH17" s="185"/>
      <x:c r="BI17" s="35"/>
      <x:c r="BJ17" s="36"/>
      <x:c r="BK17" s="167"/>
      <x:c r="BL17" s="185"/>
      <x:c r="BM17" s="185"/>
      <x:c r="BN17" s="185"/>
      <x:c r="BO17" s="35"/>
      <x:c r="BP17" s="36"/>
      <x:c r="BQ17" s="167"/>
      <x:c r="BR17" s="185"/>
      <x:c r="BS17" s="185"/>
      <x:c r="BT17" s="185"/>
      <x:c r="BU17" s="35"/>
      <x:c r="BV17" s="36"/>
    </x:row>
    <x:row r="18" spans="1:74" ht="22.5" customHeight="1" x14ac:dyDescent="0.25">
      <x:c r="A18" s="97" t="s">
        <x:v>200</x:v>
      </x:c>
      <x:c r="B18" s="57" t="s">
        <x:v>16</x:v>
      </x:c>
      <x:c r="C18" s="175"/>
      <x:c r="D18" s="158"/>
      <x:c r="E18" s="158"/>
      <x:c r="F18" s="158"/>
      <x:c r="G18" s="158"/>
      <x:c r="H18" s="159"/>
      <x:c r="I18" s="167"/>
      <x:c r="J18" s="185"/>
      <x:c r="K18" s="185"/>
      <x:c r="L18" s="185"/>
      <x:c r="M18" s="35"/>
      <x:c r="N18" s="36"/>
      <x:c r="O18" s="167"/>
      <x:c r="P18" s="185"/>
      <x:c r="Q18" s="185"/>
      <x:c r="R18" s="185"/>
      <x:c r="S18" s="35"/>
      <x:c r="T18" s="36"/>
      <x:c r="U18" s="167"/>
      <x:c r="V18" s="185"/>
      <x:c r="W18" s="185"/>
      <x:c r="X18" s="185"/>
      <x:c r="Y18" s="35"/>
      <x:c r="Z18" s="36"/>
      <x:c r="AA18" s="167"/>
      <x:c r="AB18" s="185"/>
      <x:c r="AC18" s="185"/>
      <x:c r="AD18" s="185"/>
      <x:c r="AE18" s="35"/>
      <x:c r="AF18" s="36"/>
      <x:c r="AG18" s="167"/>
      <x:c r="AH18" s="185"/>
      <x:c r="AI18" s="185"/>
      <x:c r="AJ18" s="185"/>
      <x:c r="AK18" s="35"/>
      <x:c r="AL18" s="36"/>
      <x:c r="AM18" s="175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84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230">
        <x:v>100</x:v>
      </x:c>
      <x:c r="AX18" s="585" t="s">
        <x:v>1102</x:v>
      </x:c>
      <x:c r="AY18" s="167"/>
      <x:c r="AZ18" s="185"/>
      <x:c r="BA18" s="185"/>
      <x:c r="BB18" s="185"/>
      <x:c r="BC18" s="35"/>
      <x:c r="BD18" s="36"/>
      <x:c r="BE18" s="167"/>
      <x:c r="BF18" s="185"/>
      <x:c r="BG18" s="185"/>
      <x:c r="BH18" s="185"/>
      <x:c r="BI18" s="35"/>
      <x:c r="BJ18" s="36"/>
      <x:c r="BK18" s="167"/>
      <x:c r="BL18" s="185"/>
      <x:c r="BM18" s="185"/>
      <x:c r="BN18" s="185"/>
      <x:c r="BO18" s="35"/>
      <x:c r="BP18" s="36"/>
      <x:c r="BQ18" s="167"/>
      <x:c r="BR18" s="185"/>
      <x:c r="BS18" s="185"/>
      <x:c r="BT18" s="185"/>
      <x:c r="BU18" s="35"/>
      <x:c r="BV18" s="36"/>
    </x:row>
    <x:row r="19" spans="1:74" ht="22.5" customHeight="1" x14ac:dyDescent="0.25">
      <x:c r="A19" s="97" t="s">
        <x:v>196</x:v>
      </x:c>
      <x:c r="B19" s="57" t="s">
        <x:v>183</x:v>
      </x:c>
      <x:c r="C19" s="175"/>
      <x:c r="D19" s="158"/>
      <x:c r="E19" s="158"/>
      <x:c r="F19" s="158"/>
      <x:c r="G19" s="158"/>
      <x:c r="H19" s="159"/>
      <x:c r="I19" s="167"/>
      <x:c r="J19" s="185"/>
      <x:c r="K19" s="185"/>
      <x:c r="L19" s="185"/>
      <x:c r="M19" s="35"/>
      <x:c r="N19" s="36"/>
      <x:c r="O19" s="167"/>
      <x:c r="P19" s="185"/>
      <x:c r="Q19" s="185"/>
      <x:c r="R19" s="185"/>
      <x:c r="S19" s="35"/>
      <x:c r="T19" s="36"/>
      <x:c r="U19" s="167"/>
      <x:c r="V19" s="185"/>
      <x:c r="W19" s="185"/>
      <x:c r="X19" s="185"/>
      <x:c r="Y19" s="35"/>
      <x:c r="Z19" s="36"/>
      <x:c r="AA19" s="167"/>
      <x:c r="AB19" s="185"/>
      <x:c r="AC19" s="185"/>
      <x:c r="AD19" s="185"/>
      <x:c r="AE19" s="35"/>
      <x:c r="AF19" s="36"/>
      <x:c r="AG19" s="167"/>
      <x:c r="AH19" s="185"/>
      <x:c r="AI19" s="185"/>
      <x:c r="AJ19" s="185"/>
      <x:c r="AK19" s="35"/>
      <x:c r="AL19" s="36"/>
      <x:c r="AM19" s="175">
        <x:v>100</x:v>
      </x:c>
      <x:c r="AN19" s="158">
        <x:v>100</x:v>
      </x:c>
      <x:c r="AO19" s="158">
        <x:v>100</x:v>
      </x:c>
      <x:c r="AP19" s="589">
        <x:v>0</x:v>
      </x:c>
      <x:c r="AQ19" s="589">
        <x:v>0</x:v>
      </x:c>
      <x:c r="AR19" s="584" t="s">
        <x:v>1102</x:v>
      </x:c>
      <x:c r="AS19" s="175">
        <x:v>100</x:v>
      </x:c>
      <x:c r="AT19" s="158">
        <x:v>100</x:v>
      </x:c>
      <x:c r="AU19" s="158">
        <x:v>100</x:v>
      </x:c>
      <x:c r="AV19" s="600">
        <x:v>0</x:v>
      </x:c>
      <x:c r="AW19" s="601">
        <x:v>0</x:v>
      </x:c>
      <x:c r="AX19" s="585" t="s">
        <x:v>1102</x:v>
      </x:c>
      <x:c r="AY19" s="167"/>
      <x:c r="AZ19" s="185"/>
      <x:c r="BA19" s="185"/>
      <x:c r="BB19" s="185"/>
      <x:c r="BC19" s="35"/>
      <x:c r="BD19" s="36"/>
      <x:c r="BE19" s="167"/>
      <x:c r="BF19" s="185"/>
      <x:c r="BG19" s="185"/>
      <x:c r="BH19" s="185"/>
      <x:c r="BI19" s="35"/>
      <x:c r="BJ19" s="36"/>
      <x:c r="BK19" s="167"/>
      <x:c r="BL19" s="185"/>
      <x:c r="BM19" s="185"/>
      <x:c r="BN19" s="185"/>
      <x:c r="BO19" s="35"/>
      <x:c r="BP19" s="36"/>
      <x:c r="BQ19" s="167"/>
      <x:c r="BR19" s="185"/>
      <x:c r="BS19" s="185"/>
      <x:c r="BT19" s="185"/>
      <x:c r="BU19" s="35"/>
      <x:c r="BV19" s="36"/>
    </x:row>
    <x:row r="20" spans="1:74" ht="22.5" customHeight="1" x14ac:dyDescent="0.25">
      <x:c r="A20" s="97" t="s">
        <x:v>197</x:v>
      </x:c>
      <x:c r="B20" s="57" t="s">
        <x:v>183</x:v>
      </x:c>
      <x:c r="C20" s="175"/>
      <x:c r="D20" s="158"/>
      <x:c r="E20" s="158"/>
      <x:c r="F20" s="158"/>
      <x:c r="G20" s="158"/>
      <x:c r="H20" s="159"/>
      <x:c r="I20" s="167"/>
      <x:c r="J20" s="185"/>
      <x:c r="K20" s="185"/>
      <x:c r="L20" s="185"/>
      <x:c r="M20" s="35"/>
      <x:c r="N20" s="36"/>
      <x:c r="O20" s="167"/>
      <x:c r="P20" s="185"/>
      <x:c r="Q20" s="185"/>
      <x:c r="R20" s="185"/>
      <x:c r="S20" s="35"/>
      <x:c r="T20" s="36"/>
      <x:c r="U20" s="167"/>
      <x:c r="V20" s="185"/>
      <x:c r="W20" s="185"/>
      <x:c r="X20" s="185"/>
      <x:c r="Y20" s="35"/>
      <x:c r="Z20" s="36"/>
      <x:c r="AA20" s="167"/>
      <x:c r="AB20" s="185"/>
      <x:c r="AC20" s="185"/>
      <x:c r="AD20" s="185"/>
      <x:c r="AE20" s="35"/>
      <x:c r="AF20" s="36"/>
      <x:c r="AG20" s="167"/>
      <x:c r="AH20" s="185"/>
      <x:c r="AI20" s="185"/>
      <x:c r="AJ20" s="185"/>
      <x:c r="AK20" s="35"/>
      <x:c r="AL20" s="36"/>
      <x:c r="AM20" s="175">
        <x:v>100</x:v>
      </x:c>
      <x:c r="AN20" s="158">
        <x:v>100</x:v>
      </x:c>
      <x:c r="AO20" s="158">
        <x:v>100</x:v>
      </x:c>
      <x:c r="AP20" s="589">
        <x:v>0</x:v>
      </x:c>
      <x:c r="AQ20" s="589">
        <x:v>0</x:v>
      </x:c>
      <x:c r="AR20" s="584" t="s">
        <x:v>1102</x:v>
      </x:c>
      <x:c r="AS20" s="175">
        <x:v>100</x:v>
      </x:c>
      <x:c r="AT20" s="158">
        <x:v>100</x:v>
      </x:c>
      <x:c r="AU20" s="158">
        <x:v>100</x:v>
      </x:c>
      <x:c r="AV20" s="600">
        <x:v>0</x:v>
      </x:c>
      <x:c r="AW20" s="601">
        <x:v>0</x:v>
      </x:c>
      <x:c r="AX20" s="585" t="s">
        <x:v>1102</x:v>
      </x:c>
      <x:c r="AY20" s="167"/>
      <x:c r="AZ20" s="185"/>
      <x:c r="BA20" s="185"/>
      <x:c r="BB20" s="185"/>
      <x:c r="BC20" s="35"/>
      <x:c r="BD20" s="36"/>
      <x:c r="BE20" s="167"/>
      <x:c r="BF20" s="185"/>
      <x:c r="BG20" s="185"/>
      <x:c r="BH20" s="185"/>
      <x:c r="BI20" s="35"/>
      <x:c r="BJ20" s="36"/>
      <x:c r="BK20" s="167"/>
      <x:c r="BL20" s="185"/>
      <x:c r="BM20" s="185"/>
      <x:c r="BN20" s="185"/>
      <x:c r="BO20" s="35"/>
      <x:c r="BP20" s="36"/>
      <x:c r="BQ20" s="167"/>
      <x:c r="BR20" s="185"/>
      <x:c r="BS20" s="185"/>
      <x:c r="BT20" s="185"/>
      <x:c r="BU20" s="35"/>
      <x:c r="BV20" s="36"/>
    </x:row>
    <x:row r="21" spans="1:74" ht="22.5" customHeight="1" x14ac:dyDescent="0.25">
      <x:c r="A21" s="97" t="s">
        <x:v>206</x:v>
      </x:c>
      <x:c r="B21" s="57" t="s">
        <x:v>23</x:v>
      </x:c>
      <x:c r="C21" s="175"/>
      <x:c r="D21" s="158"/>
      <x:c r="E21" s="158"/>
      <x:c r="F21" s="158"/>
      <x:c r="G21" s="158"/>
      <x:c r="H21" s="159"/>
      <x:c r="I21" s="167"/>
      <x:c r="J21" s="185"/>
      <x:c r="K21" s="185"/>
      <x:c r="L21" s="185"/>
      <x:c r="M21" s="35"/>
      <x:c r="N21" s="36"/>
      <x:c r="O21" s="167"/>
      <x:c r="P21" s="185"/>
      <x:c r="Q21" s="185"/>
      <x:c r="R21" s="185"/>
      <x:c r="S21" s="35"/>
      <x:c r="T21" s="36"/>
      <x:c r="U21" s="167"/>
      <x:c r="V21" s="185"/>
      <x:c r="W21" s="185"/>
      <x:c r="X21" s="185"/>
      <x:c r="Y21" s="35"/>
      <x:c r="Z21" s="36"/>
      <x:c r="AA21" s="167"/>
      <x:c r="AB21" s="185"/>
      <x:c r="AC21" s="185"/>
      <x:c r="AD21" s="185"/>
      <x:c r="AE21" s="35"/>
      <x:c r="AF21" s="36"/>
      <x:c r="AG21" s="167"/>
      <x:c r="AH21" s="185"/>
      <x:c r="AI21" s="185"/>
      <x:c r="AJ21" s="185"/>
      <x:c r="AK21" s="35"/>
      <x:c r="AL21" s="36"/>
      <x:c r="AM21" s="175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584" t="s">
        <x:v>1102</x:v>
      </x:c>
      <x:c r="AS21" s="175">
        <x:v>100</x:v>
      </x:c>
      <x:c r="AT21" s="158">
        <x:v>100</x:v>
      </x:c>
      <x:c r="AU21" s="158">
        <x:v>100</x:v>
      </x:c>
      <x:c r="AV21" s="158">
        <x:v>100</x:v>
      </x:c>
      <x:c r="AW21" s="230">
        <x:v>100</x:v>
      </x:c>
      <x:c r="AX21" s="585" t="s">
        <x:v>1102</x:v>
      </x:c>
      <x:c r="AY21" s="167"/>
      <x:c r="AZ21" s="185"/>
      <x:c r="BA21" s="185"/>
      <x:c r="BB21" s="185"/>
      <x:c r="BC21" s="35"/>
      <x:c r="BD21" s="36"/>
      <x:c r="BE21" s="167"/>
      <x:c r="BF21" s="185"/>
      <x:c r="BG21" s="185"/>
      <x:c r="BH21" s="185"/>
      <x:c r="BI21" s="35"/>
      <x:c r="BJ21" s="36"/>
      <x:c r="BK21" s="167"/>
      <x:c r="BL21" s="185"/>
      <x:c r="BM21" s="185"/>
      <x:c r="BN21" s="185"/>
      <x:c r="BO21" s="35"/>
      <x:c r="BP21" s="36"/>
      <x:c r="BQ21" s="167"/>
      <x:c r="BR21" s="185"/>
      <x:c r="BS21" s="185"/>
      <x:c r="BT21" s="185"/>
      <x:c r="BU21" s="35"/>
      <x:c r="BV21" s="36"/>
    </x:row>
    <x:row r="22" spans="1:74" ht="22.5" customHeight="1" x14ac:dyDescent="0.25">
      <x:c r="A22" s="97" t="s">
        <x:v>195</x:v>
      </x:c>
      <x:c r="B22" s="57" t="s">
        <x:v>183</x:v>
      </x:c>
      <x:c r="C22" s="175"/>
      <x:c r="D22" s="158"/>
      <x:c r="E22" s="158"/>
      <x:c r="F22" s="158"/>
      <x:c r="G22" s="158"/>
      <x:c r="H22" s="159"/>
      <x:c r="I22" s="167"/>
      <x:c r="J22" s="185"/>
      <x:c r="K22" s="185"/>
      <x:c r="L22" s="185"/>
      <x:c r="M22" s="35"/>
      <x:c r="N22" s="36"/>
      <x:c r="O22" s="167"/>
      <x:c r="P22" s="185"/>
      <x:c r="Q22" s="185"/>
      <x:c r="R22" s="185"/>
      <x:c r="S22" s="35"/>
      <x:c r="T22" s="36"/>
      <x:c r="U22" s="167"/>
      <x:c r="V22" s="185"/>
      <x:c r="W22" s="185"/>
      <x:c r="X22" s="185"/>
      <x:c r="Y22" s="35"/>
      <x:c r="Z22" s="36"/>
      <x:c r="AA22" s="167"/>
      <x:c r="AB22" s="185"/>
      <x:c r="AC22" s="185"/>
      <x:c r="AD22" s="185"/>
      <x:c r="AE22" s="35"/>
      <x:c r="AF22" s="36"/>
      <x:c r="AG22" s="167"/>
      <x:c r="AH22" s="185"/>
      <x:c r="AI22" s="185"/>
      <x:c r="AJ22" s="185"/>
      <x:c r="AK22" s="35"/>
      <x:c r="AL22" s="36"/>
      <x:c r="AM22" s="175">
        <x:v>100</x:v>
      </x:c>
      <x:c r="AN22" s="158">
        <x:v>100</x:v>
      </x:c>
      <x:c r="AO22" s="158">
        <x:v>100</x:v>
      </x:c>
      <x:c r="AP22" s="589">
        <x:v>0</x:v>
      </x:c>
      <x:c r="AQ22" s="589">
        <x:v>0</x:v>
      </x:c>
      <x:c r="AR22" s="584" t="s">
        <x:v>1102</x:v>
      </x:c>
      <x:c r="AS22" s="175">
        <x:v>100</x:v>
      </x:c>
      <x:c r="AT22" s="158">
        <x:v>100</x:v>
      </x:c>
      <x:c r="AU22" s="158">
        <x:v>100</x:v>
      </x:c>
      <x:c r="AV22" s="600">
        <x:v>0</x:v>
      </x:c>
      <x:c r="AW22" s="601">
        <x:v>0</x:v>
      </x:c>
      <x:c r="AX22" s="585" t="s">
        <x:v>1102</x:v>
      </x:c>
      <x:c r="AY22" s="167"/>
      <x:c r="AZ22" s="185"/>
      <x:c r="BA22" s="185"/>
      <x:c r="BB22" s="185"/>
      <x:c r="BC22" s="35"/>
      <x:c r="BD22" s="36"/>
      <x:c r="BE22" s="167"/>
      <x:c r="BF22" s="185"/>
      <x:c r="BG22" s="185"/>
      <x:c r="BH22" s="185"/>
      <x:c r="BI22" s="35"/>
      <x:c r="BJ22" s="36"/>
      <x:c r="BK22" s="167"/>
      <x:c r="BL22" s="185"/>
      <x:c r="BM22" s="185"/>
      <x:c r="BN22" s="185"/>
      <x:c r="BO22" s="35"/>
      <x:c r="BP22" s="36"/>
      <x:c r="BQ22" s="167"/>
      <x:c r="BR22" s="185"/>
      <x:c r="BS22" s="185"/>
      <x:c r="BT22" s="185"/>
      <x:c r="BU22" s="35"/>
      <x:c r="BV22" s="36"/>
    </x:row>
    <x:row r="23" spans="1:74" ht="22.5" customHeight="1" x14ac:dyDescent="0.25">
      <x:c r="A23" s="605" t="s">
        <x:v>1022</x:v>
      </x:c>
      <x:c r="B23" s="57"/>
      <x:c r="C23" s="175"/>
      <x:c r="D23" s="158"/>
      <x:c r="E23" s="158"/>
      <x:c r="F23" s="158"/>
      <x:c r="G23" s="158"/>
      <x:c r="H23" s="197"/>
      <x:c r="I23" s="167"/>
      <x:c r="J23" s="185"/>
      <x:c r="K23" s="185"/>
      <x:c r="L23" s="185"/>
      <x:c r="M23" s="185"/>
      <x:c r="N23" s="36"/>
      <x:c r="O23" s="167"/>
      <x:c r="P23" s="185"/>
      <x:c r="Q23" s="185"/>
      <x:c r="R23" s="185"/>
      <x:c r="S23" s="185"/>
      <x:c r="T23" s="36"/>
      <x:c r="U23" s="167"/>
      <x:c r="V23" s="185"/>
      <x:c r="W23" s="185"/>
      <x:c r="X23" s="185"/>
      <x:c r="Y23" s="35"/>
      <x:c r="Z23" s="36"/>
      <x:c r="AA23" s="167"/>
      <x:c r="AB23" s="185"/>
      <x:c r="AC23" s="185"/>
      <x:c r="AD23" s="185"/>
      <x:c r="AE23" s="35"/>
      <x:c r="AF23" s="36"/>
      <x:c r="AG23" s="167"/>
      <x:c r="AH23" s="185"/>
      <x:c r="AI23" s="185"/>
      <x:c r="AJ23" s="185"/>
      <x:c r="AK23" s="35"/>
      <x:c r="AL23" s="36"/>
      <x:c r="AM23" s="175">
        <x:v>100</x:v>
      </x:c>
      <x:c r="AN23" s="158">
        <x:v>100</x:v>
      </x:c>
      <x:c r="AO23" s="158">
        <x:v>100</x:v>
      </x:c>
      <x:c r="AP23" s="589">
        <x:v>0</x:v>
      </x:c>
      <x:c r="AQ23" s="589">
        <x:v>0</x:v>
      </x:c>
      <x:c r="AR23" s="620" t="s">
        <x:v>1102</x:v>
      </x:c>
      <x:c r="AS23" s="617">
        <x:v>0</x:v>
      </x:c>
      <x:c r="AT23" s="589">
        <x:v>0</x:v>
      </x:c>
      <x:c r="AU23" s="589">
        <x:v>0</x:v>
      </x:c>
      <x:c r="AV23" s="589">
        <x:v>0</x:v>
      </x:c>
      <x:c r="AW23" s="590">
        <x:v>0</x:v>
      </x:c>
      <x:c r="AX23" s="591" t="s">
        <x:v>1103</x:v>
      </x:c>
      <x:c r="AY23" s="167"/>
      <x:c r="AZ23" s="185"/>
      <x:c r="BA23" s="185"/>
      <x:c r="BB23" s="185"/>
      <x:c r="BC23" s="35"/>
      <x:c r="BD23" s="36"/>
      <x:c r="BE23" s="167"/>
      <x:c r="BF23" s="185"/>
      <x:c r="BG23" s="185"/>
      <x:c r="BH23" s="185"/>
      <x:c r="BI23" s="35"/>
      <x:c r="BJ23" s="36"/>
      <x:c r="BK23" s="167"/>
      <x:c r="BL23" s="185"/>
      <x:c r="BM23" s="185"/>
      <x:c r="BN23" s="185"/>
      <x:c r="BO23" s="35"/>
      <x:c r="BP23" s="36"/>
      <x:c r="BQ23" s="167"/>
      <x:c r="BR23" s="185"/>
      <x:c r="BS23" s="185"/>
      <x:c r="BT23" s="185"/>
      <x:c r="BU23" s="35"/>
      <x:c r="BV23" s="36"/>
    </x:row>
    <x:row r="24" spans="1:74" ht="23.25" customHeight="1" x14ac:dyDescent="0.3">
      <x:c r="A24" s="189" t="s">
        <x:v>205</x:v>
      </x:c>
      <x:c r="B24" s="195" t="s">
        <x:v>23</x:v>
      </x:c>
      <x:c r="C24" s="198"/>
      <x:c r="D24" s="199"/>
      <x:c r="E24" s="199"/>
      <x:c r="F24" s="199"/>
      <x:c r="G24" s="199"/>
      <x:c r="H24" s="200"/>
      <x:c r="I24" s="191"/>
      <x:c r="J24" s="192"/>
      <x:c r="K24" s="192"/>
      <x:c r="L24" s="192"/>
      <x:c r="M24" s="193"/>
      <x:c r="N24" s="194"/>
      <x:c r="O24" s="191"/>
      <x:c r="P24" s="192"/>
      <x:c r="Q24" s="192"/>
      <x:c r="R24" s="192"/>
      <x:c r="S24" s="193"/>
      <x:c r="T24" s="194"/>
      <x:c r="U24" s="38"/>
      <x:c r="V24" s="39"/>
      <x:c r="W24" s="39"/>
      <x:c r="X24" s="39"/>
      <x:c r="Y24" s="41"/>
      <x:c r="Z24" s="42"/>
      <x:c r="AA24" s="38"/>
      <x:c r="AB24" s="39"/>
      <x:c r="AC24" s="39"/>
      <x:c r="AD24" s="39"/>
      <x:c r="AE24" s="41"/>
      <x:c r="AF24" s="42"/>
      <x:c r="AG24" s="38"/>
      <x:c r="AH24" s="39"/>
      <x:c r="AI24" s="39"/>
      <x:c r="AJ24" s="39"/>
      <x:c r="AK24" s="41"/>
      <x:c r="AL24" s="42"/>
      <x:c r="AM24" s="198">
        <x:v>100</x:v>
      </x:c>
      <x:c r="AN24" s="199">
        <x:v>100</x:v>
      </x:c>
      <x:c r="AO24" s="199">
        <x:v>100</x:v>
      </x:c>
      <x:c r="AP24" s="199">
        <x:v>100</x:v>
      </x:c>
      <x:c r="AQ24" s="199">
        <x:v>100</x:v>
      </x:c>
      <x:c r="AR24" s="621" t="s">
        <x:v>1102</x:v>
      </x:c>
      <x:c r="AS24" s="160">
        <x:v>100</x:v>
      </x:c>
      <x:c r="AT24" s="161">
        <x:v>100</x:v>
      </x:c>
      <x:c r="AU24" s="161">
        <x:v>100</x:v>
      </x:c>
      <x:c r="AV24" s="161">
        <x:v>100</x:v>
      </x:c>
      <x:c r="AW24" s="237">
        <x:v>100</x:v>
      </x:c>
      <x:c r="AX24" s="594" t="s">
        <x:v>1102</x:v>
      </x:c>
      <x:c r="AY24" s="38"/>
      <x:c r="AZ24" s="39"/>
      <x:c r="BA24" s="39"/>
      <x:c r="BB24" s="39"/>
      <x:c r="BC24" s="41"/>
      <x:c r="BD24" s="42"/>
      <x:c r="BE24" s="38"/>
      <x:c r="BF24" s="39"/>
      <x:c r="BG24" s="39"/>
      <x:c r="BH24" s="39"/>
      <x:c r="BI24" s="41"/>
      <x:c r="BJ24" s="42"/>
      <x:c r="BK24" s="38"/>
      <x:c r="BL24" s="39"/>
      <x:c r="BM24" s="39"/>
      <x:c r="BN24" s="39"/>
      <x:c r="BO24" s="41"/>
      <x:c r="BP24" s="42"/>
      <x:c r="BQ24" s="38"/>
      <x:c r="BR24" s="39"/>
      <x:c r="BS24" s="39"/>
      <x:c r="BT24" s="39"/>
      <x:c r="BU24" s="41"/>
      <x:c r="BV24" s="42"/>
    </x:row>
    <x:row r="25" spans="1:74" x14ac:dyDescent="0.25">
      <x:c r="C25" s="498">
        <x:f>SUMPRODUCT((C3:C24&gt;=10)*(D3:D24&gt;=10)*(E3:E24&gt;=10)*(F3:F24&gt;=10)*(G3:G24&gt;=10))</x:f>
      </x:c>
      <x:c r="H25" s="227">
        <x:f>COUNTIF(H3:H24,"Да")</x:f>
      </x:c>
      <x:c r="I25" s="498">
        <x:f>SUMPRODUCT((I3:I24&gt;=10)*(J3:J24&gt;=10)*(K3:K24&gt;=10)*(L3:L24&gt;=10)*(M3:M24&gt;=10))</x:f>
      </x:c>
      <x:c r="N25" s="227">
        <x:f>COUNTIF(N3:N24,"Да")</x:f>
      </x:c>
      <x:c r="O25" s="498">
        <x:f>SUMPRODUCT((O3:O24&gt;=10)*(P3:P24&gt;=10)*(Q3:Q24&gt;=10)*(R3:R24&gt;=10)*(S3:S24&gt;=10))</x:f>
      </x:c>
      <x:c r="T25" s="227">
        <x:f>COUNTIF(T3:T24,"Да")</x:f>
      </x:c>
      <x:c r="U25" s="498">
        <x:f>SUMPRODUCT((U3:U24&gt;=10)*(V3:V24&gt;=10)*(W3:W24&gt;=10)*(X3:X24&gt;=10)*(Y3:Y24&gt;=10))</x:f>
      </x:c>
      <x:c r="Z25" s="227">
        <x:f>COUNTIF(Z3:Z24,"Да")</x:f>
      </x:c>
      <x:c r="AA25" s="498">
        <x:f>SUMPRODUCT((AA3:AA24&gt;=10)*(AB3:AB24&gt;=10)*(AC3:AC24&gt;=10)*(AD3:AD24&gt;=10)*(AE3:AE24&gt;=10))</x:f>
      </x:c>
      <x:c r="AF25" s="227">
        <x:f>COUNTIF(AF3:AF24,"Да")</x:f>
      </x:c>
      <x:c r="AG25" s="498">
        <x:f>SUMPRODUCT((AG3:AG24&gt;=10)*(AH3:AH24&gt;=10)*(AI3:AI24&gt;=10)*(AJ3:AJ24&gt;=10)*(AK3:AK24&gt;=10))</x:f>
      </x:c>
      <x:c r="AL25" s="227">
        <x:f>COUNTIF(AL3:AL24,"Да")</x:f>
      </x:c>
      <x:c r="AM25" s="498">
        <x:f>SUMPRODUCT((AM3:AM24&gt;=10)*(AN3:AN24&gt;=10)*(AO3:AO24&gt;=10)*(AP3:AP24&gt;=10)*(AQ3:AQ24&gt;=10))</x:f>
      </x:c>
      <x:c r="AR25" s="227">
        <x:f>COUNTIF(AR3:AR24,"Да")</x:f>
      </x:c>
      <x:c r="AS25" s="498">
        <x:f>SUMPRODUCT((AS3:AS24&gt;=10)*(AT3:AT24&gt;=10)*(AU3:AU24&gt;=10)*(AV3:AV24&gt;=10)*(AW3:AW24&gt;=10))</x:f>
      </x:c>
      <x:c r="AX25" s="227">
        <x:f>COUNTIF(AX3:AX24,"Да")</x:f>
      </x:c>
      <x:c r="AY25" s="498">
        <x:f>SUMPRODUCT((AY3:AY24&gt;=10)*(AZ3:AZ24&gt;=10)*(BA3:BA24&gt;=10)*(BB3:BB24&gt;=10)*(BC3:BC24&gt;=10))</x:f>
      </x:c>
      <x:c r="BD25" s="227">
        <x:f>COUNTIF(BD3:BD24,"Да")</x:f>
      </x:c>
      <x:c r="BE25" s="498">
        <x:f>SUMPRODUCT((BE3:BE24&gt;=10)*(BF3:BF24&gt;=10)*(BG3:BG24&gt;=10)*(BH3:BH24&gt;=10)*(BI3:BI24&gt;=10))</x:f>
      </x:c>
      <x:c r="BJ25" s="227">
        <x:f>COUNTIF(BJ3:BJ24,"Да")</x:f>
      </x:c>
      <x:c r="BK25" s="498">
        <x:f>SUMPRODUCT((BK3:BK24&gt;=10)*(BL3:BL24&gt;=10)*(BM3:BM24&gt;=10)*(BN3:BN24&gt;=10)*(BO3:BO24&gt;=10))</x:f>
      </x:c>
      <x:c r="BP25" s="227">
        <x:f>COUNTIF(BP3:BP24,"Да")</x:f>
      </x:c>
      <x:c r="BQ25" s="498">
        <x:f>SUMPRODUCT((BQ3:BQ24&gt;=10)*(BR3:BR24&gt;=10)*(BS3:BS24&gt;=10)*(BT3:BT24&gt;=10)*(BU3:BU24&gt;=10))</x:f>
      </x:c>
      <x:c r="BV25" s="227">
        <x:f>COUNTIF(BV3:BV24,"Да")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5:G25"/>
    <x:mergeCell ref="I25:M25"/>
    <x:mergeCell ref="O25:S25"/>
    <x:mergeCell ref="U25:Y25"/>
    <x:mergeCell ref="AA25:AE25"/>
    <x:mergeCell ref="AG25:AK25"/>
    <x:mergeCell ref="AM25:AQ25"/>
    <x:mergeCell ref="AS25:AW25"/>
    <x:mergeCell ref="AY25:BC25"/>
    <x:mergeCell ref="BE25:BI25"/>
    <x:mergeCell ref="BK25:BO25"/>
    <x:mergeCell ref="BQ25:BU25"/>
  </x:mergeCells>
  <x:conditionalFormatting sqref="C3:BV24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23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outlinePr summaryBelow="1" summaryRight="1"/>
  </x:sheetPr>
  <x:dimension ref="A1:BV30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10.570312" style="0" customWidth="1"/>
    <x:col min="45" max="49" width="9.140625" style="0" customWidth="1"/>
    <x:col min="50" max="50" width="9.285156" style="0" customWidth="1"/>
    <x:col min="51" max="55" width="9.140625" style="0" customWidth="1"/>
    <x:col min="56" max="56" width="9.570312" style="0" customWidth="1"/>
    <x:col min="57" max="61" width="9.140625" style="0" customWidth="1"/>
    <x:col min="62" max="62" width="10.140625" style="0" customWidth="1"/>
    <x:col min="63" max="67" width="9.140625" style="0" customWidth="1"/>
    <x:col min="68" max="68" width="9.425781" style="0" customWidth="1"/>
    <x:col min="69" max="73" width="9.140625" style="0" customWidth="1"/>
    <x:col min="74" max="74" width="9.855469" style="0" customWidth="1"/>
  </x:cols>
  <x:sheetData>
    <x:row r="1" spans="1:74" ht="23.25" customHeight="1" x14ac:dyDescent="0.3">
      <x:c r="A1" s="22" t="s">
        <x:v>1114</x:v>
      </x:c>
      <x:c r="B1" s="496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6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49" t="s">
        <x:v>190</x:v>
      </x:c>
      <x:c r="B3" s="314" t="s">
        <x:v>191</x:v>
      </x:c>
      <x:c r="C3" s="154"/>
      <x:c r="D3" s="155"/>
      <x:c r="E3" s="155"/>
      <x:c r="F3" s="155"/>
      <x:c r="G3" s="155"/>
      <x:c r="H3" s="177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154">
        <x:v>100</x:v>
      </x:c>
      <x:c r="AN3" s="155">
        <x:v>100</x:v>
      </x:c>
      <x:c r="AO3" s="155">
        <x:v>100</x:v>
      </x:c>
      <x:c r="AP3" s="155">
        <x:v>100</x:v>
      </x:c>
      <x:c r="AQ3" s="622">
        <x:v>0</x:v>
      </x:c>
      <x:c r="AR3" s="599" t="s">
        <x:v>1102</x:v>
      </x:c>
      <x:c r="AS3" s="154">
        <x:v>100</x:v>
      </x:c>
      <x:c r="AT3" s="155">
        <x:v>100</x:v>
      </x:c>
      <x:c r="AU3" s="155">
        <x:v>100</x:v>
      </x:c>
      <x:c r="AV3" s="155">
        <x:v>100</x:v>
      </x:c>
      <x:c r="AW3" s="228">
        <x:v>100</x:v>
      </x:c>
      <x:c r="AX3" s="583" t="s">
        <x:v>1102</x:v>
      </x:c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ht="22.5" customHeight="1" x14ac:dyDescent="0.25">
      <x:c r="A4" s="32" t="s">
        <x:v>175</x:v>
      </x:c>
      <x:c r="B4" s="50" t="s">
        <x:v>23</x:v>
      </x:c>
      <x:c r="C4" s="157"/>
      <x:c r="D4" s="158"/>
      <x:c r="E4" s="158"/>
      <x:c r="F4" s="158"/>
      <x:c r="G4" s="158"/>
      <x:c r="H4" s="177"/>
      <x:c r="I4" s="33"/>
      <x:c r="J4" s="185"/>
      <x:c r="K4" s="185"/>
      <x:c r="L4" s="185"/>
      <x:c r="M4" s="35"/>
      <x:c r="N4" s="36"/>
      <x:c r="O4" s="33"/>
      <x:c r="P4" s="185"/>
      <x:c r="Q4" s="185"/>
      <x:c r="R4" s="185"/>
      <x:c r="S4" s="35"/>
      <x:c r="T4" s="36"/>
      <x:c r="U4" s="33"/>
      <x:c r="V4" s="185"/>
      <x:c r="W4" s="185"/>
      <x:c r="X4" s="185"/>
      <x:c r="Y4" s="35"/>
      <x:c r="Z4" s="36"/>
      <x:c r="AA4" s="33"/>
      <x:c r="AB4" s="185"/>
      <x:c r="AC4" s="185"/>
      <x:c r="AD4" s="185"/>
      <x:c r="AE4" s="35"/>
      <x:c r="AF4" s="36"/>
      <x:c r="AG4" s="33"/>
      <x:c r="AH4" s="185"/>
      <x:c r="AI4" s="185"/>
      <x:c r="AJ4" s="185"/>
      <x:c r="AK4" s="35"/>
      <x:c r="AL4" s="36"/>
      <x:c r="AM4" s="157">
        <x:v>100</x:v>
      </x:c>
      <x:c r="AN4" s="158">
        <x:v>100</x:v>
      </x:c>
      <x:c r="AO4" s="158">
        <x:v>100</x:v>
      </x:c>
      <x:c r="AP4" s="158">
        <x:v>94.74</x:v>
      </x:c>
      <x:c r="AQ4" s="623">
        <x:v>0</x:v>
      </x:c>
      <x:c r="AR4" s="599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230">
        <x:v>100</x:v>
      </x:c>
      <x:c r="AX4" s="585" t="s">
        <x:v>1102</x:v>
      </x:c>
      <x:c r="AY4" s="33"/>
      <x:c r="AZ4" s="185"/>
      <x:c r="BA4" s="185"/>
      <x:c r="BB4" s="185"/>
      <x:c r="BC4" s="35"/>
      <x:c r="BD4" s="36"/>
      <x:c r="BE4" s="33"/>
      <x:c r="BF4" s="185"/>
      <x:c r="BG4" s="185"/>
      <x:c r="BH4" s="185"/>
      <x:c r="BI4" s="35"/>
      <x:c r="BJ4" s="36"/>
      <x:c r="BK4" s="33"/>
      <x:c r="BL4" s="185"/>
      <x:c r="BM4" s="185"/>
      <x:c r="BN4" s="185"/>
      <x:c r="BO4" s="35"/>
      <x:c r="BP4" s="36"/>
      <x:c r="BQ4" s="33"/>
      <x:c r="BR4" s="185"/>
      <x:c r="BS4" s="185"/>
      <x:c r="BT4" s="185"/>
      <x:c r="BU4" s="35"/>
      <x:c r="BV4" s="36"/>
    </x:row>
    <x:row r="5" spans="1:74" ht="22.5" customHeight="1" x14ac:dyDescent="0.25">
      <x:c r="A5" s="32" t="s">
        <x:v>174</x:v>
      </x:c>
      <x:c r="B5" s="50" t="s">
        <x:v>23</x:v>
      </x:c>
      <x:c r="C5" s="157"/>
      <x:c r="D5" s="158"/>
      <x:c r="E5" s="158"/>
      <x:c r="F5" s="158"/>
      <x:c r="G5" s="158"/>
      <x:c r="H5" s="177"/>
      <x:c r="I5" s="33"/>
      <x:c r="J5" s="185"/>
      <x:c r="K5" s="185"/>
      <x:c r="L5" s="185"/>
      <x:c r="M5" s="35"/>
      <x:c r="N5" s="36"/>
      <x:c r="O5" s="33"/>
      <x:c r="P5" s="185"/>
      <x:c r="Q5" s="185"/>
      <x:c r="R5" s="185"/>
      <x:c r="S5" s="35"/>
      <x:c r="T5" s="36"/>
      <x:c r="U5" s="33"/>
      <x:c r="V5" s="185"/>
      <x:c r="W5" s="185"/>
      <x:c r="X5" s="185"/>
      <x:c r="Y5" s="35"/>
      <x:c r="Z5" s="36"/>
      <x:c r="AA5" s="33"/>
      <x:c r="AB5" s="185"/>
      <x:c r="AC5" s="185"/>
      <x:c r="AD5" s="185"/>
      <x:c r="AE5" s="35"/>
      <x:c r="AF5" s="36"/>
      <x:c r="AG5" s="33"/>
      <x:c r="AH5" s="185"/>
      <x:c r="AI5" s="185"/>
      <x:c r="AJ5" s="185"/>
      <x:c r="AK5" s="35"/>
      <x:c r="AL5" s="36"/>
      <x:c r="AM5" s="157">
        <x:v>100</x:v>
      </x:c>
      <x:c r="AN5" s="158">
        <x:v>100</x:v>
      </x:c>
      <x:c r="AO5" s="158">
        <x:v>100</x:v>
      </x:c>
      <x:c r="AP5" s="158">
        <x:v>85.71</x:v>
      </x:c>
      <x:c r="AQ5" s="623">
        <x:v>0</x:v>
      </x:c>
      <x:c r="AR5" s="599" t="s">
        <x:v>1102</x:v>
      </x:c>
      <x:c r="AS5" s="157">
        <x:v>100</x:v>
      </x:c>
      <x:c r="AT5" s="158">
        <x:v>100</x:v>
      </x:c>
      <x:c r="AU5" s="158">
        <x:v>100</x:v>
      </x:c>
      <x:c r="AV5" s="158">
        <x:v>40</x:v>
      </x:c>
      <x:c r="AW5" s="230">
        <x:v>28.57</x:v>
      </x:c>
      <x:c r="AX5" s="585" t="s">
        <x:v>1102</x:v>
      </x:c>
      <x:c r="AY5" s="33"/>
      <x:c r="AZ5" s="185"/>
      <x:c r="BA5" s="185"/>
      <x:c r="BB5" s="185"/>
      <x:c r="BC5" s="35"/>
      <x:c r="BD5" s="36"/>
      <x:c r="BE5" s="33"/>
      <x:c r="BF5" s="185"/>
      <x:c r="BG5" s="185"/>
      <x:c r="BH5" s="185"/>
      <x:c r="BI5" s="35"/>
      <x:c r="BJ5" s="36"/>
      <x:c r="BK5" s="33"/>
      <x:c r="BL5" s="185"/>
      <x:c r="BM5" s="185"/>
      <x:c r="BN5" s="185"/>
      <x:c r="BO5" s="35"/>
      <x:c r="BP5" s="36"/>
      <x:c r="BQ5" s="33"/>
      <x:c r="BR5" s="185"/>
      <x:c r="BS5" s="185"/>
      <x:c r="BT5" s="185"/>
      <x:c r="BU5" s="35"/>
      <x:c r="BV5" s="36"/>
    </x:row>
    <x:row r="6" spans="1:74" ht="22.5" customHeight="1" x14ac:dyDescent="0.25">
      <x:c r="A6" s="32" t="s">
        <x:v>172</x:v>
      </x:c>
      <x:c r="B6" s="50" t="s">
        <x:v>23</x:v>
      </x:c>
      <x:c r="C6" s="157"/>
      <x:c r="D6" s="158"/>
      <x:c r="E6" s="158"/>
      <x:c r="F6" s="158"/>
      <x:c r="G6" s="158"/>
      <x:c r="H6" s="177"/>
      <x:c r="I6" s="33"/>
      <x:c r="J6" s="185"/>
      <x:c r="K6" s="185"/>
      <x:c r="L6" s="185"/>
      <x:c r="M6" s="35"/>
      <x:c r="N6" s="36"/>
      <x:c r="O6" s="33"/>
      <x:c r="P6" s="185"/>
      <x:c r="Q6" s="185"/>
      <x:c r="R6" s="185"/>
      <x:c r="S6" s="35"/>
      <x:c r="T6" s="36"/>
      <x:c r="U6" s="33"/>
      <x:c r="V6" s="185"/>
      <x:c r="W6" s="185"/>
      <x:c r="X6" s="185"/>
      <x:c r="Y6" s="35"/>
      <x:c r="Z6" s="36"/>
      <x:c r="AA6" s="33"/>
      <x:c r="AB6" s="185"/>
      <x:c r="AC6" s="185"/>
      <x:c r="AD6" s="185"/>
      <x:c r="AE6" s="35"/>
      <x:c r="AF6" s="36"/>
      <x:c r="AG6" s="33"/>
      <x:c r="AH6" s="185"/>
      <x:c r="AI6" s="185"/>
      <x:c r="AJ6" s="185"/>
      <x:c r="AK6" s="35"/>
      <x:c r="AL6" s="36"/>
      <x:c r="AM6" s="604">
        <x:v>0</x:v>
      </x:c>
      <x:c r="AN6" s="589">
        <x:v>0</x:v>
      </x:c>
      <x:c r="AO6" s="589">
        <x:v>0</x:v>
      </x:c>
      <x:c r="AP6" s="589">
        <x:v>0</x:v>
      </x:c>
      <x:c r="AQ6" s="589">
        <x:v>0</x:v>
      </x:c>
      <x:c r="AR6" s="599" t="s">
        <x:v>1102</x:v>
      </x:c>
      <x:c r="AS6" s="157">
        <x:v>100</x:v>
      </x:c>
      <x:c r="AT6" s="158">
        <x:v>80</x:v>
      </x:c>
      <x:c r="AU6" s="602">
        <x:v>0</x:v>
      </x:c>
      <x:c r="AV6" s="602">
        <x:v>0</x:v>
      </x:c>
      <x:c r="AW6" s="601">
        <x:v>0</x:v>
      </x:c>
      <x:c r="AX6" s="585" t="s">
        <x:v>1102</x:v>
      </x:c>
      <x:c r="AY6" s="33"/>
      <x:c r="AZ6" s="185"/>
      <x:c r="BA6" s="185"/>
      <x:c r="BB6" s="185"/>
      <x:c r="BC6" s="35"/>
      <x:c r="BD6" s="36"/>
      <x:c r="BE6" s="33"/>
      <x:c r="BF6" s="185"/>
      <x:c r="BG6" s="185"/>
      <x:c r="BH6" s="185"/>
      <x:c r="BI6" s="35"/>
      <x:c r="BJ6" s="36"/>
      <x:c r="BK6" s="33"/>
      <x:c r="BL6" s="185"/>
      <x:c r="BM6" s="185"/>
      <x:c r="BN6" s="185"/>
      <x:c r="BO6" s="35"/>
      <x:c r="BP6" s="36"/>
      <x:c r="BQ6" s="33"/>
      <x:c r="BR6" s="185"/>
      <x:c r="BS6" s="185"/>
      <x:c r="BT6" s="185"/>
      <x:c r="BU6" s="35"/>
      <x:c r="BV6" s="36"/>
    </x:row>
    <x:row r="7" spans="1:74" ht="22.5" customHeight="1" x14ac:dyDescent="0.25">
      <x:c r="A7" s="32" t="s">
        <x:v>180</x:v>
      </x:c>
      <x:c r="B7" s="50" t="s">
        <x:v>23</x:v>
      </x:c>
      <x:c r="C7" s="157"/>
      <x:c r="D7" s="158"/>
      <x:c r="E7" s="158"/>
      <x:c r="F7" s="158"/>
      <x:c r="G7" s="158"/>
      <x:c r="H7" s="177"/>
      <x:c r="I7" s="33"/>
      <x:c r="J7" s="185"/>
      <x:c r="K7" s="185"/>
      <x:c r="L7" s="185"/>
      <x:c r="M7" s="35"/>
      <x:c r="N7" s="36"/>
      <x:c r="O7" s="33"/>
      <x:c r="P7" s="185"/>
      <x:c r="Q7" s="185"/>
      <x:c r="R7" s="185"/>
      <x:c r="S7" s="35"/>
      <x:c r="T7" s="36"/>
      <x:c r="U7" s="33"/>
      <x:c r="V7" s="185"/>
      <x:c r="W7" s="185"/>
      <x:c r="X7" s="185"/>
      <x:c r="Y7" s="35"/>
      <x:c r="Z7" s="36"/>
      <x:c r="AA7" s="33"/>
      <x:c r="AB7" s="185"/>
      <x:c r="AC7" s="185"/>
      <x:c r="AD7" s="185"/>
      <x:c r="AE7" s="35"/>
      <x:c r="AF7" s="36"/>
      <x:c r="AG7" s="33"/>
      <x:c r="AH7" s="185"/>
      <x:c r="AI7" s="185"/>
      <x:c r="AJ7" s="185"/>
      <x:c r="AK7" s="3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599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230">
        <x:v>100</x:v>
      </x:c>
      <x:c r="AX7" s="585" t="s">
        <x:v>1102</x:v>
      </x:c>
      <x:c r="AY7" s="33"/>
      <x:c r="AZ7" s="185"/>
      <x:c r="BA7" s="185"/>
      <x:c r="BB7" s="185"/>
      <x:c r="BC7" s="35"/>
      <x:c r="BD7" s="36"/>
      <x:c r="BE7" s="33"/>
      <x:c r="BF7" s="185"/>
      <x:c r="BG7" s="185"/>
      <x:c r="BH7" s="185"/>
      <x:c r="BI7" s="35"/>
      <x:c r="BJ7" s="36"/>
      <x:c r="BK7" s="33"/>
      <x:c r="BL7" s="185"/>
      <x:c r="BM7" s="185"/>
      <x:c r="BN7" s="185"/>
      <x:c r="BO7" s="35"/>
      <x:c r="BP7" s="36"/>
      <x:c r="BQ7" s="33"/>
      <x:c r="BR7" s="185"/>
      <x:c r="BS7" s="185"/>
      <x:c r="BT7" s="185"/>
      <x:c r="BU7" s="35"/>
      <x:c r="BV7" s="36"/>
    </x:row>
    <x:row r="8" spans="1:74" ht="22.5" customHeight="1" x14ac:dyDescent="0.25">
      <x:c r="A8" s="32" t="s">
        <x:v>186</x:v>
      </x:c>
      <x:c r="B8" s="50" t="s">
        <x:v>183</x:v>
      </x:c>
      <x:c r="C8" s="157"/>
      <x:c r="D8" s="158"/>
      <x:c r="E8" s="158"/>
      <x:c r="F8" s="158"/>
      <x:c r="G8" s="158"/>
      <x:c r="H8" s="177"/>
      <x:c r="I8" s="33"/>
      <x:c r="J8" s="185"/>
      <x:c r="K8" s="185"/>
      <x:c r="L8" s="185"/>
      <x:c r="M8" s="35"/>
      <x:c r="N8" s="36"/>
      <x:c r="O8" s="33"/>
      <x:c r="P8" s="185"/>
      <x:c r="Q8" s="185"/>
      <x:c r="R8" s="185"/>
      <x:c r="S8" s="35"/>
      <x:c r="T8" s="36"/>
      <x:c r="U8" s="33"/>
      <x:c r="V8" s="185"/>
      <x:c r="W8" s="185"/>
      <x:c r="X8" s="185"/>
      <x:c r="Y8" s="35"/>
      <x:c r="Z8" s="36"/>
      <x:c r="AA8" s="33"/>
      <x:c r="AB8" s="185"/>
      <x:c r="AC8" s="185"/>
      <x:c r="AD8" s="185"/>
      <x:c r="AE8" s="35"/>
      <x:c r="AF8" s="36"/>
      <x:c r="AG8" s="33"/>
      <x:c r="AH8" s="185"/>
      <x:c r="AI8" s="185"/>
      <x:c r="AJ8" s="185"/>
      <x:c r="AK8" s="3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599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230">
        <x:v>100</x:v>
      </x:c>
      <x:c r="AX8" s="585" t="s">
        <x:v>1102</x:v>
      </x:c>
      <x:c r="AY8" s="33"/>
      <x:c r="AZ8" s="185"/>
      <x:c r="BA8" s="185"/>
      <x:c r="BB8" s="185"/>
      <x:c r="BC8" s="35"/>
      <x:c r="BD8" s="36"/>
      <x:c r="BE8" s="33"/>
      <x:c r="BF8" s="185"/>
      <x:c r="BG8" s="185"/>
      <x:c r="BH8" s="185"/>
      <x:c r="BI8" s="35"/>
      <x:c r="BJ8" s="36"/>
      <x:c r="BK8" s="33"/>
      <x:c r="BL8" s="185"/>
      <x:c r="BM8" s="185"/>
      <x:c r="BN8" s="185"/>
      <x:c r="BO8" s="35"/>
      <x:c r="BP8" s="36"/>
      <x:c r="BQ8" s="33"/>
      <x:c r="BR8" s="185"/>
      <x:c r="BS8" s="185"/>
      <x:c r="BT8" s="185"/>
      <x:c r="BU8" s="35"/>
      <x:c r="BV8" s="36"/>
    </x:row>
    <x:row r="9" spans="1:74" ht="22.5" customHeight="1" x14ac:dyDescent="0.25">
      <x:c r="A9" s="32" t="s">
        <x:v>189</x:v>
      </x:c>
      <x:c r="B9" s="50" t="s">
        <x:v>37</x:v>
      </x:c>
      <x:c r="C9" s="157"/>
      <x:c r="D9" s="158"/>
      <x:c r="E9" s="158"/>
      <x:c r="F9" s="158"/>
      <x:c r="G9" s="158"/>
      <x:c r="H9" s="177"/>
      <x:c r="I9" s="33"/>
      <x:c r="J9" s="185"/>
      <x:c r="K9" s="185"/>
      <x:c r="L9" s="185"/>
      <x:c r="M9" s="35"/>
      <x:c r="N9" s="36"/>
      <x:c r="O9" s="33"/>
      <x:c r="P9" s="185"/>
      <x:c r="Q9" s="185"/>
      <x:c r="R9" s="185"/>
      <x:c r="S9" s="35"/>
      <x:c r="T9" s="36"/>
      <x:c r="U9" s="33"/>
      <x:c r="V9" s="185"/>
      <x:c r="W9" s="185"/>
      <x:c r="X9" s="185"/>
      <x:c r="Y9" s="35"/>
      <x:c r="Z9" s="36"/>
      <x:c r="AA9" s="33"/>
      <x:c r="AB9" s="185"/>
      <x:c r="AC9" s="185"/>
      <x:c r="AD9" s="185"/>
      <x:c r="AE9" s="35"/>
      <x:c r="AF9" s="36"/>
      <x:c r="AG9" s="33"/>
      <x:c r="AH9" s="185"/>
      <x:c r="AI9" s="185"/>
      <x:c r="AJ9" s="185"/>
      <x:c r="AK9" s="35"/>
      <x:c r="AL9" s="36"/>
      <x:c r="AM9" s="157">
        <x:v>100</x:v>
      </x:c>
      <x:c r="AN9" s="158">
        <x:v>100</x:v>
      </x:c>
      <x:c r="AO9" s="158">
        <x:v>100</x:v>
      </x:c>
      <x:c r="AP9" s="589">
        <x:v>0</x:v>
      </x:c>
      <x:c r="AQ9" s="589">
        <x:v>0</x:v>
      </x:c>
      <x:c r="AR9" s="599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230">
        <x:v>100</x:v>
      </x:c>
      <x:c r="AX9" s="585" t="s">
        <x:v>1102</x:v>
      </x:c>
      <x:c r="AY9" s="33"/>
      <x:c r="AZ9" s="185"/>
      <x:c r="BA9" s="185"/>
      <x:c r="BB9" s="185"/>
      <x:c r="BC9" s="35"/>
      <x:c r="BD9" s="36"/>
      <x:c r="BE9" s="33"/>
      <x:c r="BF9" s="185"/>
      <x:c r="BG9" s="185"/>
      <x:c r="BH9" s="185"/>
      <x:c r="BI9" s="35"/>
      <x:c r="BJ9" s="36"/>
      <x:c r="BK9" s="33"/>
      <x:c r="BL9" s="185"/>
      <x:c r="BM9" s="185"/>
      <x:c r="BN9" s="185"/>
      <x:c r="BO9" s="35"/>
      <x:c r="BP9" s="36"/>
      <x:c r="BQ9" s="33"/>
      <x:c r="BR9" s="185"/>
      <x:c r="BS9" s="185"/>
      <x:c r="BT9" s="185"/>
      <x:c r="BU9" s="35"/>
      <x:c r="BV9" s="36"/>
    </x:row>
    <x:row r="10" spans="1:74" ht="22.5" customHeight="1" x14ac:dyDescent="0.25">
      <x:c r="A10" s="587" t="s">
        <x:v>168</x:v>
      </x:c>
      <x:c r="B10" s="50" t="s">
        <x:v>16</x:v>
      </x:c>
      <x:c r="C10" s="157"/>
      <x:c r="D10" s="158"/>
      <x:c r="E10" s="158"/>
      <x:c r="F10" s="158"/>
      <x:c r="G10" s="158"/>
      <x:c r="H10" s="218"/>
      <x:c r="I10" s="33"/>
      <x:c r="J10" s="185"/>
      <x:c r="K10" s="185"/>
      <x:c r="L10" s="185"/>
      <x:c r="M10" s="35"/>
      <x:c r="N10" s="36"/>
      <x:c r="O10" s="33"/>
      <x:c r="P10" s="185"/>
      <x:c r="Q10" s="185"/>
      <x:c r="R10" s="185"/>
      <x:c r="S10" s="35"/>
      <x:c r="T10" s="36"/>
      <x:c r="U10" s="33"/>
      <x:c r="V10" s="185"/>
      <x:c r="W10" s="185"/>
      <x:c r="X10" s="185"/>
      <x:c r="Y10" s="35"/>
      <x:c r="Z10" s="36"/>
      <x:c r="AA10" s="33"/>
      <x:c r="AB10" s="185"/>
      <x:c r="AC10" s="185"/>
      <x:c r="AD10" s="185"/>
      <x:c r="AE10" s="35"/>
      <x:c r="AF10" s="36"/>
      <x:c r="AG10" s="33"/>
      <x:c r="AH10" s="185"/>
      <x:c r="AI10" s="185"/>
      <x:c r="AJ10" s="185"/>
      <x:c r="AK10" s="35"/>
      <x:c r="AL10" s="36"/>
      <x:c r="AM10" s="588">
        <x:v>0</x:v>
      </x:c>
      <x:c r="AN10" s="589">
        <x:v>0</x:v>
      </x:c>
      <x:c r="AO10" s="589">
        <x:v>0</x:v>
      </x:c>
      <x:c r="AP10" s="589">
        <x:v>0</x:v>
      </x:c>
      <x:c r="AQ10" s="589">
        <x:v>0</x:v>
      </x:c>
      <x:c r="AR10" s="624" t="s">
        <x:v>1103</x:v>
      </x:c>
      <x:c r="AS10" s="588">
        <x:v>0</x:v>
      </x:c>
      <x:c r="AT10" s="589">
        <x:v>0</x:v>
      </x:c>
      <x:c r="AU10" s="589">
        <x:v>0</x:v>
      </x:c>
      <x:c r="AV10" s="589">
        <x:v>0</x:v>
      </x:c>
      <x:c r="AW10" s="590">
        <x:v>0</x:v>
      </x:c>
      <x:c r="AX10" s="591" t="s">
        <x:v>1103</x:v>
      </x:c>
      <x:c r="AY10" s="33"/>
      <x:c r="AZ10" s="185"/>
      <x:c r="BA10" s="185"/>
      <x:c r="BB10" s="185"/>
      <x:c r="BC10" s="35"/>
      <x:c r="BD10" s="36"/>
      <x:c r="BE10" s="33"/>
      <x:c r="BF10" s="185"/>
      <x:c r="BG10" s="185"/>
      <x:c r="BH10" s="185"/>
      <x:c r="BI10" s="35"/>
      <x:c r="BJ10" s="36"/>
      <x:c r="BK10" s="33"/>
      <x:c r="BL10" s="185"/>
      <x:c r="BM10" s="185"/>
      <x:c r="BN10" s="185"/>
      <x:c r="BO10" s="35"/>
      <x:c r="BP10" s="36"/>
      <x:c r="BQ10" s="33"/>
      <x:c r="BR10" s="185"/>
      <x:c r="BS10" s="185"/>
      <x:c r="BT10" s="185"/>
      <x:c r="BU10" s="35"/>
      <x:c r="BV10" s="36"/>
    </x:row>
    <x:row r="11" spans="1:74" ht="22.5" customHeight="1" x14ac:dyDescent="0.25">
      <x:c r="A11" s="32" t="s">
        <x:v>171</x:v>
      </x:c>
      <x:c r="B11" s="50" t="s">
        <x:v>23</x:v>
      </x:c>
      <x:c r="C11" s="157"/>
      <x:c r="D11" s="158"/>
      <x:c r="E11" s="158"/>
      <x:c r="F11" s="158"/>
      <x:c r="G11" s="158"/>
      <x:c r="H11" s="177"/>
      <x:c r="I11" s="33"/>
      <x:c r="J11" s="185"/>
      <x:c r="K11" s="185"/>
      <x:c r="L11" s="185"/>
      <x:c r="M11" s="35"/>
      <x:c r="N11" s="36"/>
      <x:c r="O11" s="33"/>
      <x:c r="P11" s="185"/>
      <x:c r="Q11" s="185"/>
      <x:c r="R11" s="185"/>
      <x:c r="S11" s="35"/>
      <x:c r="T11" s="36"/>
      <x:c r="U11" s="33"/>
      <x:c r="V11" s="185"/>
      <x:c r="W11" s="185"/>
      <x:c r="X11" s="185"/>
      <x:c r="Y11" s="35"/>
      <x:c r="Z11" s="36"/>
      <x:c r="AA11" s="33"/>
      <x:c r="AB11" s="185"/>
      <x:c r="AC11" s="185"/>
      <x:c r="AD11" s="185"/>
      <x:c r="AE11" s="35"/>
      <x:c r="AF11" s="36"/>
      <x:c r="AG11" s="33"/>
      <x:c r="AH11" s="185"/>
      <x:c r="AI11" s="185"/>
      <x:c r="AJ11" s="185"/>
      <x:c r="AK11" s="35"/>
      <x:c r="AL11" s="36"/>
      <x:c r="AM11" s="157">
        <x:v>100</x:v>
      </x:c>
      <x:c r="AN11" s="158">
        <x:v>100</x:v>
      </x:c>
      <x:c r="AO11" s="623">
        <x:v>0</x:v>
      </x:c>
      <x:c r="AP11" s="589">
        <x:v>0</x:v>
      </x:c>
      <x:c r="AQ11" s="589">
        <x:v>0</x:v>
      </x:c>
      <x:c r="AR11" s="599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230">
        <x:v>90.7</x:v>
      </x:c>
      <x:c r="AX11" s="585" t="s">
        <x:v>1102</x:v>
      </x:c>
      <x:c r="AY11" s="33"/>
      <x:c r="AZ11" s="185"/>
      <x:c r="BA11" s="185"/>
      <x:c r="BB11" s="185"/>
      <x:c r="BC11" s="35"/>
      <x:c r="BD11" s="36"/>
      <x:c r="BE11" s="33"/>
      <x:c r="BF11" s="185"/>
      <x:c r="BG11" s="185"/>
      <x:c r="BH11" s="185"/>
      <x:c r="BI11" s="35"/>
      <x:c r="BJ11" s="36"/>
      <x:c r="BK11" s="33"/>
      <x:c r="BL11" s="185"/>
      <x:c r="BM11" s="185"/>
      <x:c r="BN11" s="185"/>
      <x:c r="BO11" s="35"/>
      <x:c r="BP11" s="36"/>
      <x:c r="BQ11" s="33"/>
      <x:c r="BR11" s="185"/>
      <x:c r="BS11" s="185"/>
      <x:c r="BT11" s="185"/>
      <x:c r="BU11" s="35"/>
      <x:c r="BV11" s="36"/>
    </x:row>
    <x:row r="12" spans="1:74" ht="22.5" customHeight="1" x14ac:dyDescent="0.25">
      <x:c r="A12" s="615" t="s">
        <x:v>170</x:v>
      </x:c>
      <x:c r="B12" s="50" t="s">
        <x:v>23</x:v>
      </x:c>
      <x:c r="C12" s="157"/>
      <x:c r="D12" s="158"/>
      <x:c r="E12" s="158"/>
      <x:c r="F12" s="158"/>
      <x:c r="G12" s="158"/>
      <x:c r="H12" s="218"/>
      <x:c r="I12" s="33"/>
      <x:c r="J12" s="185"/>
      <x:c r="K12" s="185"/>
      <x:c r="L12" s="185"/>
      <x:c r="M12" s="35"/>
      <x:c r="N12" s="36"/>
      <x:c r="O12" s="33"/>
      <x:c r="P12" s="185"/>
      <x:c r="Q12" s="185"/>
      <x:c r="R12" s="185"/>
      <x:c r="S12" s="35"/>
      <x:c r="T12" s="36"/>
      <x:c r="U12" s="33"/>
      <x:c r="V12" s="185"/>
      <x:c r="W12" s="185"/>
      <x:c r="X12" s="185"/>
      <x:c r="Y12" s="35"/>
      <x:c r="Z12" s="36"/>
      <x:c r="AA12" s="33"/>
      <x:c r="AB12" s="185"/>
      <x:c r="AC12" s="185"/>
      <x:c r="AD12" s="185"/>
      <x:c r="AE12" s="35"/>
      <x:c r="AF12" s="36"/>
      <x:c r="AG12" s="33"/>
      <x:c r="AH12" s="185"/>
      <x:c r="AI12" s="185"/>
      <x:c r="AJ12" s="185"/>
      <x:c r="AK12" s="35"/>
      <x:c r="AL12" s="36"/>
      <x:c r="AM12" s="588">
        <x:v>0</x:v>
      </x:c>
      <x:c r="AN12" s="589">
        <x:v>0</x:v>
      </x:c>
      <x:c r="AO12" s="589">
        <x:v>0</x:v>
      </x:c>
      <x:c r="AP12" s="589">
        <x:v>0</x:v>
      </x:c>
      <x:c r="AQ12" s="589">
        <x:v>0</x:v>
      </x:c>
      <x:c r="AR12" s="624" t="s">
        <x:v>1103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230">
        <x:v>100</x:v>
      </x:c>
      <x:c r="AX12" s="585" t="s">
        <x:v>1102</x:v>
      </x:c>
      <x:c r="AY12" s="33"/>
      <x:c r="AZ12" s="185"/>
      <x:c r="BA12" s="185"/>
      <x:c r="BB12" s="185"/>
      <x:c r="BC12" s="35"/>
      <x:c r="BD12" s="36"/>
      <x:c r="BE12" s="33"/>
      <x:c r="BF12" s="185"/>
      <x:c r="BG12" s="185"/>
      <x:c r="BH12" s="185"/>
      <x:c r="BI12" s="35"/>
      <x:c r="BJ12" s="36"/>
      <x:c r="BK12" s="33"/>
      <x:c r="BL12" s="185"/>
      <x:c r="BM12" s="185"/>
      <x:c r="BN12" s="185"/>
      <x:c r="BO12" s="35"/>
      <x:c r="BP12" s="36"/>
      <x:c r="BQ12" s="33"/>
      <x:c r="BR12" s="185"/>
      <x:c r="BS12" s="185"/>
      <x:c r="BT12" s="185"/>
      <x:c r="BU12" s="35"/>
      <x:c r="BV12" s="36"/>
    </x:row>
    <x:row r="13" spans="1:74" ht="22.5" customHeight="1" x14ac:dyDescent="0.25">
      <x:c r="A13" s="32" t="s">
        <x:v>173</x:v>
      </x:c>
      <x:c r="B13" s="50" t="s">
        <x:v>23</x:v>
      </x:c>
      <x:c r="C13" s="157"/>
      <x:c r="D13" s="158"/>
      <x:c r="E13" s="158"/>
      <x:c r="F13" s="158"/>
      <x:c r="G13" s="158"/>
      <x:c r="H13" s="177"/>
      <x:c r="I13" s="33"/>
      <x:c r="J13" s="185"/>
      <x:c r="K13" s="185"/>
      <x:c r="L13" s="185"/>
      <x:c r="M13" s="35"/>
      <x:c r="N13" s="36"/>
      <x:c r="O13" s="33"/>
      <x:c r="P13" s="185"/>
      <x:c r="Q13" s="185"/>
      <x:c r="R13" s="185"/>
      <x:c r="S13" s="35"/>
      <x:c r="T13" s="36"/>
      <x:c r="U13" s="33"/>
      <x:c r="V13" s="185"/>
      <x:c r="W13" s="185"/>
      <x:c r="X13" s="185"/>
      <x:c r="Y13" s="35"/>
      <x:c r="Z13" s="36"/>
      <x:c r="AA13" s="33"/>
      <x:c r="AB13" s="185"/>
      <x:c r="AC13" s="185"/>
      <x:c r="AD13" s="185"/>
      <x:c r="AE13" s="35"/>
      <x:c r="AF13" s="36"/>
      <x:c r="AG13" s="33"/>
      <x:c r="AH13" s="185"/>
      <x:c r="AI13" s="185"/>
      <x:c r="AJ13" s="185"/>
      <x:c r="AK13" s="3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599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230">
        <x:v>100</x:v>
      </x:c>
      <x:c r="AX13" s="585" t="s">
        <x:v>1102</x:v>
      </x:c>
      <x:c r="AY13" s="33"/>
      <x:c r="AZ13" s="185"/>
      <x:c r="BA13" s="185"/>
      <x:c r="BB13" s="185"/>
      <x:c r="BC13" s="35"/>
      <x:c r="BD13" s="36"/>
      <x:c r="BE13" s="33"/>
      <x:c r="BF13" s="185"/>
      <x:c r="BG13" s="185"/>
      <x:c r="BH13" s="185"/>
      <x:c r="BI13" s="35"/>
      <x:c r="BJ13" s="36"/>
      <x:c r="BK13" s="33"/>
      <x:c r="BL13" s="185"/>
      <x:c r="BM13" s="185"/>
      <x:c r="BN13" s="185"/>
      <x:c r="BO13" s="35"/>
      <x:c r="BP13" s="36"/>
      <x:c r="BQ13" s="33"/>
      <x:c r="BR13" s="185"/>
      <x:c r="BS13" s="185"/>
      <x:c r="BT13" s="185"/>
      <x:c r="BU13" s="35"/>
      <x:c r="BV13" s="36"/>
    </x:row>
    <x:row r="14" spans="1:74" ht="22.5" customHeight="1" x14ac:dyDescent="0.25">
      <x:c r="A14" s="32" t="s">
        <x:v>182</x:v>
      </x:c>
      <x:c r="B14" s="50" t="s">
        <x:v>183</x:v>
      </x:c>
      <x:c r="C14" s="157"/>
      <x:c r="D14" s="158"/>
      <x:c r="E14" s="158"/>
      <x:c r="F14" s="158"/>
      <x:c r="G14" s="158"/>
      <x:c r="H14" s="177"/>
      <x:c r="I14" s="33"/>
      <x:c r="J14" s="185"/>
      <x:c r="K14" s="185"/>
      <x:c r="L14" s="185"/>
      <x:c r="M14" s="35"/>
      <x:c r="N14" s="36"/>
      <x:c r="O14" s="33"/>
      <x:c r="P14" s="185"/>
      <x:c r="Q14" s="185"/>
      <x:c r="R14" s="185"/>
      <x:c r="S14" s="35"/>
      <x:c r="T14" s="36"/>
      <x:c r="U14" s="33"/>
      <x:c r="V14" s="185"/>
      <x:c r="W14" s="185"/>
      <x:c r="X14" s="185"/>
      <x:c r="Y14" s="35"/>
      <x:c r="Z14" s="36"/>
      <x:c r="AA14" s="33"/>
      <x:c r="AB14" s="185"/>
      <x:c r="AC14" s="185"/>
      <x:c r="AD14" s="185"/>
      <x:c r="AE14" s="35"/>
      <x:c r="AF14" s="36"/>
      <x:c r="AG14" s="33"/>
      <x:c r="AH14" s="185"/>
      <x:c r="AI14" s="185"/>
      <x:c r="AJ14" s="185"/>
      <x:c r="AK14" s="3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589">
        <x:v>0</x:v>
      </x:c>
      <x:c r="AR14" s="599" t="s">
        <x:v>1102</x:v>
      </x:c>
      <x:c r="AS14" s="157">
        <x:v>100</x:v>
      </x:c>
      <x:c r="AT14" s="158">
        <x:v>100</x:v>
      </x:c>
      <x:c r="AU14" s="158">
        <x:v>94.74</x:v>
      </x:c>
      <x:c r="AV14" s="158">
        <x:v>94.12</x:v>
      </x:c>
      <x:c r="AW14" s="230">
        <x:v>85.71</x:v>
      </x:c>
      <x:c r="AX14" s="585" t="s">
        <x:v>1102</x:v>
      </x:c>
      <x:c r="AY14" s="33"/>
      <x:c r="AZ14" s="185"/>
      <x:c r="BA14" s="185"/>
      <x:c r="BB14" s="185"/>
      <x:c r="BC14" s="35"/>
      <x:c r="BD14" s="36"/>
      <x:c r="BE14" s="33"/>
      <x:c r="BF14" s="185"/>
      <x:c r="BG14" s="185"/>
      <x:c r="BH14" s="185"/>
      <x:c r="BI14" s="35"/>
      <x:c r="BJ14" s="36"/>
      <x:c r="BK14" s="33"/>
      <x:c r="BL14" s="185"/>
      <x:c r="BM14" s="185"/>
      <x:c r="BN14" s="185"/>
      <x:c r="BO14" s="35"/>
      <x:c r="BP14" s="36"/>
      <x:c r="BQ14" s="33"/>
      <x:c r="BR14" s="185"/>
      <x:c r="BS14" s="185"/>
      <x:c r="BT14" s="185"/>
      <x:c r="BU14" s="35"/>
      <x:c r="BV14" s="36"/>
    </x:row>
    <x:row r="15" spans="1:74" ht="22.5" customHeight="1" x14ac:dyDescent="0.25">
      <x:c r="A15" s="32" t="s">
        <x:v>184</x:v>
      </x:c>
      <x:c r="B15" s="50" t="s">
        <x:v>183</x:v>
      </x:c>
      <x:c r="C15" s="157"/>
      <x:c r="D15" s="158"/>
      <x:c r="E15" s="158"/>
      <x:c r="F15" s="158"/>
      <x:c r="G15" s="158"/>
      <x:c r="H15" s="177"/>
      <x:c r="I15" s="33"/>
      <x:c r="J15" s="185"/>
      <x:c r="K15" s="185"/>
      <x:c r="L15" s="185"/>
      <x:c r="M15" s="35"/>
      <x:c r="N15" s="36"/>
      <x:c r="O15" s="33"/>
      <x:c r="P15" s="185"/>
      <x:c r="Q15" s="185"/>
      <x:c r="R15" s="185"/>
      <x:c r="S15" s="35"/>
      <x:c r="T15" s="36"/>
      <x:c r="U15" s="33"/>
      <x:c r="V15" s="185"/>
      <x:c r="W15" s="185"/>
      <x:c r="X15" s="185"/>
      <x:c r="Y15" s="35"/>
      <x:c r="Z15" s="36"/>
      <x:c r="AA15" s="33"/>
      <x:c r="AB15" s="185"/>
      <x:c r="AC15" s="185"/>
      <x:c r="AD15" s="185"/>
      <x:c r="AE15" s="35"/>
      <x:c r="AF15" s="36"/>
      <x:c r="AG15" s="33"/>
      <x:c r="AH15" s="185"/>
      <x:c r="AI15" s="185"/>
      <x:c r="AJ15" s="185"/>
      <x:c r="AK15" s="3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589">
        <x:v>0</x:v>
      </x:c>
      <x:c r="AR15" s="599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625">
        <x:v>0</x:v>
      </x:c>
      <x:c r="AX15" s="585" t="s">
        <x:v>1102</x:v>
      </x:c>
      <x:c r="AY15" s="33"/>
      <x:c r="AZ15" s="185"/>
      <x:c r="BA15" s="185"/>
      <x:c r="BB15" s="185"/>
      <x:c r="BC15" s="35"/>
      <x:c r="BD15" s="36"/>
      <x:c r="BE15" s="33"/>
      <x:c r="BF15" s="185"/>
      <x:c r="BG15" s="185"/>
      <x:c r="BH15" s="185"/>
      <x:c r="BI15" s="35"/>
      <x:c r="BJ15" s="36"/>
      <x:c r="BK15" s="33"/>
      <x:c r="BL15" s="185"/>
      <x:c r="BM15" s="185"/>
      <x:c r="BN15" s="185"/>
      <x:c r="BO15" s="35"/>
      <x:c r="BP15" s="36"/>
      <x:c r="BQ15" s="33"/>
      <x:c r="BR15" s="185"/>
      <x:c r="BS15" s="185"/>
      <x:c r="BT15" s="185"/>
      <x:c r="BU15" s="35"/>
      <x:c r="BV15" s="36"/>
    </x:row>
    <x:row r="16" spans="1:74" ht="22.5" customHeight="1" x14ac:dyDescent="0.25">
      <x:c r="A16" s="587" t="s">
        <x:v>165</x:v>
      </x:c>
      <x:c r="B16" s="50" t="s">
        <x:v>14</x:v>
      </x:c>
      <x:c r="C16" s="157"/>
      <x:c r="D16" s="158"/>
      <x:c r="E16" s="158"/>
      <x:c r="F16" s="158"/>
      <x:c r="G16" s="158"/>
      <x:c r="H16" s="218"/>
      <x:c r="I16" s="33"/>
      <x:c r="J16" s="185"/>
      <x:c r="K16" s="185"/>
      <x:c r="L16" s="185"/>
      <x:c r="M16" s="35"/>
      <x:c r="N16" s="36"/>
      <x:c r="O16" s="33"/>
      <x:c r="P16" s="185"/>
      <x:c r="Q16" s="185"/>
      <x:c r="R16" s="185"/>
      <x:c r="S16" s="35"/>
      <x:c r="T16" s="36"/>
      <x:c r="U16" s="33"/>
      <x:c r="V16" s="185"/>
      <x:c r="W16" s="185"/>
      <x:c r="X16" s="185"/>
      <x:c r="Y16" s="35"/>
      <x:c r="Z16" s="36"/>
      <x:c r="AA16" s="33"/>
      <x:c r="AB16" s="185"/>
      <x:c r="AC16" s="185"/>
      <x:c r="AD16" s="185"/>
      <x:c r="AE16" s="35"/>
      <x:c r="AF16" s="36"/>
      <x:c r="AG16" s="33"/>
      <x:c r="AH16" s="185"/>
      <x:c r="AI16" s="185"/>
      <x:c r="AJ16" s="185"/>
      <x:c r="AK16" s="35"/>
      <x:c r="AL16" s="36"/>
      <x:c r="AM16" s="588">
        <x:v>0</x:v>
      </x:c>
      <x:c r="AN16" s="589">
        <x:v>0</x:v>
      </x:c>
      <x:c r="AO16" s="589">
        <x:v>0</x:v>
      </x:c>
      <x:c r="AP16" s="589">
        <x:v>0</x:v>
      </x:c>
      <x:c r="AQ16" s="589">
        <x:v>0</x:v>
      </x:c>
      <x:c r="AR16" s="624" t="s">
        <x:v>1103</x:v>
      </x:c>
      <x:c r="AS16" s="588">
        <x:v>0</x:v>
      </x:c>
      <x:c r="AT16" s="589">
        <x:v>0</x:v>
      </x:c>
      <x:c r="AU16" s="589">
        <x:v>0</x:v>
      </x:c>
      <x:c r="AV16" s="589">
        <x:v>0</x:v>
      </x:c>
      <x:c r="AW16" s="590">
        <x:v>0</x:v>
      </x:c>
      <x:c r="AX16" s="591" t="s">
        <x:v>1103</x:v>
      </x:c>
      <x:c r="AY16" s="33"/>
      <x:c r="AZ16" s="185"/>
      <x:c r="BA16" s="185"/>
      <x:c r="BB16" s="185"/>
      <x:c r="BC16" s="35"/>
      <x:c r="BD16" s="36"/>
      <x:c r="BE16" s="33"/>
      <x:c r="BF16" s="185"/>
      <x:c r="BG16" s="185"/>
      <x:c r="BH16" s="185"/>
      <x:c r="BI16" s="35"/>
      <x:c r="BJ16" s="36"/>
      <x:c r="BK16" s="33"/>
      <x:c r="BL16" s="185"/>
      <x:c r="BM16" s="185"/>
      <x:c r="BN16" s="185"/>
      <x:c r="BO16" s="35"/>
      <x:c r="BP16" s="36"/>
      <x:c r="BQ16" s="33"/>
      <x:c r="BR16" s="185"/>
      <x:c r="BS16" s="185"/>
      <x:c r="BT16" s="185"/>
      <x:c r="BU16" s="35"/>
      <x:c r="BV16" s="36"/>
    </x:row>
    <x:row r="17" spans="1:74" ht="22.5" customHeight="1" x14ac:dyDescent="0.25">
      <x:c r="A17" s="615" t="s">
        <x:v>163</x:v>
      </x:c>
      <x:c r="B17" s="50" t="s">
        <x:v>14</x:v>
      </x:c>
      <x:c r="C17" s="157"/>
      <x:c r="D17" s="158"/>
      <x:c r="E17" s="158"/>
      <x:c r="F17" s="158"/>
      <x:c r="G17" s="158"/>
      <x:c r="H17" s="218"/>
      <x:c r="I17" s="33"/>
      <x:c r="J17" s="185"/>
      <x:c r="K17" s="185"/>
      <x:c r="L17" s="185"/>
      <x:c r="M17" s="35"/>
      <x:c r="N17" s="36"/>
      <x:c r="O17" s="33"/>
      <x:c r="P17" s="185"/>
      <x:c r="Q17" s="185"/>
      <x:c r="R17" s="185"/>
      <x:c r="S17" s="35"/>
      <x:c r="T17" s="36"/>
      <x:c r="U17" s="33"/>
      <x:c r="V17" s="185"/>
      <x:c r="W17" s="185"/>
      <x:c r="X17" s="185"/>
      <x:c r="Y17" s="35"/>
      <x:c r="Z17" s="36"/>
      <x:c r="AA17" s="33"/>
      <x:c r="AB17" s="185"/>
      <x:c r="AC17" s="185"/>
      <x:c r="AD17" s="185"/>
      <x:c r="AE17" s="35"/>
      <x:c r="AF17" s="36"/>
      <x:c r="AG17" s="33"/>
      <x:c r="AH17" s="185"/>
      <x:c r="AI17" s="185"/>
      <x:c r="AJ17" s="185"/>
      <x:c r="AK17" s="35"/>
      <x:c r="AL17" s="36"/>
      <x:c r="AM17" s="588">
        <x:v>0</x:v>
      </x:c>
      <x:c r="AN17" s="589">
        <x:v>0</x:v>
      </x:c>
      <x:c r="AO17" s="589">
        <x:v>0</x:v>
      </x:c>
      <x:c r="AP17" s="589">
        <x:v>0</x:v>
      </x:c>
      <x:c r="AQ17" s="589">
        <x:v>0</x:v>
      </x:c>
      <x:c r="AR17" s="624" t="s">
        <x:v>1103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601">
        <x:v>0</x:v>
      </x:c>
      <x:c r="AX17" s="585" t="s">
        <x:v>1102</x:v>
      </x:c>
      <x:c r="AY17" s="33"/>
      <x:c r="AZ17" s="185"/>
      <x:c r="BA17" s="185"/>
      <x:c r="BB17" s="185"/>
      <x:c r="BC17" s="35"/>
      <x:c r="BD17" s="36"/>
      <x:c r="BE17" s="33"/>
      <x:c r="BF17" s="185"/>
      <x:c r="BG17" s="185"/>
      <x:c r="BH17" s="185"/>
      <x:c r="BI17" s="35"/>
      <x:c r="BJ17" s="36"/>
      <x:c r="BK17" s="33"/>
      <x:c r="BL17" s="185"/>
      <x:c r="BM17" s="185"/>
      <x:c r="BN17" s="185"/>
      <x:c r="BO17" s="35"/>
      <x:c r="BP17" s="36"/>
      <x:c r="BQ17" s="33"/>
      <x:c r="BR17" s="185"/>
      <x:c r="BS17" s="185"/>
      <x:c r="BT17" s="185"/>
      <x:c r="BU17" s="35"/>
      <x:c r="BV17" s="36"/>
    </x:row>
    <x:row r="18" spans="1:74" ht="22.5" customHeight="1" x14ac:dyDescent="0.25">
      <x:c r="A18" s="32" t="s">
        <x:v>176</x:v>
      </x:c>
      <x:c r="B18" s="50" t="s">
        <x:v>23</x:v>
      </x:c>
      <x:c r="C18" s="157"/>
      <x:c r="D18" s="158"/>
      <x:c r="E18" s="158"/>
      <x:c r="F18" s="158"/>
      <x:c r="G18" s="158"/>
      <x:c r="H18" s="177"/>
      <x:c r="I18" s="33"/>
      <x:c r="J18" s="185"/>
      <x:c r="K18" s="185"/>
      <x:c r="L18" s="185"/>
      <x:c r="M18" s="35"/>
      <x:c r="N18" s="36"/>
      <x:c r="O18" s="33"/>
      <x:c r="P18" s="185"/>
      <x:c r="Q18" s="185"/>
      <x:c r="R18" s="185"/>
      <x:c r="S18" s="35"/>
      <x:c r="T18" s="36"/>
      <x:c r="U18" s="33"/>
      <x:c r="V18" s="185"/>
      <x:c r="W18" s="185"/>
      <x:c r="X18" s="185"/>
      <x:c r="Y18" s="35"/>
      <x:c r="Z18" s="36"/>
      <x:c r="AA18" s="33"/>
      <x:c r="AB18" s="185"/>
      <x:c r="AC18" s="185"/>
      <x:c r="AD18" s="185"/>
      <x:c r="AE18" s="35"/>
      <x:c r="AF18" s="36"/>
      <x:c r="AG18" s="33"/>
      <x:c r="AH18" s="185"/>
      <x:c r="AI18" s="185"/>
      <x:c r="AJ18" s="185"/>
      <x:c r="AK18" s="3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599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230">
        <x:v>86</x:v>
      </x:c>
      <x:c r="AX18" s="585" t="s">
        <x:v>1102</x:v>
      </x:c>
      <x:c r="AY18" s="33"/>
      <x:c r="AZ18" s="185"/>
      <x:c r="BA18" s="185"/>
      <x:c r="BB18" s="185"/>
      <x:c r="BC18" s="35"/>
      <x:c r="BD18" s="36"/>
      <x:c r="BE18" s="33"/>
      <x:c r="BF18" s="185"/>
      <x:c r="BG18" s="185"/>
      <x:c r="BH18" s="185"/>
      <x:c r="BI18" s="35"/>
      <x:c r="BJ18" s="36"/>
      <x:c r="BK18" s="33"/>
      <x:c r="BL18" s="185"/>
      <x:c r="BM18" s="185"/>
      <x:c r="BN18" s="185"/>
      <x:c r="BO18" s="35"/>
      <x:c r="BP18" s="36"/>
      <x:c r="BQ18" s="33"/>
      <x:c r="BR18" s="185"/>
      <x:c r="BS18" s="185"/>
      <x:c r="BT18" s="185"/>
      <x:c r="BU18" s="35"/>
      <x:c r="BV18" s="36"/>
    </x:row>
    <x:row r="19" spans="1:74" ht="22.5" customHeight="1" x14ac:dyDescent="0.25">
      <x:c r="A19" s="32" t="s">
        <x:v>188</x:v>
      </x:c>
      <x:c r="B19" s="50" t="s">
        <x:v>37</x:v>
      </x:c>
      <x:c r="C19" s="157"/>
      <x:c r="D19" s="158"/>
      <x:c r="E19" s="158"/>
      <x:c r="F19" s="158"/>
      <x:c r="G19" s="158"/>
      <x:c r="H19" s="177"/>
      <x:c r="I19" s="33"/>
      <x:c r="J19" s="185"/>
      <x:c r="K19" s="185"/>
      <x:c r="L19" s="185"/>
      <x:c r="M19" s="35"/>
      <x:c r="N19" s="36"/>
      <x:c r="O19" s="33"/>
      <x:c r="P19" s="185"/>
      <x:c r="Q19" s="185"/>
      <x:c r="R19" s="185"/>
      <x:c r="S19" s="35"/>
      <x:c r="T19" s="36"/>
      <x:c r="U19" s="33"/>
      <x:c r="V19" s="185"/>
      <x:c r="W19" s="185"/>
      <x:c r="X19" s="185"/>
      <x:c r="Y19" s="35"/>
      <x:c r="Z19" s="36"/>
      <x:c r="AA19" s="33"/>
      <x:c r="AB19" s="185"/>
      <x:c r="AC19" s="185"/>
      <x:c r="AD19" s="185"/>
      <x:c r="AE19" s="35"/>
      <x:c r="AF19" s="36"/>
      <x:c r="AG19" s="33"/>
      <x:c r="AH19" s="185"/>
      <x:c r="AI19" s="185"/>
      <x:c r="AJ19" s="185"/>
      <x:c r="AK19" s="3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599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230">
        <x:v>100</x:v>
      </x:c>
      <x:c r="AX19" s="585" t="s">
        <x:v>1102</x:v>
      </x:c>
      <x:c r="AY19" s="33"/>
      <x:c r="AZ19" s="185"/>
      <x:c r="BA19" s="185"/>
      <x:c r="BB19" s="185"/>
      <x:c r="BC19" s="35"/>
      <x:c r="BD19" s="36"/>
      <x:c r="BE19" s="33"/>
      <x:c r="BF19" s="185"/>
      <x:c r="BG19" s="185"/>
      <x:c r="BH19" s="185"/>
      <x:c r="BI19" s="35"/>
      <x:c r="BJ19" s="36"/>
      <x:c r="BK19" s="33"/>
      <x:c r="BL19" s="185"/>
      <x:c r="BM19" s="185"/>
      <x:c r="BN19" s="185"/>
      <x:c r="BO19" s="35"/>
      <x:c r="BP19" s="36"/>
      <x:c r="BQ19" s="33"/>
      <x:c r="BR19" s="185"/>
      <x:c r="BS19" s="185"/>
      <x:c r="BT19" s="185"/>
      <x:c r="BU19" s="35"/>
      <x:c r="BV19" s="36"/>
    </x:row>
    <x:row r="20" spans="1:74" ht="22.5" customHeight="1" x14ac:dyDescent="0.25">
      <x:c r="A20" s="32" t="s">
        <x:v>181</x:v>
      </x:c>
      <x:c r="B20" s="50" t="s">
        <x:v>23</x:v>
      </x:c>
      <x:c r="C20" s="157"/>
      <x:c r="D20" s="158"/>
      <x:c r="E20" s="158"/>
      <x:c r="F20" s="158"/>
      <x:c r="G20" s="158"/>
      <x:c r="H20" s="177"/>
      <x:c r="I20" s="33"/>
      <x:c r="J20" s="185"/>
      <x:c r="K20" s="185"/>
      <x:c r="L20" s="185"/>
      <x:c r="M20" s="35"/>
      <x:c r="N20" s="36"/>
      <x:c r="O20" s="33"/>
      <x:c r="P20" s="185"/>
      <x:c r="Q20" s="185"/>
      <x:c r="R20" s="185"/>
      <x:c r="S20" s="35"/>
      <x:c r="T20" s="36"/>
      <x:c r="U20" s="33"/>
      <x:c r="V20" s="185"/>
      <x:c r="W20" s="185"/>
      <x:c r="X20" s="185"/>
      <x:c r="Y20" s="35"/>
      <x:c r="Z20" s="36"/>
      <x:c r="AA20" s="33"/>
      <x:c r="AB20" s="185"/>
      <x:c r="AC20" s="185"/>
      <x:c r="AD20" s="185"/>
      <x:c r="AE20" s="35"/>
      <x:c r="AF20" s="36"/>
      <x:c r="AG20" s="33"/>
      <x:c r="AH20" s="185"/>
      <x:c r="AI20" s="185"/>
      <x:c r="AJ20" s="185"/>
      <x:c r="AK20" s="35"/>
      <x:c r="AL20" s="36"/>
      <x:c r="AM20" s="157">
        <x:v>100</x:v>
      </x:c>
      <x:c r="AN20" s="158">
        <x:v>100</x:v>
      </x:c>
      <x:c r="AO20" s="158">
        <x:v>90</x:v>
      </x:c>
      <x:c r="AP20" s="158">
        <x:v>11.2</x:v>
      </x:c>
      <x:c r="AQ20" s="589">
        <x:v>0</x:v>
      </x:c>
      <x:c r="AR20" s="599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81.82</x:v>
      </x:c>
      <x:c r="AW20" s="601">
        <x:v>0</x:v>
      </x:c>
      <x:c r="AX20" s="585" t="s">
        <x:v>1102</x:v>
      </x:c>
      <x:c r="AY20" s="33"/>
      <x:c r="AZ20" s="185"/>
      <x:c r="BA20" s="185"/>
      <x:c r="BB20" s="185"/>
      <x:c r="BC20" s="35"/>
      <x:c r="BD20" s="36"/>
      <x:c r="BE20" s="33"/>
      <x:c r="BF20" s="185"/>
      <x:c r="BG20" s="185"/>
      <x:c r="BH20" s="185"/>
      <x:c r="BI20" s="35"/>
      <x:c r="BJ20" s="36"/>
      <x:c r="BK20" s="33"/>
      <x:c r="BL20" s="185"/>
      <x:c r="BM20" s="185"/>
      <x:c r="BN20" s="185"/>
      <x:c r="BO20" s="35"/>
      <x:c r="BP20" s="36"/>
      <x:c r="BQ20" s="33"/>
      <x:c r="BR20" s="185"/>
      <x:c r="BS20" s="185"/>
      <x:c r="BT20" s="185"/>
      <x:c r="BU20" s="35"/>
      <x:c r="BV20" s="36"/>
    </x:row>
    <x:row r="21" spans="1:74" ht="22.5" customHeight="1" x14ac:dyDescent="0.25">
      <x:c r="A21" s="32" t="s">
        <x:v>179</x:v>
      </x:c>
      <x:c r="B21" s="50" t="s">
        <x:v>23</x:v>
      </x:c>
      <x:c r="C21" s="157"/>
      <x:c r="D21" s="158"/>
      <x:c r="E21" s="158"/>
      <x:c r="F21" s="158"/>
      <x:c r="G21" s="158"/>
      <x:c r="H21" s="177"/>
      <x:c r="I21" s="33"/>
      <x:c r="J21" s="185"/>
      <x:c r="K21" s="185"/>
      <x:c r="L21" s="185"/>
      <x:c r="M21" s="35"/>
      <x:c r="N21" s="36"/>
      <x:c r="O21" s="33"/>
      <x:c r="P21" s="185"/>
      <x:c r="Q21" s="185"/>
      <x:c r="R21" s="185"/>
      <x:c r="S21" s="35"/>
      <x:c r="T21" s="36"/>
      <x:c r="U21" s="33"/>
      <x:c r="V21" s="185"/>
      <x:c r="W21" s="185"/>
      <x:c r="X21" s="185"/>
      <x:c r="Y21" s="35"/>
      <x:c r="Z21" s="36"/>
      <x:c r="AA21" s="33"/>
      <x:c r="AB21" s="185"/>
      <x:c r="AC21" s="185"/>
      <x:c r="AD21" s="185"/>
      <x:c r="AE21" s="35"/>
      <x:c r="AF21" s="36"/>
      <x:c r="AG21" s="33"/>
      <x:c r="AH21" s="185"/>
      <x:c r="AI21" s="185"/>
      <x:c r="AJ21" s="185"/>
      <x:c r="AK21" s="3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599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230">
        <x:v>100</x:v>
      </x:c>
      <x:c r="AX21" s="585" t="s">
        <x:v>1102</x:v>
      </x:c>
      <x:c r="AY21" s="33"/>
      <x:c r="AZ21" s="185"/>
      <x:c r="BA21" s="185"/>
      <x:c r="BB21" s="185"/>
      <x:c r="BC21" s="35"/>
      <x:c r="BD21" s="36"/>
      <x:c r="BE21" s="33"/>
      <x:c r="BF21" s="185"/>
      <x:c r="BG21" s="185"/>
      <x:c r="BH21" s="185"/>
      <x:c r="BI21" s="35"/>
      <x:c r="BJ21" s="36"/>
      <x:c r="BK21" s="33"/>
      <x:c r="BL21" s="185"/>
      <x:c r="BM21" s="185"/>
      <x:c r="BN21" s="185"/>
      <x:c r="BO21" s="35"/>
      <x:c r="BP21" s="36"/>
      <x:c r="BQ21" s="33"/>
      <x:c r="BR21" s="185"/>
      <x:c r="BS21" s="185"/>
      <x:c r="BT21" s="185"/>
      <x:c r="BU21" s="35"/>
      <x:c r="BV21" s="36"/>
    </x:row>
    <x:row r="22" spans="1:74" ht="22.5" customHeight="1" x14ac:dyDescent="0.25">
      <x:c r="A22" s="32" t="s">
        <x:v>178</x:v>
      </x:c>
      <x:c r="B22" s="50" t="s">
        <x:v>23</x:v>
      </x:c>
      <x:c r="C22" s="157"/>
      <x:c r="D22" s="158"/>
      <x:c r="E22" s="158"/>
      <x:c r="F22" s="158"/>
      <x:c r="G22" s="158"/>
      <x:c r="H22" s="177"/>
      <x:c r="I22" s="33"/>
      <x:c r="J22" s="185"/>
      <x:c r="K22" s="185"/>
      <x:c r="L22" s="185"/>
      <x:c r="M22" s="35"/>
      <x:c r="N22" s="36"/>
      <x:c r="O22" s="33"/>
      <x:c r="P22" s="185"/>
      <x:c r="Q22" s="185"/>
      <x:c r="R22" s="185"/>
      <x:c r="S22" s="35"/>
      <x:c r="T22" s="36"/>
      <x:c r="U22" s="33"/>
      <x:c r="V22" s="185"/>
      <x:c r="W22" s="185"/>
      <x:c r="X22" s="185"/>
      <x:c r="Y22" s="35"/>
      <x:c r="Z22" s="36"/>
      <x:c r="AA22" s="33"/>
      <x:c r="AB22" s="185"/>
      <x:c r="AC22" s="185"/>
      <x:c r="AD22" s="185"/>
      <x:c r="AE22" s="35"/>
      <x:c r="AF22" s="36"/>
      <x:c r="AG22" s="33"/>
      <x:c r="AH22" s="185"/>
      <x:c r="AI22" s="185"/>
      <x:c r="AJ22" s="185"/>
      <x:c r="AK22" s="3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599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230">
        <x:v>97.92</x:v>
      </x:c>
      <x:c r="AX22" s="585" t="s">
        <x:v>1102</x:v>
      </x:c>
      <x:c r="AY22" s="33"/>
      <x:c r="AZ22" s="185"/>
      <x:c r="BA22" s="185"/>
      <x:c r="BB22" s="185"/>
      <x:c r="BC22" s="35"/>
      <x:c r="BD22" s="36"/>
      <x:c r="BE22" s="33"/>
      <x:c r="BF22" s="185"/>
      <x:c r="BG22" s="185"/>
      <x:c r="BH22" s="185"/>
      <x:c r="BI22" s="35"/>
      <x:c r="BJ22" s="36"/>
      <x:c r="BK22" s="33"/>
      <x:c r="BL22" s="185"/>
      <x:c r="BM22" s="185"/>
      <x:c r="BN22" s="185"/>
      <x:c r="BO22" s="35"/>
      <x:c r="BP22" s="36"/>
      <x:c r="BQ22" s="33"/>
      <x:c r="BR22" s="185"/>
      <x:c r="BS22" s="185"/>
      <x:c r="BT22" s="185"/>
      <x:c r="BU22" s="35"/>
      <x:c r="BV22" s="36"/>
    </x:row>
    <x:row r="23" spans="1:74" ht="22.5" customHeight="1" x14ac:dyDescent="0.25">
      <x:c r="A23" s="32" t="s">
        <x:v>166</x:v>
      </x:c>
      <x:c r="B23" s="50" t="s">
        <x:v>16</x:v>
      </x:c>
      <x:c r="C23" s="157"/>
      <x:c r="D23" s="158"/>
      <x:c r="E23" s="158"/>
      <x:c r="F23" s="158"/>
      <x:c r="G23" s="158"/>
      <x:c r="H23" s="177"/>
      <x:c r="I23" s="33"/>
      <x:c r="J23" s="185"/>
      <x:c r="K23" s="185"/>
      <x:c r="L23" s="185"/>
      <x:c r="M23" s="35"/>
      <x:c r="N23" s="36"/>
      <x:c r="O23" s="33"/>
      <x:c r="P23" s="185"/>
      <x:c r="Q23" s="185"/>
      <x:c r="R23" s="185"/>
      <x:c r="S23" s="35"/>
      <x:c r="T23" s="36"/>
      <x:c r="U23" s="33"/>
      <x:c r="V23" s="185"/>
      <x:c r="W23" s="185"/>
      <x:c r="X23" s="185"/>
      <x:c r="Y23" s="35"/>
      <x:c r="Z23" s="36"/>
      <x:c r="AA23" s="33"/>
      <x:c r="AB23" s="185"/>
      <x:c r="AC23" s="185"/>
      <x:c r="AD23" s="185"/>
      <x:c r="AE23" s="35"/>
      <x:c r="AF23" s="36"/>
      <x:c r="AG23" s="33"/>
      <x:c r="AH23" s="185"/>
      <x:c r="AI23" s="185"/>
      <x:c r="AJ23" s="185"/>
      <x:c r="AK23" s="35"/>
      <x:c r="AL23" s="36"/>
      <x:c r="AM23" s="157">
        <x:v>38.49</x:v>
      </x:c>
      <x:c r="AN23" s="589">
        <x:v>0</x:v>
      </x:c>
      <x:c r="AO23" s="589">
        <x:v>0</x:v>
      </x:c>
      <x:c r="AP23" s="589">
        <x:v>0</x:v>
      </x:c>
      <x:c r="AQ23" s="589">
        <x:v>0</x:v>
      </x:c>
      <x:c r="AR23" s="599" t="s">
        <x:v>1102</x:v>
      </x:c>
      <x:c r="AS23" s="157">
        <x:v>100</x:v>
      </x:c>
      <x:c r="AT23" s="158">
        <x:v>100</x:v>
      </x:c>
      <x:c r="AU23" s="158">
        <x:v>100</x:v>
      </x:c>
      <x:c r="AV23" s="158">
        <x:v>100</x:v>
      </x:c>
      <x:c r="AW23" s="230">
        <x:v>100</x:v>
      </x:c>
      <x:c r="AX23" s="585" t="s">
        <x:v>1102</x:v>
      </x:c>
      <x:c r="AY23" s="33"/>
      <x:c r="AZ23" s="185"/>
      <x:c r="BA23" s="185"/>
      <x:c r="BB23" s="185"/>
      <x:c r="BC23" s="35"/>
      <x:c r="BD23" s="36"/>
      <x:c r="BE23" s="33"/>
      <x:c r="BF23" s="185"/>
      <x:c r="BG23" s="185"/>
      <x:c r="BH23" s="185"/>
      <x:c r="BI23" s="35"/>
      <x:c r="BJ23" s="36"/>
      <x:c r="BK23" s="33"/>
      <x:c r="BL23" s="185"/>
      <x:c r="BM23" s="185"/>
      <x:c r="BN23" s="185"/>
      <x:c r="BO23" s="35"/>
      <x:c r="BP23" s="36"/>
      <x:c r="BQ23" s="33"/>
      <x:c r="BR23" s="185"/>
      <x:c r="BS23" s="185"/>
      <x:c r="BT23" s="185"/>
      <x:c r="BU23" s="35"/>
      <x:c r="BV23" s="36"/>
    </x:row>
    <x:row r="24" spans="1:74" ht="22.5" customHeight="1" x14ac:dyDescent="0.25">
      <x:c r="A24" s="132" t="s">
        <x:v>1115</x:v>
      </x:c>
      <x:c r="B24" s="50"/>
      <x:c r="C24" s="157"/>
      <x:c r="D24" s="158"/>
      <x:c r="E24" s="158"/>
      <x:c r="F24" s="158"/>
      <x:c r="G24" s="158"/>
      <x:c r="H24" s="177"/>
      <x:c r="I24" s="33"/>
      <x:c r="J24" s="185"/>
      <x:c r="K24" s="185"/>
      <x:c r="L24" s="185"/>
      <x:c r="M24" s="35"/>
      <x:c r="N24" s="36"/>
      <x:c r="O24" s="33"/>
      <x:c r="P24" s="185"/>
      <x:c r="Q24" s="185"/>
      <x:c r="R24" s="185"/>
      <x:c r="S24" s="35"/>
      <x:c r="T24" s="36"/>
      <x:c r="U24" s="33"/>
      <x:c r="V24" s="185"/>
      <x:c r="W24" s="185"/>
      <x:c r="X24" s="185"/>
      <x:c r="Y24" s="35"/>
      <x:c r="Z24" s="36"/>
      <x:c r="AA24" s="33"/>
      <x:c r="AB24" s="185"/>
      <x:c r="AC24" s="185"/>
      <x:c r="AD24" s="185"/>
      <x:c r="AE24" s="35"/>
      <x:c r="AF24" s="36"/>
      <x:c r="AG24" s="33"/>
      <x:c r="AH24" s="185"/>
      <x:c r="AI24" s="185"/>
      <x:c r="AJ24" s="185"/>
      <x:c r="AK24" s="35"/>
      <x:c r="AL24" s="36"/>
      <x:c r="AM24" s="157"/>
      <x:c r="AN24" s="589"/>
      <x:c r="AO24" s="589"/>
      <x:c r="AP24" s="589"/>
      <x:c r="AQ24" s="589"/>
      <x:c r="AR24" s="599"/>
      <x:c r="AS24" s="157">
        <x:v>100</x:v>
      </x:c>
      <x:c r="AT24" s="158">
        <x:v>100</x:v>
      </x:c>
      <x:c r="AU24" s="158">
        <x:v>100</x:v>
      </x:c>
      <x:c r="AV24" s="158">
        <x:v>100</x:v>
      </x:c>
      <x:c r="AW24" s="230">
        <x:v>100</x:v>
      </x:c>
      <x:c r="AX24" s="585" t="s">
        <x:v>1102</x:v>
      </x:c>
      <x:c r="AY24" s="33"/>
      <x:c r="AZ24" s="185"/>
      <x:c r="BA24" s="185"/>
      <x:c r="BB24" s="185"/>
      <x:c r="BC24" s="35"/>
      <x:c r="BD24" s="36"/>
      <x:c r="BE24" s="33"/>
      <x:c r="BF24" s="185"/>
      <x:c r="BG24" s="185"/>
      <x:c r="BH24" s="185"/>
      <x:c r="BI24" s="35"/>
      <x:c r="BJ24" s="36"/>
      <x:c r="BK24" s="33"/>
      <x:c r="BL24" s="185"/>
      <x:c r="BM24" s="185"/>
      <x:c r="BN24" s="185"/>
      <x:c r="BO24" s="35"/>
      <x:c r="BP24" s="36"/>
      <x:c r="BQ24" s="33"/>
      <x:c r="BR24" s="185"/>
      <x:c r="BS24" s="185"/>
      <x:c r="BT24" s="185"/>
      <x:c r="BU24" s="35"/>
      <x:c r="BV24" s="36"/>
    </x:row>
    <x:row r="25" spans="1:74" ht="22.5" customHeight="1" x14ac:dyDescent="0.25">
      <x:c r="A25" s="32" t="s">
        <x:v>185</x:v>
      </x:c>
      <x:c r="B25" s="50" t="s">
        <x:v>183</x:v>
      </x:c>
      <x:c r="C25" s="157"/>
      <x:c r="D25" s="158"/>
      <x:c r="E25" s="158"/>
      <x:c r="F25" s="158"/>
      <x:c r="G25" s="158"/>
      <x:c r="H25" s="177"/>
      <x:c r="I25" s="33"/>
      <x:c r="J25" s="185"/>
      <x:c r="K25" s="185"/>
      <x:c r="L25" s="185"/>
      <x:c r="M25" s="35"/>
      <x:c r="N25" s="36"/>
      <x:c r="O25" s="33"/>
      <x:c r="P25" s="185"/>
      <x:c r="Q25" s="185"/>
      <x:c r="R25" s="185"/>
      <x:c r="S25" s="35"/>
      <x:c r="T25" s="36"/>
      <x:c r="U25" s="33"/>
      <x:c r="V25" s="185"/>
      <x:c r="W25" s="185"/>
      <x:c r="X25" s="185"/>
      <x:c r="Y25" s="35"/>
      <x:c r="Z25" s="36"/>
      <x:c r="AA25" s="33"/>
      <x:c r="AB25" s="185"/>
      <x:c r="AC25" s="185"/>
      <x:c r="AD25" s="185"/>
      <x:c r="AE25" s="35"/>
      <x:c r="AF25" s="36"/>
      <x:c r="AG25" s="33"/>
      <x:c r="AH25" s="185"/>
      <x:c r="AI25" s="185"/>
      <x:c r="AJ25" s="185"/>
      <x:c r="AK25" s="35"/>
      <x:c r="AL25" s="36"/>
      <x:c r="AM25" s="157">
        <x:v>88.89</x:v>
      </x:c>
      <x:c r="AN25" s="589">
        <x:v>0</x:v>
      </x:c>
      <x:c r="AO25" s="589">
        <x:v>0</x:v>
      </x:c>
      <x:c r="AP25" s="589">
        <x:v>0</x:v>
      </x:c>
      <x:c r="AQ25" s="589">
        <x:v>0</x:v>
      </x:c>
      <x:c r="AR25" s="599" t="s">
        <x:v>1102</x:v>
      </x:c>
      <x:c r="AS25" s="157">
        <x:v>100</x:v>
      </x:c>
      <x:c r="AT25" s="158">
        <x:v>100</x:v>
      </x:c>
      <x:c r="AU25" s="158">
        <x:v>100</x:v>
      </x:c>
      <x:c r="AV25" s="158">
        <x:v>100</x:v>
      </x:c>
      <x:c r="AW25" s="230">
        <x:v>100</x:v>
      </x:c>
      <x:c r="AX25" s="585" t="s">
        <x:v>1102</x:v>
      </x:c>
      <x:c r="AY25" s="33"/>
      <x:c r="AZ25" s="185"/>
      <x:c r="BA25" s="185"/>
      <x:c r="BB25" s="185"/>
      <x:c r="BC25" s="35"/>
      <x:c r="BD25" s="36"/>
      <x:c r="BE25" s="33"/>
      <x:c r="BF25" s="185"/>
      <x:c r="BG25" s="185"/>
      <x:c r="BH25" s="185"/>
      <x:c r="BI25" s="35"/>
      <x:c r="BJ25" s="36"/>
      <x:c r="BK25" s="33"/>
      <x:c r="BL25" s="185"/>
      <x:c r="BM25" s="185"/>
      <x:c r="BN25" s="185"/>
      <x:c r="BO25" s="35"/>
      <x:c r="BP25" s="36"/>
      <x:c r="BQ25" s="33"/>
      <x:c r="BR25" s="185"/>
      <x:c r="BS25" s="185"/>
      <x:c r="BT25" s="185"/>
      <x:c r="BU25" s="35"/>
      <x:c r="BV25" s="36"/>
    </x:row>
    <x:row r="26" spans="1:74" ht="22.5" customHeight="1" x14ac:dyDescent="0.25">
      <x:c r="A26" s="32" t="s">
        <x:v>167</x:v>
      </x:c>
      <x:c r="B26" s="50" t="s">
        <x:v>16</x:v>
      </x:c>
      <x:c r="C26" s="157"/>
      <x:c r="D26" s="158"/>
      <x:c r="E26" s="158"/>
      <x:c r="F26" s="158"/>
      <x:c r="G26" s="158"/>
      <x:c r="H26" s="177"/>
      <x:c r="I26" s="33"/>
      <x:c r="J26" s="185"/>
      <x:c r="K26" s="185"/>
      <x:c r="L26" s="185"/>
      <x:c r="M26" s="35"/>
      <x:c r="N26" s="36"/>
      <x:c r="O26" s="33"/>
      <x:c r="P26" s="185"/>
      <x:c r="Q26" s="185"/>
      <x:c r="R26" s="185"/>
      <x:c r="S26" s="35"/>
      <x:c r="T26" s="36"/>
      <x:c r="U26" s="33"/>
      <x:c r="V26" s="185"/>
      <x:c r="W26" s="185"/>
      <x:c r="X26" s="185"/>
      <x:c r="Y26" s="35"/>
      <x:c r="Z26" s="36"/>
      <x:c r="AA26" s="33"/>
      <x:c r="AB26" s="185"/>
      <x:c r="AC26" s="185"/>
      <x:c r="AD26" s="185"/>
      <x:c r="AE26" s="35"/>
      <x:c r="AF26" s="36"/>
      <x:c r="AG26" s="33"/>
      <x:c r="AH26" s="185"/>
      <x:c r="AI26" s="185"/>
      <x:c r="AJ26" s="185"/>
      <x:c r="AK26" s="35"/>
      <x:c r="AL26" s="36"/>
      <x:c r="AM26" s="157">
        <x:v>100</x:v>
      </x:c>
      <x:c r="AN26" s="158">
        <x:v>100</x:v>
      </x:c>
      <x:c r="AO26" s="158">
        <x:v>66.67</x:v>
      </x:c>
      <x:c r="AP26" s="589">
        <x:v>0</x:v>
      </x:c>
      <x:c r="AQ26" s="589">
        <x:v>0</x:v>
      </x:c>
      <x:c r="AR26" s="599" t="s">
        <x:v>1102</x:v>
      </x:c>
      <x:c r="AS26" s="157">
        <x:v>100</x:v>
      </x:c>
      <x:c r="AT26" s="158">
        <x:v>100</x:v>
      </x:c>
      <x:c r="AU26" s="158">
        <x:v>100</x:v>
      </x:c>
      <x:c r="AV26" s="158">
        <x:v>100</x:v>
      </x:c>
      <x:c r="AW26" s="230">
        <x:v>100</x:v>
      </x:c>
      <x:c r="AX26" s="585" t="s">
        <x:v>1102</x:v>
      </x:c>
      <x:c r="AY26" s="33"/>
      <x:c r="AZ26" s="185"/>
      <x:c r="BA26" s="185"/>
      <x:c r="BB26" s="185"/>
      <x:c r="BC26" s="35"/>
      <x:c r="BD26" s="36"/>
      <x:c r="BE26" s="33"/>
      <x:c r="BF26" s="185"/>
      <x:c r="BG26" s="185"/>
      <x:c r="BH26" s="185"/>
      <x:c r="BI26" s="35"/>
      <x:c r="BJ26" s="36"/>
      <x:c r="BK26" s="33"/>
      <x:c r="BL26" s="185"/>
      <x:c r="BM26" s="185"/>
      <x:c r="BN26" s="185"/>
      <x:c r="BO26" s="35"/>
      <x:c r="BP26" s="36"/>
      <x:c r="BQ26" s="33"/>
      <x:c r="BR26" s="185"/>
      <x:c r="BS26" s="185"/>
      <x:c r="BT26" s="185"/>
      <x:c r="BU26" s="35"/>
      <x:c r="BV26" s="36"/>
    </x:row>
    <x:row r="27" spans="1:74" ht="22.5" customHeight="1" x14ac:dyDescent="0.25">
      <x:c r="A27" s="32" t="s">
        <x:v>169</x:v>
      </x:c>
      <x:c r="B27" s="50" t="s">
        <x:v>16</x:v>
      </x:c>
      <x:c r="C27" s="157"/>
      <x:c r="D27" s="158"/>
      <x:c r="E27" s="158"/>
      <x:c r="F27" s="158"/>
      <x:c r="G27" s="158"/>
      <x:c r="H27" s="177"/>
      <x:c r="I27" s="33"/>
      <x:c r="J27" s="185"/>
      <x:c r="K27" s="185"/>
      <x:c r="L27" s="185"/>
      <x:c r="M27" s="35"/>
      <x:c r="N27" s="36"/>
      <x:c r="O27" s="33"/>
      <x:c r="P27" s="185"/>
      <x:c r="Q27" s="185"/>
      <x:c r="R27" s="185"/>
      <x:c r="S27" s="35"/>
      <x:c r="T27" s="36"/>
      <x:c r="U27" s="33"/>
      <x:c r="V27" s="185"/>
      <x:c r="W27" s="185"/>
      <x:c r="X27" s="185"/>
      <x:c r="Y27" s="35"/>
      <x:c r="Z27" s="36"/>
      <x:c r="AA27" s="33"/>
      <x:c r="AB27" s="185"/>
      <x:c r="AC27" s="185"/>
      <x:c r="AD27" s="185"/>
      <x:c r="AE27" s="35"/>
      <x:c r="AF27" s="36"/>
      <x:c r="AG27" s="33"/>
      <x:c r="AH27" s="185"/>
      <x:c r="AI27" s="185"/>
      <x:c r="AJ27" s="185"/>
      <x:c r="AK27" s="35"/>
      <x:c r="AL27" s="36"/>
      <x:c r="AM27" s="157">
        <x:v>100</x:v>
      </x:c>
      <x:c r="AN27" s="158">
        <x:v>100</x:v>
      </x:c>
      <x:c r="AO27" s="589">
        <x:v>0</x:v>
      </x:c>
      <x:c r="AP27" s="589">
        <x:v>0</x:v>
      </x:c>
      <x:c r="AQ27" s="589">
        <x:v>0</x:v>
      </x:c>
      <x:c r="AR27" s="599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230">
        <x:v>100</x:v>
      </x:c>
      <x:c r="AX27" s="585" t="s">
        <x:v>1102</x:v>
      </x:c>
      <x:c r="AY27" s="33"/>
      <x:c r="AZ27" s="185"/>
      <x:c r="BA27" s="185"/>
      <x:c r="BB27" s="185"/>
      <x:c r="BC27" s="35"/>
      <x:c r="BD27" s="36"/>
      <x:c r="BE27" s="33"/>
      <x:c r="BF27" s="185"/>
      <x:c r="BG27" s="185"/>
      <x:c r="BH27" s="185"/>
      <x:c r="BI27" s="35"/>
      <x:c r="BJ27" s="36"/>
      <x:c r="BK27" s="33"/>
      <x:c r="BL27" s="185"/>
      <x:c r="BM27" s="185"/>
      <x:c r="BN27" s="185"/>
      <x:c r="BO27" s="35"/>
      <x:c r="BP27" s="36"/>
      <x:c r="BQ27" s="33"/>
      <x:c r="BR27" s="185"/>
      <x:c r="BS27" s="185"/>
      <x:c r="BT27" s="185"/>
      <x:c r="BU27" s="35"/>
      <x:c r="BV27" s="36"/>
    </x:row>
    <x:row r="28" spans="1:74" ht="22.5" customHeight="1" x14ac:dyDescent="0.3">
      <x:c r="A28" s="32" t="s">
        <x:v>187</x:v>
      </x:c>
      <x:c r="B28" s="50" t="s">
        <x:v>37</x:v>
      </x:c>
      <x:c r="C28" s="157"/>
      <x:c r="D28" s="158"/>
      <x:c r="E28" s="158"/>
      <x:c r="F28" s="158"/>
      <x:c r="G28" s="158"/>
      <x:c r="H28" s="177"/>
      <x:c r="I28" s="33"/>
      <x:c r="J28" s="185"/>
      <x:c r="K28" s="185"/>
      <x:c r="L28" s="185"/>
      <x:c r="M28" s="35"/>
      <x:c r="N28" s="36"/>
      <x:c r="O28" s="33"/>
      <x:c r="P28" s="185"/>
      <x:c r="Q28" s="185"/>
      <x:c r="R28" s="185"/>
      <x:c r="S28" s="35"/>
      <x:c r="T28" s="36"/>
      <x:c r="U28" s="33"/>
      <x:c r="V28" s="185"/>
      <x:c r="W28" s="185"/>
      <x:c r="X28" s="185"/>
      <x:c r="Y28" s="35"/>
      <x:c r="Z28" s="36"/>
      <x:c r="AA28" s="33"/>
      <x:c r="AB28" s="185"/>
      <x:c r="AC28" s="185"/>
      <x:c r="AD28" s="185"/>
      <x:c r="AE28" s="35"/>
      <x:c r="AF28" s="36"/>
      <x:c r="AG28" s="33"/>
      <x:c r="AH28" s="185"/>
      <x:c r="AI28" s="185"/>
      <x:c r="AJ28" s="185"/>
      <x:c r="AK28" s="35"/>
      <x:c r="AL28" s="36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599" t="s">
        <x:v>1102</x:v>
      </x:c>
      <x:c r="AS28" s="157">
        <x:v>100</x:v>
      </x:c>
      <x:c r="AT28" s="158">
        <x:v>100</x:v>
      </x:c>
      <x:c r="AU28" s="158">
        <x:v>100</x:v>
      </x:c>
      <x:c r="AV28" s="158">
        <x:v>100</x:v>
      </x:c>
      <x:c r="AW28" s="230">
        <x:v>100</x:v>
      </x:c>
      <x:c r="AX28" s="585" t="s">
        <x:v>1102</x:v>
      </x:c>
      <x:c r="AY28" s="33"/>
      <x:c r="AZ28" s="185"/>
      <x:c r="BA28" s="185"/>
      <x:c r="BB28" s="185"/>
      <x:c r="BC28" s="35"/>
      <x:c r="BD28" s="36"/>
      <x:c r="BE28" s="33"/>
      <x:c r="BF28" s="185"/>
      <x:c r="BG28" s="185"/>
      <x:c r="BH28" s="185"/>
      <x:c r="BI28" s="35"/>
      <x:c r="BJ28" s="36"/>
      <x:c r="BK28" s="33"/>
      <x:c r="BL28" s="185"/>
      <x:c r="BM28" s="185"/>
      <x:c r="BN28" s="185"/>
      <x:c r="BO28" s="35"/>
      <x:c r="BP28" s="36"/>
      <x:c r="BQ28" s="33"/>
      <x:c r="BR28" s="185"/>
      <x:c r="BS28" s="185"/>
      <x:c r="BT28" s="185"/>
      <x:c r="BU28" s="35"/>
      <x:c r="BV28" s="36"/>
    </x:row>
    <x:row r="29" spans="1:74" ht="22.5" customHeight="1" x14ac:dyDescent="0.25">
      <x:c r="A29" s="37" t="s">
        <x:v>177</x:v>
      </x:c>
      <x:c r="B29" s="51" t="s">
        <x:v>23</x:v>
      </x:c>
      <x:c r="C29" s="160"/>
      <x:c r="D29" s="161"/>
      <x:c r="E29" s="161"/>
      <x:c r="F29" s="161"/>
      <x:c r="G29" s="161"/>
      <x:c r="H29" s="219"/>
      <x:c r="I29" s="38"/>
      <x:c r="J29" s="39"/>
      <x:c r="K29" s="39"/>
      <x:c r="L29" s="39"/>
      <x:c r="M29" s="41"/>
      <x:c r="N29" s="42"/>
      <x:c r="O29" s="38"/>
      <x:c r="P29" s="39"/>
      <x:c r="Q29" s="39"/>
      <x:c r="R29" s="39"/>
      <x:c r="S29" s="41"/>
      <x:c r="T29" s="42"/>
      <x:c r="U29" s="38"/>
      <x:c r="V29" s="39"/>
      <x:c r="W29" s="39"/>
      <x:c r="X29" s="39"/>
      <x:c r="Y29" s="41"/>
      <x:c r="Z29" s="42"/>
      <x:c r="AA29" s="38"/>
      <x:c r="AB29" s="39"/>
      <x:c r="AC29" s="39"/>
      <x:c r="AD29" s="39"/>
      <x:c r="AE29" s="41"/>
      <x:c r="AF29" s="42"/>
      <x:c r="AG29" s="38"/>
      <x:c r="AH29" s="39"/>
      <x:c r="AI29" s="39"/>
      <x:c r="AJ29" s="39"/>
      <x:c r="AK29" s="41"/>
      <x:c r="AL29" s="42"/>
      <x:c r="AM29" s="160">
        <x:v>56.52</x:v>
      </x:c>
      <x:c r="AN29" s="161">
        <x:v>15.94</x:v>
      </x:c>
      <x:c r="AO29" s="613">
        <x:v>0</x:v>
      </x:c>
      <x:c r="AP29" s="613">
        <x:v>0</x:v>
      </x:c>
      <x:c r="AQ29" s="613">
        <x:v>0</x:v>
      </x:c>
      <x:c r="AR29" s="626" t="s">
        <x:v>1102</x:v>
      </x:c>
      <x:c r="AS29" s="160">
        <x:v>100</x:v>
      </x:c>
      <x:c r="AT29" s="161">
        <x:v>100</x:v>
      </x:c>
      <x:c r="AU29" s="161">
        <x:v>100</x:v>
      </x:c>
      <x:c r="AV29" s="161">
        <x:v>100</x:v>
      </x:c>
      <x:c r="AW29" s="237">
        <x:v>100</x:v>
      </x:c>
      <x:c r="AX29" s="594" t="s">
        <x:v>1102</x:v>
      </x:c>
      <x:c r="AY29" s="38"/>
      <x:c r="AZ29" s="39"/>
      <x:c r="BA29" s="39"/>
      <x:c r="BB29" s="39"/>
      <x:c r="BC29" s="41"/>
      <x:c r="BD29" s="42"/>
      <x:c r="BE29" s="38"/>
      <x:c r="BF29" s="39"/>
      <x:c r="BG29" s="39"/>
      <x:c r="BH29" s="39"/>
      <x:c r="BI29" s="41"/>
      <x:c r="BJ29" s="42"/>
      <x:c r="BK29" s="38"/>
      <x:c r="BL29" s="39"/>
      <x:c r="BM29" s="39"/>
      <x:c r="BN29" s="39"/>
      <x:c r="BO29" s="41"/>
      <x:c r="BP29" s="42"/>
      <x:c r="BQ29" s="38"/>
      <x:c r="BR29" s="39"/>
      <x:c r="BS29" s="39"/>
      <x:c r="BT29" s="39"/>
      <x:c r="BU29" s="41"/>
      <x:c r="BV29" s="42"/>
    </x:row>
    <x:row r="30" spans="1:74" x14ac:dyDescent="0.25">
      <x:c r="C30" s="491">
        <x:f>SUMPRODUCT((C3:C29&gt;=10)*(D3:D29&gt;=10)*(E3:E29&gt;=10)*(F3:F29&gt;=10)*(G3:G29&gt;=10))</x:f>
      </x:c>
      <x:c r="D30" s="506"/>
      <x:c r="E30" s="506"/>
      <x:c r="F30" s="506"/>
      <x:c r="G30" s="506"/>
      <x:c r="H30" s="227">
        <x:f>COUNTIF(H3:H29,"Да")</x:f>
      </x:c>
      <x:c r="I30" s="491">
        <x:f>SUMPRODUCT((I3:I29&gt;=10)*(J3:J29&gt;=10)*(K3:K29&gt;=10)*(L3:L29&gt;=10)*(M3:M29&gt;=10))</x:f>
      </x:c>
      <x:c r="J30" s="506"/>
      <x:c r="K30" s="506"/>
      <x:c r="L30" s="506"/>
      <x:c r="M30" s="506"/>
      <x:c r="N30" s="227">
        <x:f>COUNTIF(N3:N29,"Да")</x:f>
      </x:c>
      <x:c r="O30" s="491">
        <x:f>SUMPRODUCT((O3:O29&gt;=10)*(P3:P29&gt;=10)*(Q3:Q29&gt;=10)*(R3:R29&gt;=10)*(S3:S29&gt;=10))</x:f>
      </x:c>
      <x:c r="P30" s="506"/>
      <x:c r="Q30" s="506"/>
      <x:c r="R30" s="506"/>
      <x:c r="S30" s="506"/>
      <x:c r="T30" s="227">
        <x:f>COUNTIF(T3:T29,"Да")</x:f>
      </x:c>
      <x:c r="U30" s="491">
        <x:f>SUMPRODUCT((U3:U29&gt;=10)*(V3:V29&gt;=10)*(W3:W29&gt;=10)*(X3:X29&gt;=10)*(Y3:Y29&gt;=10))</x:f>
      </x:c>
      <x:c r="V30" s="506"/>
      <x:c r="W30" s="506"/>
      <x:c r="X30" s="506"/>
      <x:c r="Y30" s="506"/>
      <x:c r="Z30" s="227">
        <x:f>COUNTIF(Z3:Z29,"Да")</x:f>
      </x:c>
      <x:c r="AA30" s="491">
        <x:f>SUMPRODUCT((AA3:AA29&gt;=10)*(AB3:AB29&gt;=10)*(AC3:AC29&gt;=10)*(AD3:AD29&gt;=10)*(AE3:AE29&gt;=10))</x:f>
      </x:c>
      <x:c r="AB30" s="506"/>
      <x:c r="AC30" s="506"/>
      <x:c r="AD30" s="506"/>
      <x:c r="AE30" s="506"/>
      <x:c r="AF30" s="227">
        <x:f>COUNTIF(AF3:AF29,"Да")</x:f>
      </x:c>
      <x:c r="AG30" s="491">
        <x:f>SUMPRODUCT((AG3:AG29&gt;=10)*(AH3:AH29&gt;=10)*(AI3:AI29&gt;=10)*(AJ3:AJ29&gt;=10)*(AK3:AK29&gt;=10))</x:f>
      </x:c>
      <x:c r="AH30" s="506"/>
      <x:c r="AI30" s="506"/>
      <x:c r="AJ30" s="506"/>
      <x:c r="AK30" s="506"/>
      <x:c r="AL30" s="227">
        <x:f>COUNTIF(AL3:AL29,"Да")</x:f>
      </x:c>
      <x:c r="AM30" s="491">
        <x:f>SUMPRODUCT((AM3:AM29&gt;=10)*(AN3:AN29&gt;=10)*(AO3:AO29&gt;=10)*(AP3:AP29&gt;=10)*(AQ3:AQ29&gt;=10))</x:f>
      </x:c>
      <x:c r="AN30" s="506"/>
      <x:c r="AO30" s="506"/>
      <x:c r="AP30" s="506"/>
      <x:c r="AQ30" s="506"/>
      <x:c r="AR30" s="227">
        <x:f>COUNTIF(AR3:AR29,"Да")</x:f>
      </x:c>
      <x:c r="AS30" s="491">
        <x:f>SUMPRODUCT((AS3:AS29&gt;=10)*(AT3:AT29&gt;=10)*(AU3:AU29&gt;=10)*(AV3:AV29&gt;=10)*(AW3:AW29&gt;=10))</x:f>
      </x:c>
      <x:c r="AT30" s="506"/>
      <x:c r="AU30" s="506"/>
      <x:c r="AV30" s="506"/>
      <x:c r="AW30" s="506"/>
      <x:c r="AX30" s="227">
        <x:f>COUNTIF(AX3:AX29,"Да")</x:f>
      </x:c>
      <x:c r="AY30" s="491">
        <x:f>SUMPRODUCT((AY3:AY29&gt;=10)*(AZ3:AZ29&gt;=10)*(BA3:BA29&gt;=10)*(BB3:BB29&gt;=10)*(BC3:BC29&gt;=10))</x:f>
      </x:c>
      <x:c r="AZ30" s="506"/>
      <x:c r="BA30" s="506"/>
      <x:c r="BB30" s="506"/>
      <x:c r="BC30" s="506"/>
      <x:c r="BD30" s="227">
        <x:f>COUNTIF(BD3:BD29,"Да")</x:f>
      </x:c>
      <x:c r="BE30" s="491">
        <x:f>SUMPRODUCT((BE3:BE29&gt;=10)*(BF3:BF29&gt;=10)*(BG3:BG29&gt;=10)*(BH3:BH29&gt;=10)*(BI3:BI29&gt;=10))</x:f>
      </x:c>
      <x:c r="BF30" s="506"/>
      <x:c r="BG30" s="506"/>
      <x:c r="BH30" s="506"/>
      <x:c r="BI30" s="506"/>
      <x:c r="BJ30" s="227">
        <x:f>COUNTIF(BJ3:BJ29,"Да")</x:f>
      </x:c>
      <x:c r="BK30" s="491">
        <x:f>SUMPRODUCT((BK3:BK29&gt;=10)*(BL3:BL29&gt;=10)*(BM3:BM29&gt;=10)*(BN3:BN29&gt;=10)*(BO3:BO29&gt;=10))</x:f>
      </x:c>
      <x:c r="BL30" s="506"/>
      <x:c r="BM30" s="506"/>
      <x:c r="BN30" s="506"/>
      <x:c r="BO30" s="506"/>
      <x:c r="BP30" s="227">
        <x:f>COUNTIF(BP3:BP29,"Да")</x:f>
      </x:c>
      <x:c r="BQ30" s="491">
        <x:f>SUMPRODUCT((BQ3:BQ29&gt;=10)*(BR3:BR29&gt;=10)*(BS3:BS29&gt;=10)*(BT3:BT29&gt;=10)*(BU3:BU29&gt;=10))</x:f>
      </x:c>
      <x:c r="BR30" s="506"/>
      <x:c r="BS30" s="506"/>
      <x:c r="BT30" s="506"/>
      <x:c r="BU30" s="506"/>
      <x:c r="BV30" s="227">
        <x:f>COUNTIF(BV3:BV29,"Да")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30:G30"/>
    <x:mergeCell ref="I30:M30"/>
    <x:mergeCell ref="O30:S30"/>
    <x:mergeCell ref="U30:Y30"/>
    <x:mergeCell ref="AA30:AE30"/>
    <x:mergeCell ref="AG30:AK30"/>
    <x:mergeCell ref="AM30:AQ30"/>
    <x:mergeCell ref="AS30:AW30"/>
    <x:mergeCell ref="AY30:BC30"/>
    <x:mergeCell ref="BE30:BI30"/>
    <x:mergeCell ref="BK30:BO30"/>
    <x:mergeCell ref="BQ30:BU30"/>
  </x:mergeCells>
  <x:conditionalFormatting sqref="C3:BV29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28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BV25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0" style="0" customWidth="1"/>
    <x:col min="2" max="2" width="26" style="0" customWidth="1"/>
    <x:col min="3" max="74" width="9.140625" style="0" customWidth="1"/>
  </x:cols>
  <x:sheetData>
    <x:row r="1" spans="1:74" ht="28.5" customHeight="1" x14ac:dyDescent="0.3">
      <x:c r="A1" s="22" t="s">
        <x:v>1073</x:v>
      </x:c>
      <x:c r="B1" s="507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186">
        <x:v>1</x:v>
      </x:c>
      <x:c r="D2" s="187">
        <x:v>2</x:v>
      </x:c>
      <x:c r="E2" s="187">
        <x:v>3</x:v>
      </x:c>
      <x:c r="F2" s="187">
        <x:v>4</x:v>
      </x:c>
      <x:c r="G2" s="187">
        <x:v>5</x:v>
      </x:c>
      <x:c r="H2" s="205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658</x:v>
      </x:c>
      <x:c r="B3" s="53" t="s">
        <x:v>21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3" t="s">
        <x:v>663</x:v>
      </x:c>
      <x:c r="B4" s="57" t="s">
        <x:v>23</x:v>
      </x:c>
      <x:c r="C4" s="175"/>
      <x:c r="D4" s="158"/>
      <x:c r="E4" s="158"/>
      <x:c r="F4" s="158"/>
      <x:c r="G4" s="158"/>
      <x:c r="H4" s="197"/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662</x:v>
      </x:c>
      <x:c r="B5" s="57" t="s">
        <x:v>23</x:v>
      </x:c>
      <x:c r="C5" s="175"/>
      <x:c r="D5" s="158"/>
      <x:c r="E5" s="158"/>
      <x:c r="F5" s="158"/>
      <x:c r="G5" s="158"/>
      <x:c r="H5" s="197"/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3" t="s">
        <x:v>660</x:v>
      </x:c>
      <x:c r="B6" s="57" t="s">
        <x:v>23</x:v>
      </x:c>
      <x:c r="C6" s="175"/>
      <x:c r="D6" s="158"/>
      <x:c r="E6" s="158"/>
      <x:c r="F6" s="158"/>
      <x:c r="G6" s="158"/>
      <x:c r="H6" s="197"/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3" t="s">
        <x:v>668</x:v>
      </x:c>
      <x:c r="B7" s="57" t="s">
        <x:v>23</x:v>
      </x:c>
      <x:c r="C7" s="175"/>
      <x:c r="D7" s="158"/>
      <x:c r="E7" s="158"/>
      <x:c r="F7" s="158"/>
      <x:c r="G7" s="158"/>
      <x:c r="H7" s="197"/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3" t="s">
        <x:v>657</x:v>
      </x:c>
      <x:c r="B8" s="57" t="s">
        <x:v>16</x:v>
      </x:c>
      <x:c r="C8" s="175"/>
      <x:c r="D8" s="158"/>
      <x:c r="E8" s="158"/>
      <x:c r="F8" s="158"/>
      <x:c r="G8" s="158"/>
      <x:c r="H8" s="197"/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3" t="s">
        <x:v>670</x:v>
      </x:c>
      <x:c r="B9" s="57" t="s">
        <x:v>23</x:v>
      </x:c>
      <x:c r="C9" s="175"/>
      <x:c r="D9" s="158"/>
      <x:c r="E9" s="158"/>
      <x:c r="F9" s="158"/>
      <x:c r="G9" s="158"/>
      <x:c r="H9" s="197"/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605" t="s">
        <x:v>674</x:v>
      </x:c>
      <x:c r="B10" s="57" t="s">
        <x:v>37</x:v>
      </x:c>
      <x:c r="C10" s="175"/>
      <x:c r="D10" s="158"/>
      <x:c r="E10" s="158"/>
      <x:c r="F10" s="158"/>
      <x:c r="G10" s="158"/>
      <x:c r="H10" s="197"/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617">
        <x:v>0</x:v>
      </x:c>
      <x:c r="AT10" s="589">
        <x:v>0</x:v>
      </x:c>
      <x:c r="AU10" s="589">
        <x:v>0</x:v>
      </x:c>
      <x:c r="AV10" s="589">
        <x:v>0</x:v>
      </x:c>
      <x:c r="AW10" s="589">
        <x:v>0</x:v>
      </x:c>
      <x:c r="AX10" s="591" t="s">
        <x:v>1103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3" t="s">
        <x:v>661</x:v>
      </x:c>
      <x:c r="B11" s="57" t="s">
        <x:v>23</x:v>
      </x:c>
      <x:c r="C11" s="175"/>
      <x:c r="D11" s="158"/>
      <x:c r="E11" s="158"/>
      <x:c r="F11" s="158"/>
      <x:c r="G11" s="158"/>
      <x:c r="H11" s="197"/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3" t="s">
        <x:v>669</x:v>
      </x:c>
      <x:c r="B12" s="57" t="s">
        <x:v>23</x:v>
      </x:c>
      <x:c r="C12" s="175"/>
      <x:c r="D12" s="158"/>
      <x:c r="E12" s="158"/>
      <x:c r="F12" s="158"/>
      <x:c r="G12" s="158"/>
      <x:c r="H12" s="197"/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3" t="s">
        <x:v>652</x:v>
      </x:c>
      <x:c r="B13" s="629" t="s">
        <x:v>14</x:v>
      </x:c>
      <x:c r="C13" s="175"/>
      <x:c r="D13" s="158"/>
      <x:c r="E13" s="158"/>
      <x:c r="F13" s="158"/>
      <x:c r="G13" s="158"/>
      <x:c r="H13" s="197"/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630" t="s">
        <x:v>654</x:v>
      </x:c>
      <x:c r="B14" s="57" t="s">
        <x:v>16</x:v>
      </x:c>
      <x:c r="C14" s="184"/>
      <x:c r="D14" s="185"/>
      <x:c r="E14" s="185"/>
      <x:c r="F14" s="185"/>
      <x:c r="G14" s="185"/>
      <x:c r="H14" s="197"/>
      <x:c r="I14" s="167"/>
      <x:c r="J14" s="185"/>
      <x:c r="K14" s="185"/>
      <x:c r="L14" s="185"/>
      <x:c r="M14" s="185"/>
      <x:c r="N14" s="36"/>
      <x:c r="O14" s="167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616" t="s">
        <x:v>1116</x:v>
      </x:c>
      <x:c r="AN14" s="478"/>
      <x:c r="AO14" s="478"/>
      <x:c r="AP14" s="478"/>
      <x:c r="AQ14" s="221"/>
      <x:c r="AR14" s="591" t="s">
        <x:v>1103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3" t="s">
        <x:v>664</x:v>
      </x:c>
      <x:c r="B15" s="57" t="s">
        <x:v>23</x:v>
      </x:c>
      <x:c r="C15" s="175"/>
      <x:c r="D15" s="158"/>
      <x:c r="E15" s="158"/>
      <x:c r="F15" s="158"/>
      <x:c r="G15" s="158"/>
      <x:c r="H15" s="197"/>
      <x:c r="I15" s="167"/>
      <x:c r="J15" s="185"/>
      <x:c r="K15" s="185"/>
      <x:c r="L15" s="185"/>
      <x:c r="M15" s="185"/>
      <x:c r="N15" s="36"/>
      <x:c r="O15" s="167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605" t="s">
        <x:v>673</x:v>
      </x:c>
      <x:c r="B16" s="57" t="s">
        <x:v>37</x:v>
      </x:c>
      <x:c r="C16" s="175"/>
      <x:c r="D16" s="158"/>
      <x:c r="E16" s="158"/>
      <x:c r="F16" s="158"/>
      <x:c r="G16" s="158"/>
      <x:c r="H16" s="197"/>
      <x:c r="I16" s="167"/>
      <x:c r="J16" s="185"/>
      <x:c r="K16" s="185"/>
      <x:c r="L16" s="185"/>
      <x:c r="M16" s="185"/>
      <x:c r="N16" s="36"/>
      <x:c r="O16" s="167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588">
        <x:v>0</x:v>
      </x:c>
      <x:c r="AN16" s="589">
        <x:v>0</x:v>
      </x:c>
      <x:c r="AO16" s="589">
        <x:v>0</x:v>
      </x:c>
      <x:c r="AP16" s="589">
        <x:v>0</x:v>
      </x:c>
      <x:c r="AQ16" s="589">
        <x:v>0</x:v>
      </x:c>
      <x:c r="AR16" s="591" t="s">
        <x:v>1103</x:v>
      </x:c>
      <x:c r="AS16" s="617">
        <x:v>0</x:v>
      </x:c>
      <x:c r="AT16" s="589">
        <x:v>0</x:v>
      </x:c>
      <x:c r="AU16" s="589">
        <x:v>0</x:v>
      </x:c>
      <x:c r="AV16" s="589">
        <x:v>0</x:v>
      </x:c>
      <x:c r="AW16" s="589">
        <x:v>0</x:v>
      </x:c>
      <x:c r="AX16" s="591" t="s">
        <x:v>1103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22.5" customHeight="1" x14ac:dyDescent="0.25">
      <x:c r="A17" s="3" t="s">
        <x:v>659</x:v>
      </x:c>
      <x:c r="B17" s="57" t="s">
        <x:v>23</x:v>
      </x:c>
      <x:c r="C17" s="175"/>
      <x:c r="D17" s="158"/>
      <x:c r="E17" s="158"/>
      <x:c r="F17" s="158"/>
      <x:c r="G17" s="158"/>
      <x:c r="H17" s="197"/>
      <x:c r="I17" s="167"/>
      <x:c r="J17" s="185"/>
      <x:c r="K17" s="185"/>
      <x:c r="L17" s="185"/>
      <x:c r="M17" s="185"/>
      <x:c r="N17" s="36"/>
      <x:c r="O17" s="167"/>
      <x:c r="P17" s="185"/>
      <x:c r="Q17" s="185"/>
      <x:c r="R17" s="185"/>
      <x:c r="S17" s="185"/>
      <x:c r="T17" s="36"/>
      <x:c r="U17" s="167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22.5" customHeight="1" x14ac:dyDescent="0.25">
      <x:c r="A18" s="3" t="s">
        <x:v>672</x:v>
      </x:c>
      <x:c r="B18" s="57" t="s">
        <x:v>37</x:v>
      </x:c>
      <x:c r="C18" s="175"/>
      <x:c r="D18" s="158"/>
      <x:c r="E18" s="158"/>
      <x:c r="F18" s="158"/>
      <x:c r="G18" s="158"/>
      <x:c r="H18" s="197"/>
      <x:c r="I18" s="167"/>
      <x:c r="J18" s="185"/>
      <x:c r="K18" s="185"/>
      <x:c r="L18" s="185"/>
      <x:c r="M18" s="185"/>
      <x:c r="N18" s="36"/>
      <x:c r="O18" s="167"/>
      <x:c r="P18" s="185"/>
      <x:c r="Q18" s="185"/>
      <x:c r="R18" s="185"/>
      <x:c r="S18" s="185"/>
      <x:c r="T18" s="36"/>
      <x:c r="U18" s="167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620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158">
        <x:v>100</x:v>
      </x:c>
      <x:c r="AX18" s="585" t="s">
        <x:v>1102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ht="22.5" customHeight="1" x14ac:dyDescent="0.25">
      <x:c r="A19" s="3" t="s">
        <x:v>667</x:v>
      </x:c>
      <x:c r="B19" s="57" t="s">
        <x:v>23</x:v>
      </x:c>
      <x:c r="C19" s="175"/>
      <x:c r="D19" s="158"/>
      <x:c r="E19" s="158"/>
      <x:c r="F19" s="158"/>
      <x:c r="G19" s="158"/>
      <x:c r="H19" s="197"/>
      <x:c r="I19" s="167"/>
      <x:c r="J19" s="185"/>
      <x:c r="K19" s="185"/>
      <x:c r="L19" s="185"/>
      <x:c r="M19" s="185"/>
      <x:c r="N19" s="36"/>
      <x:c r="O19" s="167"/>
      <x:c r="P19" s="185"/>
      <x:c r="Q19" s="185"/>
      <x:c r="R19" s="185"/>
      <x:c r="S19" s="185"/>
      <x:c r="T19" s="36"/>
      <x:c r="U19" s="167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ht="22.5" customHeight="1" x14ac:dyDescent="0.25">
      <x:c r="A20" s="3" t="s">
        <x:v>656</x:v>
      </x:c>
      <x:c r="B20" s="57" t="s">
        <x:v>16</x:v>
      </x:c>
      <x:c r="C20" s="175"/>
      <x:c r="D20" s="158"/>
      <x:c r="E20" s="158"/>
      <x:c r="F20" s="158"/>
      <x:c r="G20" s="158"/>
      <x:c r="H20" s="197"/>
      <x:c r="I20" s="167"/>
      <x:c r="J20" s="185"/>
      <x:c r="K20" s="185"/>
      <x:c r="L20" s="185"/>
      <x:c r="M20" s="185"/>
      <x:c r="N20" s="36"/>
      <x:c r="O20" s="167"/>
      <x:c r="P20" s="185"/>
      <x:c r="Q20" s="185"/>
      <x:c r="R20" s="185"/>
      <x:c r="S20" s="185"/>
      <x:c r="T20" s="36"/>
      <x:c r="U20" s="167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620" t="s">
        <x:v>1102</x:v>
      </x:c>
      <x:c r="AS20" s="175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ht="22.5" customHeight="1" x14ac:dyDescent="0.25">
      <x:c r="A21" s="3" t="s">
        <x:v>671</x:v>
      </x:c>
      <x:c r="B21" s="57" t="s">
        <x:v>37</x:v>
      </x:c>
      <x:c r="C21" s="175"/>
      <x:c r="D21" s="158"/>
      <x:c r="E21" s="158"/>
      <x:c r="F21" s="158"/>
      <x:c r="G21" s="158"/>
      <x:c r="H21" s="197"/>
      <x:c r="I21" s="167"/>
      <x:c r="J21" s="185"/>
      <x:c r="K21" s="185"/>
      <x:c r="L21" s="185"/>
      <x:c r="M21" s="185"/>
      <x:c r="N21" s="36"/>
      <x:c r="O21" s="167"/>
      <x:c r="P21" s="185"/>
      <x:c r="Q21" s="185"/>
      <x:c r="R21" s="185"/>
      <x:c r="S21" s="185"/>
      <x:c r="T21" s="36"/>
      <x:c r="U21" s="167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75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ht="22.5" customHeight="1" x14ac:dyDescent="0.25">
      <x:c r="A22" s="3" t="s">
        <x:v>655</x:v>
      </x:c>
      <x:c r="B22" s="57" t="s">
        <x:v>16</x:v>
      </x:c>
      <x:c r="C22" s="175"/>
      <x:c r="D22" s="158"/>
      <x:c r="E22" s="158"/>
      <x:c r="F22" s="158"/>
      <x:c r="G22" s="158"/>
      <x:c r="H22" s="197"/>
      <x:c r="I22" s="167"/>
      <x:c r="J22" s="185"/>
      <x:c r="K22" s="185"/>
      <x:c r="L22" s="185"/>
      <x:c r="M22" s="185"/>
      <x:c r="N22" s="36"/>
      <x:c r="O22" s="167"/>
      <x:c r="P22" s="185"/>
      <x:c r="Q22" s="185"/>
      <x:c r="R22" s="185"/>
      <x:c r="S22" s="185"/>
      <x:c r="T22" s="36"/>
      <x:c r="U22" s="167"/>
      <x:c r="V22" s="185"/>
      <x:c r="W22" s="185"/>
      <x:c r="X22" s="185"/>
      <x:c r="Y22" s="185"/>
      <x:c r="Z22" s="36"/>
      <x:c r="AA22" s="167"/>
      <x:c r="AB22" s="185"/>
      <x:c r="AC22" s="185"/>
      <x:c r="AD22" s="185"/>
      <x:c r="AE22" s="185"/>
      <x:c r="AF22" s="36"/>
      <x:c r="AG22" s="167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175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167"/>
      <x:c r="AZ22" s="185"/>
      <x:c r="BA22" s="185"/>
      <x:c r="BB22" s="185"/>
      <x:c r="BC22" s="185"/>
      <x:c r="BD22" s="36"/>
      <x:c r="BE22" s="167"/>
      <x:c r="BF22" s="185"/>
      <x:c r="BG22" s="185"/>
      <x:c r="BH22" s="185"/>
      <x:c r="BI22" s="185"/>
      <x:c r="BJ22" s="36"/>
      <x:c r="BK22" s="167"/>
      <x:c r="BL22" s="185"/>
      <x:c r="BM22" s="185"/>
      <x:c r="BN22" s="185"/>
      <x:c r="BO22" s="185"/>
      <x:c r="BP22" s="36"/>
      <x:c r="BQ22" s="167"/>
      <x:c r="BR22" s="185"/>
      <x:c r="BS22" s="185"/>
      <x:c r="BT22" s="185"/>
      <x:c r="BU22" s="185"/>
      <x:c r="BV22" s="36"/>
    </x:row>
    <x:row r="23" spans="1:74" ht="22.5" customHeight="1" x14ac:dyDescent="0.25">
      <x:c r="A23" s="3" t="s">
        <x:v>665</x:v>
      </x:c>
      <x:c r="B23" s="57" t="s">
        <x:v>23</x:v>
      </x:c>
      <x:c r="C23" s="175"/>
      <x:c r="D23" s="158"/>
      <x:c r="E23" s="158"/>
      <x:c r="F23" s="158"/>
      <x:c r="G23" s="158"/>
      <x:c r="H23" s="197"/>
      <x:c r="I23" s="167"/>
      <x:c r="J23" s="185"/>
      <x:c r="K23" s="185"/>
      <x:c r="L23" s="185"/>
      <x:c r="M23" s="185"/>
      <x:c r="N23" s="36"/>
      <x:c r="O23" s="167"/>
      <x:c r="P23" s="185"/>
      <x:c r="Q23" s="185"/>
      <x:c r="R23" s="185"/>
      <x:c r="S23" s="185"/>
      <x:c r="T23" s="36"/>
      <x:c r="U23" s="167"/>
      <x:c r="V23" s="185"/>
      <x:c r="W23" s="185"/>
      <x:c r="X23" s="185"/>
      <x:c r="Y23" s="185"/>
      <x:c r="Z23" s="36"/>
      <x:c r="AA23" s="167"/>
      <x:c r="AB23" s="185"/>
      <x:c r="AC23" s="185"/>
      <x:c r="AD23" s="185"/>
      <x:c r="AE23" s="185"/>
      <x:c r="AF23" s="36"/>
      <x:c r="AG23" s="167"/>
      <x:c r="AH23" s="185"/>
      <x:c r="AI23" s="185"/>
      <x:c r="AJ23" s="185"/>
      <x:c r="AK23" s="18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620" t="s">
        <x:v>1102</x:v>
      </x:c>
      <x:c r="AS23" s="175">
        <x:v>100</x:v>
      </x:c>
      <x:c r="AT23" s="158">
        <x:v>100</x:v>
      </x:c>
      <x:c r="AU23" s="158">
        <x:v>100</x:v>
      </x:c>
      <x:c r="AV23" s="158">
        <x:v>100</x:v>
      </x:c>
      <x:c r="AW23" s="158">
        <x:v>100</x:v>
      </x:c>
      <x:c r="AX23" s="585" t="s">
        <x:v>1102</x:v>
      </x:c>
      <x:c r="AY23" s="167"/>
      <x:c r="AZ23" s="185"/>
      <x:c r="BA23" s="185"/>
      <x:c r="BB23" s="185"/>
      <x:c r="BC23" s="185"/>
      <x:c r="BD23" s="36"/>
      <x:c r="BE23" s="167"/>
      <x:c r="BF23" s="185"/>
      <x:c r="BG23" s="185"/>
      <x:c r="BH23" s="185"/>
      <x:c r="BI23" s="185"/>
      <x:c r="BJ23" s="36"/>
      <x:c r="BK23" s="167"/>
      <x:c r="BL23" s="185"/>
      <x:c r="BM23" s="185"/>
      <x:c r="BN23" s="185"/>
      <x:c r="BO23" s="185"/>
      <x:c r="BP23" s="36"/>
      <x:c r="BQ23" s="167"/>
      <x:c r="BR23" s="185"/>
      <x:c r="BS23" s="185"/>
      <x:c r="BT23" s="185"/>
      <x:c r="BU23" s="185"/>
      <x:c r="BV23" s="36"/>
    </x:row>
    <x:row r="24" spans="1:74" ht="22.5" customHeight="1" x14ac:dyDescent="0.3">
      <x:c r="A24" s="3" t="s">
        <x:v>666</x:v>
      </x:c>
      <x:c r="B24" s="57" t="s">
        <x:v>23</x:v>
      </x:c>
      <x:c r="C24" s="160"/>
      <x:c r="D24" s="161"/>
      <x:c r="E24" s="161"/>
      <x:c r="F24" s="161"/>
      <x:c r="G24" s="161"/>
      <x:c r="H24" s="204"/>
      <x:c r="I24" s="38"/>
      <x:c r="J24" s="39"/>
      <x:c r="K24" s="39"/>
      <x:c r="L24" s="39"/>
      <x:c r="M24" s="39"/>
      <x:c r="N24" s="42"/>
      <x:c r="O24" s="38"/>
      <x:c r="P24" s="39"/>
      <x:c r="Q24" s="39"/>
      <x:c r="R24" s="39"/>
      <x:c r="S24" s="39"/>
      <x:c r="T24" s="42"/>
      <x:c r="U24" s="38"/>
      <x:c r="V24" s="39"/>
      <x:c r="W24" s="39"/>
      <x:c r="X24" s="39"/>
      <x:c r="Y24" s="39"/>
      <x:c r="Z24" s="42"/>
      <x:c r="AA24" s="38"/>
      <x:c r="AB24" s="39"/>
      <x:c r="AC24" s="39"/>
      <x:c r="AD24" s="39"/>
      <x:c r="AE24" s="39"/>
      <x:c r="AF24" s="42"/>
      <x:c r="AG24" s="38"/>
      <x:c r="AH24" s="39"/>
      <x:c r="AI24" s="39"/>
      <x:c r="AJ24" s="39"/>
      <x:c r="AK24" s="39"/>
      <x:c r="AL24" s="42"/>
      <x:c r="AM24" s="160">
        <x:v>100</x:v>
      </x:c>
      <x:c r="AN24" s="161">
        <x:v>100</x:v>
      </x:c>
      <x:c r="AO24" s="161">
        <x:v>100</x:v>
      </x:c>
      <x:c r="AP24" s="161">
        <x:v>100</x:v>
      </x:c>
      <x:c r="AQ24" s="161">
        <x:v>100</x:v>
      </x:c>
      <x:c r="AR24" s="631" t="s">
        <x:v>1102</x:v>
      </x:c>
      <x:c r="AS24" s="160">
        <x:v>100</x:v>
      </x:c>
      <x:c r="AT24" s="161">
        <x:v>100</x:v>
      </x:c>
      <x:c r="AU24" s="161">
        <x:v>100</x:v>
      </x:c>
      <x:c r="AV24" s="161">
        <x:v>100</x:v>
      </x:c>
      <x:c r="AW24" s="161">
        <x:v>100</x:v>
      </x:c>
      <x:c r="AX24" s="594" t="s">
        <x:v>1102</x:v>
      </x:c>
      <x:c r="AY24" s="38"/>
      <x:c r="AZ24" s="39"/>
      <x:c r="BA24" s="39"/>
      <x:c r="BB24" s="39"/>
      <x:c r="BC24" s="39"/>
      <x:c r="BD24" s="42"/>
      <x:c r="BE24" s="38"/>
      <x:c r="BF24" s="39"/>
      <x:c r="BG24" s="39"/>
      <x:c r="BH24" s="39"/>
      <x:c r="BI24" s="39"/>
      <x:c r="BJ24" s="42"/>
      <x:c r="BK24" s="38"/>
      <x:c r="BL24" s="39"/>
      <x:c r="BM24" s="39"/>
      <x:c r="BN24" s="39"/>
      <x:c r="BO24" s="39"/>
      <x:c r="BP24" s="42"/>
      <x:c r="BQ24" s="38"/>
      <x:c r="BR24" s="39"/>
      <x:c r="BS24" s="39"/>
      <x:c r="BT24" s="39"/>
      <x:c r="BU24" s="39"/>
      <x:c r="BV24" s="42"/>
    </x:row>
    <x:row r="25" spans="1:74" x14ac:dyDescent="0.25">
      <x:c r="C25" s="227">
        <x:f t="array" ref="C25:C25">SUMPRODUCT((C3:C24&gt;=10)*(D3:D24&gt;=10)*(E3:E24&gt;=10)*(F3:F24&gt;=10)*(G3:G24&gt;=10))</x:f>
      </x:c>
      <x:c r="H25" s="227">
        <x:f>COUNTIF(H3:H24,"Да")</x:f>
      </x:c>
      <x:c r="I25" s="227">
        <x:f t="array" ref="I25:I25">SUMPRODUCT((I3:I24&gt;=10)*(J3:J24&gt;=10)*(K3:K24&gt;=10)*(L3:L24&gt;=10)*(M3:M24&gt;=10))</x:f>
      </x:c>
      <x:c r="N25" s="227">
        <x:f>COUNTIF(N3:N24,"Да")</x:f>
      </x:c>
      <x:c r="O25" s="227">
        <x:f t="array" ref="O25:O25">SUMPRODUCT((O3:O24&gt;=10)*(P3:P24&gt;=10)*(Q3:Q24&gt;=10)*(R3:R24&gt;=10)*(S3:S24&gt;=10))</x:f>
      </x:c>
      <x:c r="T25" s="227">
        <x:f>COUNTIF(T3:T24,"Да")</x:f>
      </x:c>
      <x:c r="U25" s="227">
        <x:f t="array" ref="U25:U25">SUMPRODUCT((U3:U24&gt;=10)*(V3:V24&gt;=10)*(W3:W24&gt;=10)*(X3:X24&gt;=10)*(Y3:Y24&gt;=10))</x:f>
      </x:c>
      <x:c r="Z25" s="227">
        <x:f>COUNTIF(Z3:Z24,"Да")</x:f>
      </x:c>
      <x:c r="AA25" s="227">
        <x:f t="array" ref="AA25:AA25">SUMPRODUCT((AA3:AA24&gt;=10)*(AB3:AB24&gt;=10)*(AC3:AC24&gt;=10)*(AD3:AD24&gt;=10)*(AE3:AE24&gt;=10))</x:f>
      </x:c>
      <x:c r="AF25" s="227">
        <x:f>COUNTIF(AF3:AF24,"Да")</x:f>
      </x:c>
      <x:c r="AG25" s="227">
        <x:f t="array" ref="AG25:AG25">SUMPRODUCT((AG3:AG24&gt;=10)*(AH3:AH24&gt;=10)*(AI3:AI24&gt;=10)*(AJ3:AJ24&gt;=10)*(AK3:AK24&gt;=10))</x:f>
      </x:c>
      <x:c r="AL25" s="227">
        <x:f>COUNTIF(AL3:AL24,"Да")</x:f>
      </x:c>
      <x:c r="AM25" s="227">
        <x:f t="array" ref="AM25:AM25">SUMPRODUCT((AM3:AM24&gt;=10)*(AN3:AN24&gt;=10)*(AO3:AO24&gt;=10)*(AP3:AP24&gt;=10)*(AQ3:AQ24&gt;=10))</x:f>
      </x:c>
      <x:c r="AR25" s="227">
        <x:f>COUNTIF(AR3:AR24,"Да")</x:f>
      </x:c>
      <x:c r="AS25" s="227">
        <x:f t="array" ref="AS25:AS25">SUMPRODUCT((AS3:AS24&gt;=10)*(AT3:AT24&gt;=10)*(AU3:AU24&gt;=10)*(AV3:AV24&gt;=10)*(AW3:AW24&gt;=10))</x:f>
      </x:c>
      <x:c r="AX25" s="227">
        <x:f>COUNTIF(AX3:AX24,"Да")</x:f>
      </x:c>
      <x:c r="AY25" s="227">
        <x:f t="array" ref="AY25:AY25">SUMPRODUCT((AY3:AY24&gt;=10)*(AZ3:AZ24&gt;=10)*(BA3:BA24&gt;=10)*(BB3:BB24&gt;=10)*(BC3:BC24&gt;=10))</x:f>
      </x:c>
      <x:c r="BD25" s="227">
        <x:f>COUNTIF(BD3:BD24,"Да")</x:f>
      </x:c>
      <x:c r="BE25" s="227">
        <x:f t="array" ref="BE25:BE25">SUMPRODUCT((BE3:BE24&gt;=10)*(BF3:BF24&gt;=10)*(BG3:BG24&gt;=10)*(BH3:BH24&gt;=10)*(BI3:BI24&gt;=10))</x:f>
      </x:c>
      <x:c r="BJ25" s="227">
        <x:f>COUNTIF(BJ3:BJ24,"Да")</x:f>
      </x:c>
      <x:c r="BK25" s="227">
        <x:f t="array" ref="BK25:BK25">SUMPRODUCT((BK3:BK24&gt;=10)*(BL3:BL24&gt;=10)*(BM3:BM24&gt;=10)*(BN3:BN24&gt;=10)*(BO3:BO24&gt;=10))</x:f>
      </x:c>
      <x:c r="BP25" s="227">
        <x:f>COUNTIF(BP3:BP24,"Да")</x:f>
      </x:c>
      <x:c r="BQ25" s="227">
        <x:f t="array" ref="BQ25:BQ25">SUMPRODUCT((BQ3:BQ24&gt;=10)*(BR3:BR24&gt;=10)*(BS3:BS24&gt;=10)*(BT3:BT24&gt;=10)*(BU3:BU24&gt;=10))</x:f>
      </x:c>
      <x:c r="BV25" s="227">
        <x:f>COUNTIF(BV3:BV24,"Да")</x:f>
      </x:c>
    </x:row>
  </x:sheetData>
  <x:mergeCells count="26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AM14:AQ14"/>
    <x:mergeCell ref="C25:G25"/>
    <x:mergeCell ref="I25:M25"/>
    <x:mergeCell ref="O25:S25"/>
    <x:mergeCell ref="U25:Y25"/>
    <x:mergeCell ref="AA25:AE25"/>
    <x:mergeCell ref="AG25:AK25"/>
    <x:mergeCell ref="AM25:AQ25"/>
    <x:mergeCell ref="AS25:AW25"/>
    <x:mergeCell ref="AY25:BC25"/>
    <x:mergeCell ref="BE25:BI25"/>
    <x:mergeCell ref="BK25:BO25"/>
    <x:mergeCell ref="BQ25:BU25"/>
  </x:mergeCells>
  <x:conditionalFormatting sqref="C3:BV24">
    <x:cfRule type="containsBlanks" dxfId="8" priority="1">
      <x:formula>LEN(TRIM(C3))=0</x:formula>
    </x:cfRule>
    <x:cfRule type="expression" priority="6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24">
    <x:cfRule type="duplicateValues" dxfId="0" priority="8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V25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1.710938" style="0" customWidth="1"/>
    <x:col min="2" max="2" width="23.570312" style="0" customWidth="1"/>
    <x:col min="3" max="7" width="9.140625" style="0" customWidth="1"/>
    <x:col min="8" max="8" width="10" style="0" customWidth="1"/>
    <x:col min="9" max="13" width="9.140625" style="0" customWidth="1"/>
    <x:col min="14" max="14" width="9.570312" style="0" customWidth="1"/>
    <x:col min="15" max="19" width="9.140625" style="0" customWidth="1"/>
    <x:col min="20" max="20" width="9.855469" style="0" customWidth="1"/>
    <x:col min="21" max="43" width="9.140625" style="0" customWidth="1"/>
    <x:col min="44" max="44" width="9.855469" style="0" customWidth="1"/>
    <x:col min="45" max="74" width="9.140625" style="0" customWidth="1"/>
  </x:cols>
  <x:sheetData>
    <x:row r="1" spans="1:74" ht="26.25" customHeight="1" x14ac:dyDescent="0.3">
      <x:c r="A1" s="22" t="s">
        <x:v>1074</x:v>
      </x:c>
      <x:c r="B1" s="507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685</x:v>
      </x:c>
      <x:c r="B3" s="53" t="s">
        <x:v>23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3" t="s">
        <x:v>691</x:v>
      </x:c>
      <x:c r="B4" s="57" t="s">
        <x:v>23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33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678</x:v>
      </x:c>
      <x:c r="B5" s="57" t="s">
        <x:v>16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33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ht="22.5" customHeight="1" x14ac:dyDescent="0.25">
      <x:c r="A6" s="3" t="s">
        <x:v>694</x:v>
      </x:c>
      <x:c r="B6" s="57" t="s">
        <x:v>37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33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ht="22.5" customHeight="1" x14ac:dyDescent="0.25">
      <x:c r="A7" s="3" t="s">
        <x:v>689</x:v>
      </x:c>
      <x:c r="B7" s="57" t="s">
        <x:v>23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33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ht="22.5" customHeight="1" x14ac:dyDescent="0.25">
      <x:c r="A8" s="3" t="s">
        <x:v>690</x:v>
      </x:c>
      <x:c r="B8" s="57" t="s">
        <x:v>23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33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ht="22.5" customHeight="1" x14ac:dyDescent="0.25">
      <x:c r="A9" s="3" t="s">
        <x:v>686</x:v>
      </x:c>
      <x:c r="B9" s="57" t="s">
        <x:v>23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33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ht="22.5" customHeight="1" x14ac:dyDescent="0.25">
      <x:c r="A10" s="3" t="s">
        <x:v>687</x:v>
      </x:c>
      <x:c r="B10" s="57" t="s">
        <x:v>23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33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ht="22.5" customHeight="1" x14ac:dyDescent="0.25">
      <x:c r="A11" s="3" t="s">
        <x:v>682</x:v>
      </x:c>
      <x:c r="B11" s="57" t="s">
        <x:v>23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33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ht="22.5" customHeight="1" x14ac:dyDescent="0.25">
      <x:c r="A12" s="3" t="s">
        <x:v>684</x:v>
      </x:c>
      <x:c r="B12" s="57" t="s">
        <x:v>23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33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ht="22.5" customHeight="1" x14ac:dyDescent="0.25">
      <x:c r="A13" s="3" t="s">
        <x:v>679</x:v>
      </x:c>
      <x:c r="B13" s="57" t="s">
        <x:v>16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33"/>
      <x:c r="AB13" s="185"/>
      <x:c r="AC13" s="185"/>
      <x:c r="AD13" s="185"/>
      <x:c r="AE13" s="185"/>
      <x:c r="AF13" s="36"/>
      <x:c r="AG13" s="33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33"/>
      <x:c r="AZ13" s="185"/>
      <x:c r="BA13" s="185"/>
      <x:c r="BB13" s="185"/>
      <x:c r="BC13" s="185"/>
      <x:c r="BD13" s="36"/>
      <x:c r="BE13" s="33"/>
      <x:c r="BF13" s="185"/>
      <x:c r="BG13" s="185"/>
      <x:c r="BH13" s="185"/>
      <x:c r="BI13" s="185"/>
      <x:c r="BJ13" s="36"/>
      <x:c r="BK13" s="33"/>
      <x:c r="BL13" s="185"/>
      <x:c r="BM13" s="185"/>
      <x:c r="BN13" s="185"/>
      <x:c r="BO13" s="185"/>
      <x:c r="BP13" s="36"/>
      <x:c r="BQ13" s="33"/>
      <x:c r="BR13" s="185"/>
      <x:c r="BS13" s="185"/>
      <x:c r="BT13" s="185"/>
      <x:c r="BU13" s="185"/>
      <x:c r="BV13" s="36"/>
    </x:row>
    <x:row r="14" spans="1:74" ht="22.5" customHeight="1" x14ac:dyDescent="0.25">
      <x:c r="A14" s="605" t="s">
        <x:v>675</x:v>
      </x:c>
      <x:c r="B14" s="57" t="s">
        <x:v>14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33"/>
      <x:c r="AB14" s="185"/>
      <x:c r="AC14" s="185"/>
      <x:c r="AD14" s="185"/>
      <x:c r="AE14" s="185"/>
      <x:c r="AF14" s="36"/>
      <x:c r="AG14" s="33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158">
        <x:v>95</x:v>
      </x:c>
      <x:c r="AQ14" s="589">
        <x:v>0</x:v>
      </x:c>
      <x:c r="AR14" s="620" t="s">
        <x:v>1102</x:v>
      </x:c>
      <x:c r="AS14" s="588">
        <x:v>0</x:v>
      </x:c>
      <x:c r="AT14" s="589">
        <x:v>0</x:v>
      </x:c>
      <x:c r="AU14" s="589">
        <x:v>0</x:v>
      </x:c>
      <x:c r="AV14" s="589">
        <x:v>0</x:v>
      </x:c>
      <x:c r="AW14" s="589">
        <x:v>0</x:v>
      </x:c>
      <x:c r="AX14" s="591" t="s">
        <x:v>1103</x:v>
      </x:c>
      <x:c r="AY14" s="33"/>
      <x:c r="AZ14" s="185"/>
      <x:c r="BA14" s="185"/>
      <x:c r="BB14" s="185"/>
      <x:c r="BC14" s="185"/>
      <x:c r="BD14" s="36"/>
      <x:c r="BE14" s="33"/>
      <x:c r="BF14" s="185"/>
      <x:c r="BG14" s="185"/>
      <x:c r="BH14" s="185"/>
      <x:c r="BI14" s="185"/>
      <x:c r="BJ14" s="36"/>
      <x:c r="BK14" s="33"/>
      <x:c r="BL14" s="185"/>
      <x:c r="BM14" s="185"/>
      <x:c r="BN14" s="185"/>
      <x:c r="BO14" s="185"/>
      <x:c r="BP14" s="36"/>
      <x:c r="BQ14" s="33"/>
      <x:c r="BR14" s="185"/>
      <x:c r="BS14" s="185"/>
      <x:c r="BT14" s="185"/>
      <x:c r="BU14" s="185"/>
      <x:c r="BV14" s="36"/>
    </x:row>
    <x:row r="15" spans="1:74" ht="22.5" customHeight="1" x14ac:dyDescent="0.25">
      <x:c r="A15" s="3" t="s">
        <x:v>688</x:v>
      </x:c>
      <x:c r="B15" s="57" t="s">
        <x:v>23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33"/>
      <x:c r="AB15" s="185"/>
      <x:c r="AC15" s="185"/>
      <x:c r="AD15" s="185"/>
      <x:c r="AE15" s="185"/>
      <x:c r="AF15" s="36"/>
      <x:c r="AG15" s="33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33"/>
      <x:c r="AZ15" s="185"/>
      <x:c r="BA15" s="185"/>
      <x:c r="BB15" s="185"/>
      <x:c r="BC15" s="185"/>
      <x:c r="BD15" s="36"/>
      <x:c r="BE15" s="33"/>
      <x:c r="BF15" s="185"/>
      <x:c r="BG15" s="185"/>
      <x:c r="BH15" s="185"/>
      <x:c r="BI15" s="185"/>
      <x:c r="BJ15" s="36"/>
      <x:c r="BK15" s="33"/>
      <x:c r="BL15" s="185"/>
      <x:c r="BM15" s="185"/>
      <x:c r="BN15" s="185"/>
      <x:c r="BO15" s="185"/>
      <x:c r="BP15" s="36"/>
      <x:c r="BQ15" s="33"/>
      <x:c r="BR15" s="185"/>
      <x:c r="BS15" s="185"/>
      <x:c r="BT15" s="185"/>
      <x:c r="BU15" s="185"/>
      <x:c r="BV15" s="36"/>
    </x:row>
    <x:row r="16" spans="1:74" ht="22.5" customHeight="1" x14ac:dyDescent="0.25">
      <x:c r="A16" s="3" t="s">
        <x:v>677</x:v>
      </x:c>
      <x:c r="B16" s="57" t="s">
        <x:v>16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33"/>
      <x:c r="AB16" s="185"/>
      <x:c r="AC16" s="185"/>
      <x:c r="AD16" s="185"/>
      <x:c r="AE16" s="185"/>
      <x:c r="AF16" s="36"/>
      <x:c r="AG16" s="33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33"/>
      <x:c r="AZ16" s="185"/>
      <x:c r="BA16" s="185"/>
      <x:c r="BB16" s="185"/>
      <x:c r="BC16" s="185"/>
      <x:c r="BD16" s="36"/>
      <x:c r="BE16" s="33"/>
      <x:c r="BF16" s="185"/>
      <x:c r="BG16" s="185"/>
      <x:c r="BH16" s="185"/>
      <x:c r="BI16" s="185"/>
      <x:c r="BJ16" s="36"/>
      <x:c r="BK16" s="33"/>
      <x:c r="BL16" s="185"/>
      <x:c r="BM16" s="185"/>
      <x:c r="BN16" s="185"/>
      <x:c r="BO16" s="185"/>
      <x:c r="BP16" s="36"/>
      <x:c r="BQ16" s="33"/>
      <x:c r="BR16" s="185"/>
      <x:c r="BS16" s="185"/>
      <x:c r="BT16" s="185"/>
      <x:c r="BU16" s="185"/>
      <x:c r="BV16" s="36"/>
    </x:row>
    <x:row r="17" spans="1:74" ht="22.5" customHeight="1" x14ac:dyDescent="0.25">
      <x:c r="A17" s="3" t="s">
        <x:v>696</x:v>
      </x:c>
      <x:c r="B17" s="57" t="s">
        <x:v>37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33"/>
      <x:c r="AB17" s="185"/>
      <x:c r="AC17" s="185"/>
      <x:c r="AD17" s="185"/>
      <x:c r="AE17" s="185"/>
      <x:c r="AF17" s="36"/>
      <x:c r="AG17" s="33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33"/>
      <x:c r="AZ17" s="185"/>
      <x:c r="BA17" s="185"/>
      <x:c r="BB17" s="185"/>
      <x:c r="BC17" s="185"/>
      <x:c r="BD17" s="36"/>
      <x:c r="BE17" s="33"/>
      <x:c r="BF17" s="185"/>
      <x:c r="BG17" s="185"/>
      <x:c r="BH17" s="185"/>
      <x:c r="BI17" s="185"/>
      <x:c r="BJ17" s="36"/>
      <x:c r="BK17" s="33"/>
      <x:c r="BL17" s="185"/>
      <x:c r="BM17" s="185"/>
      <x:c r="BN17" s="185"/>
      <x:c r="BO17" s="185"/>
      <x:c r="BP17" s="36"/>
      <x:c r="BQ17" s="33"/>
      <x:c r="BR17" s="185"/>
      <x:c r="BS17" s="185"/>
      <x:c r="BT17" s="185"/>
      <x:c r="BU17" s="185"/>
      <x:c r="BV17" s="36"/>
    </x:row>
    <x:row r="18" spans="1:74" ht="22.5" customHeight="1" x14ac:dyDescent="0.25">
      <x:c r="A18" s="605" t="s">
        <x:v>683</x:v>
      </x:c>
      <x:c r="B18" s="57" t="s">
        <x:v>23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33"/>
      <x:c r="AB18" s="185"/>
      <x:c r="AC18" s="185"/>
      <x:c r="AD18" s="185"/>
      <x:c r="AE18" s="185"/>
      <x:c r="AF18" s="36"/>
      <x:c r="AG18" s="33"/>
      <x:c r="AH18" s="185"/>
      <x:c r="AI18" s="185"/>
      <x:c r="AJ18" s="185"/>
      <x:c r="AK18" s="185"/>
      <x:c r="AL18" s="36"/>
      <x:c r="AM18" s="588">
        <x:v>0</x:v>
      </x:c>
      <x:c r="AN18" s="589">
        <x:v>0</x:v>
      </x:c>
      <x:c r="AO18" s="589">
        <x:v>0</x:v>
      </x:c>
      <x:c r="AP18" s="589">
        <x:v>0</x:v>
      </x:c>
      <x:c r="AQ18" s="589">
        <x:v>0</x:v>
      </x:c>
      <x:c r="AR18" s="591" t="s">
        <x:v>1103</x:v>
      </x:c>
      <x:c r="AS18" s="588">
        <x:v>0</x:v>
      </x:c>
      <x:c r="AT18" s="589">
        <x:v>0</x:v>
      </x:c>
      <x:c r="AU18" s="589">
        <x:v>0</x:v>
      </x:c>
      <x:c r="AV18" s="589">
        <x:v>0</x:v>
      </x:c>
      <x:c r="AW18" s="589">
        <x:v>0</x:v>
      </x:c>
      <x:c r="AX18" s="591" t="s">
        <x:v>1103</x:v>
      </x:c>
      <x:c r="AY18" s="33"/>
      <x:c r="AZ18" s="185"/>
      <x:c r="BA18" s="185"/>
      <x:c r="BB18" s="185"/>
      <x:c r="BC18" s="185"/>
      <x:c r="BD18" s="36"/>
      <x:c r="BE18" s="33"/>
      <x:c r="BF18" s="185"/>
      <x:c r="BG18" s="185"/>
      <x:c r="BH18" s="185"/>
      <x:c r="BI18" s="185"/>
      <x:c r="BJ18" s="36"/>
      <x:c r="BK18" s="33"/>
      <x:c r="BL18" s="185"/>
      <x:c r="BM18" s="185"/>
      <x:c r="BN18" s="185"/>
      <x:c r="BO18" s="185"/>
      <x:c r="BP18" s="36"/>
      <x:c r="BQ18" s="33"/>
      <x:c r="BR18" s="185"/>
      <x:c r="BS18" s="185"/>
      <x:c r="BT18" s="185"/>
      <x:c r="BU18" s="185"/>
      <x:c r="BV18" s="36"/>
    </x:row>
    <x:row r="19" spans="1:74" ht="33.75" customHeight="1" x14ac:dyDescent="0.25">
      <x:c r="A19" s="630" t="s">
        <x:v>1117</x:v>
      </x:c>
      <x:c r="B19" s="57"/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33"/>
      <x:c r="AB19" s="185"/>
      <x:c r="AC19" s="185"/>
      <x:c r="AD19" s="185"/>
      <x:c r="AE19" s="185"/>
      <x:c r="AF19" s="36"/>
      <x:c r="AG19" s="33"/>
      <x:c r="AH19" s="185"/>
      <x:c r="AI19" s="185"/>
      <x:c r="AJ19" s="185"/>
      <x:c r="AK19" s="185"/>
      <x:c r="AL19" s="36"/>
      <x:c r="AM19" s="157"/>
      <x:c r="AN19" s="158"/>
      <x:c r="AO19" s="158"/>
      <x:c r="AP19" s="158"/>
      <x:c r="AQ19" s="158"/>
      <x:c r="AR19" s="620"/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33"/>
      <x:c r="AZ19" s="185"/>
      <x:c r="BA19" s="185"/>
      <x:c r="BB19" s="185"/>
      <x:c r="BC19" s="185"/>
      <x:c r="BD19" s="36"/>
      <x:c r="BE19" s="33"/>
      <x:c r="BF19" s="185"/>
      <x:c r="BG19" s="185"/>
      <x:c r="BH19" s="185"/>
      <x:c r="BI19" s="185"/>
      <x:c r="BJ19" s="36"/>
      <x:c r="BK19" s="33"/>
      <x:c r="BL19" s="185"/>
      <x:c r="BM19" s="185"/>
      <x:c r="BN19" s="185"/>
      <x:c r="BO19" s="185"/>
      <x:c r="BP19" s="36"/>
      <x:c r="BQ19" s="33"/>
      <x:c r="BR19" s="185"/>
      <x:c r="BS19" s="185"/>
      <x:c r="BT19" s="185"/>
      <x:c r="BU19" s="185"/>
      <x:c r="BV19" s="36"/>
    </x:row>
    <x:row r="20" spans="1:74" ht="33.75" customHeight="1" x14ac:dyDescent="0.25">
      <x:c r="A20" s="605" t="s">
        <x:v>680</x:v>
      </x:c>
      <x:c r="B20" s="57" t="s">
        <x:v>16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33"/>
      <x:c r="AB20" s="185"/>
      <x:c r="AC20" s="185"/>
      <x:c r="AD20" s="185"/>
      <x:c r="AE20" s="185"/>
      <x:c r="AF20" s="36"/>
      <x:c r="AG20" s="33"/>
      <x:c r="AH20" s="185"/>
      <x:c r="AI20" s="185"/>
      <x:c r="AJ20" s="185"/>
      <x:c r="AK20" s="18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620" t="s">
        <x:v>1102</x:v>
      </x:c>
      <x:c r="AS20" s="588">
        <x:v>0</x:v>
      </x:c>
      <x:c r="AT20" s="589">
        <x:v>0</x:v>
      </x:c>
      <x:c r="AU20" s="589">
        <x:v>0</x:v>
      </x:c>
      <x:c r="AV20" s="589">
        <x:v>0</x:v>
      </x:c>
      <x:c r="AW20" s="589">
        <x:v>0</x:v>
      </x:c>
      <x:c r="AX20" s="591" t="s">
        <x:v>1103</x:v>
      </x:c>
      <x:c r="AY20" s="33"/>
      <x:c r="AZ20" s="185"/>
      <x:c r="BA20" s="185"/>
      <x:c r="BB20" s="185"/>
      <x:c r="BC20" s="185"/>
      <x:c r="BD20" s="36"/>
      <x:c r="BE20" s="33"/>
      <x:c r="BF20" s="185"/>
      <x:c r="BG20" s="185"/>
      <x:c r="BH20" s="185"/>
      <x:c r="BI20" s="185"/>
      <x:c r="BJ20" s="36"/>
      <x:c r="BK20" s="33"/>
      <x:c r="BL20" s="185"/>
      <x:c r="BM20" s="185"/>
      <x:c r="BN20" s="185"/>
      <x:c r="BO20" s="185"/>
      <x:c r="BP20" s="36"/>
      <x:c r="BQ20" s="33"/>
      <x:c r="BR20" s="185"/>
      <x:c r="BS20" s="185"/>
      <x:c r="BT20" s="185"/>
      <x:c r="BU20" s="185"/>
      <x:c r="BV20" s="36"/>
    </x:row>
    <x:row r="21" spans="1:74" ht="22.5" customHeight="1" x14ac:dyDescent="0.25">
      <x:c r="A21" s="3" t="s">
        <x:v>695</x:v>
      </x:c>
      <x:c r="B21" s="57" t="s">
        <x:v>37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33"/>
      <x:c r="AB21" s="185"/>
      <x:c r="AC21" s="185"/>
      <x:c r="AD21" s="185"/>
      <x:c r="AE21" s="185"/>
      <x:c r="AF21" s="36"/>
      <x:c r="AG21" s="33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33"/>
      <x:c r="AZ21" s="185"/>
      <x:c r="BA21" s="185"/>
      <x:c r="BB21" s="185"/>
      <x:c r="BC21" s="185"/>
      <x:c r="BD21" s="36"/>
      <x:c r="BE21" s="33"/>
      <x:c r="BF21" s="185"/>
      <x:c r="BG21" s="185"/>
      <x:c r="BH21" s="185"/>
      <x:c r="BI21" s="185"/>
      <x:c r="BJ21" s="36"/>
      <x:c r="BK21" s="33"/>
      <x:c r="BL21" s="185"/>
      <x:c r="BM21" s="185"/>
      <x:c r="BN21" s="185"/>
      <x:c r="BO21" s="185"/>
      <x:c r="BP21" s="36"/>
      <x:c r="BQ21" s="33"/>
      <x:c r="BR21" s="185"/>
      <x:c r="BS21" s="185"/>
      <x:c r="BT21" s="185"/>
      <x:c r="BU21" s="185"/>
      <x:c r="BV21" s="36"/>
    </x:row>
    <x:row r="22" spans="1:74" ht="22.5" customHeight="1" x14ac:dyDescent="0.25">
      <x:c r="A22" s="3" t="s">
        <x:v>692</x:v>
      </x:c>
      <x:c r="B22" s="57" t="s">
        <x:v>23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33"/>
      <x:c r="P22" s="185"/>
      <x:c r="Q22" s="185"/>
      <x:c r="R22" s="185"/>
      <x:c r="S22" s="185"/>
      <x:c r="T22" s="36"/>
      <x:c r="U22" s="33"/>
      <x:c r="V22" s="185"/>
      <x:c r="W22" s="185"/>
      <x:c r="X22" s="185"/>
      <x:c r="Y22" s="185"/>
      <x:c r="Z22" s="36"/>
      <x:c r="AA22" s="33"/>
      <x:c r="AB22" s="185"/>
      <x:c r="AC22" s="185"/>
      <x:c r="AD22" s="185"/>
      <x:c r="AE22" s="185"/>
      <x:c r="AF22" s="36"/>
      <x:c r="AG22" s="33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33"/>
      <x:c r="AZ22" s="185"/>
      <x:c r="BA22" s="185"/>
      <x:c r="BB22" s="185"/>
      <x:c r="BC22" s="185"/>
      <x:c r="BD22" s="36"/>
      <x:c r="BE22" s="33"/>
      <x:c r="BF22" s="185"/>
      <x:c r="BG22" s="185"/>
      <x:c r="BH22" s="185"/>
      <x:c r="BI22" s="185"/>
      <x:c r="BJ22" s="36"/>
      <x:c r="BK22" s="33"/>
      <x:c r="BL22" s="185"/>
      <x:c r="BM22" s="185"/>
      <x:c r="BN22" s="185"/>
      <x:c r="BO22" s="185"/>
      <x:c r="BP22" s="36"/>
      <x:c r="BQ22" s="33"/>
      <x:c r="BR22" s="185"/>
      <x:c r="BS22" s="185"/>
      <x:c r="BT22" s="185"/>
      <x:c r="BU22" s="185"/>
      <x:c r="BV22" s="36"/>
    </x:row>
    <x:row r="23" spans="1:74" ht="22.5" customHeight="1" x14ac:dyDescent="0.25">
      <x:c r="A23" s="3" t="s">
        <x:v>693</x:v>
      </x:c>
      <x:c r="B23" s="57" t="s">
        <x:v>21</x:v>
      </x:c>
      <x:c r="C23" s="157"/>
      <x:c r="D23" s="158"/>
      <x:c r="E23" s="158"/>
      <x:c r="F23" s="158"/>
      <x:c r="G23" s="158"/>
      <x:c r="H23" s="197"/>
      <x:c r="I23" s="33"/>
      <x:c r="J23" s="185"/>
      <x:c r="K23" s="185"/>
      <x:c r="L23" s="185"/>
      <x:c r="M23" s="185"/>
      <x:c r="N23" s="36"/>
      <x:c r="O23" s="33"/>
      <x:c r="P23" s="185"/>
      <x:c r="Q23" s="185"/>
      <x:c r="R23" s="185"/>
      <x:c r="S23" s="185"/>
      <x:c r="T23" s="36"/>
      <x:c r="U23" s="33"/>
      <x:c r="V23" s="185"/>
      <x:c r="W23" s="185"/>
      <x:c r="X23" s="185"/>
      <x:c r="Y23" s="185"/>
      <x:c r="Z23" s="36"/>
      <x:c r="AA23" s="33"/>
      <x:c r="AB23" s="185"/>
      <x:c r="AC23" s="185"/>
      <x:c r="AD23" s="185"/>
      <x:c r="AE23" s="185"/>
      <x:c r="AF23" s="36"/>
      <x:c r="AG23" s="33"/>
      <x:c r="AH23" s="185"/>
      <x:c r="AI23" s="185"/>
      <x:c r="AJ23" s="185"/>
      <x:c r="AK23" s="18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620" t="s">
        <x:v>1102</x:v>
      </x:c>
      <x:c r="AS23" s="157">
        <x:v>100</x:v>
      </x:c>
      <x:c r="AT23" s="158">
        <x:v>100</x:v>
      </x:c>
      <x:c r="AU23" s="158">
        <x:v>100</x:v>
      </x:c>
      <x:c r="AV23" s="158">
        <x:v>97</x:v>
      </x:c>
      <x:c r="AW23" s="158">
        <x:v>67</x:v>
      </x:c>
      <x:c r="AX23" s="585" t="s">
        <x:v>1102</x:v>
      </x:c>
      <x:c r="AY23" s="33"/>
      <x:c r="AZ23" s="185"/>
      <x:c r="BA23" s="185"/>
      <x:c r="BB23" s="185"/>
      <x:c r="BC23" s="185"/>
      <x:c r="BD23" s="36"/>
      <x:c r="BE23" s="33"/>
      <x:c r="BF23" s="185"/>
      <x:c r="BG23" s="185"/>
      <x:c r="BH23" s="185"/>
      <x:c r="BI23" s="185"/>
      <x:c r="BJ23" s="36"/>
      <x:c r="BK23" s="33"/>
      <x:c r="BL23" s="185"/>
      <x:c r="BM23" s="185"/>
      <x:c r="BN23" s="185"/>
      <x:c r="BO23" s="185"/>
      <x:c r="BP23" s="36"/>
      <x:c r="BQ23" s="33"/>
      <x:c r="BR23" s="185"/>
      <x:c r="BS23" s="185"/>
      <x:c r="BT23" s="185"/>
      <x:c r="BU23" s="185"/>
      <x:c r="BV23" s="36"/>
    </x:row>
    <x:row r="24" spans="1:74" ht="22.5" customHeight="1" x14ac:dyDescent="0.25">
      <x:c r="A24" s="3" t="s">
        <x:v>681</x:v>
      </x:c>
      <x:c r="B24" s="57" t="s">
        <x:v>23</x:v>
      </x:c>
      <x:c r="C24" s="181"/>
      <x:c r="D24" s="182"/>
      <x:c r="E24" s="182"/>
      <x:c r="F24" s="182"/>
      <x:c r="G24" s="182"/>
      <x:c r="H24" s="206"/>
      <x:c r="I24" s="44"/>
      <x:c r="J24" s="45"/>
      <x:c r="K24" s="45"/>
      <x:c r="L24" s="45"/>
      <x:c r="M24" s="45"/>
      <x:c r="N24" s="48"/>
      <x:c r="O24" s="44"/>
      <x:c r="P24" s="45"/>
      <x:c r="Q24" s="45"/>
      <x:c r="R24" s="45"/>
      <x:c r="S24" s="45"/>
      <x:c r="T24" s="48"/>
      <x:c r="U24" s="44"/>
      <x:c r="V24" s="45"/>
      <x:c r="W24" s="45"/>
      <x:c r="X24" s="45"/>
      <x:c r="Y24" s="45"/>
      <x:c r="Z24" s="48"/>
      <x:c r="AA24" s="44"/>
      <x:c r="AB24" s="45"/>
      <x:c r="AC24" s="45"/>
      <x:c r="AD24" s="45"/>
      <x:c r="AE24" s="45"/>
      <x:c r="AF24" s="48"/>
      <x:c r="AG24" s="44"/>
      <x:c r="AH24" s="45"/>
      <x:c r="AI24" s="45"/>
      <x:c r="AJ24" s="45"/>
      <x:c r="AK24" s="45"/>
      <x:c r="AL24" s="48"/>
      <x:c r="AM24" s="181">
        <x:v>100</x:v>
      </x:c>
      <x:c r="AN24" s="182">
        <x:v>100</x:v>
      </x:c>
      <x:c r="AO24" s="182">
        <x:v>100</x:v>
      </x:c>
      <x:c r="AP24" s="182">
        <x:v>100</x:v>
      </x:c>
      <x:c r="AQ24" s="182">
        <x:v>100</x:v>
      </x:c>
      <x:c r="AR24" s="632" t="s">
        <x:v>1102</x:v>
      </x:c>
      <x:c r="AS24" s="181">
        <x:v>100</x:v>
      </x:c>
      <x:c r="AT24" s="182">
        <x:v>100</x:v>
      </x:c>
      <x:c r="AU24" s="182">
        <x:v>100</x:v>
      </x:c>
      <x:c r="AV24" s="182">
        <x:v>100</x:v>
      </x:c>
      <x:c r="AW24" s="182">
        <x:v>100</x:v>
      </x:c>
      <x:c r="AX24" s="608" t="s">
        <x:v>1102</x:v>
      </x:c>
      <x:c r="AY24" s="44"/>
      <x:c r="AZ24" s="45"/>
      <x:c r="BA24" s="45"/>
      <x:c r="BB24" s="45"/>
      <x:c r="BC24" s="45"/>
      <x:c r="BD24" s="48"/>
      <x:c r="BE24" s="44"/>
      <x:c r="BF24" s="45"/>
      <x:c r="BG24" s="45"/>
      <x:c r="BH24" s="45"/>
      <x:c r="BI24" s="45"/>
      <x:c r="BJ24" s="48"/>
      <x:c r="BK24" s="44"/>
      <x:c r="BL24" s="45"/>
      <x:c r="BM24" s="45"/>
      <x:c r="BN24" s="45"/>
      <x:c r="BO24" s="45"/>
      <x:c r="BP24" s="48"/>
      <x:c r="BQ24" s="44"/>
      <x:c r="BR24" s="45"/>
      <x:c r="BS24" s="45"/>
      <x:c r="BT24" s="45"/>
      <x:c r="BU24" s="45"/>
      <x:c r="BV24" s="48"/>
    </x:row>
    <x:row r="25" spans="1:74" x14ac:dyDescent="0.25">
      <x:c r="C25" s="509">
        <x:f>SUMPRODUCT((C3:C24&gt;=10)*(D3:D24&gt;=10)*(E3:E24&gt;=10)*(F3:F24&gt;=10)*(G3:G24&gt;=10))</x:f>
      </x:c>
      <x:c r="D25" s="510"/>
      <x:c r="E25" s="510"/>
      <x:c r="F25" s="510"/>
      <x:c r="G25" s="510"/>
      <x:c r="H25" s="226">
        <x:f>COUNTIF(H3:H24,"Да")</x:f>
      </x:c>
      <x:c r="I25" s="509">
        <x:f>SUMPRODUCT((I3:I24&gt;=10)*(J3:J24&gt;=10)*(K3:K24&gt;=10)*(L3:L24&gt;=10)*(M3:M24&gt;=10))</x:f>
      </x:c>
      <x:c r="J25" s="510"/>
      <x:c r="K25" s="510"/>
      <x:c r="L25" s="510"/>
      <x:c r="M25" s="510"/>
      <x:c r="N25" s="226">
        <x:f>COUNTIF(N3:N24,"Да")</x:f>
      </x:c>
      <x:c r="O25" s="509">
        <x:f>SUMPRODUCT((O3:O24&gt;=10)*(P3:P24&gt;=10)*(Q3:Q24&gt;=10)*(R3:R24&gt;=10)*(S3:S24&gt;=10))</x:f>
      </x:c>
      <x:c r="P25" s="510"/>
      <x:c r="Q25" s="510"/>
      <x:c r="R25" s="510"/>
      <x:c r="S25" s="510"/>
      <x:c r="T25" s="226">
        <x:f>COUNTIF(T3:T24,"Да")</x:f>
      </x:c>
      <x:c r="U25" s="509">
        <x:f>SUMPRODUCT((U3:U24&gt;=10)*(V3:V24&gt;=10)*(W3:W24&gt;=10)*(X3:X24&gt;=10)*(Y3:Y24&gt;=10))</x:f>
      </x:c>
      <x:c r="V25" s="510"/>
      <x:c r="W25" s="510"/>
      <x:c r="X25" s="510"/>
      <x:c r="Y25" s="510"/>
      <x:c r="Z25" s="226">
        <x:f>COUNTIF(Z3:Z24,"Да")</x:f>
      </x:c>
      <x:c r="AA25" s="509">
        <x:f>SUMPRODUCT((AA3:AA24&gt;=10)*(AB3:AB24&gt;=10)*(AC3:AC24&gt;=10)*(AD3:AD24&gt;=10)*(AE3:AE24&gt;=10))</x:f>
      </x:c>
      <x:c r="AB25" s="510"/>
      <x:c r="AC25" s="510"/>
      <x:c r="AD25" s="510"/>
      <x:c r="AE25" s="510"/>
      <x:c r="AF25" s="226">
        <x:f>COUNTIF(AF3:AF24,"Да")</x:f>
      </x:c>
      <x:c r="AG25" s="509">
        <x:f>SUMPRODUCT((AG3:AG24&gt;=10)*(AH3:AH24&gt;=10)*(AI3:AI24&gt;=10)*(AJ3:AJ24&gt;=10)*(AK3:AK24&gt;=10))</x:f>
      </x:c>
      <x:c r="AH25" s="510"/>
      <x:c r="AI25" s="510"/>
      <x:c r="AJ25" s="510"/>
      <x:c r="AK25" s="510"/>
      <x:c r="AL25" s="226">
        <x:f>COUNTIF(AL3:AL24,"Да")</x:f>
      </x:c>
      <x:c r="AM25" s="509">
        <x:f>SUMPRODUCT((AM3:AM24&gt;=10)*(AN3:AN24&gt;=10)*(AO3:AO24&gt;=10)*(AP3:AP24&gt;=10)*(AQ3:AQ24&gt;=10))</x:f>
      </x:c>
      <x:c r="AN25" s="510"/>
      <x:c r="AO25" s="510"/>
      <x:c r="AP25" s="510"/>
      <x:c r="AQ25" s="510"/>
      <x:c r="AR25" s="226">
        <x:f>COUNTIF(AR3:AR24,"Да")</x:f>
      </x:c>
      <x:c r="AS25" s="509">
        <x:f>SUMPRODUCT((AS3:AS24&gt;=10)*(AT3:AT24&gt;=10)*(AU3:AU24&gt;=10)*(AV3:AV24&gt;=10)*(AW3:AW24&gt;=10))</x:f>
      </x:c>
      <x:c r="AT25" s="510"/>
      <x:c r="AU25" s="510"/>
      <x:c r="AV25" s="510"/>
      <x:c r="AW25" s="510"/>
      <x:c r="AX25" s="226">
        <x:f>COUNTIF(AX3:AX24,"Да")</x:f>
      </x:c>
      <x:c r="AY25" s="509">
        <x:f>SUMPRODUCT((AY3:AY24&gt;=10)*(AZ3:AZ24&gt;=10)*(BA3:BA24&gt;=10)*(BB3:BB24&gt;=10)*(BC3:BC24&gt;=10))</x:f>
      </x:c>
      <x:c r="AZ25" s="510"/>
      <x:c r="BA25" s="510"/>
      <x:c r="BB25" s="510"/>
      <x:c r="BC25" s="510"/>
      <x:c r="BD25" s="226">
        <x:f>COUNTIF(BD3:BD24,"Да")</x:f>
      </x:c>
      <x:c r="BE25" s="509">
        <x:f>SUMPRODUCT((BE3:BE24&gt;=10)*(BF3:BF24&gt;=10)*(BG3:BG24&gt;=10)*(BH3:BH24&gt;=10)*(BI3:BI24&gt;=10))</x:f>
      </x:c>
      <x:c r="BF25" s="510"/>
      <x:c r="BG25" s="510"/>
      <x:c r="BH25" s="510"/>
      <x:c r="BI25" s="510"/>
      <x:c r="BJ25" s="226">
        <x:f>COUNTIF(BJ3:BJ24,"Да")</x:f>
      </x:c>
      <x:c r="BK25" s="509">
        <x:f>SUMPRODUCT((BK3:BK24&gt;=10)*(BL3:BL24&gt;=10)*(BM3:BM24&gt;=10)*(BN3:BN24&gt;=10)*(BO3:BO24&gt;=10))</x:f>
      </x:c>
      <x:c r="BL25" s="510"/>
      <x:c r="BM25" s="510"/>
      <x:c r="BN25" s="510"/>
      <x:c r="BO25" s="510"/>
      <x:c r="BP25" s="226">
        <x:f>COUNTIF(BP3:BP24,"Да")</x:f>
      </x:c>
      <x:c r="BQ25" s="509">
        <x:f>SUMPRODUCT((BQ3:BQ24&gt;=10)*(BR3:BR24&gt;=10)*(BS3:BS24&gt;=10)*(BT3:BT24&gt;=10)*(BU3:BU24&gt;=10))</x:f>
      </x:c>
      <x:c r="BR25" s="510"/>
      <x:c r="BS25" s="510"/>
      <x:c r="BT25" s="510"/>
      <x:c r="BU25" s="510"/>
      <x:c r="BV25" s="226">
        <x:f>COUNTIF(BV3:BV24,"Да")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5:G25"/>
    <x:mergeCell ref="I25:M25"/>
    <x:mergeCell ref="O25:S25"/>
    <x:mergeCell ref="U25:Y25"/>
    <x:mergeCell ref="AA25:AE25"/>
    <x:mergeCell ref="AG25:AK25"/>
    <x:mergeCell ref="AM25:AQ25"/>
    <x:mergeCell ref="AS25:AW25"/>
    <x:mergeCell ref="AY25:BC25"/>
    <x:mergeCell ref="BE25:BI25"/>
    <x:mergeCell ref="BK25:BO25"/>
    <x:mergeCell ref="BQ25:BU25"/>
  </x:mergeCells>
  <x:conditionalFormatting sqref="C3:BV24">
    <x:cfRule type="containsBlanks" dxfId="8" priority="1">
      <x:formula>LEN(TRIM(C3))=0</x:formula>
    </x:cfRule>
    <x:cfRule type="expression" priority="6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23">
    <x:cfRule type="duplicateValues" dxfId="0" priority="8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V55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9.570312" style="0" customWidth="1"/>
    <x:col min="2" max="2" width="21.710938" style="0" customWidth="1"/>
    <x:col min="3" max="7" width="9.140625" style="0" customWidth="1"/>
    <x:col min="8" max="8" width="10.710938" style="0" customWidth="1"/>
    <x:col min="9" max="13" width="9.140625" style="0" customWidth="1"/>
    <x:col min="14" max="14" width="10.140625" style="0" customWidth="1"/>
    <x:col min="15" max="43" width="9.140625" style="0" customWidth="1"/>
    <x:col min="44" max="44" width="9.855469" style="0" customWidth="1"/>
    <x:col min="45" max="49" width="9.140625" style="0" customWidth="1"/>
    <x:col min="50" max="50" width="9.855469" style="0" customWidth="1"/>
    <x:col min="51" max="74" width="9.140625" style="0" customWidth="1"/>
  </x:cols>
  <x:sheetData>
    <x:row r="1" spans="1:74" ht="28.5" customHeight="1" x14ac:dyDescent="0.3">
      <x:c r="A1" s="22" t="s">
        <x:v>1075</x:v>
      </x:c>
      <x:c r="B1" s="507" t="s">
        <x:v>1099</x:v>
      </x:c>
      <x:c r="C1" s="493" t="s">
        <x:v>1047</x:v>
      </x:c>
      <x:c r="D1" s="494"/>
      <x:c r="E1" s="494"/>
      <x:c r="F1" s="494"/>
      <x:c r="G1" s="494"/>
      <x:c r="H1" s="495"/>
      <x:c r="I1" s="493" t="s">
        <x:v>1048</x:v>
      </x:c>
      <x:c r="J1" s="494"/>
      <x:c r="K1" s="494"/>
      <x:c r="L1" s="494"/>
      <x:c r="M1" s="494"/>
      <x:c r="N1" s="495"/>
      <x:c r="O1" s="493" t="s">
        <x:v>1049</x:v>
      </x:c>
      <x:c r="P1" s="494"/>
      <x:c r="Q1" s="494"/>
      <x:c r="R1" s="494"/>
      <x:c r="S1" s="494"/>
      <x:c r="T1" s="495"/>
      <x:c r="U1" s="493" t="s">
        <x:v>1050</x:v>
      </x:c>
      <x:c r="V1" s="494"/>
      <x:c r="W1" s="494"/>
      <x:c r="X1" s="494"/>
      <x:c r="Y1" s="494"/>
      <x:c r="Z1" s="495"/>
      <x:c r="AA1" s="493" t="s">
        <x:v>1051</x:v>
      </x:c>
      <x:c r="AB1" s="494"/>
      <x:c r="AC1" s="494"/>
      <x:c r="AD1" s="494"/>
      <x:c r="AE1" s="494"/>
      <x:c r="AF1" s="495"/>
      <x:c r="AG1" s="493" t="s">
        <x:v>1052</x:v>
      </x:c>
      <x:c r="AH1" s="494"/>
      <x:c r="AI1" s="494"/>
      <x:c r="AJ1" s="494"/>
      <x:c r="AK1" s="494"/>
      <x:c r="AL1" s="495"/>
      <x:c r="AM1" s="493" t="s">
        <x:v>1053</x:v>
      </x:c>
      <x:c r="AN1" s="494"/>
      <x:c r="AO1" s="494"/>
      <x:c r="AP1" s="494"/>
      <x:c r="AQ1" s="494"/>
      <x:c r="AR1" s="495"/>
      <x:c r="AS1" s="493" t="s">
        <x:v>1054</x:v>
      </x:c>
      <x:c r="AT1" s="494"/>
      <x:c r="AU1" s="494"/>
      <x:c r="AV1" s="494"/>
      <x:c r="AW1" s="494"/>
      <x:c r="AX1" s="495"/>
      <x:c r="AY1" s="493" t="s">
        <x:v>1055</x:v>
      </x:c>
      <x:c r="AZ1" s="494"/>
      <x:c r="BA1" s="494"/>
      <x:c r="BB1" s="494"/>
      <x:c r="BC1" s="494"/>
      <x:c r="BD1" s="495"/>
      <x:c r="BE1" s="493" t="s">
        <x:v>1056</x:v>
      </x:c>
      <x:c r="BF1" s="494"/>
      <x:c r="BG1" s="494"/>
      <x:c r="BH1" s="494"/>
      <x:c r="BI1" s="494"/>
      <x:c r="BJ1" s="495"/>
      <x:c r="BK1" s="493" t="s">
        <x:v>1057</x:v>
      </x:c>
      <x:c r="BL1" s="494"/>
      <x:c r="BM1" s="494"/>
      <x:c r="BN1" s="494"/>
      <x:c r="BO1" s="494"/>
      <x:c r="BP1" s="495"/>
      <x:c r="BQ1" s="493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732</x:v>
      </x:c>
      <x:c r="B3" s="53" t="s">
        <x:v>37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201"/>
      <x:c r="AH3" s="202"/>
      <x:c r="AI3" s="202"/>
      <x:c r="AJ3" s="202"/>
      <x:c r="AK3" s="202"/>
      <x:c r="AL3" s="203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633">
        <x:v>0</x:v>
      </x:c>
      <x:c r="AV3" s="633">
        <x:v>0</x:v>
      </x:c>
      <x:c r="AW3" s="600">
        <x:v>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3" t="s">
        <x:v>726</x:v>
      </x:c>
      <x:c r="B4" s="57" t="s">
        <x:v>23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157"/>
      <x:c r="AH4" s="158"/>
      <x:c r="AI4" s="158"/>
      <x:c r="AJ4" s="158"/>
      <x:c r="AK4" s="158"/>
      <x:c r="AL4" s="197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600">
        <x:v>0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737</x:v>
      </x:c>
      <x:c r="B5" s="57" t="s">
        <x:v>37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157"/>
      <x:c r="AH5" s="158"/>
      <x:c r="AI5" s="158"/>
      <x:c r="AJ5" s="158"/>
      <x:c r="AK5" s="158"/>
      <x:c r="AL5" s="197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600">
        <x:v>0</x:v>
      </x:c>
      <x:c r="AX5" s="585" t="s">
        <x:v>1102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ht="22.5" customHeight="1" x14ac:dyDescent="0.25">
      <x:c r="A6" s="306" t="s">
        <x:v>1118</x:v>
      </x:c>
      <x:c r="B6" s="57"/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157"/>
      <x:c r="AH6" s="158"/>
      <x:c r="AI6" s="158"/>
      <x:c r="AJ6" s="158"/>
      <x:c r="AK6" s="158"/>
      <x:c r="AL6" s="197"/>
      <x:c r="AM6" s="157"/>
      <x:c r="AN6" s="158"/>
      <x:c r="AO6" s="158"/>
      <x:c r="AP6" s="158"/>
      <x:c r="AQ6" s="158"/>
      <x:c r="AR6" s="197"/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ht="22.5" customHeight="1" x14ac:dyDescent="0.25">
      <x:c r="A7" s="79" t="s">
        <x:v>709</x:v>
      </x:c>
      <x:c r="B7" s="57" t="s">
        <x:v>23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157"/>
      <x:c r="AH7" s="158"/>
      <x:c r="AI7" s="158"/>
      <x:c r="AJ7" s="158"/>
      <x:c r="AK7" s="158"/>
      <x:c r="AL7" s="197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600">
        <x:v>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ht="22.5" customHeight="1" x14ac:dyDescent="0.25">
      <x:c r="A8" s="3" t="s">
        <x:v>708</x:v>
      </x:c>
      <x:c r="B8" s="57" t="s">
        <x:v>23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157"/>
      <x:c r="AH8" s="158"/>
      <x:c r="AI8" s="158"/>
      <x:c r="AJ8" s="158"/>
      <x:c r="AK8" s="158"/>
      <x:c r="AL8" s="197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ht="33.75" customHeight="1" x14ac:dyDescent="0.25">
      <x:c r="A9" s="3" t="s">
        <x:v>703</x:v>
      </x:c>
      <x:c r="B9" s="57" t="s">
        <x:v>16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157"/>
      <x:c r="AH9" s="158"/>
      <x:c r="AI9" s="158"/>
      <x:c r="AJ9" s="158"/>
      <x:c r="AK9" s="158"/>
      <x:c r="AL9" s="197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ht="22.5" customHeight="1" x14ac:dyDescent="0.25">
      <x:c r="A10" s="3" t="s">
        <x:v>736</x:v>
      </x:c>
      <x:c r="B10" s="57" t="s">
        <x:v>37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157"/>
      <x:c r="AH10" s="158"/>
      <x:c r="AI10" s="158"/>
      <x:c r="AJ10" s="158"/>
      <x:c r="AK10" s="158"/>
      <x:c r="AL10" s="197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ht="22.5" customHeight="1" x14ac:dyDescent="0.25">
      <x:c r="A11" s="605" t="s">
        <x:v>731</x:v>
      </x:c>
      <x:c r="B11" s="57" t="s">
        <x:v>37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157"/>
      <x:c r="AH11" s="158"/>
      <x:c r="AI11" s="158"/>
      <x:c r="AJ11" s="158"/>
      <x:c r="AK11" s="158"/>
      <x:c r="AL11" s="197"/>
      <x:c r="AM11" s="588">
        <x:v>0</x:v>
      </x:c>
      <x:c r="AN11" s="589">
        <x:v>0</x:v>
      </x:c>
      <x:c r="AO11" s="589">
        <x:v>0</x:v>
      </x:c>
      <x:c r="AP11" s="589">
        <x:v>0</x:v>
      </x:c>
      <x:c r="AQ11" s="589">
        <x:v>0</x:v>
      </x:c>
      <x:c r="AR11" s="591" t="s">
        <x:v>1103</x:v>
      </x:c>
      <x:c r="AS11" s="588">
        <x:v>0</x:v>
      </x:c>
      <x:c r="AT11" s="589">
        <x:v>0</x:v>
      </x:c>
      <x:c r="AU11" s="589">
        <x:v>0</x:v>
      </x:c>
      <x:c r="AV11" s="589">
        <x:v>0</x:v>
      </x:c>
      <x:c r="AW11" s="589">
        <x:v>0</x:v>
      </x:c>
      <x:c r="AX11" s="591" t="s">
        <x:v>1103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ht="22.5" customHeight="1" x14ac:dyDescent="0.25">
      <x:c r="A12" s="3" t="s">
        <x:v>711</x:v>
      </x:c>
      <x:c r="B12" s="57" t="s">
        <x:v>23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157"/>
      <x:c r="AH12" s="158"/>
      <x:c r="AI12" s="158"/>
      <x:c r="AJ12" s="158"/>
      <x:c r="AK12" s="158"/>
      <x:c r="AL12" s="197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ht="22.5" customHeight="1" x14ac:dyDescent="0.25">
      <x:c r="A13" s="143" t="s">
        <x:v>1119</x:v>
      </x:c>
      <x:c r="B13" s="57"/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33"/>
      <x:c r="AB13" s="185"/>
      <x:c r="AC13" s="185"/>
      <x:c r="AD13" s="185"/>
      <x:c r="AE13" s="185"/>
      <x:c r="AF13" s="36"/>
      <x:c r="AG13" s="157"/>
      <x:c r="AH13" s="158"/>
      <x:c r="AI13" s="158"/>
      <x:c r="AJ13" s="158"/>
      <x:c r="AK13" s="158"/>
      <x:c r="AL13" s="197"/>
      <x:c r="AM13" s="157"/>
      <x:c r="AN13" s="158"/>
      <x:c r="AO13" s="158"/>
      <x:c r="AP13" s="158"/>
      <x:c r="AQ13" s="158"/>
      <x:c r="AR13" s="197"/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33"/>
      <x:c r="AZ13" s="185"/>
      <x:c r="BA13" s="185"/>
      <x:c r="BB13" s="185"/>
      <x:c r="BC13" s="185"/>
      <x:c r="BD13" s="36"/>
      <x:c r="BE13" s="33"/>
      <x:c r="BF13" s="185"/>
      <x:c r="BG13" s="185"/>
      <x:c r="BH13" s="185"/>
      <x:c r="BI13" s="185"/>
      <x:c r="BJ13" s="36"/>
      <x:c r="BK13" s="33"/>
      <x:c r="BL13" s="185"/>
      <x:c r="BM13" s="185"/>
      <x:c r="BN13" s="185"/>
      <x:c r="BO13" s="185"/>
      <x:c r="BP13" s="36"/>
      <x:c r="BQ13" s="33"/>
      <x:c r="BR13" s="185"/>
      <x:c r="BS13" s="185"/>
      <x:c r="BT13" s="185"/>
      <x:c r="BU13" s="185"/>
      <x:c r="BV13" s="36"/>
    </x:row>
    <x:row r="14" spans="1:74" ht="22.5" customHeight="1" x14ac:dyDescent="0.25">
      <x:c r="A14" s="3" t="s">
        <x:v>738</x:v>
      </x:c>
      <x:c r="B14" s="57" t="s">
        <x:v>23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33"/>
      <x:c r="AB14" s="185"/>
      <x:c r="AC14" s="185"/>
      <x:c r="AD14" s="185"/>
      <x:c r="AE14" s="185"/>
      <x:c r="AF14" s="36"/>
      <x:c r="AG14" s="157"/>
      <x:c r="AH14" s="158"/>
      <x:c r="AI14" s="158"/>
      <x:c r="AJ14" s="158"/>
      <x:c r="AK14" s="158"/>
      <x:c r="AL14" s="197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620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33"/>
      <x:c r="AZ14" s="185"/>
      <x:c r="BA14" s="185"/>
      <x:c r="BB14" s="185"/>
      <x:c r="BC14" s="185"/>
      <x:c r="BD14" s="36"/>
      <x:c r="BE14" s="33"/>
      <x:c r="BF14" s="185"/>
      <x:c r="BG14" s="185"/>
      <x:c r="BH14" s="185"/>
      <x:c r="BI14" s="185"/>
      <x:c r="BJ14" s="36"/>
      <x:c r="BK14" s="33"/>
      <x:c r="BL14" s="185"/>
      <x:c r="BM14" s="185"/>
      <x:c r="BN14" s="185"/>
      <x:c r="BO14" s="185"/>
      <x:c r="BP14" s="36"/>
      <x:c r="BQ14" s="33"/>
      <x:c r="BR14" s="185"/>
      <x:c r="BS14" s="185"/>
      <x:c r="BT14" s="185"/>
      <x:c r="BU14" s="185"/>
      <x:c r="BV14" s="36"/>
    </x:row>
    <x:row r="15" spans="1:74" ht="22.5" customHeight="1" x14ac:dyDescent="0.25">
      <x:c r="A15" s="3" t="s">
        <x:v>740</x:v>
      </x:c>
      <x:c r="B15" s="57" t="s">
        <x:v>37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33"/>
      <x:c r="AB15" s="185"/>
      <x:c r="AC15" s="185"/>
      <x:c r="AD15" s="185"/>
      <x:c r="AE15" s="185"/>
      <x:c r="AF15" s="36"/>
      <x:c r="AG15" s="157"/>
      <x:c r="AH15" s="158"/>
      <x:c r="AI15" s="158"/>
      <x:c r="AJ15" s="158"/>
      <x:c r="AK15" s="158"/>
      <x:c r="AL15" s="197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80</x:v>
      </x:c>
      <x:c r="AR15" s="620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18</x:v>
      </x:c>
      <x:c r="AW15" s="600">
        <x:v>0</x:v>
      </x:c>
      <x:c r="AX15" s="585" t="s">
        <x:v>1102</x:v>
      </x:c>
      <x:c r="AY15" s="33"/>
      <x:c r="AZ15" s="185"/>
      <x:c r="BA15" s="185"/>
      <x:c r="BB15" s="185"/>
      <x:c r="BC15" s="185"/>
      <x:c r="BD15" s="36"/>
      <x:c r="BE15" s="33"/>
      <x:c r="BF15" s="185"/>
      <x:c r="BG15" s="185"/>
      <x:c r="BH15" s="185"/>
      <x:c r="BI15" s="185"/>
      <x:c r="BJ15" s="36"/>
      <x:c r="BK15" s="33"/>
      <x:c r="BL15" s="185"/>
      <x:c r="BM15" s="185"/>
      <x:c r="BN15" s="185"/>
      <x:c r="BO15" s="185"/>
      <x:c r="BP15" s="36"/>
      <x:c r="BQ15" s="33"/>
      <x:c r="BR15" s="185"/>
      <x:c r="BS15" s="185"/>
      <x:c r="BT15" s="185"/>
      <x:c r="BU15" s="185"/>
      <x:c r="BV15" s="36"/>
    </x:row>
    <x:row r="16" spans="1:74" ht="22.5" customHeight="1" x14ac:dyDescent="0.25">
      <x:c r="A16" s="3" t="s">
        <x:v>717</x:v>
      </x:c>
      <x:c r="B16" s="57" t="s">
        <x:v>23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33"/>
      <x:c r="AB16" s="185"/>
      <x:c r="AC16" s="185"/>
      <x:c r="AD16" s="185"/>
      <x:c r="AE16" s="185"/>
      <x:c r="AF16" s="36"/>
      <x:c r="AG16" s="157"/>
      <x:c r="AH16" s="158"/>
      <x:c r="AI16" s="158"/>
      <x:c r="AJ16" s="158"/>
      <x:c r="AK16" s="158"/>
      <x:c r="AL16" s="197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57">
        <x:v>100</x:v>
      </x:c>
      <x:c r="AT16" s="158">
        <x:v>100</x:v>
      </x:c>
      <x:c r="AU16" s="158">
        <x:v>93</x:v>
      </x:c>
      <x:c r="AV16" s="600">
        <x:v>0</x:v>
      </x:c>
      <x:c r="AW16" s="600">
        <x:v>0</x:v>
      </x:c>
      <x:c r="AX16" s="585" t="s">
        <x:v>1102</x:v>
      </x:c>
      <x:c r="AY16" s="33"/>
      <x:c r="AZ16" s="185"/>
      <x:c r="BA16" s="185"/>
      <x:c r="BB16" s="185"/>
      <x:c r="BC16" s="185"/>
      <x:c r="BD16" s="36"/>
      <x:c r="BE16" s="33"/>
      <x:c r="BF16" s="185"/>
      <x:c r="BG16" s="185"/>
      <x:c r="BH16" s="185"/>
      <x:c r="BI16" s="185"/>
      <x:c r="BJ16" s="36"/>
      <x:c r="BK16" s="33"/>
      <x:c r="BL16" s="185"/>
      <x:c r="BM16" s="185"/>
      <x:c r="BN16" s="185"/>
      <x:c r="BO16" s="185"/>
      <x:c r="BP16" s="36"/>
      <x:c r="BQ16" s="33"/>
      <x:c r="BR16" s="185"/>
      <x:c r="BS16" s="185"/>
      <x:c r="BT16" s="185"/>
      <x:c r="BU16" s="185"/>
      <x:c r="BV16" s="36"/>
    </x:row>
    <x:row r="17" spans="1:74" ht="22.5" customHeight="1" x14ac:dyDescent="0.25">
      <x:c r="A17" s="3" t="s">
        <x:v>730</x:v>
      </x:c>
      <x:c r="B17" s="57" t="s">
        <x:v>23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33"/>
      <x:c r="AB17" s="185"/>
      <x:c r="AC17" s="185"/>
      <x:c r="AD17" s="185"/>
      <x:c r="AE17" s="185"/>
      <x:c r="AF17" s="36"/>
      <x:c r="AG17" s="157"/>
      <x:c r="AH17" s="158"/>
      <x:c r="AI17" s="158"/>
      <x:c r="AJ17" s="158"/>
      <x:c r="AK17" s="158"/>
      <x:c r="AL17" s="197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158">
        <x:v>93</x:v>
      </x:c>
      <x:c r="AX17" s="585" t="s">
        <x:v>1102</x:v>
      </x:c>
      <x:c r="AY17" s="33"/>
      <x:c r="AZ17" s="185"/>
      <x:c r="BA17" s="185"/>
      <x:c r="BB17" s="185"/>
      <x:c r="BC17" s="185"/>
      <x:c r="BD17" s="36"/>
      <x:c r="BE17" s="33"/>
      <x:c r="BF17" s="185"/>
      <x:c r="BG17" s="185"/>
      <x:c r="BH17" s="185"/>
      <x:c r="BI17" s="185"/>
      <x:c r="BJ17" s="36"/>
      <x:c r="BK17" s="33"/>
      <x:c r="BL17" s="185"/>
      <x:c r="BM17" s="185"/>
      <x:c r="BN17" s="185"/>
      <x:c r="BO17" s="185"/>
      <x:c r="BP17" s="36"/>
      <x:c r="BQ17" s="33"/>
      <x:c r="BR17" s="185"/>
      <x:c r="BS17" s="185"/>
      <x:c r="BT17" s="185"/>
      <x:c r="BU17" s="185"/>
      <x:c r="BV17" s="36"/>
    </x:row>
    <x:row r="18" spans="1:74" ht="22.5" customHeight="1" x14ac:dyDescent="0.25">
      <x:c r="A18" s="3" t="s">
        <x:v>706</x:v>
      </x:c>
      <x:c r="B18" s="57" t="s">
        <x:v>23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33"/>
      <x:c r="AB18" s="185"/>
      <x:c r="AC18" s="185"/>
      <x:c r="AD18" s="185"/>
      <x:c r="AE18" s="185"/>
      <x:c r="AF18" s="36"/>
      <x:c r="AG18" s="157"/>
      <x:c r="AH18" s="158"/>
      <x:c r="AI18" s="158"/>
      <x:c r="AJ18" s="158"/>
      <x:c r="AK18" s="158"/>
      <x:c r="AL18" s="197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93</x:v>
      </x:c>
      <x:c r="AR18" s="620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158">
        <x:v>50</x:v>
      </x:c>
      <x:c r="AX18" s="585" t="s">
        <x:v>1102</x:v>
      </x:c>
      <x:c r="AY18" s="33"/>
      <x:c r="AZ18" s="185"/>
      <x:c r="BA18" s="185"/>
      <x:c r="BB18" s="185"/>
      <x:c r="BC18" s="185"/>
      <x:c r="BD18" s="36"/>
      <x:c r="BE18" s="33"/>
      <x:c r="BF18" s="185"/>
      <x:c r="BG18" s="185"/>
      <x:c r="BH18" s="185"/>
      <x:c r="BI18" s="185"/>
      <x:c r="BJ18" s="36"/>
      <x:c r="BK18" s="33"/>
      <x:c r="BL18" s="185"/>
      <x:c r="BM18" s="185"/>
      <x:c r="BN18" s="185"/>
      <x:c r="BO18" s="185"/>
      <x:c r="BP18" s="36"/>
      <x:c r="BQ18" s="33"/>
      <x:c r="BR18" s="185"/>
      <x:c r="BS18" s="185"/>
      <x:c r="BT18" s="185"/>
      <x:c r="BU18" s="185"/>
      <x:c r="BV18" s="36"/>
    </x:row>
    <x:row r="19" spans="1:74" ht="22.5" customHeight="1" x14ac:dyDescent="0.25">
      <x:c r="A19" s="3" t="s">
        <x:v>701</x:v>
      </x:c>
      <x:c r="B19" s="57" t="s">
        <x:v>16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33"/>
      <x:c r="AB19" s="185"/>
      <x:c r="AC19" s="185"/>
      <x:c r="AD19" s="185"/>
      <x:c r="AE19" s="185"/>
      <x:c r="AF19" s="36"/>
      <x:c r="AG19" s="157"/>
      <x:c r="AH19" s="158"/>
      <x:c r="AI19" s="158"/>
      <x:c r="AJ19" s="158"/>
      <x:c r="AK19" s="158"/>
      <x:c r="AL19" s="197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158">
        <x:v>93</x:v>
      </x:c>
      <x:c r="AX19" s="585" t="s">
        <x:v>1102</x:v>
      </x:c>
      <x:c r="AY19" s="33"/>
      <x:c r="AZ19" s="185"/>
      <x:c r="BA19" s="185"/>
      <x:c r="BB19" s="185"/>
      <x:c r="BC19" s="185"/>
      <x:c r="BD19" s="36"/>
      <x:c r="BE19" s="33"/>
      <x:c r="BF19" s="185"/>
      <x:c r="BG19" s="185"/>
      <x:c r="BH19" s="185"/>
      <x:c r="BI19" s="185"/>
      <x:c r="BJ19" s="36"/>
      <x:c r="BK19" s="33"/>
      <x:c r="BL19" s="185"/>
      <x:c r="BM19" s="185"/>
      <x:c r="BN19" s="185"/>
      <x:c r="BO19" s="185"/>
      <x:c r="BP19" s="36"/>
      <x:c r="BQ19" s="33"/>
      <x:c r="BR19" s="185"/>
      <x:c r="BS19" s="185"/>
      <x:c r="BT19" s="185"/>
      <x:c r="BU19" s="185"/>
      <x:c r="BV19" s="36"/>
    </x:row>
    <x:row r="20" spans="1:74" ht="22.5" customHeight="1" x14ac:dyDescent="0.25">
      <x:c r="A20" s="3" t="s">
        <x:v>713</x:v>
      </x:c>
      <x:c r="B20" s="57" t="s">
        <x:v>23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33"/>
      <x:c r="AB20" s="185"/>
      <x:c r="AC20" s="185"/>
      <x:c r="AD20" s="185"/>
      <x:c r="AE20" s="185"/>
      <x:c r="AF20" s="36"/>
      <x:c r="AG20" s="157"/>
      <x:c r="AH20" s="158"/>
      <x:c r="AI20" s="158"/>
      <x:c r="AJ20" s="158"/>
      <x:c r="AK20" s="158"/>
      <x:c r="AL20" s="197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93</x:v>
      </x:c>
      <x:c r="AR20" s="620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33"/>
      <x:c r="AZ20" s="185"/>
      <x:c r="BA20" s="185"/>
      <x:c r="BB20" s="185"/>
      <x:c r="BC20" s="185"/>
      <x:c r="BD20" s="36"/>
      <x:c r="BE20" s="33"/>
      <x:c r="BF20" s="185"/>
      <x:c r="BG20" s="185"/>
      <x:c r="BH20" s="185"/>
      <x:c r="BI20" s="185"/>
      <x:c r="BJ20" s="36"/>
      <x:c r="BK20" s="33"/>
      <x:c r="BL20" s="185"/>
      <x:c r="BM20" s="185"/>
      <x:c r="BN20" s="185"/>
      <x:c r="BO20" s="185"/>
      <x:c r="BP20" s="36"/>
      <x:c r="BQ20" s="33"/>
      <x:c r="BR20" s="185"/>
      <x:c r="BS20" s="185"/>
      <x:c r="BT20" s="185"/>
      <x:c r="BU20" s="185"/>
      <x:c r="BV20" s="36"/>
    </x:row>
    <x:row r="21" spans="1:74" ht="22.5" customHeight="1" x14ac:dyDescent="0.25">
      <x:c r="A21" s="3" t="s">
        <x:v>723</x:v>
      </x:c>
      <x:c r="B21" s="57" t="s">
        <x:v>23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33"/>
      <x:c r="AB21" s="185"/>
      <x:c r="AC21" s="185"/>
      <x:c r="AD21" s="185"/>
      <x:c r="AE21" s="185"/>
      <x:c r="AF21" s="36"/>
      <x:c r="AG21" s="157"/>
      <x:c r="AH21" s="158"/>
      <x:c r="AI21" s="158"/>
      <x:c r="AJ21" s="158"/>
      <x:c r="AK21" s="158"/>
      <x:c r="AL21" s="197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33"/>
      <x:c r="AZ21" s="185"/>
      <x:c r="BA21" s="185"/>
      <x:c r="BB21" s="185"/>
      <x:c r="BC21" s="185"/>
      <x:c r="BD21" s="36"/>
      <x:c r="BE21" s="33"/>
      <x:c r="BF21" s="185"/>
      <x:c r="BG21" s="185"/>
      <x:c r="BH21" s="185"/>
      <x:c r="BI21" s="185"/>
      <x:c r="BJ21" s="36"/>
      <x:c r="BK21" s="33"/>
      <x:c r="BL21" s="185"/>
      <x:c r="BM21" s="185"/>
      <x:c r="BN21" s="185"/>
      <x:c r="BO21" s="185"/>
      <x:c r="BP21" s="36"/>
      <x:c r="BQ21" s="33"/>
      <x:c r="BR21" s="185"/>
      <x:c r="BS21" s="185"/>
      <x:c r="BT21" s="185"/>
      <x:c r="BU21" s="185"/>
      <x:c r="BV21" s="36"/>
    </x:row>
    <x:row r="22" spans="1:74" ht="22.5" customHeight="1" x14ac:dyDescent="0.25">
      <x:c r="A22" s="630" t="s">
        <x:v>724</x:v>
      </x:c>
      <x:c r="B22" s="57" t="s">
        <x:v>23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33"/>
      <x:c r="P22" s="185"/>
      <x:c r="Q22" s="185"/>
      <x:c r="R22" s="185"/>
      <x:c r="S22" s="185"/>
      <x:c r="T22" s="36"/>
      <x:c r="U22" s="33"/>
      <x:c r="V22" s="185"/>
      <x:c r="W22" s="185"/>
      <x:c r="X22" s="185"/>
      <x:c r="Y22" s="185"/>
      <x:c r="Z22" s="36"/>
      <x:c r="AA22" s="33"/>
      <x:c r="AB22" s="185"/>
      <x:c r="AC22" s="185"/>
      <x:c r="AD22" s="185"/>
      <x:c r="AE22" s="185"/>
      <x:c r="AF22" s="36"/>
      <x:c r="AG22" s="157"/>
      <x:c r="AH22" s="158"/>
      <x:c r="AI22" s="158"/>
      <x:c r="AJ22" s="158"/>
      <x:c r="AK22" s="158"/>
      <x:c r="AL22" s="197"/>
      <x:c r="AM22" s="588">
        <x:v>0</x:v>
      </x:c>
      <x:c r="AN22" s="589">
        <x:v>0</x:v>
      </x:c>
      <x:c r="AO22" s="589">
        <x:v>0</x:v>
      </x:c>
      <x:c r="AP22" s="589">
        <x:v>0</x:v>
      </x:c>
      <x:c r="AQ22" s="589">
        <x:v>0</x:v>
      </x:c>
      <x:c r="AR22" s="591" t="s">
        <x:v>1103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33"/>
      <x:c r="AZ22" s="185"/>
      <x:c r="BA22" s="185"/>
      <x:c r="BB22" s="185"/>
      <x:c r="BC22" s="185"/>
      <x:c r="BD22" s="36"/>
      <x:c r="BE22" s="33"/>
      <x:c r="BF22" s="185"/>
      <x:c r="BG22" s="185"/>
      <x:c r="BH22" s="185"/>
      <x:c r="BI22" s="185"/>
      <x:c r="BJ22" s="36"/>
      <x:c r="BK22" s="33"/>
      <x:c r="BL22" s="185"/>
      <x:c r="BM22" s="185"/>
      <x:c r="BN22" s="185"/>
      <x:c r="BO22" s="185"/>
      <x:c r="BP22" s="36"/>
      <x:c r="BQ22" s="33"/>
      <x:c r="BR22" s="185"/>
      <x:c r="BS22" s="185"/>
      <x:c r="BT22" s="185"/>
      <x:c r="BU22" s="185"/>
      <x:c r="BV22" s="36"/>
    </x:row>
    <x:row r="23" spans="1:74" ht="22.5" customHeight="1" x14ac:dyDescent="0.25">
      <x:c r="A23" s="3" t="s">
        <x:v>734</x:v>
      </x:c>
      <x:c r="B23" s="57" t="s">
        <x:v>37</x:v>
      </x:c>
      <x:c r="C23" s="157"/>
      <x:c r="D23" s="158"/>
      <x:c r="E23" s="158"/>
      <x:c r="F23" s="158"/>
      <x:c r="G23" s="158"/>
      <x:c r="H23" s="197"/>
      <x:c r="I23" s="33"/>
      <x:c r="J23" s="185"/>
      <x:c r="K23" s="185"/>
      <x:c r="L23" s="185"/>
      <x:c r="M23" s="185"/>
      <x:c r="N23" s="36"/>
      <x:c r="O23" s="33"/>
      <x:c r="P23" s="185"/>
      <x:c r="Q23" s="185"/>
      <x:c r="R23" s="185"/>
      <x:c r="S23" s="185"/>
      <x:c r="T23" s="36"/>
      <x:c r="U23" s="33"/>
      <x:c r="V23" s="185"/>
      <x:c r="W23" s="185"/>
      <x:c r="X23" s="185"/>
      <x:c r="Y23" s="185"/>
      <x:c r="Z23" s="36"/>
      <x:c r="AA23" s="33"/>
      <x:c r="AB23" s="185"/>
      <x:c r="AC23" s="185"/>
      <x:c r="AD23" s="185"/>
      <x:c r="AE23" s="185"/>
      <x:c r="AF23" s="36"/>
      <x:c r="AG23" s="157"/>
      <x:c r="AH23" s="158"/>
      <x:c r="AI23" s="158"/>
      <x:c r="AJ23" s="158"/>
      <x:c r="AK23" s="158"/>
      <x:c r="AL23" s="197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620" t="s">
        <x:v>1102</x:v>
      </x:c>
      <x:c r="AS23" s="157">
        <x:v>100</x:v>
      </x:c>
      <x:c r="AT23" s="158">
        <x:v>100</x:v>
      </x:c>
      <x:c r="AU23" s="158">
        <x:v>100</x:v>
      </x:c>
      <x:c r="AV23" s="158">
        <x:v>100</x:v>
      </x:c>
      <x:c r="AW23" s="158">
        <x:v>100</x:v>
      </x:c>
      <x:c r="AX23" s="585" t="s">
        <x:v>1102</x:v>
      </x:c>
      <x:c r="AY23" s="33"/>
      <x:c r="AZ23" s="185"/>
      <x:c r="BA23" s="185"/>
      <x:c r="BB23" s="185"/>
      <x:c r="BC23" s="185"/>
      <x:c r="BD23" s="36"/>
      <x:c r="BE23" s="33"/>
      <x:c r="BF23" s="185"/>
      <x:c r="BG23" s="185"/>
      <x:c r="BH23" s="185"/>
      <x:c r="BI23" s="185"/>
      <x:c r="BJ23" s="36"/>
      <x:c r="BK23" s="33"/>
      <x:c r="BL23" s="185"/>
      <x:c r="BM23" s="185"/>
      <x:c r="BN23" s="185"/>
      <x:c r="BO23" s="185"/>
      <x:c r="BP23" s="36"/>
      <x:c r="BQ23" s="33"/>
      <x:c r="BR23" s="185"/>
      <x:c r="BS23" s="185"/>
      <x:c r="BT23" s="185"/>
      <x:c r="BU23" s="185"/>
      <x:c r="BV23" s="36"/>
    </x:row>
    <x:row r="24" spans="1:74" ht="22.5" customHeight="1" x14ac:dyDescent="0.25">
      <x:c r="A24" s="606" t="s">
        <x:v>698</x:v>
      </x:c>
      <x:c r="B24" s="57" t="s">
        <x:v>14</x:v>
      </x:c>
      <x:c r="C24" s="157"/>
      <x:c r="D24" s="158"/>
      <x:c r="E24" s="158"/>
      <x:c r="F24" s="158"/>
      <x:c r="G24" s="158"/>
      <x:c r="H24" s="197"/>
      <x:c r="I24" s="33"/>
      <x:c r="J24" s="185"/>
      <x:c r="K24" s="185"/>
      <x:c r="L24" s="185"/>
      <x:c r="M24" s="185"/>
      <x:c r="N24" s="36"/>
      <x:c r="O24" s="33"/>
      <x:c r="P24" s="185"/>
      <x:c r="Q24" s="185"/>
      <x:c r="R24" s="185"/>
      <x:c r="S24" s="185"/>
      <x:c r="T24" s="36"/>
      <x:c r="U24" s="33"/>
      <x:c r="V24" s="185"/>
      <x:c r="W24" s="185"/>
      <x:c r="X24" s="185"/>
      <x:c r="Y24" s="185"/>
      <x:c r="Z24" s="36"/>
      <x:c r="AA24" s="33"/>
      <x:c r="AB24" s="185"/>
      <x:c r="AC24" s="185"/>
      <x:c r="AD24" s="185"/>
      <x:c r="AE24" s="185"/>
      <x:c r="AF24" s="36"/>
      <x:c r="AG24" s="157"/>
      <x:c r="AH24" s="158"/>
      <x:c r="AI24" s="158"/>
      <x:c r="AJ24" s="158"/>
      <x:c r="AK24" s="158"/>
      <x:c r="AL24" s="197"/>
      <x:c r="AM24" s="157">
        <x:v>100</x:v>
      </x:c>
      <x:c r="AN24" s="158">
        <x:v>100</x:v>
      </x:c>
      <x:c r="AO24" s="158">
        <x:v>100</x:v>
      </x:c>
      <x:c r="AP24" s="158">
        <x:v>100</x:v>
      </x:c>
      <x:c r="AQ24" s="158">
        <x:v>100</x:v>
      </x:c>
      <x:c r="AR24" s="620" t="s">
        <x:v>1102</x:v>
      </x:c>
      <x:c r="AS24" s="157">
        <x:v>100</x:v>
      </x:c>
      <x:c r="AT24" s="158">
        <x:v>100</x:v>
      </x:c>
      <x:c r="AU24" s="158">
        <x:v>100</x:v>
      </x:c>
      <x:c r="AV24" s="158">
        <x:v>100</x:v>
      </x:c>
      <x:c r="AW24" s="158">
        <x:v>100</x:v>
      </x:c>
      <x:c r="AX24" s="585" t="s">
        <x:v>1102</x:v>
      </x:c>
      <x:c r="AY24" s="33"/>
      <x:c r="AZ24" s="185"/>
      <x:c r="BA24" s="185"/>
      <x:c r="BB24" s="185"/>
      <x:c r="BC24" s="185"/>
      <x:c r="BD24" s="36"/>
      <x:c r="BE24" s="33"/>
      <x:c r="BF24" s="185"/>
      <x:c r="BG24" s="185"/>
      <x:c r="BH24" s="185"/>
      <x:c r="BI24" s="185"/>
      <x:c r="BJ24" s="36"/>
      <x:c r="BK24" s="33"/>
      <x:c r="BL24" s="185"/>
      <x:c r="BM24" s="185"/>
      <x:c r="BN24" s="185"/>
      <x:c r="BO24" s="185"/>
      <x:c r="BP24" s="36"/>
      <x:c r="BQ24" s="33"/>
      <x:c r="BR24" s="185"/>
      <x:c r="BS24" s="185"/>
      <x:c r="BT24" s="185"/>
      <x:c r="BU24" s="185"/>
      <x:c r="BV24" s="36"/>
    </x:row>
    <x:row r="25" spans="1:74" ht="22.5" customHeight="1" x14ac:dyDescent="0.25">
      <x:c r="A25" s="605" t="s">
        <x:v>735</x:v>
      </x:c>
      <x:c r="B25" s="57" t="s">
        <x:v>37</x:v>
      </x:c>
      <x:c r="C25" s="157"/>
      <x:c r="D25" s="158"/>
      <x:c r="E25" s="158"/>
      <x:c r="F25" s="158"/>
      <x:c r="G25" s="158"/>
      <x:c r="H25" s="197"/>
      <x:c r="I25" s="33"/>
      <x:c r="J25" s="185"/>
      <x:c r="K25" s="185"/>
      <x:c r="L25" s="185"/>
      <x:c r="M25" s="185"/>
      <x:c r="N25" s="36"/>
      <x:c r="O25" s="33"/>
      <x:c r="P25" s="185"/>
      <x:c r="Q25" s="185"/>
      <x:c r="R25" s="185"/>
      <x:c r="S25" s="185"/>
      <x:c r="T25" s="36"/>
      <x:c r="U25" s="33"/>
      <x:c r="V25" s="185"/>
      <x:c r="W25" s="185"/>
      <x:c r="X25" s="185"/>
      <x:c r="Y25" s="185"/>
      <x:c r="Z25" s="36"/>
      <x:c r="AA25" s="33"/>
      <x:c r="AB25" s="185"/>
      <x:c r="AC25" s="185"/>
      <x:c r="AD25" s="185"/>
      <x:c r="AE25" s="185"/>
      <x:c r="AF25" s="36"/>
      <x:c r="AG25" s="157"/>
      <x:c r="AH25" s="158"/>
      <x:c r="AI25" s="158"/>
      <x:c r="AJ25" s="158"/>
      <x:c r="AK25" s="158"/>
      <x:c r="AL25" s="197"/>
      <x:c r="AM25" s="588">
        <x:v>0</x:v>
      </x:c>
      <x:c r="AN25" s="589">
        <x:v>0</x:v>
      </x:c>
      <x:c r="AO25" s="589">
        <x:v>0</x:v>
      </x:c>
      <x:c r="AP25" s="589">
        <x:v>0</x:v>
      </x:c>
      <x:c r="AQ25" s="589">
        <x:v>0</x:v>
      </x:c>
      <x:c r="AR25" s="591" t="s">
        <x:v>1103</x:v>
      </x:c>
      <x:c r="AS25" s="588">
        <x:v>0</x:v>
      </x:c>
      <x:c r="AT25" s="589">
        <x:v>0</x:v>
      </x:c>
      <x:c r="AU25" s="589">
        <x:v>0</x:v>
      </x:c>
      <x:c r="AV25" s="589">
        <x:v>0</x:v>
      </x:c>
      <x:c r="AW25" s="589">
        <x:v>0</x:v>
      </x:c>
      <x:c r="AX25" s="591" t="s">
        <x:v>1103</x:v>
      </x:c>
      <x:c r="AY25" s="33"/>
      <x:c r="AZ25" s="185"/>
      <x:c r="BA25" s="185"/>
      <x:c r="BB25" s="185"/>
      <x:c r="BC25" s="185"/>
      <x:c r="BD25" s="36"/>
      <x:c r="BE25" s="33"/>
      <x:c r="BF25" s="185"/>
      <x:c r="BG25" s="185"/>
      <x:c r="BH25" s="185"/>
      <x:c r="BI25" s="185"/>
      <x:c r="BJ25" s="36"/>
      <x:c r="BK25" s="33"/>
      <x:c r="BL25" s="185"/>
      <x:c r="BM25" s="185"/>
      <x:c r="BN25" s="185"/>
      <x:c r="BO25" s="185"/>
      <x:c r="BP25" s="36"/>
      <x:c r="BQ25" s="33"/>
      <x:c r="BR25" s="185"/>
      <x:c r="BS25" s="185"/>
      <x:c r="BT25" s="185"/>
      <x:c r="BU25" s="185"/>
      <x:c r="BV25" s="36"/>
    </x:row>
    <x:row r="26" spans="1:74" ht="22.5" customHeight="1" x14ac:dyDescent="0.25">
      <x:c r="A26" s="3" t="s">
        <x:v>733</x:v>
      </x:c>
      <x:c r="B26" s="57" t="s">
        <x:v>37</x:v>
      </x:c>
      <x:c r="C26" s="157"/>
      <x:c r="D26" s="158"/>
      <x:c r="E26" s="158"/>
      <x:c r="F26" s="158"/>
      <x:c r="G26" s="158"/>
      <x:c r="H26" s="197"/>
      <x:c r="I26" s="33"/>
      <x:c r="J26" s="185"/>
      <x:c r="K26" s="185"/>
      <x:c r="L26" s="185"/>
      <x:c r="M26" s="185"/>
      <x:c r="N26" s="36"/>
      <x:c r="O26" s="33"/>
      <x:c r="P26" s="185"/>
      <x:c r="Q26" s="185"/>
      <x:c r="R26" s="185"/>
      <x:c r="S26" s="185"/>
      <x:c r="T26" s="36"/>
      <x:c r="U26" s="33"/>
      <x:c r="V26" s="185"/>
      <x:c r="W26" s="185"/>
      <x:c r="X26" s="185"/>
      <x:c r="Y26" s="185"/>
      <x:c r="Z26" s="36"/>
      <x:c r="AA26" s="33"/>
      <x:c r="AB26" s="185"/>
      <x:c r="AC26" s="185"/>
      <x:c r="AD26" s="185"/>
      <x:c r="AE26" s="185"/>
      <x:c r="AF26" s="36"/>
      <x:c r="AG26" s="157"/>
      <x:c r="AH26" s="158"/>
      <x:c r="AI26" s="158"/>
      <x:c r="AJ26" s="158"/>
      <x:c r="AK26" s="158"/>
      <x:c r="AL26" s="197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620" t="s">
        <x:v>1102</x:v>
      </x:c>
      <x:c r="AS26" s="157">
        <x:v>100</x:v>
      </x:c>
      <x:c r="AT26" s="158">
        <x:v>100</x:v>
      </x:c>
      <x:c r="AU26" s="158">
        <x:v>100</x:v>
      </x:c>
      <x:c r="AV26" s="158">
        <x:v>100</x:v>
      </x:c>
      <x:c r="AW26" s="158">
        <x:v>100</x:v>
      </x:c>
      <x:c r="AX26" s="585" t="s">
        <x:v>1102</x:v>
      </x:c>
      <x:c r="AY26" s="33"/>
      <x:c r="AZ26" s="185"/>
      <x:c r="BA26" s="185"/>
      <x:c r="BB26" s="185"/>
      <x:c r="BC26" s="185"/>
      <x:c r="BD26" s="36"/>
      <x:c r="BE26" s="33"/>
      <x:c r="BF26" s="185"/>
      <x:c r="BG26" s="185"/>
      <x:c r="BH26" s="185"/>
      <x:c r="BI26" s="185"/>
      <x:c r="BJ26" s="36"/>
      <x:c r="BK26" s="33"/>
      <x:c r="BL26" s="185"/>
      <x:c r="BM26" s="185"/>
      <x:c r="BN26" s="185"/>
      <x:c r="BO26" s="185"/>
      <x:c r="BP26" s="36"/>
      <x:c r="BQ26" s="33"/>
      <x:c r="BR26" s="185"/>
      <x:c r="BS26" s="185"/>
      <x:c r="BT26" s="185"/>
      <x:c r="BU26" s="185"/>
      <x:c r="BV26" s="36"/>
    </x:row>
    <x:row r="27" spans="1:74" ht="22.5" customHeight="1" x14ac:dyDescent="0.25">
      <x:c r="A27" s="3" t="s">
        <x:v>712</x:v>
      </x:c>
      <x:c r="B27" s="57" t="s">
        <x:v>23</x:v>
      </x:c>
      <x:c r="C27" s="157"/>
      <x:c r="D27" s="158"/>
      <x:c r="E27" s="158"/>
      <x:c r="F27" s="158"/>
      <x:c r="G27" s="158"/>
      <x:c r="H27" s="197"/>
      <x:c r="I27" s="33"/>
      <x:c r="J27" s="185"/>
      <x:c r="K27" s="185"/>
      <x:c r="L27" s="185"/>
      <x:c r="M27" s="185"/>
      <x:c r="N27" s="36"/>
      <x:c r="O27" s="33"/>
      <x:c r="P27" s="185"/>
      <x:c r="Q27" s="185"/>
      <x:c r="R27" s="185"/>
      <x:c r="S27" s="185"/>
      <x:c r="T27" s="36"/>
      <x:c r="U27" s="33"/>
      <x:c r="V27" s="185"/>
      <x:c r="W27" s="185"/>
      <x:c r="X27" s="185"/>
      <x:c r="Y27" s="185"/>
      <x:c r="Z27" s="36"/>
      <x:c r="AA27" s="33"/>
      <x:c r="AB27" s="185"/>
      <x:c r="AC27" s="185"/>
      <x:c r="AD27" s="185"/>
      <x:c r="AE27" s="185"/>
      <x:c r="AF27" s="36"/>
      <x:c r="AG27" s="157"/>
      <x:c r="AH27" s="158"/>
      <x:c r="AI27" s="158"/>
      <x:c r="AJ27" s="158"/>
      <x:c r="AK27" s="158"/>
      <x:c r="AL27" s="197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620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158">
        <x:v>25</x:v>
      </x:c>
      <x:c r="AX27" s="585" t="s">
        <x:v>1102</x:v>
      </x:c>
      <x:c r="AY27" s="33"/>
      <x:c r="AZ27" s="185"/>
      <x:c r="BA27" s="185"/>
      <x:c r="BB27" s="185"/>
      <x:c r="BC27" s="185"/>
      <x:c r="BD27" s="36"/>
      <x:c r="BE27" s="33"/>
      <x:c r="BF27" s="185"/>
      <x:c r="BG27" s="185"/>
      <x:c r="BH27" s="185"/>
      <x:c r="BI27" s="185"/>
      <x:c r="BJ27" s="36"/>
      <x:c r="BK27" s="33"/>
      <x:c r="BL27" s="185"/>
      <x:c r="BM27" s="185"/>
      <x:c r="BN27" s="185"/>
      <x:c r="BO27" s="185"/>
      <x:c r="BP27" s="36"/>
      <x:c r="BQ27" s="33"/>
      <x:c r="BR27" s="185"/>
      <x:c r="BS27" s="185"/>
      <x:c r="BT27" s="185"/>
      <x:c r="BU27" s="185"/>
      <x:c r="BV27" s="36"/>
    </x:row>
    <x:row r="28" spans="1:74" ht="22.5" customHeight="1" x14ac:dyDescent="0.25">
      <x:c r="A28" s="3" t="s">
        <x:v>719</x:v>
      </x:c>
      <x:c r="B28" s="57" t="s">
        <x:v>23</x:v>
      </x:c>
      <x:c r="C28" s="157"/>
      <x:c r="D28" s="158"/>
      <x:c r="E28" s="158"/>
      <x:c r="F28" s="158"/>
      <x:c r="G28" s="158"/>
      <x:c r="H28" s="197"/>
      <x:c r="I28" s="33"/>
      <x:c r="J28" s="185"/>
      <x:c r="K28" s="185"/>
      <x:c r="L28" s="185"/>
      <x:c r="M28" s="185"/>
      <x:c r="N28" s="36"/>
      <x:c r="O28" s="33"/>
      <x:c r="P28" s="185"/>
      <x:c r="Q28" s="185"/>
      <x:c r="R28" s="185"/>
      <x:c r="S28" s="185"/>
      <x:c r="T28" s="36"/>
      <x:c r="U28" s="33"/>
      <x:c r="V28" s="185"/>
      <x:c r="W28" s="185"/>
      <x:c r="X28" s="185"/>
      <x:c r="Y28" s="185"/>
      <x:c r="Z28" s="36"/>
      <x:c r="AA28" s="33"/>
      <x:c r="AB28" s="185"/>
      <x:c r="AC28" s="185"/>
      <x:c r="AD28" s="185"/>
      <x:c r="AE28" s="185"/>
      <x:c r="AF28" s="36"/>
      <x:c r="AG28" s="157"/>
      <x:c r="AH28" s="158"/>
      <x:c r="AI28" s="158"/>
      <x:c r="AJ28" s="158"/>
      <x:c r="AK28" s="158"/>
      <x:c r="AL28" s="197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620" t="s">
        <x:v>1102</x:v>
      </x:c>
      <x:c r="AS28" s="157">
        <x:v>100</x:v>
      </x:c>
      <x:c r="AT28" s="158">
        <x:v>100</x:v>
      </x:c>
      <x:c r="AU28" s="158">
        <x:v>100</x:v>
      </x:c>
      <x:c r="AV28" s="158">
        <x:v>100</x:v>
      </x:c>
      <x:c r="AW28" s="158">
        <x:v>100</x:v>
      </x:c>
      <x:c r="AX28" s="585" t="s">
        <x:v>1102</x:v>
      </x:c>
      <x:c r="AY28" s="33"/>
      <x:c r="AZ28" s="185"/>
      <x:c r="BA28" s="185"/>
      <x:c r="BB28" s="185"/>
      <x:c r="BC28" s="185"/>
      <x:c r="BD28" s="36"/>
      <x:c r="BE28" s="33"/>
      <x:c r="BF28" s="185"/>
      <x:c r="BG28" s="185"/>
      <x:c r="BH28" s="185"/>
      <x:c r="BI28" s="185"/>
      <x:c r="BJ28" s="36"/>
      <x:c r="BK28" s="33"/>
      <x:c r="BL28" s="185"/>
      <x:c r="BM28" s="185"/>
      <x:c r="BN28" s="185"/>
      <x:c r="BO28" s="185"/>
      <x:c r="BP28" s="36"/>
      <x:c r="BQ28" s="33"/>
      <x:c r="BR28" s="185"/>
      <x:c r="BS28" s="185"/>
      <x:c r="BT28" s="185"/>
      <x:c r="BU28" s="185"/>
      <x:c r="BV28" s="36"/>
    </x:row>
    <x:row r="29" spans="1:74" ht="22.5" customHeight="1" x14ac:dyDescent="0.25">
      <x:c r="A29" s="3" t="s">
        <x:v>704</x:v>
      </x:c>
      <x:c r="B29" s="57" t="s">
        <x:v>16</x:v>
      </x:c>
      <x:c r="C29" s="157"/>
      <x:c r="D29" s="158"/>
      <x:c r="E29" s="158"/>
      <x:c r="F29" s="158"/>
      <x:c r="G29" s="158"/>
      <x:c r="H29" s="197"/>
      <x:c r="I29" s="33"/>
      <x:c r="J29" s="185"/>
      <x:c r="K29" s="185"/>
      <x:c r="L29" s="185"/>
      <x:c r="M29" s="185"/>
      <x:c r="N29" s="36"/>
      <x:c r="O29" s="33"/>
      <x:c r="P29" s="185"/>
      <x:c r="Q29" s="185"/>
      <x:c r="R29" s="185"/>
      <x:c r="S29" s="185"/>
      <x:c r="T29" s="36"/>
      <x:c r="U29" s="33"/>
      <x:c r="V29" s="185"/>
      <x:c r="W29" s="185"/>
      <x:c r="X29" s="185"/>
      <x:c r="Y29" s="185"/>
      <x:c r="Z29" s="36"/>
      <x:c r="AA29" s="33"/>
      <x:c r="AB29" s="185"/>
      <x:c r="AC29" s="185"/>
      <x:c r="AD29" s="185"/>
      <x:c r="AE29" s="185"/>
      <x:c r="AF29" s="36"/>
      <x:c r="AG29" s="157"/>
      <x:c r="AH29" s="158"/>
      <x:c r="AI29" s="158"/>
      <x:c r="AJ29" s="158"/>
      <x:c r="AK29" s="158"/>
      <x:c r="AL29" s="197"/>
      <x:c r="AM29" s="157">
        <x:v>100</x:v>
      </x:c>
      <x:c r="AN29" s="158">
        <x:v>100</x:v>
      </x:c>
      <x:c r="AO29" s="158">
        <x:v>100</x:v>
      </x:c>
      <x:c r="AP29" s="158">
        <x:v>100</x:v>
      </x:c>
      <x:c r="AQ29" s="623">
        <x:v>7</x:v>
      </x:c>
      <x:c r="AR29" s="620" t="s">
        <x:v>1102</x:v>
      </x:c>
      <x:c r="AS29" s="157">
        <x:v>100</x:v>
      </x:c>
      <x:c r="AT29" s="158">
        <x:v>100</x:v>
      </x:c>
      <x:c r="AU29" s="158">
        <x:v>100</x:v>
      </x:c>
      <x:c r="AV29" s="158">
        <x:v>100</x:v>
      </x:c>
      <x:c r="AW29" s="158">
        <x:v>20</x:v>
      </x:c>
      <x:c r="AX29" s="585" t="s">
        <x:v>1102</x:v>
      </x:c>
      <x:c r="AY29" s="33"/>
      <x:c r="AZ29" s="185"/>
      <x:c r="BA29" s="185"/>
      <x:c r="BB29" s="185"/>
      <x:c r="BC29" s="185"/>
      <x:c r="BD29" s="36"/>
      <x:c r="BE29" s="33"/>
      <x:c r="BF29" s="185"/>
      <x:c r="BG29" s="185"/>
      <x:c r="BH29" s="185"/>
      <x:c r="BI29" s="185"/>
      <x:c r="BJ29" s="36"/>
      <x:c r="BK29" s="33"/>
      <x:c r="BL29" s="185"/>
      <x:c r="BM29" s="185"/>
      <x:c r="BN29" s="185"/>
      <x:c r="BO29" s="185"/>
      <x:c r="BP29" s="36"/>
      <x:c r="BQ29" s="33"/>
      <x:c r="BR29" s="185"/>
      <x:c r="BS29" s="185"/>
      <x:c r="BT29" s="185"/>
      <x:c r="BU29" s="185"/>
      <x:c r="BV29" s="36"/>
    </x:row>
    <x:row r="30" spans="1:74" ht="22.5" customHeight="1" x14ac:dyDescent="0.25">
      <x:c r="A30" s="634" t="s">
        <x:v>1120</x:v>
      </x:c>
      <x:c r="B30" s="57"/>
      <x:c r="C30" s="157"/>
      <x:c r="D30" s="158"/>
      <x:c r="E30" s="158"/>
      <x:c r="F30" s="158"/>
      <x:c r="G30" s="158"/>
      <x:c r="H30" s="197"/>
      <x:c r="I30" s="33"/>
      <x:c r="J30" s="185"/>
      <x:c r="K30" s="185"/>
      <x:c r="L30" s="185"/>
      <x:c r="M30" s="185"/>
      <x:c r="N30" s="36"/>
      <x:c r="O30" s="33"/>
      <x:c r="P30" s="185"/>
      <x:c r="Q30" s="185"/>
      <x:c r="R30" s="185"/>
      <x:c r="S30" s="185"/>
      <x:c r="T30" s="36"/>
      <x:c r="U30" s="33"/>
      <x:c r="V30" s="185"/>
      <x:c r="W30" s="185"/>
      <x:c r="X30" s="185"/>
      <x:c r="Y30" s="185"/>
      <x:c r="Z30" s="36"/>
      <x:c r="AA30" s="33"/>
      <x:c r="AB30" s="185"/>
      <x:c r="AC30" s="185"/>
      <x:c r="AD30" s="185"/>
      <x:c r="AE30" s="185"/>
      <x:c r="AF30" s="36"/>
      <x:c r="AG30" s="157"/>
      <x:c r="AH30" s="158"/>
      <x:c r="AI30" s="158"/>
      <x:c r="AJ30" s="158"/>
      <x:c r="AK30" s="158"/>
      <x:c r="AL30" s="197"/>
      <x:c r="AM30" s="157"/>
      <x:c r="AN30" s="158"/>
      <x:c r="AO30" s="158"/>
      <x:c r="AP30" s="158"/>
      <x:c r="AQ30" s="158"/>
      <x:c r="AR30" s="197"/>
      <x:c r="AS30" s="157">
        <x:v>100</x:v>
      </x:c>
      <x:c r="AT30" s="158">
        <x:v>100</x:v>
      </x:c>
      <x:c r="AU30" s="158">
        <x:v>100</x:v>
      </x:c>
      <x:c r="AV30" s="158">
        <x:v>100</x:v>
      </x:c>
      <x:c r="AW30" s="158">
        <x:v>100</x:v>
      </x:c>
      <x:c r="AX30" s="585" t="s">
        <x:v>1102</x:v>
      </x:c>
      <x:c r="AY30" s="33"/>
      <x:c r="AZ30" s="185"/>
      <x:c r="BA30" s="185"/>
      <x:c r="BB30" s="185"/>
      <x:c r="BC30" s="185"/>
      <x:c r="BD30" s="36"/>
      <x:c r="BE30" s="33"/>
      <x:c r="BF30" s="185"/>
      <x:c r="BG30" s="185"/>
      <x:c r="BH30" s="185"/>
      <x:c r="BI30" s="185"/>
      <x:c r="BJ30" s="36"/>
      <x:c r="BK30" s="33"/>
      <x:c r="BL30" s="185"/>
      <x:c r="BM30" s="185"/>
      <x:c r="BN30" s="185"/>
      <x:c r="BO30" s="185"/>
      <x:c r="BP30" s="36"/>
      <x:c r="BQ30" s="33"/>
      <x:c r="BR30" s="185"/>
      <x:c r="BS30" s="185"/>
      <x:c r="BT30" s="185"/>
      <x:c r="BU30" s="185"/>
      <x:c r="BV30" s="36"/>
    </x:row>
    <x:row r="31" spans="1:74" ht="22.5" customHeight="1" x14ac:dyDescent="0.25">
      <x:c r="A31" s="635" t="s">
        <x:v>1121</x:v>
      </x:c>
      <x:c r="B31" s="57" t="s">
        <x:v>23</x:v>
      </x:c>
      <x:c r="C31" s="157"/>
      <x:c r="D31" s="158"/>
      <x:c r="E31" s="158"/>
      <x:c r="F31" s="158"/>
      <x:c r="G31" s="158"/>
      <x:c r="H31" s="197"/>
      <x:c r="I31" s="33"/>
      <x:c r="J31" s="185"/>
      <x:c r="K31" s="185"/>
      <x:c r="L31" s="185"/>
      <x:c r="M31" s="185"/>
      <x:c r="N31" s="36"/>
      <x:c r="O31" s="33"/>
      <x:c r="P31" s="185"/>
      <x:c r="Q31" s="185"/>
      <x:c r="R31" s="185"/>
      <x:c r="S31" s="185"/>
      <x:c r="T31" s="36"/>
      <x:c r="U31" s="33"/>
      <x:c r="V31" s="185"/>
      <x:c r="W31" s="185"/>
      <x:c r="X31" s="185"/>
      <x:c r="Y31" s="185"/>
      <x:c r="Z31" s="36"/>
      <x:c r="AA31" s="33"/>
      <x:c r="AB31" s="185"/>
      <x:c r="AC31" s="185"/>
      <x:c r="AD31" s="185"/>
      <x:c r="AE31" s="185"/>
      <x:c r="AF31" s="36"/>
      <x:c r="AG31" s="157"/>
      <x:c r="AH31" s="158"/>
      <x:c r="AI31" s="158"/>
      <x:c r="AJ31" s="158"/>
      <x:c r="AK31" s="158"/>
      <x:c r="AL31" s="197"/>
      <x:c r="AM31" s="157">
        <x:v>100</x:v>
      </x:c>
      <x:c r="AN31" s="158">
        <x:v>100</x:v>
      </x:c>
      <x:c r="AO31" s="158">
        <x:v>100</x:v>
      </x:c>
      <x:c r="AP31" s="158">
        <x:v>100</x:v>
      </x:c>
      <x:c r="AQ31" s="158">
        <x:v>100</x:v>
      </x:c>
      <x:c r="AR31" s="620" t="s">
        <x:v>1102</x:v>
      </x:c>
      <x:c r="AS31" s="588">
        <x:v>0</x:v>
      </x:c>
      <x:c r="AT31" s="589">
        <x:v>0</x:v>
      </x:c>
      <x:c r="AU31" s="589">
        <x:v>0</x:v>
      </x:c>
      <x:c r="AV31" s="589">
        <x:v>0</x:v>
      </x:c>
      <x:c r="AW31" s="589">
        <x:v>0</x:v>
      </x:c>
      <x:c r="AX31" s="591" t="s">
        <x:v>1103</x:v>
      </x:c>
      <x:c r="AY31" s="33"/>
      <x:c r="AZ31" s="185"/>
      <x:c r="BA31" s="185"/>
      <x:c r="BB31" s="185"/>
      <x:c r="BC31" s="185"/>
      <x:c r="BD31" s="36"/>
      <x:c r="BE31" s="33"/>
      <x:c r="BF31" s="185"/>
      <x:c r="BG31" s="185"/>
      <x:c r="BH31" s="185"/>
      <x:c r="BI31" s="185"/>
      <x:c r="BJ31" s="36"/>
      <x:c r="BK31" s="33"/>
      <x:c r="BL31" s="185"/>
      <x:c r="BM31" s="185"/>
      <x:c r="BN31" s="185"/>
      <x:c r="BO31" s="185"/>
      <x:c r="BP31" s="36"/>
      <x:c r="BQ31" s="33"/>
      <x:c r="BR31" s="185"/>
      <x:c r="BS31" s="185"/>
      <x:c r="BT31" s="185"/>
      <x:c r="BU31" s="185"/>
      <x:c r="BV31" s="36"/>
    </x:row>
    <x:row r="32" spans="1:74" ht="22.5" customHeight="1" x14ac:dyDescent="0.25">
      <x:c r="A32" s="3" t="s">
        <x:v>715</x:v>
      </x:c>
      <x:c r="B32" s="57" t="s">
        <x:v>23</x:v>
      </x:c>
      <x:c r="C32" s="157"/>
      <x:c r="D32" s="158"/>
      <x:c r="E32" s="158"/>
      <x:c r="F32" s="158"/>
      <x:c r="G32" s="158"/>
      <x:c r="H32" s="197"/>
      <x:c r="I32" s="33"/>
      <x:c r="J32" s="185"/>
      <x:c r="K32" s="185"/>
      <x:c r="L32" s="185"/>
      <x:c r="M32" s="185"/>
      <x:c r="N32" s="36"/>
      <x:c r="O32" s="33"/>
      <x:c r="P32" s="185"/>
      <x:c r="Q32" s="185"/>
      <x:c r="R32" s="185"/>
      <x:c r="S32" s="185"/>
      <x:c r="T32" s="36"/>
      <x:c r="U32" s="33"/>
      <x:c r="V32" s="185"/>
      <x:c r="W32" s="185"/>
      <x:c r="X32" s="185"/>
      <x:c r="Y32" s="185"/>
      <x:c r="Z32" s="36"/>
      <x:c r="AA32" s="33"/>
      <x:c r="AB32" s="185"/>
      <x:c r="AC32" s="185"/>
      <x:c r="AD32" s="185"/>
      <x:c r="AE32" s="185"/>
      <x:c r="AF32" s="36"/>
      <x:c r="AG32" s="157"/>
      <x:c r="AH32" s="158"/>
      <x:c r="AI32" s="158"/>
      <x:c r="AJ32" s="158"/>
      <x:c r="AK32" s="158"/>
      <x:c r="AL32" s="197"/>
      <x:c r="AM32" s="157">
        <x:v>100</x:v>
      </x:c>
      <x:c r="AN32" s="158">
        <x:v>100</x:v>
      </x:c>
      <x:c r="AO32" s="158">
        <x:v>100</x:v>
      </x:c>
      <x:c r="AP32" s="158">
        <x:v>100</x:v>
      </x:c>
      <x:c r="AQ32" s="158">
        <x:v>100</x:v>
      </x:c>
      <x:c r="AR32" s="620" t="s">
        <x:v>1102</x:v>
      </x:c>
      <x:c r="AS32" s="157">
        <x:v>100</x:v>
      </x:c>
      <x:c r="AT32" s="158">
        <x:v>100</x:v>
      </x:c>
      <x:c r="AU32" s="158">
        <x:v>100</x:v>
      </x:c>
      <x:c r="AV32" s="158">
        <x:v>100</x:v>
      </x:c>
      <x:c r="AW32" s="158">
        <x:v>93</x:v>
      </x:c>
      <x:c r="AX32" s="585" t="s">
        <x:v>1102</x:v>
      </x:c>
      <x:c r="AY32" s="33"/>
      <x:c r="AZ32" s="185"/>
      <x:c r="BA32" s="185"/>
      <x:c r="BB32" s="185"/>
      <x:c r="BC32" s="185"/>
      <x:c r="BD32" s="36"/>
      <x:c r="BE32" s="33"/>
      <x:c r="BF32" s="185"/>
      <x:c r="BG32" s="185"/>
      <x:c r="BH32" s="185"/>
      <x:c r="BI32" s="185"/>
      <x:c r="BJ32" s="36"/>
      <x:c r="BK32" s="33"/>
      <x:c r="BL32" s="185"/>
      <x:c r="BM32" s="185"/>
      <x:c r="BN32" s="185"/>
      <x:c r="BO32" s="185"/>
      <x:c r="BP32" s="36"/>
      <x:c r="BQ32" s="33"/>
      <x:c r="BR32" s="185"/>
      <x:c r="BS32" s="185"/>
      <x:c r="BT32" s="185"/>
      <x:c r="BU32" s="185"/>
      <x:c r="BV32" s="36"/>
    </x:row>
    <x:row r="33" spans="1:74" ht="22.5" customHeight="1" x14ac:dyDescent="0.25">
      <x:c r="A33" s="3" t="s">
        <x:v>739</x:v>
      </x:c>
      <x:c r="B33" s="57" t="s">
        <x:v>23</x:v>
      </x:c>
      <x:c r="C33" s="157"/>
      <x:c r="D33" s="158"/>
      <x:c r="E33" s="158"/>
      <x:c r="F33" s="158"/>
      <x:c r="G33" s="158"/>
      <x:c r="H33" s="197"/>
      <x:c r="I33" s="33"/>
      <x:c r="J33" s="185"/>
      <x:c r="K33" s="185"/>
      <x:c r="L33" s="185"/>
      <x:c r="M33" s="185"/>
      <x:c r="N33" s="36"/>
      <x:c r="O33" s="33"/>
      <x:c r="P33" s="185"/>
      <x:c r="Q33" s="185"/>
      <x:c r="R33" s="185"/>
      <x:c r="S33" s="185"/>
      <x:c r="T33" s="36"/>
      <x:c r="U33" s="33"/>
      <x:c r="V33" s="185"/>
      <x:c r="W33" s="185"/>
      <x:c r="X33" s="185"/>
      <x:c r="Y33" s="185"/>
      <x:c r="Z33" s="36"/>
      <x:c r="AA33" s="33"/>
      <x:c r="AB33" s="185"/>
      <x:c r="AC33" s="185"/>
      <x:c r="AD33" s="185"/>
      <x:c r="AE33" s="185"/>
      <x:c r="AF33" s="36"/>
      <x:c r="AG33" s="157"/>
      <x:c r="AH33" s="158"/>
      <x:c r="AI33" s="158"/>
      <x:c r="AJ33" s="158"/>
      <x:c r="AK33" s="158"/>
      <x:c r="AL33" s="197"/>
      <x:c r="AM33" s="157">
        <x:v>100</x:v>
      </x:c>
      <x:c r="AN33" s="158">
        <x:v>100</x:v>
      </x:c>
      <x:c r="AO33" s="158">
        <x:v>100</x:v>
      </x:c>
      <x:c r="AP33" s="158">
        <x:v>100</x:v>
      </x:c>
      <x:c r="AQ33" s="158">
        <x:v>100</x:v>
      </x:c>
      <x:c r="AR33" s="620" t="s">
        <x:v>1102</x:v>
      </x:c>
      <x:c r="AS33" s="157">
        <x:v>100</x:v>
      </x:c>
      <x:c r="AT33" s="158">
        <x:v>100</x:v>
      </x:c>
      <x:c r="AU33" s="158">
        <x:v>100</x:v>
      </x:c>
      <x:c r="AV33" s="158">
        <x:v>100</x:v>
      </x:c>
      <x:c r="AW33" s="158">
        <x:v>93</x:v>
      </x:c>
      <x:c r="AX33" s="585" t="s">
        <x:v>1102</x:v>
      </x:c>
      <x:c r="AY33" s="33"/>
      <x:c r="AZ33" s="185"/>
      <x:c r="BA33" s="185"/>
      <x:c r="BB33" s="185"/>
      <x:c r="BC33" s="185"/>
      <x:c r="BD33" s="36"/>
      <x:c r="BE33" s="33"/>
      <x:c r="BF33" s="185"/>
      <x:c r="BG33" s="185"/>
      <x:c r="BH33" s="185"/>
      <x:c r="BI33" s="185"/>
      <x:c r="BJ33" s="36"/>
      <x:c r="BK33" s="33"/>
      <x:c r="BL33" s="185"/>
      <x:c r="BM33" s="185"/>
      <x:c r="BN33" s="185"/>
      <x:c r="BO33" s="185"/>
      <x:c r="BP33" s="36"/>
      <x:c r="BQ33" s="33"/>
      <x:c r="BR33" s="185"/>
      <x:c r="BS33" s="185"/>
      <x:c r="BT33" s="185"/>
      <x:c r="BU33" s="185"/>
      <x:c r="BV33" s="36"/>
    </x:row>
    <x:row r="34" spans="1:74" ht="22.5" customHeight="1" x14ac:dyDescent="0.25">
      <x:c r="A34" s="3" t="s">
        <x:v>718</x:v>
      </x:c>
      <x:c r="B34" s="57" t="s">
        <x:v>23</x:v>
      </x:c>
      <x:c r="C34" s="157"/>
      <x:c r="D34" s="158"/>
      <x:c r="E34" s="158"/>
      <x:c r="F34" s="158"/>
      <x:c r="G34" s="158"/>
      <x:c r="H34" s="197"/>
      <x:c r="I34" s="33"/>
      <x:c r="J34" s="185"/>
      <x:c r="K34" s="185"/>
      <x:c r="L34" s="185"/>
      <x:c r="M34" s="185"/>
      <x:c r="N34" s="36"/>
      <x:c r="O34" s="33"/>
      <x:c r="P34" s="185"/>
      <x:c r="Q34" s="185"/>
      <x:c r="R34" s="185"/>
      <x:c r="S34" s="185"/>
      <x:c r="T34" s="36"/>
      <x:c r="U34" s="33"/>
      <x:c r="V34" s="185"/>
      <x:c r="W34" s="185"/>
      <x:c r="X34" s="185"/>
      <x:c r="Y34" s="185"/>
      <x:c r="Z34" s="36"/>
      <x:c r="AA34" s="33"/>
      <x:c r="AB34" s="185"/>
      <x:c r="AC34" s="185"/>
      <x:c r="AD34" s="185"/>
      <x:c r="AE34" s="185"/>
      <x:c r="AF34" s="36"/>
      <x:c r="AG34" s="157"/>
      <x:c r="AH34" s="158"/>
      <x:c r="AI34" s="158"/>
      <x:c r="AJ34" s="158"/>
      <x:c r="AK34" s="158"/>
      <x:c r="AL34" s="197"/>
      <x:c r="AM34" s="157">
        <x:v>100</x:v>
      </x:c>
      <x:c r="AN34" s="158">
        <x:v>100</x:v>
      </x:c>
      <x:c r="AO34" s="158">
        <x:v>100</x:v>
      </x:c>
      <x:c r="AP34" s="158">
        <x:v>100</x:v>
      </x:c>
      <x:c r="AQ34" s="158">
        <x:v>100</x:v>
      </x:c>
      <x:c r="AR34" s="620" t="s">
        <x:v>1102</x:v>
      </x:c>
      <x:c r="AS34" s="157">
        <x:v>100</x:v>
      </x:c>
      <x:c r="AT34" s="158">
        <x:v>100</x:v>
      </x:c>
      <x:c r="AU34" s="158">
        <x:v>100</x:v>
      </x:c>
      <x:c r="AV34" s="158">
        <x:v>100</x:v>
      </x:c>
      <x:c r="AW34" s="158">
        <x:v>100</x:v>
      </x:c>
      <x:c r="AX34" s="585" t="s">
        <x:v>1102</x:v>
      </x:c>
      <x:c r="AY34" s="33"/>
      <x:c r="AZ34" s="185"/>
      <x:c r="BA34" s="185"/>
      <x:c r="BB34" s="185"/>
      <x:c r="BC34" s="185"/>
      <x:c r="BD34" s="36"/>
      <x:c r="BE34" s="33"/>
      <x:c r="BF34" s="185"/>
      <x:c r="BG34" s="185"/>
      <x:c r="BH34" s="185"/>
      <x:c r="BI34" s="185"/>
      <x:c r="BJ34" s="36"/>
      <x:c r="BK34" s="33"/>
      <x:c r="BL34" s="185"/>
      <x:c r="BM34" s="185"/>
      <x:c r="BN34" s="185"/>
      <x:c r="BO34" s="185"/>
      <x:c r="BP34" s="36"/>
      <x:c r="BQ34" s="33"/>
      <x:c r="BR34" s="185"/>
      <x:c r="BS34" s="185"/>
      <x:c r="BT34" s="185"/>
      <x:c r="BU34" s="185"/>
      <x:c r="BV34" s="36"/>
    </x:row>
    <x:row r="35" spans="1:74" ht="22.5" customHeight="1" x14ac:dyDescent="0.25">
      <x:c r="A35" s="3" t="s">
        <x:v>727</x:v>
      </x:c>
      <x:c r="B35" s="57" t="s">
        <x:v>23</x:v>
      </x:c>
      <x:c r="C35" s="157"/>
      <x:c r="D35" s="158"/>
      <x:c r="E35" s="158"/>
      <x:c r="F35" s="158"/>
      <x:c r="G35" s="158"/>
      <x:c r="H35" s="197"/>
      <x:c r="I35" s="33"/>
      <x:c r="J35" s="185"/>
      <x:c r="K35" s="185"/>
      <x:c r="L35" s="185"/>
      <x:c r="M35" s="185"/>
      <x:c r="N35" s="36"/>
      <x:c r="O35" s="33"/>
      <x:c r="P35" s="185"/>
      <x:c r="Q35" s="185"/>
      <x:c r="R35" s="185"/>
      <x:c r="S35" s="185"/>
      <x:c r="T35" s="36"/>
      <x:c r="U35" s="33"/>
      <x:c r="V35" s="185"/>
      <x:c r="W35" s="185"/>
      <x:c r="X35" s="185"/>
      <x:c r="Y35" s="185"/>
      <x:c r="Z35" s="36"/>
      <x:c r="AA35" s="33"/>
      <x:c r="AB35" s="185"/>
      <x:c r="AC35" s="185"/>
      <x:c r="AD35" s="185"/>
      <x:c r="AE35" s="185"/>
      <x:c r="AF35" s="36"/>
      <x:c r="AG35" s="157"/>
      <x:c r="AH35" s="158"/>
      <x:c r="AI35" s="158"/>
      <x:c r="AJ35" s="158"/>
      <x:c r="AK35" s="158"/>
      <x:c r="AL35" s="197"/>
      <x:c r="AM35" s="157">
        <x:v>100</x:v>
      </x:c>
      <x:c r="AN35" s="158">
        <x:v>100</x:v>
      </x:c>
      <x:c r="AO35" s="158">
        <x:v>100</x:v>
      </x:c>
      <x:c r="AP35" s="158">
        <x:v>100</x:v>
      </x:c>
      <x:c r="AQ35" s="158">
        <x:v>100</x:v>
      </x:c>
      <x:c r="AR35" s="620" t="s">
        <x:v>1102</x:v>
      </x:c>
      <x:c r="AS35" s="157">
        <x:v>100</x:v>
      </x:c>
      <x:c r="AT35" s="158">
        <x:v>100</x:v>
      </x:c>
      <x:c r="AU35" s="158">
        <x:v>100</x:v>
      </x:c>
      <x:c r="AV35" s="158">
        <x:v>100</x:v>
      </x:c>
      <x:c r="AW35" s="158">
        <x:v>100</x:v>
      </x:c>
      <x:c r="AX35" s="585" t="s">
        <x:v>1102</x:v>
      </x:c>
      <x:c r="AY35" s="33"/>
      <x:c r="AZ35" s="185"/>
      <x:c r="BA35" s="185"/>
      <x:c r="BB35" s="185"/>
      <x:c r="BC35" s="185"/>
      <x:c r="BD35" s="36"/>
      <x:c r="BE35" s="33"/>
      <x:c r="BF35" s="185"/>
      <x:c r="BG35" s="185"/>
      <x:c r="BH35" s="185"/>
      <x:c r="BI35" s="185"/>
      <x:c r="BJ35" s="36"/>
      <x:c r="BK35" s="33"/>
      <x:c r="BL35" s="185"/>
      <x:c r="BM35" s="185"/>
      <x:c r="BN35" s="185"/>
      <x:c r="BO35" s="185"/>
      <x:c r="BP35" s="36"/>
      <x:c r="BQ35" s="33"/>
      <x:c r="BR35" s="185"/>
      <x:c r="BS35" s="185"/>
      <x:c r="BT35" s="185"/>
      <x:c r="BU35" s="185"/>
      <x:c r="BV35" s="36"/>
    </x:row>
    <x:row r="36" spans="1:74" ht="22.5" customHeight="1" x14ac:dyDescent="0.25">
      <x:c r="A36" s="3" t="s">
        <x:v>705</x:v>
      </x:c>
      <x:c r="B36" s="57" t="s">
        <x:v>21</x:v>
      </x:c>
      <x:c r="C36" s="157"/>
      <x:c r="D36" s="158"/>
      <x:c r="E36" s="158"/>
      <x:c r="F36" s="158"/>
      <x:c r="G36" s="158"/>
      <x:c r="H36" s="197"/>
      <x:c r="I36" s="33"/>
      <x:c r="J36" s="185"/>
      <x:c r="K36" s="185"/>
      <x:c r="L36" s="185"/>
      <x:c r="M36" s="185"/>
      <x:c r="N36" s="36"/>
      <x:c r="O36" s="33"/>
      <x:c r="P36" s="185"/>
      <x:c r="Q36" s="185"/>
      <x:c r="R36" s="185"/>
      <x:c r="S36" s="185"/>
      <x:c r="T36" s="36"/>
      <x:c r="U36" s="33"/>
      <x:c r="V36" s="185"/>
      <x:c r="W36" s="185"/>
      <x:c r="X36" s="185"/>
      <x:c r="Y36" s="185"/>
      <x:c r="Z36" s="36"/>
      <x:c r="AA36" s="33"/>
      <x:c r="AB36" s="185"/>
      <x:c r="AC36" s="185"/>
      <x:c r="AD36" s="185"/>
      <x:c r="AE36" s="185"/>
      <x:c r="AF36" s="36"/>
      <x:c r="AG36" s="157"/>
      <x:c r="AH36" s="158"/>
      <x:c r="AI36" s="158"/>
      <x:c r="AJ36" s="158"/>
      <x:c r="AK36" s="158"/>
      <x:c r="AL36" s="197"/>
      <x:c r="AM36" s="157">
        <x:v>100</x:v>
      </x:c>
      <x:c r="AN36" s="158">
        <x:v>100</x:v>
      </x:c>
      <x:c r="AO36" s="158">
        <x:v>100</x:v>
      </x:c>
      <x:c r="AP36" s="158">
        <x:v>100</x:v>
      </x:c>
      <x:c r="AQ36" s="158">
        <x:v>93</x:v>
      </x:c>
      <x:c r="AR36" s="620" t="s">
        <x:v>1102</x:v>
      </x:c>
      <x:c r="AS36" s="157">
        <x:v>100</x:v>
      </x:c>
      <x:c r="AT36" s="158">
        <x:v>100</x:v>
      </x:c>
      <x:c r="AU36" s="158">
        <x:v>100</x:v>
      </x:c>
      <x:c r="AV36" s="158">
        <x:v>100</x:v>
      </x:c>
      <x:c r="AW36" s="158">
        <x:v>100</x:v>
      </x:c>
      <x:c r="AX36" s="585" t="s">
        <x:v>1102</x:v>
      </x:c>
      <x:c r="AY36" s="33"/>
      <x:c r="AZ36" s="185"/>
      <x:c r="BA36" s="185"/>
      <x:c r="BB36" s="185"/>
      <x:c r="BC36" s="185"/>
      <x:c r="BD36" s="36"/>
      <x:c r="BE36" s="33"/>
      <x:c r="BF36" s="185"/>
      <x:c r="BG36" s="185"/>
      <x:c r="BH36" s="185"/>
      <x:c r="BI36" s="185"/>
      <x:c r="BJ36" s="36"/>
      <x:c r="BK36" s="33"/>
      <x:c r="BL36" s="185"/>
      <x:c r="BM36" s="185"/>
      <x:c r="BN36" s="185"/>
      <x:c r="BO36" s="185"/>
      <x:c r="BP36" s="36"/>
      <x:c r="BQ36" s="33"/>
      <x:c r="BR36" s="185"/>
      <x:c r="BS36" s="185"/>
      <x:c r="BT36" s="185"/>
      <x:c r="BU36" s="185"/>
      <x:c r="BV36" s="36"/>
    </x:row>
    <x:row r="37" spans="1:74" ht="22.5" customHeight="1" x14ac:dyDescent="0.25">
      <x:c r="A37" s="635" t="s">
        <x:v>1122</x:v>
      </x:c>
      <x:c r="B37" s="57" t="s">
        <x:v>23</x:v>
      </x:c>
      <x:c r="C37" s="157"/>
      <x:c r="D37" s="158"/>
      <x:c r="E37" s="158"/>
      <x:c r="F37" s="158"/>
      <x:c r="G37" s="158"/>
      <x:c r="H37" s="197"/>
      <x:c r="I37" s="33"/>
      <x:c r="J37" s="185"/>
      <x:c r="K37" s="185"/>
      <x:c r="L37" s="185"/>
      <x:c r="M37" s="185"/>
      <x:c r="N37" s="36"/>
      <x:c r="O37" s="33"/>
      <x:c r="P37" s="185"/>
      <x:c r="Q37" s="185"/>
      <x:c r="R37" s="185"/>
      <x:c r="S37" s="185"/>
      <x:c r="T37" s="36"/>
      <x:c r="U37" s="33"/>
      <x:c r="V37" s="185"/>
      <x:c r="W37" s="185"/>
      <x:c r="X37" s="185"/>
      <x:c r="Y37" s="185"/>
      <x:c r="Z37" s="36"/>
      <x:c r="AA37" s="33"/>
      <x:c r="AB37" s="185"/>
      <x:c r="AC37" s="185"/>
      <x:c r="AD37" s="185"/>
      <x:c r="AE37" s="185"/>
      <x:c r="AF37" s="36"/>
      <x:c r="AG37" s="157"/>
      <x:c r="AH37" s="158"/>
      <x:c r="AI37" s="158"/>
      <x:c r="AJ37" s="158"/>
      <x:c r="AK37" s="158"/>
      <x:c r="AL37" s="197"/>
      <x:c r="AM37" s="157">
        <x:v>100</x:v>
      </x:c>
      <x:c r="AN37" s="158">
        <x:v>100</x:v>
      </x:c>
      <x:c r="AO37" s="158">
        <x:v>100</x:v>
      </x:c>
      <x:c r="AP37" s="158">
        <x:v>100</x:v>
      </x:c>
      <x:c r="AQ37" s="158">
        <x:v>100</x:v>
      </x:c>
      <x:c r="AR37" s="620" t="s">
        <x:v>1102</x:v>
      </x:c>
      <x:c r="AS37" s="588">
        <x:v>0</x:v>
      </x:c>
      <x:c r="AT37" s="589">
        <x:v>0</x:v>
      </x:c>
      <x:c r="AU37" s="589">
        <x:v>0</x:v>
      </x:c>
      <x:c r="AV37" s="589">
        <x:v>0</x:v>
      </x:c>
      <x:c r="AW37" s="589">
        <x:v>0</x:v>
      </x:c>
      <x:c r="AX37" s="591" t="s">
        <x:v>1103</x:v>
      </x:c>
      <x:c r="AY37" s="33"/>
      <x:c r="AZ37" s="185"/>
      <x:c r="BA37" s="185"/>
      <x:c r="BB37" s="185"/>
      <x:c r="BC37" s="185"/>
      <x:c r="BD37" s="36"/>
      <x:c r="BE37" s="33"/>
      <x:c r="BF37" s="185"/>
      <x:c r="BG37" s="185"/>
      <x:c r="BH37" s="185"/>
      <x:c r="BI37" s="185"/>
      <x:c r="BJ37" s="36"/>
      <x:c r="BK37" s="33"/>
      <x:c r="BL37" s="185"/>
      <x:c r="BM37" s="185"/>
      <x:c r="BN37" s="185"/>
      <x:c r="BO37" s="185"/>
      <x:c r="BP37" s="36"/>
      <x:c r="BQ37" s="33"/>
      <x:c r="BR37" s="185"/>
      <x:c r="BS37" s="185"/>
      <x:c r="BT37" s="185"/>
      <x:c r="BU37" s="185"/>
      <x:c r="BV37" s="36"/>
    </x:row>
    <x:row r="38" spans="1:74" ht="22.5" customHeight="1" x14ac:dyDescent="0.25">
      <x:c r="A38" s="3" t="s">
        <x:v>725</x:v>
      </x:c>
      <x:c r="B38" s="57" t="s">
        <x:v>23</x:v>
      </x:c>
      <x:c r="C38" s="157"/>
      <x:c r="D38" s="158"/>
      <x:c r="E38" s="158"/>
      <x:c r="F38" s="158"/>
      <x:c r="G38" s="158"/>
      <x:c r="H38" s="197"/>
      <x:c r="I38" s="33"/>
      <x:c r="J38" s="185"/>
      <x:c r="K38" s="185"/>
      <x:c r="L38" s="185"/>
      <x:c r="M38" s="185"/>
      <x:c r="N38" s="36"/>
      <x:c r="O38" s="33"/>
      <x:c r="P38" s="185"/>
      <x:c r="Q38" s="185"/>
      <x:c r="R38" s="185"/>
      <x:c r="S38" s="185"/>
      <x:c r="T38" s="36"/>
      <x:c r="U38" s="33"/>
      <x:c r="V38" s="185"/>
      <x:c r="W38" s="185"/>
      <x:c r="X38" s="185"/>
      <x:c r="Y38" s="185"/>
      <x:c r="Z38" s="36"/>
      <x:c r="AA38" s="33"/>
      <x:c r="AB38" s="185"/>
      <x:c r="AC38" s="185"/>
      <x:c r="AD38" s="185"/>
      <x:c r="AE38" s="185"/>
      <x:c r="AF38" s="36"/>
      <x:c r="AG38" s="157"/>
      <x:c r="AH38" s="158"/>
      <x:c r="AI38" s="158"/>
      <x:c r="AJ38" s="158"/>
      <x:c r="AK38" s="158"/>
      <x:c r="AL38" s="197"/>
      <x:c r="AM38" s="157">
        <x:v>100</x:v>
      </x:c>
      <x:c r="AN38" s="158">
        <x:v>100</x:v>
      </x:c>
      <x:c r="AO38" s="158">
        <x:v>100</x:v>
      </x:c>
      <x:c r="AP38" s="158">
        <x:v>100</x:v>
      </x:c>
      <x:c r="AQ38" s="158">
        <x:v>100</x:v>
      </x:c>
      <x:c r="AR38" s="620" t="s">
        <x:v>1102</x:v>
      </x:c>
      <x:c r="AS38" s="157">
        <x:v>100</x:v>
      </x:c>
      <x:c r="AT38" s="158">
        <x:v>100</x:v>
      </x:c>
      <x:c r="AU38" s="158">
        <x:v>100</x:v>
      </x:c>
      <x:c r="AV38" s="158">
        <x:v>100</x:v>
      </x:c>
      <x:c r="AW38" s="158">
        <x:v>100</x:v>
      </x:c>
      <x:c r="AX38" s="585" t="s">
        <x:v>1102</x:v>
      </x:c>
      <x:c r="AY38" s="33"/>
      <x:c r="AZ38" s="185"/>
      <x:c r="BA38" s="185"/>
      <x:c r="BB38" s="185"/>
      <x:c r="BC38" s="185"/>
      <x:c r="BD38" s="36"/>
      <x:c r="BE38" s="33"/>
      <x:c r="BF38" s="185"/>
      <x:c r="BG38" s="185"/>
      <x:c r="BH38" s="185"/>
      <x:c r="BI38" s="185"/>
      <x:c r="BJ38" s="36"/>
      <x:c r="BK38" s="33"/>
      <x:c r="BL38" s="185"/>
      <x:c r="BM38" s="185"/>
      <x:c r="BN38" s="185"/>
      <x:c r="BO38" s="185"/>
      <x:c r="BP38" s="36"/>
      <x:c r="BQ38" s="33"/>
      <x:c r="BR38" s="185"/>
      <x:c r="BS38" s="185"/>
      <x:c r="BT38" s="185"/>
      <x:c r="BU38" s="185"/>
      <x:c r="BV38" s="36"/>
    </x:row>
    <x:row r="39" spans="1:74" ht="22.5" customHeight="1" x14ac:dyDescent="0.25">
      <x:c r="A39" s="3" t="s">
        <x:v>721</x:v>
      </x:c>
      <x:c r="B39" s="57" t="s">
        <x:v>23</x:v>
      </x:c>
      <x:c r="C39" s="157"/>
      <x:c r="D39" s="158"/>
      <x:c r="E39" s="158"/>
      <x:c r="F39" s="158"/>
      <x:c r="G39" s="158"/>
      <x:c r="H39" s="197"/>
      <x:c r="I39" s="33"/>
      <x:c r="J39" s="185"/>
      <x:c r="K39" s="185"/>
      <x:c r="L39" s="185"/>
      <x:c r="M39" s="185"/>
      <x:c r="N39" s="36"/>
      <x:c r="O39" s="33"/>
      <x:c r="P39" s="185"/>
      <x:c r="Q39" s="185"/>
      <x:c r="R39" s="185"/>
      <x:c r="S39" s="185"/>
      <x:c r="T39" s="36"/>
      <x:c r="U39" s="33"/>
      <x:c r="V39" s="185"/>
      <x:c r="W39" s="185"/>
      <x:c r="X39" s="185"/>
      <x:c r="Y39" s="185"/>
      <x:c r="Z39" s="36"/>
      <x:c r="AA39" s="33"/>
      <x:c r="AB39" s="185"/>
      <x:c r="AC39" s="185"/>
      <x:c r="AD39" s="185"/>
      <x:c r="AE39" s="185"/>
      <x:c r="AF39" s="36"/>
      <x:c r="AG39" s="157"/>
      <x:c r="AH39" s="158"/>
      <x:c r="AI39" s="158"/>
      <x:c r="AJ39" s="158"/>
      <x:c r="AK39" s="158"/>
      <x:c r="AL39" s="197"/>
      <x:c r="AM39" s="157">
        <x:v>100</x:v>
      </x:c>
      <x:c r="AN39" s="158">
        <x:v>100</x:v>
      </x:c>
      <x:c r="AO39" s="158">
        <x:v>100</x:v>
      </x:c>
      <x:c r="AP39" s="158">
        <x:v>100</x:v>
      </x:c>
      <x:c r="AQ39" s="158">
        <x:v>100</x:v>
      </x:c>
      <x:c r="AR39" s="620" t="s">
        <x:v>1102</x:v>
      </x:c>
      <x:c r="AS39" s="157">
        <x:v>100</x:v>
      </x:c>
      <x:c r="AT39" s="158">
        <x:v>100</x:v>
      </x:c>
      <x:c r="AU39" s="158">
        <x:v>100</x:v>
      </x:c>
      <x:c r="AV39" s="158">
        <x:v>100</x:v>
      </x:c>
      <x:c r="AW39" s="158">
        <x:v>100</x:v>
      </x:c>
      <x:c r="AX39" s="585" t="s">
        <x:v>1102</x:v>
      </x:c>
      <x:c r="AY39" s="33"/>
      <x:c r="AZ39" s="185"/>
      <x:c r="BA39" s="185"/>
      <x:c r="BB39" s="185"/>
      <x:c r="BC39" s="185"/>
      <x:c r="BD39" s="36"/>
      <x:c r="BE39" s="33"/>
      <x:c r="BF39" s="185"/>
      <x:c r="BG39" s="185"/>
      <x:c r="BH39" s="185"/>
      <x:c r="BI39" s="185"/>
      <x:c r="BJ39" s="36"/>
      <x:c r="BK39" s="33"/>
      <x:c r="BL39" s="185"/>
      <x:c r="BM39" s="185"/>
      <x:c r="BN39" s="185"/>
      <x:c r="BO39" s="185"/>
      <x:c r="BP39" s="36"/>
      <x:c r="BQ39" s="33"/>
      <x:c r="BR39" s="185"/>
      <x:c r="BS39" s="185"/>
      <x:c r="BT39" s="185"/>
      <x:c r="BU39" s="185"/>
      <x:c r="BV39" s="36"/>
    </x:row>
    <x:row r="40" spans="1:74" ht="22.5" customHeight="1" x14ac:dyDescent="0.25">
      <x:c r="A40" s="635" t="s">
        <x:v>1123</x:v>
      </x:c>
      <x:c r="B40" s="57" t="s">
        <x:v>23</x:v>
      </x:c>
      <x:c r="C40" s="157"/>
      <x:c r="D40" s="158"/>
      <x:c r="E40" s="158"/>
      <x:c r="F40" s="158"/>
      <x:c r="G40" s="158"/>
      <x:c r="H40" s="197"/>
      <x:c r="I40" s="33"/>
      <x:c r="J40" s="185"/>
      <x:c r="K40" s="185"/>
      <x:c r="L40" s="185"/>
      <x:c r="M40" s="185"/>
      <x:c r="N40" s="36"/>
      <x:c r="O40" s="33"/>
      <x:c r="P40" s="185"/>
      <x:c r="Q40" s="185"/>
      <x:c r="R40" s="185"/>
      <x:c r="S40" s="185"/>
      <x:c r="T40" s="36"/>
      <x:c r="U40" s="33"/>
      <x:c r="V40" s="185"/>
      <x:c r="W40" s="185"/>
      <x:c r="X40" s="185"/>
      <x:c r="Y40" s="185"/>
      <x:c r="Z40" s="36"/>
      <x:c r="AA40" s="33"/>
      <x:c r="AB40" s="185"/>
      <x:c r="AC40" s="185"/>
      <x:c r="AD40" s="185"/>
      <x:c r="AE40" s="185"/>
      <x:c r="AF40" s="36"/>
      <x:c r="AG40" s="157"/>
      <x:c r="AH40" s="158"/>
      <x:c r="AI40" s="158"/>
      <x:c r="AJ40" s="158"/>
      <x:c r="AK40" s="158"/>
      <x:c r="AL40" s="197"/>
      <x:c r="AM40" s="157">
        <x:v>100</x:v>
      </x:c>
      <x:c r="AN40" s="158">
        <x:v>100</x:v>
      </x:c>
      <x:c r="AO40" s="158">
        <x:v>100</x:v>
      </x:c>
      <x:c r="AP40" s="158">
        <x:v>100</x:v>
      </x:c>
      <x:c r="AQ40" s="158">
        <x:v>100</x:v>
      </x:c>
      <x:c r="AR40" s="620" t="s">
        <x:v>1102</x:v>
      </x:c>
      <x:c r="AS40" s="588">
        <x:v>0</x:v>
      </x:c>
      <x:c r="AT40" s="589">
        <x:v>0</x:v>
      </x:c>
      <x:c r="AU40" s="589">
        <x:v>0</x:v>
      </x:c>
      <x:c r="AV40" s="589">
        <x:v>0</x:v>
      </x:c>
      <x:c r="AW40" s="589">
        <x:v>0</x:v>
      </x:c>
      <x:c r="AX40" s="591" t="s">
        <x:v>1103</x:v>
      </x:c>
      <x:c r="AY40" s="33"/>
      <x:c r="AZ40" s="185"/>
      <x:c r="BA40" s="185"/>
      <x:c r="BB40" s="185"/>
      <x:c r="BC40" s="185"/>
      <x:c r="BD40" s="36"/>
      <x:c r="BE40" s="33"/>
      <x:c r="BF40" s="185"/>
      <x:c r="BG40" s="185"/>
      <x:c r="BH40" s="185"/>
      <x:c r="BI40" s="185"/>
      <x:c r="BJ40" s="36"/>
      <x:c r="BK40" s="33"/>
      <x:c r="BL40" s="185"/>
      <x:c r="BM40" s="185"/>
      <x:c r="BN40" s="185"/>
      <x:c r="BO40" s="185"/>
      <x:c r="BP40" s="36"/>
      <x:c r="BQ40" s="33"/>
      <x:c r="BR40" s="185"/>
      <x:c r="BS40" s="185"/>
      <x:c r="BT40" s="185"/>
      <x:c r="BU40" s="185"/>
      <x:c r="BV40" s="36"/>
    </x:row>
    <x:row r="41" spans="1:74" ht="22.5" customHeight="1" x14ac:dyDescent="0.25">
      <x:c r="A41" s="3" t="s">
        <x:v>728</x:v>
      </x:c>
      <x:c r="B41" s="57" t="s">
        <x:v>23</x:v>
      </x:c>
      <x:c r="C41" s="157"/>
      <x:c r="D41" s="158"/>
      <x:c r="E41" s="158"/>
      <x:c r="F41" s="158"/>
      <x:c r="G41" s="158"/>
      <x:c r="H41" s="197"/>
      <x:c r="I41" s="33"/>
      <x:c r="J41" s="185"/>
      <x:c r="K41" s="185"/>
      <x:c r="L41" s="185"/>
      <x:c r="M41" s="185"/>
      <x:c r="N41" s="36"/>
      <x:c r="O41" s="33"/>
      <x:c r="P41" s="185"/>
      <x:c r="Q41" s="185"/>
      <x:c r="R41" s="185"/>
      <x:c r="S41" s="185"/>
      <x:c r="T41" s="36"/>
      <x:c r="U41" s="33"/>
      <x:c r="V41" s="185"/>
      <x:c r="W41" s="185"/>
      <x:c r="X41" s="185"/>
      <x:c r="Y41" s="185"/>
      <x:c r="Z41" s="36"/>
      <x:c r="AA41" s="33"/>
      <x:c r="AB41" s="185"/>
      <x:c r="AC41" s="185"/>
      <x:c r="AD41" s="185"/>
      <x:c r="AE41" s="185"/>
      <x:c r="AF41" s="36"/>
      <x:c r="AG41" s="157"/>
      <x:c r="AH41" s="158"/>
      <x:c r="AI41" s="158"/>
      <x:c r="AJ41" s="158"/>
      <x:c r="AK41" s="158"/>
      <x:c r="AL41" s="197"/>
      <x:c r="AM41" s="157">
        <x:v>100</x:v>
      </x:c>
      <x:c r="AN41" s="158">
        <x:v>100</x:v>
      </x:c>
      <x:c r="AO41" s="158">
        <x:v>100</x:v>
      </x:c>
      <x:c r="AP41" s="158">
        <x:v>100</x:v>
      </x:c>
      <x:c r="AQ41" s="158">
        <x:v>100</x:v>
      </x:c>
      <x:c r="AR41" s="620" t="s">
        <x:v>1102</x:v>
      </x:c>
      <x:c r="AS41" s="157">
        <x:v>100</x:v>
      </x:c>
      <x:c r="AT41" s="158">
        <x:v>100</x:v>
      </x:c>
      <x:c r="AU41" s="158">
        <x:v>100</x:v>
      </x:c>
      <x:c r="AV41" s="158">
        <x:v>100</x:v>
      </x:c>
      <x:c r="AW41" s="158">
        <x:v>100</x:v>
      </x:c>
      <x:c r="AX41" s="585" t="s">
        <x:v>1102</x:v>
      </x:c>
      <x:c r="AY41" s="33"/>
      <x:c r="AZ41" s="185"/>
      <x:c r="BA41" s="185"/>
      <x:c r="BB41" s="185"/>
      <x:c r="BC41" s="185"/>
      <x:c r="BD41" s="36"/>
      <x:c r="BE41" s="33"/>
      <x:c r="BF41" s="185"/>
      <x:c r="BG41" s="185"/>
      <x:c r="BH41" s="185"/>
      <x:c r="BI41" s="185"/>
      <x:c r="BJ41" s="36"/>
      <x:c r="BK41" s="33"/>
      <x:c r="BL41" s="185"/>
      <x:c r="BM41" s="185"/>
      <x:c r="BN41" s="185"/>
      <x:c r="BO41" s="185"/>
      <x:c r="BP41" s="36"/>
      <x:c r="BQ41" s="33"/>
      <x:c r="BR41" s="185"/>
      <x:c r="BS41" s="185"/>
      <x:c r="BT41" s="185"/>
      <x:c r="BU41" s="185"/>
      <x:c r="BV41" s="36"/>
    </x:row>
    <x:row r="42" spans="1:74" ht="22.5" customHeight="1" x14ac:dyDescent="0.25">
      <x:c r="A42" s="635" t="s">
        <x:v>1124</x:v>
      </x:c>
      <x:c r="B42" s="57" t="s">
        <x:v>37</x:v>
      </x:c>
      <x:c r="C42" s="157"/>
      <x:c r="D42" s="158"/>
      <x:c r="E42" s="158"/>
      <x:c r="F42" s="158"/>
      <x:c r="G42" s="158"/>
      <x:c r="H42" s="197"/>
      <x:c r="I42" s="33"/>
      <x:c r="J42" s="185"/>
      <x:c r="K42" s="185"/>
      <x:c r="L42" s="185"/>
      <x:c r="M42" s="185"/>
      <x:c r="N42" s="36"/>
      <x:c r="O42" s="33"/>
      <x:c r="P42" s="185"/>
      <x:c r="Q42" s="185"/>
      <x:c r="R42" s="185"/>
      <x:c r="S42" s="185"/>
      <x:c r="T42" s="36"/>
      <x:c r="U42" s="33"/>
      <x:c r="V42" s="185"/>
      <x:c r="W42" s="185"/>
      <x:c r="X42" s="185"/>
      <x:c r="Y42" s="185"/>
      <x:c r="Z42" s="36"/>
      <x:c r="AA42" s="33"/>
      <x:c r="AB42" s="185"/>
      <x:c r="AC42" s="185"/>
      <x:c r="AD42" s="185"/>
      <x:c r="AE42" s="185"/>
      <x:c r="AF42" s="36"/>
      <x:c r="AG42" s="157"/>
      <x:c r="AH42" s="158"/>
      <x:c r="AI42" s="158"/>
      <x:c r="AJ42" s="158"/>
      <x:c r="AK42" s="158"/>
      <x:c r="AL42" s="197"/>
      <x:c r="AM42" s="157">
        <x:v>100</x:v>
      </x:c>
      <x:c r="AN42" s="158">
        <x:v>100</x:v>
      </x:c>
      <x:c r="AO42" s="158">
        <x:v>100</x:v>
      </x:c>
      <x:c r="AP42" s="158">
        <x:v>96</x:v>
      </x:c>
      <x:c r="AQ42" s="158">
        <x:v>75</x:v>
      </x:c>
      <x:c r="AR42" s="620" t="s">
        <x:v>1102</x:v>
      </x:c>
      <x:c r="AS42" s="588">
        <x:v>0</x:v>
      </x:c>
      <x:c r="AT42" s="589">
        <x:v>0</x:v>
      </x:c>
      <x:c r="AU42" s="589">
        <x:v>0</x:v>
      </x:c>
      <x:c r="AV42" s="589">
        <x:v>0</x:v>
      </x:c>
      <x:c r="AW42" s="589">
        <x:v>0</x:v>
      </x:c>
      <x:c r="AX42" s="591" t="s">
        <x:v>1103</x:v>
      </x:c>
      <x:c r="AY42" s="33"/>
      <x:c r="AZ42" s="185"/>
      <x:c r="BA42" s="185"/>
      <x:c r="BB42" s="185"/>
      <x:c r="BC42" s="185"/>
      <x:c r="BD42" s="36"/>
      <x:c r="BE42" s="33"/>
      <x:c r="BF42" s="185"/>
      <x:c r="BG42" s="185"/>
      <x:c r="BH42" s="185"/>
      <x:c r="BI42" s="185"/>
      <x:c r="BJ42" s="36"/>
      <x:c r="BK42" s="33"/>
      <x:c r="BL42" s="185"/>
      <x:c r="BM42" s="185"/>
      <x:c r="BN42" s="185"/>
      <x:c r="BO42" s="185"/>
      <x:c r="BP42" s="36"/>
      <x:c r="BQ42" s="33"/>
      <x:c r="BR42" s="185"/>
      <x:c r="BS42" s="185"/>
      <x:c r="BT42" s="185"/>
      <x:c r="BU42" s="185"/>
      <x:c r="BV42" s="36"/>
    </x:row>
    <x:row r="43" spans="1:74" ht="22.5" customHeight="1" x14ac:dyDescent="0.25">
      <x:c r="A43" s="3" t="s">
        <x:v>710</x:v>
      </x:c>
      <x:c r="B43" s="57" t="s">
        <x:v>23</x:v>
      </x:c>
      <x:c r="C43" s="157"/>
      <x:c r="D43" s="158"/>
      <x:c r="E43" s="158"/>
      <x:c r="F43" s="158"/>
      <x:c r="G43" s="158"/>
      <x:c r="H43" s="197"/>
      <x:c r="I43" s="33"/>
      <x:c r="J43" s="185"/>
      <x:c r="K43" s="185"/>
      <x:c r="L43" s="185"/>
      <x:c r="M43" s="185"/>
      <x:c r="N43" s="36"/>
      <x:c r="O43" s="33"/>
      <x:c r="P43" s="185"/>
      <x:c r="Q43" s="185"/>
      <x:c r="R43" s="185"/>
      <x:c r="S43" s="185"/>
      <x:c r="T43" s="36"/>
      <x:c r="U43" s="33"/>
      <x:c r="V43" s="185"/>
      <x:c r="W43" s="185"/>
      <x:c r="X43" s="185"/>
      <x:c r="Y43" s="185"/>
      <x:c r="Z43" s="36"/>
      <x:c r="AA43" s="33"/>
      <x:c r="AB43" s="185"/>
      <x:c r="AC43" s="185"/>
      <x:c r="AD43" s="185"/>
      <x:c r="AE43" s="185"/>
      <x:c r="AF43" s="36"/>
      <x:c r="AG43" s="157"/>
      <x:c r="AH43" s="158"/>
      <x:c r="AI43" s="158"/>
      <x:c r="AJ43" s="158"/>
      <x:c r="AK43" s="158"/>
      <x:c r="AL43" s="197"/>
      <x:c r="AM43" s="157">
        <x:v>100</x:v>
      </x:c>
      <x:c r="AN43" s="158">
        <x:v>100</x:v>
      </x:c>
      <x:c r="AO43" s="158">
        <x:v>100</x:v>
      </x:c>
      <x:c r="AP43" s="158">
        <x:v>100</x:v>
      </x:c>
      <x:c r="AQ43" s="158">
        <x:v>100</x:v>
      </x:c>
      <x:c r="AR43" s="620" t="s">
        <x:v>1102</x:v>
      </x:c>
      <x:c r="AS43" s="157">
        <x:v>100</x:v>
      </x:c>
      <x:c r="AT43" s="158">
        <x:v>100</x:v>
      </x:c>
      <x:c r="AU43" s="158">
        <x:v>100</x:v>
      </x:c>
      <x:c r="AV43" s="158">
        <x:v>100</x:v>
      </x:c>
      <x:c r="AW43" s="158">
        <x:v>100</x:v>
      </x:c>
      <x:c r="AX43" s="585" t="s">
        <x:v>1102</x:v>
      </x:c>
      <x:c r="AY43" s="33"/>
      <x:c r="AZ43" s="185"/>
      <x:c r="BA43" s="185"/>
      <x:c r="BB43" s="185"/>
      <x:c r="BC43" s="185"/>
      <x:c r="BD43" s="36"/>
      <x:c r="BE43" s="33"/>
      <x:c r="BF43" s="185"/>
      <x:c r="BG43" s="185"/>
      <x:c r="BH43" s="185"/>
      <x:c r="BI43" s="185"/>
      <x:c r="BJ43" s="36"/>
      <x:c r="BK43" s="33"/>
      <x:c r="BL43" s="185"/>
      <x:c r="BM43" s="185"/>
      <x:c r="BN43" s="185"/>
      <x:c r="BO43" s="185"/>
      <x:c r="BP43" s="36"/>
      <x:c r="BQ43" s="33"/>
      <x:c r="BR43" s="185"/>
      <x:c r="BS43" s="185"/>
      <x:c r="BT43" s="185"/>
      <x:c r="BU43" s="185"/>
      <x:c r="BV43" s="36"/>
    </x:row>
    <x:row r="44" spans="1:74" ht="22.5" customHeight="1" x14ac:dyDescent="0.25">
      <x:c r="A44" s="606" t="s">
        <x:v>700</x:v>
      </x:c>
      <x:c r="B44" s="57" t="s">
        <x:v>43</x:v>
      </x:c>
      <x:c r="C44" s="157"/>
      <x:c r="D44" s="158"/>
      <x:c r="E44" s="158"/>
      <x:c r="F44" s="158"/>
      <x:c r="G44" s="158"/>
      <x:c r="H44" s="197"/>
      <x:c r="I44" s="33"/>
      <x:c r="J44" s="185"/>
      <x:c r="K44" s="185"/>
      <x:c r="L44" s="185"/>
      <x:c r="M44" s="185"/>
      <x:c r="N44" s="36"/>
      <x:c r="O44" s="33"/>
      <x:c r="P44" s="185"/>
      <x:c r="Q44" s="185"/>
      <x:c r="R44" s="185"/>
      <x:c r="S44" s="185"/>
      <x:c r="T44" s="36"/>
      <x:c r="U44" s="33"/>
      <x:c r="V44" s="185"/>
      <x:c r="W44" s="185"/>
      <x:c r="X44" s="185"/>
      <x:c r="Y44" s="185"/>
      <x:c r="Z44" s="36"/>
      <x:c r="AA44" s="33"/>
      <x:c r="AB44" s="185"/>
      <x:c r="AC44" s="185"/>
      <x:c r="AD44" s="185"/>
      <x:c r="AE44" s="185"/>
      <x:c r="AF44" s="36"/>
      <x:c r="AG44" s="157"/>
      <x:c r="AH44" s="158"/>
      <x:c r="AI44" s="158"/>
      <x:c r="AJ44" s="158"/>
      <x:c r="AK44" s="158"/>
      <x:c r="AL44" s="197"/>
      <x:c r="AM44" s="157">
        <x:v>100</x:v>
      </x:c>
      <x:c r="AN44" s="158">
        <x:v>100</x:v>
      </x:c>
      <x:c r="AO44" s="158">
        <x:v>100</x:v>
      </x:c>
      <x:c r="AP44" s="158">
        <x:v>83</x:v>
      </x:c>
      <x:c r="AQ44" s="158">
        <x:v>23</x:v>
      </x:c>
      <x:c r="AR44" s="620" t="s">
        <x:v>1102</x:v>
      </x:c>
      <x:c r="AS44" s="157">
        <x:v>100</x:v>
      </x:c>
      <x:c r="AT44" s="158">
        <x:v>100</x:v>
      </x:c>
      <x:c r="AU44" s="158">
        <x:v>100</x:v>
      </x:c>
      <x:c r="AV44" s="158">
        <x:v>100</x:v>
      </x:c>
      <x:c r="AW44" s="158">
        <x:v>100</x:v>
      </x:c>
      <x:c r="AX44" s="585" t="s">
        <x:v>1102</x:v>
      </x:c>
      <x:c r="AY44" s="33"/>
      <x:c r="AZ44" s="185"/>
      <x:c r="BA44" s="185"/>
      <x:c r="BB44" s="185"/>
      <x:c r="BC44" s="185"/>
      <x:c r="BD44" s="36"/>
      <x:c r="BE44" s="33"/>
      <x:c r="BF44" s="185"/>
      <x:c r="BG44" s="185"/>
      <x:c r="BH44" s="185"/>
      <x:c r="BI44" s="185"/>
      <x:c r="BJ44" s="36"/>
      <x:c r="BK44" s="33"/>
      <x:c r="BL44" s="185"/>
      <x:c r="BM44" s="185"/>
      <x:c r="BN44" s="185"/>
      <x:c r="BO44" s="185"/>
      <x:c r="BP44" s="36"/>
      <x:c r="BQ44" s="33"/>
      <x:c r="BR44" s="185"/>
      <x:c r="BS44" s="185"/>
      <x:c r="BT44" s="185"/>
      <x:c r="BU44" s="185"/>
      <x:c r="BV44" s="36"/>
    </x:row>
    <x:row r="45" spans="1:74" ht="22.5" customHeight="1" x14ac:dyDescent="0.25">
      <x:c r="A45" s="3" t="s">
        <x:v>716</x:v>
      </x:c>
      <x:c r="B45" s="57" t="s">
        <x:v>23</x:v>
      </x:c>
      <x:c r="C45" s="157"/>
      <x:c r="D45" s="158"/>
      <x:c r="E45" s="158"/>
      <x:c r="F45" s="158"/>
      <x:c r="G45" s="158"/>
      <x:c r="H45" s="197"/>
      <x:c r="I45" s="33"/>
      <x:c r="J45" s="185"/>
      <x:c r="K45" s="185"/>
      <x:c r="L45" s="185"/>
      <x:c r="M45" s="185"/>
      <x:c r="N45" s="36"/>
      <x:c r="O45" s="33"/>
      <x:c r="P45" s="185"/>
      <x:c r="Q45" s="185"/>
      <x:c r="R45" s="185"/>
      <x:c r="S45" s="185"/>
      <x:c r="T45" s="36"/>
      <x:c r="U45" s="33"/>
      <x:c r="V45" s="185"/>
      <x:c r="W45" s="185"/>
      <x:c r="X45" s="185"/>
      <x:c r="Y45" s="185"/>
      <x:c r="Z45" s="36"/>
      <x:c r="AA45" s="33"/>
      <x:c r="AB45" s="185"/>
      <x:c r="AC45" s="185"/>
      <x:c r="AD45" s="185"/>
      <x:c r="AE45" s="185"/>
      <x:c r="AF45" s="36"/>
      <x:c r="AG45" s="157"/>
      <x:c r="AH45" s="158"/>
      <x:c r="AI45" s="158"/>
      <x:c r="AJ45" s="158"/>
      <x:c r="AK45" s="158"/>
      <x:c r="AL45" s="197"/>
      <x:c r="AM45" s="157">
        <x:v>100</x:v>
      </x:c>
      <x:c r="AN45" s="158">
        <x:v>100</x:v>
      </x:c>
      <x:c r="AO45" s="158">
        <x:v>100</x:v>
      </x:c>
      <x:c r="AP45" s="158">
        <x:v>100</x:v>
      </x:c>
      <x:c r="AQ45" s="158">
        <x:v>100</x:v>
      </x:c>
      <x:c r="AR45" s="620" t="s">
        <x:v>1102</x:v>
      </x:c>
      <x:c r="AS45" s="157">
        <x:v>100</x:v>
      </x:c>
      <x:c r="AT45" s="158">
        <x:v>100</x:v>
      </x:c>
      <x:c r="AU45" s="158">
        <x:v>100</x:v>
      </x:c>
      <x:c r="AV45" s="158">
        <x:v>100</x:v>
      </x:c>
      <x:c r="AW45" s="158">
        <x:v>100</x:v>
      </x:c>
      <x:c r="AX45" s="585" t="s">
        <x:v>1102</x:v>
      </x:c>
      <x:c r="AY45" s="33"/>
      <x:c r="AZ45" s="185"/>
      <x:c r="BA45" s="185"/>
      <x:c r="BB45" s="185"/>
      <x:c r="BC45" s="185"/>
      <x:c r="BD45" s="36"/>
      <x:c r="BE45" s="33"/>
      <x:c r="BF45" s="185"/>
      <x:c r="BG45" s="185"/>
      <x:c r="BH45" s="185"/>
      <x:c r="BI45" s="185"/>
      <x:c r="BJ45" s="36"/>
      <x:c r="BK45" s="33"/>
      <x:c r="BL45" s="185"/>
      <x:c r="BM45" s="185"/>
      <x:c r="BN45" s="185"/>
      <x:c r="BO45" s="185"/>
      <x:c r="BP45" s="36"/>
      <x:c r="BQ45" s="33"/>
      <x:c r="BR45" s="185"/>
      <x:c r="BS45" s="185"/>
      <x:c r="BT45" s="185"/>
      <x:c r="BU45" s="185"/>
      <x:c r="BV45" s="36"/>
    </x:row>
    <x:row r="46" spans="1:74" ht="22.5" customHeight="1" x14ac:dyDescent="0.25">
      <x:c r="A46" s="605" t="s">
        <x:v>741</x:v>
      </x:c>
      <x:c r="B46" s="57" t="s">
        <x:v>37</x:v>
      </x:c>
      <x:c r="C46" s="157"/>
      <x:c r="D46" s="158"/>
      <x:c r="E46" s="158"/>
      <x:c r="F46" s="158"/>
      <x:c r="G46" s="158"/>
      <x:c r="H46" s="197"/>
      <x:c r="I46" s="33"/>
      <x:c r="J46" s="185"/>
      <x:c r="K46" s="185"/>
      <x:c r="L46" s="185"/>
      <x:c r="M46" s="185"/>
      <x:c r="N46" s="36"/>
      <x:c r="O46" s="33"/>
      <x:c r="P46" s="185"/>
      <x:c r="Q46" s="185"/>
      <x:c r="R46" s="185"/>
      <x:c r="S46" s="185"/>
      <x:c r="T46" s="36"/>
      <x:c r="U46" s="33"/>
      <x:c r="V46" s="185"/>
      <x:c r="W46" s="185"/>
      <x:c r="X46" s="185"/>
      <x:c r="Y46" s="185"/>
      <x:c r="Z46" s="36"/>
      <x:c r="AA46" s="33"/>
      <x:c r="AB46" s="185"/>
      <x:c r="AC46" s="185"/>
      <x:c r="AD46" s="185"/>
      <x:c r="AE46" s="185"/>
      <x:c r="AF46" s="36"/>
      <x:c r="AG46" s="157"/>
      <x:c r="AH46" s="158"/>
      <x:c r="AI46" s="158"/>
      <x:c r="AJ46" s="158"/>
      <x:c r="AK46" s="158"/>
      <x:c r="AL46" s="197"/>
      <x:c r="AM46" s="157">
        <x:v>100</x:v>
      </x:c>
      <x:c r="AN46" s="158">
        <x:v>100</x:v>
      </x:c>
      <x:c r="AO46" s="158">
        <x:v>100</x:v>
      </x:c>
      <x:c r="AP46" s="158">
        <x:v>100</x:v>
      </x:c>
      <x:c r="AQ46" s="158">
        <x:v>100</x:v>
      </x:c>
      <x:c r="AR46" s="620" t="s">
        <x:v>1102</x:v>
      </x:c>
      <x:c r="AS46" s="588">
        <x:v>0</x:v>
      </x:c>
      <x:c r="AT46" s="589">
        <x:v>0</x:v>
      </x:c>
      <x:c r="AU46" s="589">
        <x:v>0</x:v>
      </x:c>
      <x:c r="AV46" s="589">
        <x:v>0</x:v>
      </x:c>
      <x:c r="AW46" s="589">
        <x:v>0</x:v>
      </x:c>
      <x:c r="AX46" s="591" t="s">
        <x:v>1103</x:v>
      </x:c>
      <x:c r="AY46" s="33"/>
      <x:c r="AZ46" s="185"/>
      <x:c r="BA46" s="185"/>
      <x:c r="BB46" s="185"/>
      <x:c r="BC46" s="185"/>
      <x:c r="BD46" s="36"/>
      <x:c r="BE46" s="33"/>
      <x:c r="BF46" s="185"/>
      <x:c r="BG46" s="185"/>
      <x:c r="BH46" s="185"/>
      <x:c r="BI46" s="185"/>
      <x:c r="BJ46" s="36"/>
      <x:c r="BK46" s="33"/>
      <x:c r="BL46" s="185"/>
      <x:c r="BM46" s="185"/>
      <x:c r="BN46" s="185"/>
      <x:c r="BO46" s="185"/>
      <x:c r="BP46" s="36"/>
      <x:c r="BQ46" s="33"/>
      <x:c r="BR46" s="185"/>
      <x:c r="BS46" s="185"/>
      <x:c r="BT46" s="185"/>
      <x:c r="BU46" s="185"/>
      <x:c r="BV46" s="36"/>
    </x:row>
    <x:row r="47" spans="1:74" ht="22.5" customHeight="1" x14ac:dyDescent="0.25">
      <x:c r="A47" s="3" t="s">
        <x:v>720</x:v>
      </x:c>
      <x:c r="B47" s="57" t="s">
        <x:v>23</x:v>
      </x:c>
      <x:c r="C47" s="157"/>
      <x:c r="D47" s="158"/>
      <x:c r="E47" s="158"/>
      <x:c r="F47" s="158"/>
      <x:c r="G47" s="158"/>
      <x:c r="H47" s="197"/>
      <x:c r="I47" s="33"/>
      <x:c r="J47" s="185"/>
      <x:c r="K47" s="185"/>
      <x:c r="L47" s="185"/>
      <x:c r="M47" s="185"/>
      <x:c r="N47" s="36"/>
      <x:c r="O47" s="33"/>
      <x:c r="P47" s="185"/>
      <x:c r="Q47" s="185"/>
      <x:c r="R47" s="185"/>
      <x:c r="S47" s="185"/>
      <x:c r="T47" s="36"/>
      <x:c r="U47" s="33"/>
      <x:c r="V47" s="185"/>
      <x:c r="W47" s="185"/>
      <x:c r="X47" s="185"/>
      <x:c r="Y47" s="185"/>
      <x:c r="Z47" s="36"/>
      <x:c r="AA47" s="33"/>
      <x:c r="AB47" s="185"/>
      <x:c r="AC47" s="185"/>
      <x:c r="AD47" s="185"/>
      <x:c r="AE47" s="185"/>
      <x:c r="AF47" s="36"/>
      <x:c r="AG47" s="157"/>
      <x:c r="AH47" s="158"/>
      <x:c r="AI47" s="158"/>
      <x:c r="AJ47" s="158"/>
      <x:c r="AK47" s="158"/>
      <x:c r="AL47" s="197"/>
      <x:c r="AM47" s="157">
        <x:v>100</x:v>
      </x:c>
      <x:c r="AN47" s="158">
        <x:v>100</x:v>
      </x:c>
      <x:c r="AO47" s="158">
        <x:v>100</x:v>
      </x:c>
      <x:c r="AP47" s="158">
        <x:v>100</x:v>
      </x:c>
      <x:c r="AQ47" s="158">
        <x:v>100</x:v>
      </x:c>
      <x:c r="AR47" s="620" t="s">
        <x:v>1102</x:v>
      </x:c>
      <x:c r="AS47" s="157">
        <x:v>100</x:v>
      </x:c>
      <x:c r="AT47" s="158">
        <x:v>100</x:v>
      </x:c>
      <x:c r="AU47" s="158">
        <x:v>100</x:v>
      </x:c>
      <x:c r="AV47" s="158">
        <x:v>100</x:v>
      </x:c>
      <x:c r="AW47" s="158">
        <x:v>100</x:v>
      </x:c>
      <x:c r="AX47" s="585" t="s">
        <x:v>1102</x:v>
      </x:c>
      <x:c r="AY47" s="33"/>
      <x:c r="AZ47" s="185"/>
      <x:c r="BA47" s="185"/>
      <x:c r="BB47" s="185"/>
      <x:c r="BC47" s="185"/>
      <x:c r="BD47" s="36"/>
      <x:c r="BE47" s="33"/>
      <x:c r="BF47" s="185"/>
      <x:c r="BG47" s="185"/>
      <x:c r="BH47" s="185"/>
      <x:c r="BI47" s="185"/>
      <x:c r="BJ47" s="36"/>
      <x:c r="BK47" s="33"/>
      <x:c r="BL47" s="185"/>
      <x:c r="BM47" s="185"/>
      <x:c r="BN47" s="185"/>
      <x:c r="BO47" s="185"/>
      <x:c r="BP47" s="36"/>
      <x:c r="BQ47" s="33"/>
      <x:c r="BR47" s="185"/>
      <x:c r="BS47" s="185"/>
      <x:c r="BT47" s="185"/>
      <x:c r="BU47" s="185"/>
      <x:c r="BV47" s="36"/>
    </x:row>
    <x:row r="48" spans="1:74" ht="22.5" customHeight="1" x14ac:dyDescent="0.25">
      <x:c r="A48" s="635" t="s">
        <x:v>1125</x:v>
      </x:c>
      <x:c r="B48" s="57" t="s">
        <x:v>23</x:v>
      </x:c>
      <x:c r="C48" s="157"/>
      <x:c r="D48" s="158"/>
      <x:c r="E48" s="158"/>
      <x:c r="F48" s="158"/>
      <x:c r="G48" s="158"/>
      <x:c r="H48" s="197"/>
      <x:c r="I48" s="33"/>
      <x:c r="J48" s="185"/>
      <x:c r="K48" s="185"/>
      <x:c r="L48" s="185"/>
      <x:c r="M48" s="185"/>
      <x:c r="N48" s="36"/>
      <x:c r="O48" s="33"/>
      <x:c r="P48" s="185"/>
      <x:c r="Q48" s="185"/>
      <x:c r="R48" s="185"/>
      <x:c r="S48" s="185"/>
      <x:c r="T48" s="36"/>
      <x:c r="U48" s="33"/>
      <x:c r="V48" s="185"/>
      <x:c r="W48" s="185"/>
      <x:c r="X48" s="185"/>
      <x:c r="Y48" s="185"/>
      <x:c r="Z48" s="36"/>
      <x:c r="AA48" s="33"/>
      <x:c r="AB48" s="185"/>
      <x:c r="AC48" s="185"/>
      <x:c r="AD48" s="185"/>
      <x:c r="AE48" s="185"/>
      <x:c r="AF48" s="36"/>
      <x:c r="AG48" s="157"/>
      <x:c r="AH48" s="158"/>
      <x:c r="AI48" s="158"/>
      <x:c r="AJ48" s="158"/>
      <x:c r="AK48" s="158"/>
      <x:c r="AL48" s="197"/>
      <x:c r="AM48" s="157">
        <x:v>100</x:v>
      </x:c>
      <x:c r="AN48" s="158">
        <x:v>100</x:v>
      </x:c>
      <x:c r="AO48" s="158">
        <x:v>100</x:v>
      </x:c>
      <x:c r="AP48" s="158">
        <x:v>100</x:v>
      </x:c>
      <x:c r="AQ48" s="158">
        <x:v>100</x:v>
      </x:c>
      <x:c r="AR48" s="620" t="s">
        <x:v>1102</x:v>
      </x:c>
      <x:c r="AS48" s="588">
        <x:v>0</x:v>
      </x:c>
      <x:c r="AT48" s="589">
        <x:v>0</x:v>
      </x:c>
      <x:c r="AU48" s="589">
        <x:v>0</x:v>
      </x:c>
      <x:c r="AV48" s="589">
        <x:v>0</x:v>
      </x:c>
      <x:c r="AW48" s="589">
        <x:v>0</x:v>
      </x:c>
      <x:c r="AX48" s="591" t="s">
        <x:v>1103</x:v>
      </x:c>
      <x:c r="AY48" s="33"/>
      <x:c r="AZ48" s="185"/>
      <x:c r="BA48" s="185"/>
      <x:c r="BB48" s="185"/>
      <x:c r="BC48" s="185"/>
      <x:c r="BD48" s="36"/>
      <x:c r="BE48" s="33"/>
      <x:c r="BF48" s="185"/>
      <x:c r="BG48" s="185"/>
      <x:c r="BH48" s="185"/>
      <x:c r="BI48" s="185"/>
      <x:c r="BJ48" s="36"/>
      <x:c r="BK48" s="33"/>
      <x:c r="BL48" s="185"/>
      <x:c r="BM48" s="185"/>
      <x:c r="BN48" s="185"/>
      <x:c r="BO48" s="185"/>
      <x:c r="BP48" s="36"/>
      <x:c r="BQ48" s="33"/>
      <x:c r="BR48" s="185"/>
      <x:c r="BS48" s="185"/>
      <x:c r="BT48" s="185"/>
      <x:c r="BU48" s="185"/>
      <x:c r="BV48" s="36"/>
    </x:row>
    <x:row r="49" spans="1:74" ht="26.25" customHeight="1" x14ac:dyDescent="0.25">
      <x:c r="A49" s="605" t="s">
        <x:v>1126</x:v>
      </x:c>
      <x:c r="B49" s="57"/>
      <x:c r="C49" s="157"/>
      <x:c r="D49" s="158"/>
      <x:c r="E49" s="158"/>
      <x:c r="F49" s="158"/>
      <x:c r="G49" s="158"/>
      <x:c r="H49" s="197"/>
      <x:c r="I49" s="33"/>
      <x:c r="J49" s="185"/>
      <x:c r="K49" s="185"/>
      <x:c r="L49" s="185"/>
      <x:c r="M49" s="185"/>
      <x:c r="N49" s="36"/>
      <x:c r="O49" s="33"/>
      <x:c r="P49" s="185"/>
      <x:c r="Q49" s="185"/>
      <x:c r="R49" s="185"/>
      <x:c r="S49" s="185"/>
      <x:c r="T49" s="36"/>
      <x:c r="U49" s="33"/>
      <x:c r="V49" s="185"/>
      <x:c r="W49" s="185"/>
      <x:c r="X49" s="185"/>
      <x:c r="Y49" s="185"/>
      <x:c r="Z49" s="36"/>
      <x:c r="AA49" s="33"/>
      <x:c r="AB49" s="185"/>
      <x:c r="AC49" s="185"/>
      <x:c r="AD49" s="185"/>
      <x:c r="AE49" s="185"/>
      <x:c r="AF49" s="36"/>
      <x:c r="AG49" s="157"/>
      <x:c r="AH49" s="158"/>
      <x:c r="AI49" s="158"/>
      <x:c r="AJ49" s="158"/>
      <x:c r="AK49" s="158"/>
      <x:c r="AL49" s="197"/>
      <x:c r="AM49" s="604">
        <x:v>0</x:v>
      </x:c>
      <x:c r="AN49" s="589">
        <x:v>0</x:v>
      </x:c>
      <x:c r="AO49" s="589">
        <x:v>0</x:v>
      </x:c>
      <x:c r="AP49" s="589">
        <x:v>0</x:v>
      </x:c>
      <x:c r="AQ49" s="589">
        <x:v>0</x:v>
      </x:c>
      <x:c r="AR49" s="620" t="s">
        <x:v>1102</x:v>
      </x:c>
      <x:c r="AS49" s="588">
        <x:v>0</x:v>
      </x:c>
      <x:c r="AT49" s="589">
        <x:v>0</x:v>
      </x:c>
      <x:c r="AU49" s="589">
        <x:v>0</x:v>
      </x:c>
      <x:c r="AV49" s="589">
        <x:v>0</x:v>
      </x:c>
      <x:c r="AW49" s="589">
        <x:v>0</x:v>
      </x:c>
      <x:c r="AX49" s="591" t="s">
        <x:v>1103</x:v>
      </x:c>
      <x:c r="AY49" s="33"/>
      <x:c r="AZ49" s="185"/>
      <x:c r="BA49" s="185"/>
      <x:c r="BB49" s="185"/>
      <x:c r="BC49" s="185"/>
      <x:c r="BD49" s="36"/>
      <x:c r="BE49" s="33"/>
      <x:c r="BF49" s="185"/>
      <x:c r="BG49" s="185"/>
      <x:c r="BH49" s="185"/>
      <x:c r="BI49" s="185"/>
      <x:c r="BJ49" s="36"/>
      <x:c r="BK49" s="33"/>
      <x:c r="BL49" s="185"/>
      <x:c r="BM49" s="185"/>
      <x:c r="BN49" s="185"/>
      <x:c r="BO49" s="185"/>
      <x:c r="BP49" s="36"/>
      <x:c r="BQ49" s="33"/>
      <x:c r="BR49" s="185"/>
      <x:c r="BS49" s="185"/>
      <x:c r="BT49" s="185"/>
      <x:c r="BU49" s="185"/>
      <x:c r="BV49" s="36"/>
    </x:row>
    <x:row r="50" spans="1:74" ht="22.5" customHeight="1" x14ac:dyDescent="0.25">
      <x:c r="A50" s="3" t="s">
        <x:v>707</x:v>
      </x:c>
      <x:c r="B50" s="57" t="s">
        <x:v>23</x:v>
      </x:c>
      <x:c r="C50" s="157"/>
      <x:c r="D50" s="158"/>
      <x:c r="E50" s="158"/>
      <x:c r="F50" s="158"/>
      <x:c r="G50" s="158"/>
      <x:c r="H50" s="197"/>
      <x:c r="I50" s="33"/>
      <x:c r="J50" s="185"/>
      <x:c r="K50" s="185"/>
      <x:c r="L50" s="185"/>
      <x:c r="M50" s="185"/>
      <x:c r="N50" s="36"/>
      <x:c r="O50" s="33"/>
      <x:c r="P50" s="185"/>
      <x:c r="Q50" s="185"/>
      <x:c r="R50" s="185"/>
      <x:c r="S50" s="185"/>
      <x:c r="T50" s="36"/>
      <x:c r="U50" s="33"/>
      <x:c r="V50" s="185"/>
      <x:c r="W50" s="185"/>
      <x:c r="X50" s="185"/>
      <x:c r="Y50" s="185"/>
      <x:c r="Z50" s="36"/>
      <x:c r="AA50" s="33"/>
      <x:c r="AB50" s="185"/>
      <x:c r="AC50" s="185"/>
      <x:c r="AD50" s="185"/>
      <x:c r="AE50" s="185"/>
      <x:c r="AF50" s="36"/>
      <x:c r="AG50" s="157"/>
      <x:c r="AH50" s="158"/>
      <x:c r="AI50" s="158"/>
      <x:c r="AJ50" s="158"/>
      <x:c r="AK50" s="158"/>
      <x:c r="AL50" s="197"/>
      <x:c r="AM50" s="157">
        <x:v>100</x:v>
      </x:c>
      <x:c r="AN50" s="158">
        <x:v>100</x:v>
      </x:c>
      <x:c r="AO50" s="158">
        <x:v>100</x:v>
      </x:c>
      <x:c r="AP50" s="158">
        <x:v>100</x:v>
      </x:c>
      <x:c r="AQ50" s="158">
        <x:v>93</x:v>
      </x:c>
      <x:c r="AR50" s="620" t="s">
        <x:v>1102</x:v>
      </x:c>
      <x:c r="AS50" s="157">
        <x:v>100</x:v>
      </x:c>
      <x:c r="AT50" s="158">
        <x:v>100</x:v>
      </x:c>
      <x:c r="AU50" s="158">
        <x:v>100</x:v>
      </x:c>
      <x:c r="AV50" s="158">
        <x:v>100</x:v>
      </x:c>
      <x:c r="AW50" s="158">
        <x:v>100</x:v>
      </x:c>
      <x:c r="AX50" s="585" t="s">
        <x:v>1102</x:v>
      </x:c>
      <x:c r="AY50" s="33"/>
      <x:c r="AZ50" s="185"/>
      <x:c r="BA50" s="185"/>
      <x:c r="BB50" s="185"/>
      <x:c r="BC50" s="185"/>
      <x:c r="BD50" s="36"/>
      <x:c r="BE50" s="33"/>
      <x:c r="BF50" s="185"/>
      <x:c r="BG50" s="185"/>
      <x:c r="BH50" s="185"/>
      <x:c r="BI50" s="185"/>
      <x:c r="BJ50" s="36"/>
      <x:c r="BK50" s="33"/>
      <x:c r="BL50" s="185"/>
      <x:c r="BM50" s="185"/>
      <x:c r="BN50" s="185"/>
      <x:c r="BO50" s="185"/>
      <x:c r="BP50" s="36"/>
      <x:c r="BQ50" s="33"/>
      <x:c r="BR50" s="185"/>
      <x:c r="BS50" s="185"/>
      <x:c r="BT50" s="185"/>
      <x:c r="BU50" s="185"/>
      <x:c r="BV50" s="36"/>
    </x:row>
    <x:row r="51" spans="1:74" ht="22.5" customHeight="1" x14ac:dyDescent="0.25">
      <x:c r="A51" s="3" t="s">
        <x:v>722</x:v>
      </x:c>
      <x:c r="B51" s="57" t="s">
        <x:v>23</x:v>
      </x:c>
      <x:c r="C51" s="157"/>
      <x:c r="D51" s="158"/>
      <x:c r="E51" s="158"/>
      <x:c r="F51" s="158"/>
      <x:c r="G51" s="158"/>
      <x:c r="H51" s="197"/>
      <x:c r="I51" s="33"/>
      <x:c r="J51" s="185"/>
      <x:c r="K51" s="185"/>
      <x:c r="L51" s="185"/>
      <x:c r="M51" s="185"/>
      <x:c r="N51" s="36"/>
      <x:c r="O51" s="33"/>
      <x:c r="P51" s="185"/>
      <x:c r="Q51" s="185"/>
      <x:c r="R51" s="185"/>
      <x:c r="S51" s="185"/>
      <x:c r="T51" s="36"/>
      <x:c r="U51" s="33"/>
      <x:c r="V51" s="185"/>
      <x:c r="W51" s="185"/>
      <x:c r="X51" s="185"/>
      <x:c r="Y51" s="185"/>
      <x:c r="Z51" s="36"/>
      <x:c r="AA51" s="33"/>
      <x:c r="AB51" s="185"/>
      <x:c r="AC51" s="185"/>
      <x:c r="AD51" s="185"/>
      <x:c r="AE51" s="185"/>
      <x:c r="AF51" s="36"/>
      <x:c r="AG51" s="157"/>
      <x:c r="AH51" s="158"/>
      <x:c r="AI51" s="158"/>
      <x:c r="AJ51" s="158"/>
      <x:c r="AK51" s="158"/>
      <x:c r="AL51" s="197"/>
      <x:c r="AM51" s="157">
        <x:v>100</x:v>
      </x:c>
      <x:c r="AN51" s="158">
        <x:v>100</x:v>
      </x:c>
      <x:c r="AO51" s="158">
        <x:v>100</x:v>
      </x:c>
      <x:c r="AP51" s="158">
        <x:v>100</x:v>
      </x:c>
      <x:c r="AQ51" s="158">
        <x:v>100</x:v>
      </x:c>
      <x:c r="AR51" s="620" t="s">
        <x:v>1102</x:v>
      </x:c>
      <x:c r="AS51" s="157">
        <x:v>100</x:v>
      </x:c>
      <x:c r="AT51" s="158">
        <x:v>100</x:v>
      </x:c>
      <x:c r="AU51" s="158">
        <x:v>100</x:v>
      </x:c>
      <x:c r="AV51" s="158">
        <x:v>100</x:v>
      </x:c>
      <x:c r="AW51" s="158">
        <x:v>93</x:v>
      </x:c>
      <x:c r="AX51" s="585" t="s">
        <x:v>1102</x:v>
      </x:c>
      <x:c r="AY51" s="33"/>
      <x:c r="AZ51" s="185"/>
      <x:c r="BA51" s="185"/>
      <x:c r="BB51" s="185"/>
      <x:c r="BC51" s="185"/>
      <x:c r="BD51" s="36"/>
      <x:c r="BE51" s="33"/>
      <x:c r="BF51" s="185"/>
      <x:c r="BG51" s="185"/>
      <x:c r="BH51" s="185"/>
      <x:c r="BI51" s="185"/>
      <x:c r="BJ51" s="36"/>
      <x:c r="BK51" s="33"/>
      <x:c r="BL51" s="185"/>
      <x:c r="BM51" s="185"/>
      <x:c r="BN51" s="185"/>
      <x:c r="BO51" s="185"/>
      <x:c r="BP51" s="36"/>
      <x:c r="BQ51" s="33"/>
      <x:c r="BR51" s="185"/>
      <x:c r="BS51" s="185"/>
      <x:c r="BT51" s="185"/>
      <x:c r="BU51" s="185"/>
      <x:c r="BV51" s="36"/>
    </x:row>
    <x:row r="52" spans="1:74" ht="22.5" customHeight="1" x14ac:dyDescent="0.25">
      <x:c r="A52" s="3" t="s">
        <x:v>714</x:v>
      </x:c>
      <x:c r="B52" s="57" t="s">
        <x:v>23</x:v>
      </x:c>
      <x:c r="C52" s="157"/>
      <x:c r="D52" s="158"/>
      <x:c r="E52" s="158"/>
      <x:c r="F52" s="158"/>
      <x:c r="G52" s="158"/>
      <x:c r="H52" s="197"/>
      <x:c r="I52" s="33"/>
      <x:c r="J52" s="185"/>
      <x:c r="K52" s="185"/>
      <x:c r="L52" s="185"/>
      <x:c r="M52" s="185"/>
      <x:c r="N52" s="36"/>
      <x:c r="O52" s="33"/>
      <x:c r="P52" s="185"/>
      <x:c r="Q52" s="185"/>
      <x:c r="R52" s="185"/>
      <x:c r="S52" s="185"/>
      <x:c r="T52" s="36"/>
      <x:c r="U52" s="33"/>
      <x:c r="V52" s="185"/>
      <x:c r="W52" s="185"/>
      <x:c r="X52" s="185"/>
      <x:c r="Y52" s="185"/>
      <x:c r="Z52" s="36"/>
      <x:c r="AA52" s="33"/>
      <x:c r="AB52" s="185"/>
      <x:c r="AC52" s="185"/>
      <x:c r="AD52" s="185"/>
      <x:c r="AE52" s="185"/>
      <x:c r="AF52" s="36"/>
      <x:c r="AG52" s="157"/>
      <x:c r="AH52" s="158"/>
      <x:c r="AI52" s="158"/>
      <x:c r="AJ52" s="158"/>
      <x:c r="AK52" s="158"/>
      <x:c r="AL52" s="197"/>
      <x:c r="AM52" s="157">
        <x:v>100</x:v>
      </x:c>
      <x:c r="AN52" s="158">
        <x:v>100</x:v>
      </x:c>
      <x:c r="AO52" s="158">
        <x:v>100</x:v>
      </x:c>
      <x:c r="AP52" s="158">
        <x:v>100</x:v>
      </x:c>
      <x:c r="AQ52" s="158">
        <x:v>100</x:v>
      </x:c>
      <x:c r="AR52" s="620" t="s">
        <x:v>1102</x:v>
      </x:c>
      <x:c r="AS52" s="157">
        <x:v>100</x:v>
      </x:c>
      <x:c r="AT52" s="158">
        <x:v>100</x:v>
      </x:c>
      <x:c r="AU52" s="158">
        <x:v>100</x:v>
      </x:c>
      <x:c r="AV52" s="158">
        <x:v>100</x:v>
      </x:c>
      <x:c r="AW52" s="158">
        <x:v>100</x:v>
      </x:c>
      <x:c r="AX52" s="585" t="s">
        <x:v>1102</x:v>
      </x:c>
      <x:c r="AY52" s="33"/>
      <x:c r="AZ52" s="185"/>
      <x:c r="BA52" s="185"/>
      <x:c r="BB52" s="185"/>
      <x:c r="BC52" s="185"/>
      <x:c r="BD52" s="36"/>
      <x:c r="BE52" s="33"/>
      <x:c r="BF52" s="185"/>
      <x:c r="BG52" s="185"/>
      <x:c r="BH52" s="185"/>
      <x:c r="BI52" s="185"/>
      <x:c r="BJ52" s="36"/>
      <x:c r="BK52" s="33"/>
      <x:c r="BL52" s="185"/>
      <x:c r="BM52" s="185"/>
      <x:c r="BN52" s="185"/>
      <x:c r="BO52" s="185"/>
      <x:c r="BP52" s="36"/>
      <x:c r="BQ52" s="33"/>
      <x:c r="BR52" s="185"/>
      <x:c r="BS52" s="185"/>
      <x:c r="BT52" s="185"/>
      <x:c r="BU52" s="185"/>
      <x:c r="BV52" s="36"/>
    </x:row>
    <x:row r="53" spans="1:74" ht="22.5" customHeight="1" x14ac:dyDescent="0.25">
      <x:c r="A53" s="3" t="s">
        <x:v>702</x:v>
      </x:c>
      <x:c r="B53" s="57" t="s">
        <x:v>16</x:v>
      </x:c>
      <x:c r="C53" s="157"/>
      <x:c r="D53" s="158"/>
      <x:c r="E53" s="158"/>
      <x:c r="F53" s="158"/>
      <x:c r="G53" s="158"/>
      <x:c r="H53" s="197"/>
      <x:c r="I53" s="33"/>
      <x:c r="J53" s="185"/>
      <x:c r="K53" s="185"/>
      <x:c r="L53" s="185"/>
      <x:c r="M53" s="185"/>
      <x:c r="N53" s="36"/>
      <x:c r="O53" s="33"/>
      <x:c r="P53" s="185"/>
      <x:c r="Q53" s="185"/>
      <x:c r="R53" s="185"/>
      <x:c r="S53" s="185"/>
      <x:c r="T53" s="36"/>
      <x:c r="U53" s="33"/>
      <x:c r="V53" s="185"/>
      <x:c r="W53" s="185"/>
      <x:c r="X53" s="185"/>
      <x:c r="Y53" s="185"/>
      <x:c r="Z53" s="36"/>
      <x:c r="AA53" s="33"/>
      <x:c r="AB53" s="185"/>
      <x:c r="AC53" s="185"/>
      <x:c r="AD53" s="185"/>
      <x:c r="AE53" s="185"/>
      <x:c r="AF53" s="36"/>
      <x:c r="AG53" s="157"/>
      <x:c r="AH53" s="158"/>
      <x:c r="AI53" s="158"/>
      <x:c r="AJ53" s="158"/>
      <x:c r="AK53" s="158"/>
      <x:c r="AL53" s="197"/>
      <x:c r="AM53" s="157">
        <x:v>100</x:v>
      </x:c>
      <x:c r="AN53" s="158">
        <x:v>100</x:v>
      </x:c>
      <x:c r="AO53" s="158">
        <x:v>100</x:v>
      </x:c>
      <x:c r="AP53" s="158">
        <x:v>100</x:v>
      </x:c>
      <x:c r="AQ53" s="158">
        <x:v>100</x:v>
      </x:c>
      <x:c r="AR53" s="620" t="s">
        <x:v>1102</x:v>
      </x:c>
      <x:c r="AS53" s="157">
        <x:v>100</x:v>
      </x:c>
      <x:c r="AT53" s="158">
        <x:v>100</x:v>
      </x:c>
      <x:c r="AU53" s="158">
        <x:v>100</x:v>
      </x:c>
      <x:c r="AV53" s="158">
        <x:v>100</x:v>
      </x:c>
      <x:c r="AW53" s="158">
        <x:v>100</x:v>
      </x:c>
      <x:c r="AX53" s="585" t="s">
        <x:v>1102</x:v>
      </x:c>
      <x:c r="AY53" s="33"/>
      <x:c r="AZ53" s="185"/>
      <x:c r="BA53" s="185"/>
      <x:c r="BB53" s="185"/>
      <x:c r="BC53" s="185"/>
      <x:c r="BD53" s="36"/>
      <x:c r="BE53" s="33"/>
      <x:c r="BF53" s="185"/>
      <x:c r="BG53" s="185"/>
      <x:c r="BH53" s="185"/>
      <x:c r="BI53" s="185"/>
      <x:c r="BJ53" s="36"/>
      <x:c r="BK53" s="33"/>
      <x:c r="BL53" s="185"/>
      <x:c r="BM53" s="185"/>
      <x:c r="BN53" s="185"/>
      <x:c r="BO53" s="185"/>
      <x:c r="BP53" s="36"/>
      <x:c r="BQ53" s="33"/>
      <x:c r="BR53" s="185"/>
      <x:c r="BS53" s="185"/>
      <x:c r="BT53" s="185"/>
      <x:c r="BU53" s="185"/>
      <x:c r="BV53" s="36"/>
    </x:row>
    <x:row r="54" spans="1:74" ht="22.5" customHeight="1" x14ac:dyDescent="0.25">
      <x:c r="A54" s="3" t="s">
        <x:v>729</x:v>
      </x:c>
      <x:c r="B54" s="57" t="s">
        <x:v>23</x:v>
      </x:c>
      <x:c r="C54" s="157"/>
      <x:c r="D54" s="158"/>
      <x:c r="E54" s="158"/>
      <x:c r="F54" s="158"/>
      <x:c r="G54" s="158"/>
      <x:c r="H54" s="197"/>
      <x:c r="I54" s="33"/>
      <x:c r="J54" s="185"/>
      <x:c r="K54" s="185"/>
      <x:c r="L54" s="185"/>
      <x:c r="M54" s="185"/>
      <x:c r="N54" s="36"/>
      <x:c r="O54" s="33"/>
      <x:c r="P54" s="185"/>
      <x:c r="Q54" s="185"/>
      <x:c r="R54" s="185"/>
      <x:c r="S54" s="185"/>
      <x:c r="T54" s="36"/>
      <x:c r="U54" s="33"/>
      <x:c r="V54" s="185"/>
      <x:c r="W54" s="185"/>
      <x:c r="X54" s="185"/>
      <x:c r="Y54" s="185"/>
      <x:c r="Z54" s="36"/>
      <x:c r="AA54" s="33"/>
      <x:c r="AB54" s="185"/>
      <x:c r="AC54" s="185"/>
      <x:c r="AD54" s="185"/>
      <x:c r="AE54" s="185"/>
      <x:c r="AF54" s="36"/>
      <x:c r="AG54" s="157"/>
      <x:c r="AH54" s="158"/>
      <x:c r="AI54" s="158"/>
      <x:c r="AJ54" s="158"/>
      <x:c r="AK54" s="158"/>
      <x:c r="AL54" s="197"/>
      <x:c r="AM54" s="157">
        <x:v>100</x:v>
      </x:c>
      <x:c r="AN54" s="158">
        <x:v>100</x:v>
      </x:c>
      <x:c r="AO54" s="158">
        <x:v>100</x:v>
      </x:c>
      <x:c r="AP54" s="158">
        <x:v>100</x:v>
      </x:c>
      <x:c r="AQ54" s="158">
        <x:v>100</x:v>
      </x:c>
      <x:c r="AR54" s="620" t="s">
        <x:v>1102</x:v>
      </x:c>
      <x:c r="AS54" s="157">
        <x:v>100</x:v>
      </x:c>
      <x:c r="AT54" s="158">
        <x:v>100</x:v>
      </x:c>
      <x:c r="AU54" s="158">
        <x:v>100</x:v>
      </x:c>
      <x:c r="AV54" s="158">
        <x:v>100</x:v>
      </x:c>
      <x:c r="AW54" s="158">
        <x:v>100</x:v>
      </x:c>
      <x:c r="AX54" s="585" t="s">
        <x:v>1102</x:v>
      </x:c>
      <x:c r="AY54" s="33"/>
      <x:c r="AZ54" s="185"/>
      <x:c r="BA54" s="185"/>
      <x:c r="BB54" s="185"/>
      <x:c r="BC54" s="185"/>
      <x:c r="BD54" s="36"/>
      <x:c r="BE54" s="33"/>
      <x:c r="BF54" s="185"/>
      <x:c r="BG54" s="185"/>
      <x:c r="BH54" s="185"/>
      <x:c r="BI54" s="185"/>
      <x:c r="BJ54" s="36"/>
      <x:c r="BK54" s="33"/>
      <x:c r="BL54" s="185"/>
      <x:c r="BM54" s="185"/>
      <x:c r="BN54" s="185"/>
      <x:c r="BO54" s="185"/>
      <x:c r="BP54" s="36"/>
      <x:c r="BQ54" s="33"/>
      <x:c r="BR54" s="185"/>
      <x:c r="BS54" s="185"/>
      <x:c r="BT54" s="185"/>
      <x:c r="BU54" s="185"/>
      <x:c r="BV54" s="36"/>
    </x:row>
    <x:row r="55" spans="1:74" x14ac:dyDescent="0.25">
      <x:c r="C55" s="511">
        <x:f>SUMPRODUCT((C3:C54&gt;=10)*(D3:D54&gt;=10)*(E3:E54&gt;=10)*(F3:F54&gt;=10)*(G3:G54&gt;=10))</x:f>
      </x:c>
      <x:c r="D55" s="503"/>
      <x:c r="E55" s="503"/>
      <x:c r="F55" s="503"/>
      <x:c r="G55" s="503"/>
      <x:c r="H55" s="227">
        <x:f>COUNTIF(H3:H54,"Да")</x:f>
      </x:c>
      <x:c r="I55" s="511">
        <x:f>SUMPRODUCT((I3:I54&gt;=10)*(J3:J54&gt;=10)*(K3:K54&gt;=10)*(L3:L54&gt;=10)*(M3:M54&gt;=10))</x:f>
      </x:c>
      <x:c r="J55" s="503"/>
      <x:c r="K55" s="503"/>
      <x:c r="L55" s="503"/>
      <x:c r="M55" s="503"/>
      <x:c r="N55" s="227">
        <x:f>COUNTIF(N3:N54,"Да")</x:f>
      </x:c>
      <x:c r="O55" s="511">
        <x:f>SUMPRODUCT((O3:O54&gt;=10)*(P3:P54&gt;=10)*(Q3:Q54&gt;=10)*(R3:R54&gt;=10)*(S3:S54&gt;=10))</x:f>
      </x:c>
      <x:c r="P55" s="503"/>
      <x:c r="Q55" s="503"/>
      <x:c r="R55" s="503"/>
      <x:c r="S55" s="503"/>
      <x:c r="T55" s="227">
        <x:f>COUNTIF(T3:T54,"Да")</x:f>
      </x:c>
      <x:c r="U55" s="511">
        <x:f>SUMPRODUCT((U3:U54&gt;=10)*(V3:V54&gt;=10)*(W3:W54&gt;=10)*(X3:X54&gt;=10)*(Y3:Y54&gt;=10))</x:f>
      </x:c>
      <x:c r="V55" s="503"/>
      <x:c r="W55" s="503"/>
      <x:c r="X55" s="503"/>
      <x:c r="Y55" s="503"/>
      <x:c r="Z55" s="227">
        <x:f>COUNTIF(Z3:Z54,"Да")</x:f>
      </x:c>
      <x:c r="AA55" s="511">
        <x:f>SUMPRODUCT((AA3:AA54&gt;=10)*(AB3:AB54&gt;=10)*(AC3:AC54&gt;=10)*(AD3:AD54&gt;=10)*(AE3:AE54&gt;=10))</x:f>
      </x:c>
      <x:c r="AB55" s="503"/>
      <x:c r="AC55" s="503"/>
      <x:c r="AD55" s="503"/>
      <x:c r="AE55" s="503"/>
      <x:c r="AF55" s="227">
        <x:f>COUNTIF(AF3:AF54,"Да")</x:f>
      </x:c>
      <x:c r="AG55" s="511">
        <x:f>SUMPRODUCT((AG3:AG54&gt;=10)*(AH3:AH54&gt;=10)*(AI3:AI54&gt;=10)*(AJ3:AJ54&gt;=10)*(AK3:AK54&gt;=10))</x:f>
      </x:c>
      <x:c r="AH55" s="503"/>
      <x:c r="AI55" s="503"/>
      <x:c r="AJ55" s="503"/>
      <x:c r="AK55" s="503"/>
      <x:c r="AL55" s="227">
        <x:f>COUNTIF(AL3:AL54,"Да")</x:f>
      </x:c>
      <x:c r="AM55" s="511">
        <x:f>SUMPRODUCT((AM3:AM54&gt;=10)*(AN3:AN54&gt;=10)*(AO3:AO54&gt;=10)*(AP3:AP54&gt;=10)*(AQ3:AQ54&gt;=10))</x:f>
      </x:c>
      <x:c r="AN55" s="503"/>
      <x:c r="AO55" s="503"/>
      <x:c r="AP55" s="503"/>
      <x:c r="AQ55" s="503"/>
      <x:c r="AR55" s="227">
        <x:f>COUNTIF(AR3:AR54,"Да")</x:f>
      </x:c>
      <x:c r="AS55" s="511">
        <x:f>SUMPRODUCT((AS3:AS54&gt;=10)*(AT3:AT54&gt;=10)*(AU3:AU54&gt;=10)*(AV3:AV54&gt;=10)*(AW3:AW54&gt;=10))</x:f>
      </x:c>
      <x:c r="AT55" s="503"/>
      <x:c r="AU55" s="503"/>
      <x:c r="AV55" s="503"/>
      <x:c r="AW55" s="503"/>
      <x:c r="AX55" s="227">
        <x:f>COUNTIF(AX3:AX54,"Да")</x:f>
      </x:c>
      <x:c r="AY55" s="511">
        <x:f>SUMPRODUCT((AY3:AY54&gt;=10)*(AZ3:AZ54&gt;=10)*(BA3:BA54&gt;=10)*(BB3:BB54&gt;=10)*(BC3:BC54&gt;=10))</x:f>
      </x:c>
      <x:c r="AZ55" s="503"/>
      <x:c r="BA55" s="503"/>
      <x:c r="BB55" s="503"/>
      <x:c r="BC55" s="503"/>
      <x:c r="BD55" s="227">
        <x:f>COUNTIF(BD3:BD54,"Да")</x:f>
      </x:c>
      <x:c r="BE55" s="511">
        <x:f>SUMPRODUCT((BE3:BE54&gt;=10)*(BF3:BF54&gt;=10)*(BG3:BG54&gt;=10)*(BH3:BH54&gt;=10)*(BI3:BI54&gt;=10))</x:f>
      </x:c>
      <x:c r="BF55" s="503"/>
      <x:c r="BG55" s="503"/>
      <x:c r="BH55" s="503"/>
      <x:c r="BI55" s="503"/>
      <x:c r="BJ55" s="227">
        <x:f>COUNTIF(BJ3:BJ54,"Да")</x:f>
      </x:c>
      <x:c r="BK55" s="511">
        <x:f>SUMPRODUCT((BK3:BK54&gt;=10)*(BL3:BL54&gt;=10)*(BM3:BM54&gt;=10)*(BN3:BN54&gt;=10)*(BO3:BO54&gt;=10))</x:f>
      </x:c>
      <x:c r="BL55" s="503"/>
      <x:c r="BM55" s="503"/>
      <x:c r="BN55" s="503"/>
      <x:c r="BO55" s="503"/>
      <x:c r="BP55" s="227">
        <x:f>COUNTIF(BP3:BP54,"Да")</x:f>
      </x:c>
      <x:c r="BQ55" s="511">
        <x:f>SUMPRODUCT((BQ3:BQ54&gt;=10)*(BR3:BR54&gt;=10)*(BS3:BS54&gt;=10)*(BT3:BT54&gt;=10)*(BU3:BU54&gt;=10))</x:f>
      </x:c>
      <x:c r="BR55" s="503"/>
      <x:c r="BS55" s="503"/>
      <x:c r="BT55" s="503"/>
      <x:c r="BU55" s="503"/>
      <x:c r="BV55" s="227">
        <x:f>COUNTIF(BV3:BV54,"Да")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55:G55"/>
    <x:mergeCell ref="I55:M55"/>
    <x:mergeCell ref="O55:S55"/>
    <x:mergeCell ref="U55:Y55"/>
    <x:mergeCell ref="AA55:AE55"/>
    <x:mergeCell ref="AG55:AK55"/>
    <x:mergeCell ref="AM55:AQ55"/>
    <x:mergeCell ref="AS55:AW55"/>
    <x:mergeCell ref="AY55:BC55"/>
    <x:mergeCell ref="BE55:BI55"/>
    <x:mergeCell ref="BK55:BO55"/>
    <x:mergeCell ref="BQ55:BU55"/>
  </x:mergeCells>
  <x:conditionalFormatting sqref="C3:BV54">
    <x:cfRule type="containsBlanks" dxfId="8" priority="1">
      <x:formula>LEN(TRIM(C3))=0</x:formula>
    </x:cfRule>
  </x:conditionalFormatting>
  <x:conditionalFormatting sqref="AU3:AV3">
    <x:cfRule type="expression" priority="2" stopIfTrue="1" operator="equal">
      <x:formula>LEN(TRIM(AU3&amp;""))=0</x:formula>
    </x:cfRule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C3:O54 Q3:AJ54 AL3:AM54">
    <x:cfRule type="expression" priority="7" stopIfTrue="1" operator="equal">
      <x:formula>LEN(TRIM(C3&amp;""))=0</x:formula>
    </x:cfRule>
  </x:conditionalFormatting>
  <x:conditionalFormatting sqref="A1:A1">
    <x:cfRule type="duplicateValues" dxfId="0" priority="8"/>
  </x:conditionalFormatting>
  <x:conditionalFormatting sqref="A3:A5 A7:A50">
    <x:cfRule type="duplicateValues" dxfId="0" priority="9"/>
  </x:conditionalFormatting>
  <x:conditionalFormatting sqref="A3:A50">
    <x:cfRule type="duplicateValues" dxfId="0" priority="10"/>
  </x:conditionalFormatting>
  <x:conditionalFormatting sqref="P3:P54 AK3:AK54 AN3:AT54 AW3:BV54 AU4:AV54">
    <x:cfRule type="expression" priority="11" stopIfTrue="1" operator="equal">
      <x:formula>LEN(TRIM(P3&amp;""))=0</x:formula>
    </x:cfRule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V23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2.855469" style="0" customWidth="1"/>
    <x:col min="2" max="2" width="22.140625" style="0" customWidth="1"/>
    <x:col min="3" max="13" width="9.140625" style="0" customWidth="1"/>
    <x:col min="14" max="14" width="9.855469" style="0" customWidth="1"/>
    <x:col min="15" max="19" width="9.140625" style="0" customWidth="1"/>
    <x:col min="20" max="20" width="9.710938" style="0" customWidth="1"/>
    <x:col min="21" max="25" width="9.140625" style="0" customWidth="1"/>
    <x:col min="26" max="26" width="10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140625" style="0" customWidth="1"/>
    <x:col min="39" max="43" width="9.140625" style="0" customWidth="1"/>
    <x:col min="44" max="44" width="9.855469" style="0" customWidth="1"/>
    <x:col min="45" max="49" width="9.140625" style="0" customWidth="1"/>
    <x:col min="50" max="50" width="10.285156" style="0" customWidth="1"/>
    <x:col min="51" max="55" width="9.140625" style="0" customWidth="1"/>
    <x:col min="56" max="56" width="10.570312" style="0" customWidth="1"/>
    <x:col min="57" max="61" width="9.140625" style="0" customWidth="1"/>
    <x:col min="62" max="62" width="9.855469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9.285156" style="0" customWidth="1"/>
  </x:cols>
  <x:sheetData>
    <x:row r="1" spans="1:74" ht="28.5" customHeight="1" x14ac:dyDescent="0.3">
      <x:c r="A1" s="22" t="s">
        <x:v>1076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7" t="s">
        <x:v>626</x:v>
      </x:c>
      <x:c r="B3" s="122" t="s">
        <x:v>37</x:v>
      </x:c>
      <x:c r="C3" s="157"/>
      <x:c r="D3" s="158"/>
      <x:c r="E3" s="158"/>
      <x:c r="F3" s="158"/>
      <x:c r="G3" s="158"/>
      <x:c r="H3" s="197"/>
      <x:c r="I3" s="33"/>
      <x:c r="J3" s="185"/>
      <x:c r="K3" s="185"/>
      <x:c r="L3" s="185"/>
      <x:c r="M3" s="185"/>
      <x:c r="N3" s="36"/>
      <x:c r="O3" s="33"/>
      <x:c r="P3" s="185"/>
      <x:c r="Q3" s="185"/>
      <x:c r="R3" s="185"/>
      <x:c r="S3" s="185"/>
      <x:c r="T3" s="36"/>
      <x:c r="U3" s="33"/>
      <x:c r="V3" s="185"/>
      <x:c r="W3" s="185"/>
      <x:c r="X3" s="185"/>
      <x:c r="Y3" s="185"/>
      <x:c r="Z3" s="36"/>
      <x:c r="AA3" s="167"/>
      <x:c r="AB3" s="185"/>
      <x:c r="AC3" s="185"/>
      <x:c r="AD3" s="185"/>
      <x:c r="AE3" s="185"/>
      <x:c r="AF3" s="36"/>
      <x:c r="AG3" s="167"/>
      <x:c r="AH3" s="185"/>
      <x:c r="AI3" s="185"/>
      <x:c r="AJ3" s="185"/>
      <x:c r="AK3" s="185"/>
      <x:c r="AL3" s="36"/>
      <x:c r="AM3" s="157">
        <x:v>100</x:v>
      </x:c>
      <x:c r="AN3" s="158">
        <x:v>100</x:v>
      </x:c>
      <x:c r="AO3" s="158">
        <x:v>100</x:v>
      </x:c>
      <x:c r="AP3" s="158">
        <x:v>100</x:v>
      </x:c>
      <x:c r="AQ3" s="158">
        <x:v>100</x:v>
      </x:c>
      <x:c r="AR3" s="620" t="s">
        <x:v>1102</x:v>
      </x:c>
      <x:c r="AS3" s="175">
        <x:v>100</x:v>
      </x:c>
      <x:c r="AT3" s="158">
        <x:v>100</x:v>
      </x:c>
      <x:c r="AU3" s="158">
        <x:v>100</x:v>
      </x:c>
      <x:c r="AV3" s="158">
        <x:v>100</x:v>
      </x:c>
      <x:c r="AW3" s="158">
        <x:v>100</x:v>
      </x:c>
      <x:c r="AX3" s="585" t="s">
        <x:v>1102</x:v>
      </x:c>
      <x:c r="AY3" s="167"/>
      <x:c r="AZ3" s="185"/>
      <x:c r="BA3" s="185"/>
      <x:c r="BB3" s="185"/>
      <x:c r="BC3" s="185"/>
      <x:c r="BD3" s="36"/>
      <x:c r="BE3" s="167"/>
      <x:c r="BF3" s="185"/>
      <x:c r="BG3" s="185"/>
      <x:c r="BH3" s="185"/>
      <x:c r="BI3" s="185"/>
      <x:c r="BJ3" s="36"/>
      <x:c r="BK3" s="167"/>
      <x:c r="BL3" s="185"/>
      <x:c r="BM3" s="185"/>
      <x:c r="BN3" s="185"/>
      <x:c r="BO3" s="185"/>
      <x:c r="BP3" s="36"/>
      <x:c r="BQ3" s="167"/>
      <x:c r="BR3" s="185"/>
      <x:c r="BS3" s="185"/>
      <x:c r="BT3" s="185"/>
      <x:c r="BU3" s="185"/>
      <x:c r="BV3" s="36"/>
    </x:row>
    <x:row r="4" spans="1:74" ht="22.5" customHeight="1" x14ac:dyDescent="0.25">
      <x:c r="A4" s="97" t="s">
        <x:v>616</x:v>
      </x:c>
      <x:c r="B4" s="122" t="s">
        <x:v>23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97" t="s">
        <x:v>620</x:v>
      </x:c>
      <x:c r="B5" s="122" t="s">
        <x:v>183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97" t="s">
        <x:v>622</x:v>
      </x:c>
      <x:c r="B6" s="122" t="s">
        <x:v>183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97" t="s">
        <x:v>618</x:v>
      </x:c>
      <x:c r="B7" s="122" t="s">
        <x:v>23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97" t="s">
        <x:v>170</x:v>
      </x:c>
      <x:c r="B8" s="122" t="s">
        <x:v>23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99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97" t="s">
        <x:v>625</x:v>
      </x:c>
      <x:c r="B9" s="122" t="s">
        <x:v>37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97" t="s">
        <x:v>610</x:v>
      </x:c>
      <x:c r="B10" s="122" t="s">
        <x:v>16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97" t="s">
        <x:v>624</x:v>
      </x:c>
      <x:c r="B11" s="122" t="s">
        <x:v>21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600">
        <x:v>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97" t="s">
        <x:v>611</x:v>
      </x:c>
      <x:c r="B12" s="122" t="s">
        <x:v>16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97" t="s">
        <x:v>613</x:v>
      </x:c>
      <x:c r="B13" s="122" t="s">
        <x:v>16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97" t="s">
        <x:v>614</x:v>
      </x:c>
      <x:c r="B14" s="122" t="s">
        <x:v>23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620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97" t="s">
        <x:v>628</x:v>
      </x:c>
      <x:c r="B15" s="122" t="s">
        <x:v>37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97" t="s">
        <x:v>617</x:v>
      </x:c>
      <x:c r="B16" s="122" t="s">
        <x:v>23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22.5" customHeight="1" x14ac:dyDescent="0.25">
      <x:c r="A17" s="97" t="s">
        <x:v>612</x:v>
      </x:c>
      <x:c r="B17" s="122" t="s">
        <x:v>16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33.75" customHeight="1" x14ac:dyDescent="0.25">
      <x:c r="A18" s="97" t="s">
        <x:v>623</x:v>
      </x:c>
      <x:c r="B18" s="122" t="s">
        <x:v>183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620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158">
        <x:v>100</x:v>
      </x:c>
      <x:c r="AX18" s="585" t="s">
        <x:v>1102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ht="22.5" customHeight="1" x14ac:dyDescent="0.25">
      <x:c r="A19" s="97" t="s">
        <x:v>615</x:v>
      </x:c>
      <x:c r="B19" s="122" t="s">
        <x:v>23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ht="22.5" customHeight="1" x14ac:dyDescent="0.25">
      <x:c r="A20" s="636" t="s">
        <x:v>608</x:v>
      </x:c>
      <x:c r="B20" s="122" t="s">
        <x:v>14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620" t="s">
        <x:v>1102</x:v>
      </x:c>
      <x:c r="AS20" s="175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ht="22.5" customHeight="1" x14ac:dyDescent="0.25">
      <x:c r="A21" s="97" t="s">
        <x:v>621</x:v>
      </x:c>
      <x:c r="B21" s="122" t="s">
        <x:v>183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75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ht="22.5" customHeight="1" x14ac:dyDescent="0.3">
      <x:c r="A22" s="51" t="s">
        <x:v>627</x:v>
      </x:c>
      <x:c r="B22" s="100" t="s">
        <x:v>191</x:v>
      </x:c>
      <x:c r="C22" s="160"/>
      <x:c r="D22" s="161"/>
      <x:c r="E22" s="161"/>
      <x:c r="F22" s="161"/>
      <x:c r="G22" s="161"/>
      <x:c r="H22" s="204"/>
      <x:c r="I22" s="38"/>
      <x:c r="J22" s="39"/>
      <x:c r="K22" s="39"/>
      <x:c r="L22" s="39"/>
      <x:c r="M22" s="39"/>
      <x:c r="N22" s="42"/>
      <x:c r="O22" s="38"/>
      <x:c r="P22" s="39"/>
      <x:c r="Q22" s="39"/>
      <x:c r="R22" s="39"/>
      <x:c r="S22" s="39"/>
      <x:c r="T22" s="42"/>
      <x:c r="U22" s="38"/>
      <x:c r="V22" s="39"/>
      <x:c r="W22" s="39"/>
      <x:c r="X22" s="39"/>
      <x:c r="Y22" s="39"/>
      <x:c r="Z22" s="42"/>
      <x:c r="AA22" s="38"/>
      <x:c r="AB22" s="39"/>
      <x:c r="AC22" s="39"/>
      <x:c r="AD22" s="39"/>
      <x:c r="AE22" s="39"/>
      <x:c r="AF22" s="42"/>
      <x:c r="AG22" s="38"/>
      <x:c r="AH22" s="39"/>
      <x:c r="AI22" s="39"/>
      <x:c r="AJ22" s="39"/>
      <x:c r="AK22" s="39"/>
      <x:c r="AL22" s="42"/>
      <x:c r="AM22" s="160">
        <x:v>100</x:v>
      </x:c>
      <x:c r="AN22" s="161">
        <x:v>100</x:v>
      </x:c>
      <x:c r="AO22" s="161">
        <x:v>100</x:v>
      </x:c>
      <x:c r="AP22" s="161">
        <x:v>100</x:v>
      </x:c>
      <x:c r="AQ22" s="161">
        <x:v>100</x:v>
      </x:c>
      <x:c r="AR22" s="631" t="s">
        <x:v>1102</x:v>
      </x:c>
      <x:c r="AS22" s="160">
        <x:v>100</x:v>
      </x:c>
      <x:c r="AT22" s="161">
        <x:v>100</x:v>
      </x:c>
      <x:c r="AU22" s="161">
        <x:v>100</x:v>
      </x:c>
      <x:c r="AV22" s="161">
        <x:v>100</x:v>
      </x:c>
      <x:c r="AW22" s="161">
        <x:v>100</x:v>
      </x:c>
      <x:c r="AX22" s="594" t="s">
        <x:v>1102</x:v>
      </x:c>
      <x:c r="AY22" s="38"/>
      <x:c r="AZ22" s="39"/>
      <x:c r="BA22" s="39"/>
      <x:c r="BB22" s="39"/>
      <x:c r="BC22" s="39"/>
      <x:c r="BD22" s="42"/>
      <x:c r="BE22" s="38"/>
      <x:c r="BF22" s="39"/>
      <x:c r="BG22" s="39"/>
      <x:c r="BH22" s="39"/>
      <x:c r="BI22" s="39"/>
      <x:c r="BJ22" s="42"/>
      <x:c r="BK22" s="38"/>
      <x:c r="BL22" s="39"/>
      <x:c r="BM22" s="39"/>
      <x:c r="BN22" s="39"/>
      <x:c r="BO22" s="39"/>
      <x:c r="BP22" s="42"/>
      <x:c r="BQ22" s="38"/>
      <x:c r="BR22" s="39"/>
      <x:c r="BS22" s="39"/>
      <x:c r="BT22" s="39"/>
      <x:c r="BU22" s="39"/>
      <x:c r="BV22" s="42"/>
    </x:row>
    <x:row r="23" spans="1:74" x14ac:dyDescent="0.25">
      <x:c r="C23" s="498">
        <x:f t="array" ref="C23:C23">SUMPRODUCT((C3:C22&gt;=10)*(D3:D22&gt;=10)*(E3:E22&gt;=10)*(F3:F22&gt;=10)*(G3:G22&gt;=10))</x:f>
      </x:c>
      <x:c r="H23" s="227">
        <x:f>COUNTIF(H3:H22,"Да")</x:f>
      </x:c>
      <x:c r="I23" s="498">
        <x:f t="array" ref="I23:I23">SUMPRODUCT((I3:I22&gt;=10)*(J3:J22&gt;=10)*(K3:K22&gt;=10)*(L3:L22&gt;=10)*(M3:M22&gt;=10))</x:f>
      </x:c>
      <x:c r="N23" s="227">
        <x:f>COUNTIF(N3:N22,"Да")</x:f>
      </x:c>
      <x:c r="O23" s="498">
        <x:f t="array" ref="O23:O23">SUMPRODUCT((O3:O22&gt;=10)*(P3:P22&gt;=10)*(Q3:Q22&gt;=10)*(R3:R22&gt;=10)*(S3:S22&gt;=10))</x:f>
      </x:c>
      <x:c r="T23" s="227">
        <x:f>COUNTIF(T3:T22,"Да")</x:f>
      </x:c>
      <x:c r="U23" s="498">
        <x:f t="array" ref="U23:U23">SUMPRODUCT((U3:U22&gt;=10)*(V3:V22&gt;=10)*(W3:W22&gt;=10)*(X3:X22&gt;=10)*(Y3:Y22&gt;=10))</x:f>
      </x:c>
      <x:c r="Z23" s="227">
        <x:f>COUNTIF(Z3:Z22,"Да")</x:f>
      </x:c>
      <x:c r="AA23" s="498">
        <x:f t="array" ref="AA23:AA23">SUMPRODUCT((AA3:AA22&gt;=10)*(AB3:AB22&gt;=10)*(AC3:AC22&gt;=10)*(AD3:AD22&gt;=10)*(AE3:AE22&gt;=10))</x:f>
      </x:c>
      <x:c r="AF23" s="227">
        <x:f>COUNTIF(AF3:AF22,"Да")</x:f>
      </x:c>
      <x:c r="AG23" s="498">
        <x:f t="array" ref="AG23:AG23">SUMPRODUCT((AG3:AG22&gt;=10)*(AH3:AH22&gt;=10)*(AI3:AI22&gt;=10)*(AJ3:AJ22&gt;=10)*(AK3:AK22&gt;=10))</x:f>
      </x:c>
      <x:c r="AL23" s="227">
        <x:f>COUNTIF(AL3:AL22,"Да")</x:f>
      </x:c>
      <x:c r="AM23" s="498">
        <x:f t="array" ref="AM23:AM23">SUMPRODUCT((AM3:AM22&gt;=10)*(AN3:AN22&gt;=10)*(AO3:AO22&gt;=10)*(AP3:AP22&gt;=10)*(AQ3:AQ22&gt;=10))</x:f>
      </x:c>
      <x:c r="AR23" s="227">
        <x:f>COUNTIF(AR3:AR22,"Да")</x:f>
      </x:c>
      <x:c r="AS23" s="498">
        <x:f t="array" ref="AS23:AS23">SUMPRODUCT((AS3:AS22&gt;=10)*(AT3:AT22&gt;=10)*(AU3:AU22&gt;=10)*(AV3:AV22&gt;=10)*(AW3:AW22&gt;=10))</x:f>
      </x:c>
      <x:c r="AX23" s="227">
        <x:f>COUNTIF(AX3:AX22,"Да")</x:f>
      </x:c>
      <x:c r="AY23" s="498">
        <x:f t="array" ref="AY23:AY23">SUMPRODUCT((AY3:AY22&gt;=10)*(AZ3:AZ22&gt;=10)*(BA3:BA22&gt;=10)*(BB3:BB22&gt;=10)*(BC3:BC22&gt;=10))</x:f>
      </x:c>
      <x:c r="BD23" s="227">
        <x:f>COUNTIF(BD3:BD22,"Да")</x:f>
      </x:c>
      <x:c r="BE23" s="498">
        <x:f t="array" ref="BE23:BE23">SUMPRODUCT((BE3:BE22&gt;=10)*(BF3:BF22&gt;=10)*(BG3:BG22&gt;=10)*(BH3:BH22&gt;=10)*(BI3:BI22&gt;=10))</x:f>
      </x:c>
      <x:c r="BJ23" s="227">
        <x:f>COUNTIF(BJ3:BJ22,"Да")</x:f>
      </x:c>
      <x:c r="BK23" s="498">
        <x:f t="array" ref="BK23:BK23">SUMPRODUCT((BK3:BK22&gt;=10)*(BL3:BL22&gt;=10)*(BM3:BM22&gt;=10)*(BN3:BN22&gt;=10)*(BO3:BO22&gt;=10))</x:f>
      </x:c>
      <x:c r="BP23" s="227">
        <x:f>COUNTIF(BP3:BP22,"Да")</x:f>
      </x:c>
      <x:c r="BQ23" s="498">
        <x:f t="array" ref="BQ23:BQ23">SUMPRODUCT((BQ3:BQ22&gt;=10)*(BR3:BR22&gt;=10)*(BS3:BS22&gt;=10)*(BT3:BT22&gt;=10)*(BU3:BU22&gt;=10))</x:f>
      </x:c>
      <x:c r="BV23" s="227">
        <x:f>COUNTIF(BV3:BV22,"Да")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3:G23"/>
    <x:mergeCell ref="I23:M23"/>
    <x:mergeCell ref="O23:S23"/>
    <x:mergeCell ref="U23:Y23"/>
    <x:mergeCell ref="AA23:AE23"/>
    <x:mergeCell ref="AG23:AK23"/>
    <x:mergeCell ref="AM23:AQ23"/>
    <x:mergeCell ref="AS23:AW23"/>
    <x:mergeCell ref="AY23:BC23"/>
    <x:mergeCell ref="BE23:BI23"/>
    <x:mergeCell ref="BK23:BO23"/>
    <x:mergeCell ref="BQ23:BU23"/>
  </x:mergeCells>
  <x:conditionalFormatting sqref="C3:BV22">
    <x:cfRule type="containsBlanks" dxfId="8" priority="1">
      <x:formula>LEN(TRIM(C3))=0</x:formula>
    </x:cfRule>
    <x:cfRule type="expression" priority="6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22">
    <x:cfRule type="duplicateValues" dxfId="0" priority="8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V15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2.855469" style="0" customWidth="1"/>
    <x:col min="2" max="2" width="25.710938" style="0" customWidth="1"/>
    <x:col min="3" max="74" width="9.140625" style="0" customWidth="1"/>
  </x:cols>
  <x:sheetData>
    <x:row r="1" spans="1:74" ht="28.5" customHeight="1" x14ac:dyDescent="0.3">
      <x:c r="A1" s="22" t="s">
        <x:v>1127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5" t="s">
        <x:v>752</x:v>
      </x:c>
      <x:c r="B3" s="96" t="s">
        <x:v>23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207" t="s">
        <x:v>747</x:v>
      </x:c>
      <x:c r="B4" s="122" t="s">
        <x:v>16</x:v>
      </x:c>
      <x:c r="C4" s="175"/>
      <x:c r="D4" s="158"/>
      <x:c r="E4" s="158"/>
      <x:c r="F4" s="158"/>
      <x:c r="G4" s="158"/>
      <x:c r="H4" s="197"/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75">
        <x:v>100</x:v>
      </x:c>
      <x:c r="AN4" s="158">
        <x:v>100</x:v>
      </x:c>
      <x:c r="AO4" s="158">
        <x:v>100</x:v>
      </x:c>
      <x:c r="AP4" s="158">
        <x:v>100</x:v>
      </x:c>
      <x:c r="AQ4" s="158">
        <x:v>88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207" t="s">
        <x:v>751</x:v>
      </x:c>
      <x:c r="B5" s="122" t="s">
        <x:v>23</x:v>
      </x:c>
      <x:c r="C5" s="175"/>
      <x:c r="D5" s="158"/>
      <x:c r="E5" s="158"/>
      <x:c r="F5" s="158"/>
      <x:c r="G5" s="158"/>
      <x:c r="H5" s="197"/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75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207" t="s">
        <x:v>749</x:v>
      </x:c>
      <x:c r="B6" s="122" t="s">
        <x:v>23</x:v>
      </x:c>
      <x:c r="C6" s="175"/>
      <x:c r="D6" s="158"/>
      <x:c r="E6" s="158"/>
      <x:c r="F6" s="158"/>
      <x:c r="G6" s="158"/>
      <x:c r="H6" s="197"/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75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207" t="s">
        <x:v>750</x:v>
      </x:c>
      <x:c r="B7" s="122" t="s">
        <x:v>23</x:v>
      </x:c>
      <x:c r="C7" s="175"/>
      <x:c r="D7" s="158"/>
      <x:c r="E7" s="158"/>
      <x:c r="F7" s="158"/>
      <x:c r="G7" s="158"/>
      <x:c r="H7" s="197"/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75">
        <x:v>100</x:v>
      </x:c>
      <x:c r="AN7" s="158">
        <x:v>100</x:v>
      </x:c>
      <x:c r="AO7" s="158">
        <x:v>100</x:v>
      </x:c>
      <x:c r="AP7" s="158">
        <x:v>100</x:v>
      </x:c>
      <x:c r="AQ7" s="158">
        <x:v>87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207" t="s">
        <x:v>753</x:v>
      </x:c>
      <x:c r="B8" s="122" t="s">
        <x:v>37</x:v>
      </x:c>
      <x:c r="C8" s="175"/>
      <x:c r="D8" s="158"/>
      <x:c r="E8" s="158"/>
      <x:c r="F8" s="158"/>
      <x:c r="G8" s="158"/>
      <x:c r="H8" s="197"/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75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637" t="s">
        <x:v>742</x:v>
      </x:c>
      <x:c r="B9" s="122" t="s">
        <x:v>14</x:v>
      </x:c>
      <x:c r="C9" s="175"/>
      <x:c r="D9" s="158"/>
      <x:c r="E9" s="158"/>
      <x:c r="F9" s="158"/>
      <x:c r="G9" s="158"/>
      <x:c r="H9" s="197"/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75">
        <x:v>100</x:v>
      </x:c>
      <x:c r="AN9" s="589">
        <x:v>0</x:v>
      </x:c>
      <x:c r="AO9" s="589">
        <x:v>0</x:v>
      </x:c>
      <x:c r="AP9" s="589">
        <x:v>0</x:v>
      </x:c>
      <x:c r="AQ9" s="589">
        <x:v>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600">
        <x:v>0</x:v>
      </x:c>
      <x:c r="AW9" s="600">
        <x:v>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207" t="s">
        <x:v>745</x:v>
      </x:c>
      <x:c r="B10" s="122" t="s">
        <x:v>16</x:v>
      </x:c>
      <x:c r="C10" s="175"/>
      <x:c r="D10" s="158"/>
      <x:c r="E10" s="158"/>
      <x:c r="F10" s="158"/>
      <x:c r="G10" s="158"/>
      <x:c r="H10" s="197"/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75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207" t="s">
        <x:v>744</x:v>
      </x:c>
      <x:c r="B11" s="122" t="s">
        <x:v>16</x:v>
      </x:c>
      <x:c r="C11" s="175"/>
      <x:c r="D11" s="158"/>
      <x:c r="E11" s="158"/>
      <x:c r="F11" s="158"/>
      <x:c r="G11" s="158"/>
      <x:c r="H11" s="197"/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75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207" t="s">
        <x:v>748</x:v>
      </x:c>
      <x:c r="B12" s="122" t="s">
        <x:v>21</x:v>
      </x:c>
      <x:c r="C12" s="175"/>
      <x:c r="D12" s="158"/>
      <x:c r="E12" s="158"/>
      <x:c r="F12" s="158"/>
      <x:c r="G12" s="158"/>
      <x:c r="H12" s="197"/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75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95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207" t="s">
        <x:v>746</x:v>
      </x:c>
      <x:c r="B13" s="122" t="s">
        <x:v>16</x:v>
      </x:c>
      <x:c r="C13" s="175"/>
      <x:c r="D13" s="158"/>
      <x:c r="E13" s="158"/>
      <x:c r="F13" s="158"/>
      <x:c r="G13" s="158"/>
      <x:c r="H13" s="197"/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75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3">
      <x:c r="A14" s="51" t="s">
        <x:v>754</x:v>
      </x:c>
      <x:c r="B14" s="100" t="s">
        <x:v>37</x:v>
      </x:c>
      <x:c r="C14" s="160"/>
      <x:c r="D14" s="161"/>
      <x:c r="E14" s="161"/>
      <x:c r="F14" s="161"/>
      <x:c r="G14" s="161"/>
      <x:c r="H14" s="204"/>
      <x:c r="I14" s="38"/>
      <x:c r="J14" s="39"/>
      <x:c r="K14" s="39"/>
      <x:c r="L14" s="39"/>
      <x:c r="M14" s="39"/>
      <x:c r="N14" s="42"/>
      <x:c r="O14" s="38"/>
      <x:c r="P14" s="39"/>
      <x:c r="Q14" s="39"/>
      <x:c r="R14" s="39"/>
      <x:c r="S14" s="39"/>
      <x:c r="T14" s="42"/>
      <x:c r="U14" s="38"/>
      <x:c r="V14" s="39"/>
      <x:c r="W14" s="39"/>
      <x:c r="X14" s="39"/>
      <x:c r="Y14" s="39"/>
      <x:c r="Z14" s="42"/>
      <x:c r="AA14" s="38"/>
      <x:c r="AB14" s="39"/>
      <x:c r="AC14" s="39"/>
      <x:c r="AD14" s="39"/>
      <x:c r="AE14" s="39"/>
      <x:c r="AF14" s="42"/>
      <x:c r="AG14" s="38"/>
      <x:c r="AH14" s="39"/>
      <x:c r="AI14" s="39"/>
      <x:c r="AJ14" s="39"/>
      <x:c r="AK14" s="39"/>
      <x:c r="AL14" s="42"/>
      <x:c r="AM14" s="160">
        <x:v>100</x:v>
      </x:c>
      <x:c r="AN14" s="161">
        <x:v>100</x:v>
      </x:c>
      <x:c r="AO14" s="161">
        <x:v>100</x:v>
      </x:c>
      <x:c r="AP14" s="161">
        <x:v>100</x:v>
      </x:c>
      <x:c r="AQ14" s="161">
        <x:v>100</x:v>
      </x:c>
      <x:c r="AR14" s="631" t="s">
        <x:v>1102</x:v>
      </x:c>
      <x:c r="AS14" s="160">
        <x:v>100</x:v>
      </x:c>
      <x:c r="AT14" s="161">
        <x:v>100</x:v>
      </x:c>
      <x:c r="AU14" s="161">
        <x:v>100</x:v>
      </x:c>
      <x:c r="AV14" s="161">
        <x:v>100</x:v>
      </x:c>
      <x:c r="AW14" s="161">
        <x:v>100</x:v>
      </x:c>
      <x:c r="AX14" s="594" t="s">
        <x:v>1102</x:v>
      </x:c>
      <x:c r="AY14" s="38"/>
      <x:c r="AZ14" s="39"/>
      <x:c r="BA14" s="39"/>
      <x:c r="BB14" s="39"/>
      <x:c r="BC14" s="39"/>
      <x:c r="BD14" s="42"/>
      <x:c r="BE14" s="38"/>
      <x:c r="BF14" s="39"/>
      <x:c r="BG14" s="39"/>
      <x:c r="BH14" s="39"/>
      <x:c r="BI14" s="39"/>
      <x:c r="BJ14" s="42"/>
      <x:c r="BK14" s="38"/>
      <x:c r="BL14" s="39"/>
      <x:c r="BM14" s="39"/>
      <x:c r="BN14" s="39"/>
      <x:c r="BO14" s="39"/>
      <x:c r="BP14" s="42"/>
      <x:c r="BQ14" s="38"/>
      <x:c r="BR14" s="39"/>
      <x:c r="BS14" s="39"/>
      <x:c r="BT14" s="39"/>
      <x:c r="BU14" s="39"/>
      <x:c r="BV14" s="42"/>
    </x:row>
    <x:row r="15" spans="1:74" x14ac:dyDescent="0.25">
      <x:c r="C15" s="227">
        <x:f t="array" ref="C15:C15">SUMPRODUCT((C3:C14&gt;=10)*(D3:D14&gt;=10)*(E3:E14&gt;=10)*(F3:F14&gt;=10)*(G3:G14&gt;=10))</x:f>
      </x:c>
      <x:c r="H15" s="227">
        <x:f>COUNTIF(H3:H14,"Да")</x:f>
      </x:c>
      <x:c r="I15" s="227">
        <x:f t="array" ref="I15:I15">SUMPRODUCT((I3:I14&gt;=10)*(J3:J14&gt;=10)*(K3:K14&gt;=10)*(L3:L14&gt;=10)*(M3:M14&gt;=10))</x:f>
      </x:c>
      <x:c r="N15" s="227">
        <x:f>COUNTIF(N3:N14,"Да")</x:f>
      </x:c>
      <x:c r="O15" s="227">
        <x:f t="array" ref="O15:O15">SUMPRODUCT((O3:O14&gt;=10)*(P3:P14&gt;=10)*(Q3:Q14&gt;=10)*(R3:R14&gt;=10)*(S3:S14&gt;=10))</x:f>
      </x:c>
      <x:c r="T15" s="227">
        <x:f>COUNTIF(T3:T14,"Да")</x:f>
      </x:c>
      <x:c r="U15" s="227">
        <x:f t="array" ref="U15:U15">SUMPRODUCT((U3:U14&gt;=10)*(V3:V14&gt;=10)*(W3:W14&gt;=10)*(X3:X14&gt;=10)*(Y3:Y14&gt;=10))</x:f>
      </x:c>
      <x:c r="Z15" s="227">
        <x:f>COUNTIF(Z3:Z14,"Да")</x:f>
      </x:c>
      <x:c r="AA15" s="227">
        <x:f t="array" ref="AA15:AA15">SUMPRODUCT((AA3:AA14&gt;=10)*(AB3:AB14&gt;=10)*(AC3:AC14&gt;=10)*(AD3:AD14&gt;=10)*(AE3:AE14&gt;=10))</x:f>
      </x:c>
      <x:c r="AF15" s="227">
        <x:f>COUNTIF(AF3:AF14,"Да")</x:f>
      </x:c>
      <x:c r="AG15" s="227">
        <x:f t="array" ref="AG15:AG15">SUMPRODUCT((AG3:AG14&gt;=10)*(AH3:AH14&gt;=10)*(AI3:AI14&gt;=10)*(AJ3:AJ14&gt;=10)*(AK3:AK14&gt;=10))</x:f>
      </x:c>
      <x:c r="AL15" s="227">
        <x:f>COUNTIF(AL3:AL14,"Да")</x:f>
      </x:c>
      <x:c r="AM15" s="227">
        <x:f t="array" ref="AM15:AM15">SUMPRODUCT((AM3:AM14&gt;=10)*(AN3:AN14&gt;=10)*(AO3:AO14&gt;=10)*(AP3:AP14&gt;=10)*(AQ3:AQ14&gt;=10))</x:f>
      </x:c>
      <x:c r="AR15" s="227">
        <x:f>COUNTIF(AR3:AR14,"Да")</x:f>
      </x:c>
      <x:c r="AS15" s="227">
        <x:f t="array" ref="AS15:AS15">SUMPRODUCT((AS3:AS14&gt;=10)*(AT3:AT14&gt;=10)*(AU3:AU14&gt;=10)*(AV3:AV14&gt;=10)*(AW3:AW14&gt;=10))</x:f>
      </x:c>
      <x:c r="AX15" s="227">
        <x:f>COUNTIF(AX3:AX14,"Да")</x:f>
      </x:c>
      <x:c r="AY15" s="227">
        <x:f t="array" ref="AY15:AY15">SUMPRODUCT((AY3:AY14&gt;=10)*(AZ3:AZ14&gt;=10)*(BA3:BA14&gt;=10)*(BB3:BB14&gt;=10)*(BC3:BC14&gt;=10))</x:f>
      </x:c>
      <x:c r="BD15" s="227">
        <x:f>COUNTIF(BD3:BD14,"Да")</x:f>
      </x:c>
      <x:c r="BE15" s="227">
        <x:f t="array" ref="BE15:BE15">SUMPRODUCT((BE3:BE14&gt;=10)*(BF3:BF14&gt;=10)*(BG3:BG14&gt;=10)*(BH3:BH14&gt;=10)*(BI3:BI14&gt;=10))</x:f>
      </x:c>
      <x:c r="BJ15" s="227">
        <x:f>COUNTIF(BJ3:BJ14,"Да")</x:f>
      </x:c>
      <x:c r="BK15" s="227">
        <x:f t="array" ref="BK15:BK15">SUMPRODUCT((BK3:BK14&gt;=10)*(BL3:BL14&gt;=10)*(BM3:BM14&gt;=10)*(BN3:BN14&gt;=10)*(BO3:BO14&gt;=10))</x:f>
      </x:c>
      <x:c r="BP15" s="227">
        <x:f>COUNTIF(BP3:BP14,"Да")</x:f>
      </x:c>
      <x:c r="BQ15" s="227">
        <x:f t="array" ref="BQ15:BQ15">SUMPRODUCT((BQ3:BQ14&gt;=10)*(BR3:BR14&gt;=10)*(BS3:BS14&gt;=10)*(BT3:BT14&gt;=10)*(BU3:BU14&gt;=10))</x:f>
      </x:c>
      <x:c r="BV15" s="227">
        <x:f>COUNTIF(BV3:BV14,"Да")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15:G15"/>
    <x:mergeCell ref="I15:M15"/>
    <x:mergeCell ref="O15:S15"/>
    <x:mergeCell ref="U15:Y15"/>
    <x:mergeCell ref="AA15:AE15"/>
    <x:mergeCell ref="AG15:AK15"/>
    <x:mergeCell ref="AM15:AQ15"/>
    <x:mergeCell ref="AS15:AW15"/>
    <x:mergeCell ref="AY15:BC15"/>
    <x:mergeCell ref="BE15:BI15"/>
    <x:mergeCell ref="BK15:BO15"/>
    <x:mergeCell ref="BQ15:BU15"/>
  </x:mergeCells>
  <x:conditionalFormatting sqref="C3:BV14">
    <x:cfRule type="containsBlanks" dxfId="8" priority="1">
      <x:formula>LEN(TRIM(C3))=0</x:formula>
    </x:cfRule>
    <x:cfRule type="expression" priority="6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14">
    <x:cfRule type="duplicateValues" dxfId="0" priority="8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outlinePr summaryBelow="1" summaryRight="1"/>
  </x:sheetPr>
  <x:dimension ref="A1:BV24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7.710938" style="0" customWidth="1"/>
    <x:col min="2" max="2" width="22.855469" style="0" customWidth="1"/>
    <x:col min="3" max="25" width="9.140625" style="0" customWidth="1"/>
    <x:col min="26" max="26" width="10.570312" style="0" customWidth="1"/>
    <x:col min="27" max="31" width="9.140625" style="0" customWidth="1"/>
    <x:col min="32" max="32" width="10.285156" style="0" customWidth="1"/>
    <x:col min="33" max="37" width="9.140625" style="0" customWidth="1"/>
    <x:col min="38" max="38" width="10.285156" style="0" customWidth="1"/>
    <x:col min="39" max="43" width="9.140625" style="0" customWidth="1"/>
    <x:col min="44" max="44" width="10.140625" style="0" customWidth="1"/>
    <x:col min="45" max="49" width="9.140625" style="0" customWidth="1"/>
    <x:col min="50" max="50" width="9.855469" style="0" customWidth="1"/>
    <x:col min="51" max="55" width="9.140625" style="0" customWidth="1"/>
    <x:col min="56" max="56" width="10.570312" style="0" customWidth="1"/>
    <x:col min="57" max="61" width="9.140625" style="0" customWidth="1"/>
    <x:col min="62" max="62" width="10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9.425781" style="0" customWidth="1"/>
  </x:cols>
  <x:sheetData>
    <x:row r="1" spans="1:74" ht="28.5" customHeight="1" x14ac:dyDescent="0.3">
      <x:c r="A1" s="22" t="s">
        <x:v>1128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638" t="s">
        <x:v>648</x:v>
      </x:c>
      <x:c r="B3" s="96" t="s">
        <x:v>23</x:v>
      </x:c>
      <x:c r="C3" s="639">
        <x:v>0</x:v>
      </x:c>
      <x:c r="D3" s="640">
        <x:v>0</x:v>
      </x:c>
      <x:c r="E3" s="640">
        <x:v>0</x:v>
      </x:c>
      <x:c r="F3" s="640">
        <x:v>0</x:v>
      </x:c>
      <x:c r="G3" s="640">
        <x:v>0</x:v>
      </x:c>
      <x:c r="H3" s="641" t="s">
        <x:v>1103</x:v>
      </x:c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639">
        <x:v>0</x:v>
      </x:c>
      <x:c r="AN3" s="640">
        <x:v>0</x:v>
      </x:c>
      <x:c r="AO3" s="640">
        <x:v>0</x:v>
      </x:c>
      <x:c r="AP3" s="640">
        <x:v>0</x:v>
      </x:c>
      <x:c r="AQ3" s="640">
        <x:v>0</x:v>
      </x:c>
      <x:c r="AR3" s="641" t="s">
        <x:v>1103</x:v>
      </x:c>
      <x:c r="AS3" s="639">
        <x:v>0</x:v>
      </x:c>
      <x:c r="AT3" s="640">
        <x:v>0</x:v>
      </x:c>
      <x:c r="AU3" s="640">
        <x:v>0</x:v>
      </x:c>
      <x:c r="AV3" s="640">
        <x:v>0</x:v>
      </x:c>
      <x:c r="AW3" s="640">
        <x:v>0</x:v>
      </x:c>
      <x:c r="AX3" s="641" t="s">
        <x:v>1103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642" t="s">
        <x:v>638</x:v>
      </x:c>
      <x:c r="B4" s="122" t="s">
        <x:v>23</x:v>
      </x:c>
      <x:c r="C4" s="617">
        <x:v>0</x:v>
      </x:c>
      <x:c r="D4" s="589">
        <x:v>0</x:v>
      </x:c>
      <x:c r="E4" s="589">
        <x:v>0</x:v>
      </x:c>
      <x:c r="F4" s="589">
        <x:v>0</x:v>
      </x:c>
      <x:c r="G4" s="589">
        <x:v>0</x:v>
      </x:c>
      <x:c r="H4" s="591" t="s">
        <x:v>1103</x:v>
      </x:c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617">
        <x:v>0</x:v>
      </x:c>
      <x:c r="AN4" s="589">
        <x:v>0</x:v>
      </x:c>
      <x:c r="AO4" s="589">
        <x:v>0</x:v>
      </x:c>
      <x:c r="AP4" s="589">
        <x:v>0</x:v>
      </x:c>
      <x:c r="AQ4" s="589">
        <x:v>0</x:v>
      </x:c>
      <x:c r="AR4" s="591" t="s">
        <x:v>1103</x:v>
      </x:c>
      <x:c r="AS4" s="617">
        <x:v>0</x:v>
      </x:c>
      <x:c r="AT4" s="589">
        <x:v>0</x:v>
      </x:c>
      <x:c r="AU4" s="589">
        <x:v>0</x:v>
      </x:c>
      <x:c r="AV4" s="589">
        <x:v>0</x:v>
      </x:c>
      <x:c r="AW4" s="589">
        <x:v>0</x:v>
      </x:c>
      <x:c r="AX4" s="591" t="s">
        <x:v>1103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642" t="s">
        <x:v>650</x:v>
      </x:c>
      <x:c r="B5" s="122" t="s">
        <x:v>37</x:v>
      </x:c>
      <x:c r="C5" s="617">
        <x:v>0</x:v>
      </x:c>
      <x:c r="D5" s="589">
        <x:v>0</x:v>
      </x:c>
      <x:c r="E5" s="589">
        <x:v>0</x:v>
      </x:c>
      <x:c r="F5" s="589">
        <x:v>0</x:v>
      </x:c>
      <x:c r="G5" s="589">
        <x:v>0</x:v>
      </x:c>
      <x:c r="H5" s="591" t="s">
        <x:v>1103</x:v>
      </x:c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617">
        <x:v>0</x:v>
      </x:c>
      <x:c r="AN5" s="589">
        <x:v>0</x:v>
      </x:c>
      <x:c r="AO5" s="589">
        <x:v>0</x:v>
      </x:c>
      <x:c r="AP5" s="589">
        <x:v>0</x:v>
      </x:c>
      <x:c r="AQ5" s="589">
        <x:v>0</x:v>
      </x:c>
      <x:c r="AR5" s="591" t="s">
        <x:v>1103</x:v>
      </x:c>
      <x:c r="AS5" s="617">
        <x:v>0</x:v>
      </x:c>
      <x:c r="AT5" s="589">
        <x:v>0</x:v>
      </x:c>
      <x:c r="AU5" s="589">
        <x:v>0</x:v>
      </x:c>
      <x:c r="AV5" s="589">
        <x:v>0</x:v>
      </x:c>
      <x:c r="AW5" s="589">
        <x:v>0</x:v>
      </x:c>
      <x:c r="AX5" s="591" t="s">
        <x:v>1103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643" t="s">
        <x:v>641</x:v>
      </x:c>
      <x:c r="B6" s="122" t="s">
        <x:v>23</x:v>
      </x:c>
      <x:c r="C6" s="617">
        <x:v>0</x:v>
      </x:c>
      <x:c r="D6" s="589">
        <x:v>0</x:v>
      </x:c>
      <x:c r="E6" s="589">
        <x:v>0</x:v>
      </x:c>
      <x:c r="F6" s="589">
        <x:v>0</x:v>
      </x:c>
      <x:c r="G6" s="589">
        <x:v>0</x:v>
      </x:c>
      <x:c r="H6" s="591" t="s">
        <x:v>1103</x:v>
      </x:c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617">
        <x:v>0</x:v>
      </x:c>
      <x:c r="AN6" s="589">
        <x:v>0</x:v>
      </x:c>
      <x:c r="AO6" s="589">
        <x:v>0</x:v>
      </x:c>
      <x:c r="AP6" s="589">
        <x:v>0</x:v>
      </x:c>
      <x:c r="AQ6" s="589">
        <x:v>0</x:v>
      </x:c>
      <x:c r="AR6" s="591" t="s">
        <x:v>1103</x:v>
      </x:c>
      <x:c r="AS6" s="175">
        <x:v>100</x:v>
      </x:c>
      <x:c r="AT6" s="158">
        <x:v>20</x:v>
      </x:c>
      <x:c r="AU6" s="600">
        <x:v>0</x:v>
      </x:c>
      <x:c r="AV6" s="600">
        <x:v>0</x:v>
      </x:c>
      <x:c r="AW6" s="600">
        <x:v>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643" t="s">
        <x:v>637</x:v>
      </x:c>
      <x:c r="B7" s="122" t="s">
        <x:v>23</x:v>
      </x:c>
      <x:c r="C7" s="617">
        <x:v>0</x:v>
      </x:c>
      <x:c r="D7" s="589">
        <x:v>0</x:v>
      </x:c>
      <x:c r="E7" s="589">
        <x:v>0</x:v>
      </x:c>
      <x:c r="F7" s="589">
        <x:v>0</x:v>
      </x:c>
      <x:c r="G7" s="589">
        <x:v>0</x:v>
      </x:c>
      <x:c r="H7" s="591" t="s">
        <x:v>1103</x:v>
      </x:c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617">
        <x:v>0</x:v>
      </x:c>
      <x:c r="AN7" s="589">
        <x:v>0</x:v>
      </x:c>
      <x:c r="AO7" s="589">
        <x:v>0</x:v>
      </x:c>
      <x:c r="AP7" s="589">
        <x:v>0</x:v>
      </x:c>
      <x:c r="AQ7" s="589">
        <x:v>0</x:v>
      </x:c>
      <x:c r="AR7" s="591" t="s">
        <x:v>1103</x:v>
      </x:c>
      <x:c r="AS7" s="175">
        <x:v>100</x:v>
      </x:c>
      <x:c r="AT7" s="600">
        <x:v>0</x:v>
      </x:c>
      <x:c r="AU7" s="600">
        <x:v>0</x:v>
      </x:c>
      <x:c r="AV7" s="600">
        <x:v>0</x:v>
      </x:c>
      <x:c r="AW7" s="600">
        <x:v>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33.75" customHeight="1" x14ac:dyDescent="0.25">
      <x:c r="A8" s="642" t="s">
        <x:v>630</x:v>
      </x:c>
      <x:c r="B8" s="122" t="s">
        <x:v>14</x:v>
      </x:c>
      <x:c r="C8" s="617">
        <x:v>0</x:v>
      </x:c>
      <x:c r="D8" s="589">
        <x:v>0</x:v>
      </x:c>
      <x:c r="E8" s="589">
        <x:v>0</x:v>
      </x:c>
      <x:c r="F8" s="589">
        <x:v>0</x:v>
      </x:c>
      <x:c r="G8" s="589">
        <x:v>0</x:v>
      </x:c>
      <x:c r="H8" s="591" t="s">
        <x:v>1103</x:v>
      </x:c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617">
        <x:v>0</x:v>
      </x:c>
      <x:c r="AN8" s="589">
        <x:v>0</x:v>
      </x:c>
      <x:c r="AO8" s="589">
        <x:v>0</x:v>
      </x:c>
      <x:c r="AP8" s="589">
        <x:v>0</x:v>
      </x:c>
      <x:c r="AQ8" s="589">
        <x:v>0</x:v>
      </x:c>
      <x:c r="AR8" s="591" t="s">
        <x:v>1103</x:v>
      </x:c>
      <x:c r="AS8" s="617">
        <x:v>0</x:v>
      </x:c>
      <x:c r="AT8" s="589">
        <x:v>0</x:v>
      </x:c>
      <x:c r="AU8" s="589">
        <x:v>0</x:v>
      </x:c>
      <x:c r="AV8" s="589">
        <x:v>0</x:v>
      </x:c>
      <x:c r="AW8" s="589">
        <x:v>0</x:v>
      </x:c>
      <x:c r="AX8" s="591" t="s">
        <x:v>1103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642" t="s">
        <x:v>642</x:v>
      </x:c>
      <x:c r="B9" s="122" t="s">
        <x:v>23</x:v>
      </x:c>
      <x:c r="C9" s="617">
        <x:v>0</x:v>
      </x:c>
      <x:c r="D9" s="589">
        <x:v>0</x:v>
      </x:c>
      <x:c r="E9" s="589">
        <x:v>0</x:v>
      </x:c>
      <x:c r="F9" s="589">
        <x:v>0</x:v>
      </x:c>
      <x:c r="G9" s="589">
        <x:v>0</x:v>
      </x:c>
      <x:c r="H9" s="591" t="s">
        <x:v>1103</x:v>
      </x:c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617">
        <x:v>0</x:v>
      </x:c>
      <x:c r="AN9" s="589">
        <x:v>0</x:v>
      </x:c>
      <x:c r="AO9" s="589">
        <x:v>0</x:v>
      </x:c>
      <x:c r="AP9" s="589">
        <x:v>0</x:v>
      </x:c>
      <x:c r="AQ9" s="589">
        <x:v>0</x:v>
      </x:c>
      <x:c r="AR9" s="591" t="s">
        <x:v>1103</x:v>
      </x:c>
      <x:c r="AS9" s="617">
        <x:v>0</x:v>
      </x:c>
      <x:c r="AT9" s="589">
        <x:v>0</x:v>
      </x:c>
      <x:c r="AU9" s="589">
        <x:v>0</x:v>
      </x:c>
      <x:c r="AV9" s="589">
        <x:v>0</x:v>
      </x:c>
      <x:c r="AW9" s="589">
        <x:v>0</x:v>
      </x:c>
      <x:c r="AX9" s="591" t="s">
        <x:v>1103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643" t="s">
        <x:v>632</x:v>
      </x:c>
      <x:c r="B10" s="122" t="s">
        <x:v>16</x:v>
      </x:c>
      <x:c r="C10" s="617">
        <x:v>0</x:v>
      </x:c>
      <x:c r="D10" s="589">
        <x:v>0</x:v>
      </x:c>
      <x:c r="E10" s="589">
        <x:v>0</x:v>
      </x:c>
      <x:c r="F10" s="589">
        <x:v>0</x:v>
      </x:c>
      <x:c r="G10" s="589">
        <x:v>0</x:v>
      </x:c>
      <x:c r="H10" s="591" t="s">
        <x:v>1103</x:v>
      </x:c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617">
        <x:v>0</x:v>
      </x:c>
      <x:c r="AN10" s="589">
        <x:v>0</x:v>
      </x:c>
      <x:c r="AO10" s="589">
        <x:v>0</x:v>
      </x:c>
      <x:c r="AP10" s="589">
        <x:v>0</x:v>
      </x:c>
      <x:c r="AQ10" s="589">
        <x:v>0</x:v>
      </x:c>
      <x:c r="AR10" s="591" t="s">
        <x:v>1103</x:v>
      </x:c>
      <x:c r="AS10" s="175">
        <x:v>100</x:v>
      </x:c>
      <x:c r="AT10" s="600">
        <x:v>0</x:v>
      </x:c>
      <x:c r="AU10" s="600">
        <x:v>0</x:v>
      </x:c>
      <x:c r="AV10" s="600">
        <x:v>0</x:v>
      </x:c>
      <x:c r="AW10" s="600">
        <x:v>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642" t="s">
        <x:v>635</x:v>
      </x:c>
      <x:c r="B11" s="122" t="s">
        <x:v>16</x:v>
      </x:c>
      <x:c r="C11" s="617">
        <x:v>0</x:v>
      </x:c>
      <x:c r="D11" s="589">
        <x:v>0</x:v>
      </x:c>
      <x:c r="E11" s="589">
        <x:v>0</x:v>
      </x:c>
      <x:c r="F11" s="589">
        <x:v>0</x:v>
      </x:c>
      <x:c r="G11" s="589">
        <x:v>0</x:v>
      </x:c>
      <x:c r="H11" s="591" t="s">
        <x:v>1103</x:v>
      </x:c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617">
        <x:v>0</x:v>
      </x:c>
      <x:c r="AN11" s="589">
        <x:v>0</x:v>
      </x:c>
      <x:c r="AO11" s="589">
        <x:v>0</x:v>
      </x:c>
      <x:c r="AP11" s="589">
        <x:v>0</x:v>
      </x:c>
      <x:c r="AQ11" s="589">
        <x:v>0</x:v>
      </x:c>
      <x:c r="AR11" s="591" t="s">
        <x:v>1103</x:v>
      </x:c>
      <x:c r="AS11" s="617">
        <x:v>0</x:v>
      </x:c>
      <x:c r="AT11" s="589">
        <x:v>0</x:v>
      </x:c>
      <x:c r="AU11" s="589">
        <x:v>0</x:v>
      </x:c>
      <x:c r="AV11" s="589">
        <x:v>0</x:v>
      </x:c>
      <x:c r="AW11" s="589">
        <x:v>0</x:v>
      </x:c>
      <x:c r="AX11" s="591" t="s">
        <x:v>1103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642" t="s">
        <x:v>636</x:v>
      </x:c>
      <x:c r="B12" s="122" t="s">
        <x:v>21</x:v>
      </x:c>
      <x:c r="C12" s="617">
        <x:v>0</x:v>
      </x:c>
      <x:c r="D12" s="589">
        <x:v>0</x:v>
      </x:c>
      <x:c r="E12" s="589">
        <x:v>0</x:v>
      </x:c>
      <x:c r="F12" s="589">
        <x:v>0</x:v>
      </x:c>
      <x:c r="G12" s="589">
        <x:v>0</x:v>
      </x:c>
      <x:c r="H12" s="591" t="s">
        <x:v>1103</x:v>
      </x:c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617">
        <x:v>0</x:v>
      </x:c>
      <x:c r="AN12" s="589">
        <x:v>0</x:v>
      </x:c>
      <x:c r="AO12" s="589">
        <x:v>0</x:v>
      </x:c>
      <x:c r="AP12" s="589">
        <x:v>0</x:v>
      </x:c>
      <x:c r="AQ12" s="589">
        <x:v>0</x:v>
      </x:c>
      <x:c r="AR12" s="591" t="s">
        <x:v>1103</x:v>
      </x:c>
      <x:c r="AS12" s="617">
        <x:v>0</x:v>
      </x:c>
      <x:c r="AT12" s="589">
        <x:v>0</x:v>
      </x:c>
      <x:c r="AU12" s="589">
        <x:v>0</x:v>
      </x:c>
      <x:c r="AV12" s="589">
        <x:v>0</x:v>
      </x:c>
      <x:c r="AW12" s="589">
        <x:v>0</x:v>
      </x:c>
      <x:c r="AX12" s="591" t="s">
        <x:v>1103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642" t="s">
        <x:v>634</x:v>
      </x:c>
      <x:c r="B13" s="122" t="s">
        <x:v>16</x:v>
      </x:c>
      <x:c r="C13" s="617">
        <x:v>0</x:v>
      </x:c>
      <x:c r="D13" s="589">
        <x:v>0</x:v>
      </x:c>
      <x:c r="E13" s="589">
        <x:v>0</x:v>
      </x:c>
      <x:c r="F13" s="589">
        <x:v>0</x:v>
      </x:c>
      <x:c r="G13" s="589">
        <x:v>0</x:v>
      </x:c>
      <x:c r="H13" s="591" t="s">
        <x:v>1103</x:v>
      </x:c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617">
        <x:v>0</x:v>
      </x:c>
      <x:c r="AN13" s="589">
        <x:v>0</x:v>
      </x:c>
      <x:c r="AO13" s="589">
        <x:v>0</x:v>
      </x:c>
      <x:c r="AP13" s="589">
        <x:v>0</x:v>
      </x:c>
      <x:c r="AQ13" s="589">
        <x:v>0</x:v>
      </x:c>
      <x:c r="AR13" s="591" t="s">
        <x:v>1103</x:v>
      </x:c>
      <x:c r="AS13" s="617">
        <x:v>0</x:v>
      </x:c>
      <x:c r="AT13" s="589">
        <x:v>0</x:v>
      </x:c>
      <x:c r="AU13" s="589">
        <x:v>0</x:v>
      </x:c>
      <x:c r="AV13" s="589">
        <x:v>0</x:v>
      </x:c>
      <x:c r="AW13" s="589">
        <x:v>0</x:v>
      </x:c>
      <x:c r="AX13" s="591" t="s">
        <x:v>1103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642" t="s">
        <x:v>647</x:v>
      </x:c>
      <x:c r="B14" s="122" t="s">
        <x:v>37</x:v>
      </x:c>
      <x:c r="C14" s="617">
        <x:v>0</x:v>
      </x:c>
      <x:c r="D14" s="589">
        <x:v>0</x:v>
      </x:c>
      <x:c r="E14" s="589">
        <x:v>0</x:v>
      </x:c>
      <x:c r="F14" s="589">
        <x:v>0</x:v>
      </x:c>
      <x:c r="G14" s="589">
        <x:v>0</x:v>
      </x:c>
      <x:c r="H14" s="591" t="s">
        <x:v>1103</x:v>
      </x:c>
      <x:c r="I14" s="167"/>
      <x:c r="J14" s="185"/>
      <x:c r="K14" s="185"/>
      <x:c r="L14" s="185"/>
      <x:c r="M14" s="185"/>
      <x:c r="N14" s="36"/>
      <x:c r="O14" s="167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617">
        <x:v>0</x:v>
      </x:c>
      <x:c r="AN14" s="589">
        <x:v>0</x:v>
      </x:c>
      <x:c r="AO14" s="589">
        <x:v>0</x:v>
      </x:c>
      <x:c r="AP14" s="589">
        <x:v>0</x:v>
      </x:c>
      <x:c r="AQ14" s="589">
        <x:v>0</x:v>
      </x:c>
      <x:c r="AR14" s="591" t="s">
        <x:v>1103</x:v>
      </x:c>
      <x:c r="AS14" s="617">
        <x:v>0</x:v>
      </x:c>
      <x:c r="AT14" s="589">
        <x:v>0</x:v>
      </x:c>
      <x:c r="AU14" s="589">
        <x:v>0</x:v>
      </x:c>
      <x:c r="AV14" s="589">
        <x:v>0</x:v>
      </x:c>
      <x:c r="AW14" s="589">
        <x:v>0</x:v>
      </x:c>
      <x:c r="AX14" s="591" t="s">
        <x:v>1103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642" t="s">
        <x:v>640</x:v>
      </x:c>
      <x:c r="B15" s="122" t="s">
        <x:v>23</x:v>
      </x:c>
      <x:c r="C15" s="617">
        <x:v>0</x:v>
      </x:c>
      <x:c r="D15" s="589">
        <x:v>0</x:v>
      </x:c>
      <x:c r="E15" s="589">
        <x:v>0</x:v>
      </x:c>
      <x:c r="F15" s="589">
        <x:v>0</x:v>
      </x:c>
      <x:c r="G15" s="589">
        <x:v>0</x:v>
      </x:c>
      <x:c r="H15" s="591" t="s">
        <x:v>1103</x:v>
      </x:c>
      <x:c r="I15" s="167"/>
      <x:c r="J15" s="185"/>
      <x:c r="K15" s="185"/>
      <x:c r="L15" s="185"/>
      <x:c r="M15" s="185"/>
      <x:c r="N15" s="36"/>
      <x:c r="O15" s="167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617">
        <x:v>0</x:v>
      </x:c>
      <x:c r="AN15" s="589">
        <x:v>0</x:v>
      </x:c>
      <x:c r="AO15" s="589">
        <x:v>0</x:v>
      </x:c>
      <x:c r="AP15" s="589">
        <x:v>0</x:v>
      </x:c>
      <x:c r="AQ15" s="589">
        <x:v>0</x:v>
      </x:c>
      <x:c r="AR15" s="591" t="s">
        <x:v>1103</x:v>
      </x:c>
      <x:c r="AS15" s="617">
        <x:v>0</x:v>
      </x:c>
      <x:c r="AT15" s="589">
        <x:v>0</x:v>
      </x:c>
      <x:c r="AU15" s="589">
        <x:v>0</x:v>
      </x:c>
      <x:c r="AV15" s="589">
        <x:v>0</x:v>
      </x:c>
      <x:c r="AW15" s="589">
        <x:v>0</x:v>
      </x:c>
      <x:c r="AX15" s="591" t="s">
        <x:v>1103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642" t="s">
        <x:v>644</x:v>
      </x:c>
      <x:c r="B16" s="122" t="s">
        <x:v>23</x:v>
      </x:c>
      <x:c r="C16" s="617">
        <x:v>0</x:v>
      </x:c>
      <x:c r="D16" s="589">
        <x:v>0</x:v>
      </x:c>
      <x:c r="E16" s="589">
        <x:v>0</x:v>
      </x:c>
      <x:c r="F16" s="589">
        <x:v>0</x:v>
      </x:c>
      <x:c r="G16" s="589">
        <x:v>0</x:v>
      </x:c>
      <x:c r="H16" s="591" t="s">
        <x:v>1103</x:v>
      </x:c>
      <x:c r="I16" s="167"/>
      <x:c r="J16" s="185"/>
      <x:c r="K16" s="185"/>
      <x:c r="L16" s="185"/>
      <x:c r="M16" s="185"/>
      <x:c r="N16" s="36"/>
      <x:c r="O16" s="167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617">
        <x:v>0</x:v>
      </x:c>
      <x:c r="AN16" s="589">
        <x:v>0</x:v>
      </x:c>
      <x:c r="AO16" s="589">
        <x:v>0</x:v>
      </x:c>
      <x:c r="AP16" s="589">
        <x:v>0</x:v>
      </x:c>
      <x:c r="AQ16" s="589">
        <x:v>0</x:v>
      </x:c>
      <x:c r="AR16" s="591" t="s">
        <x:v>1103</x:v>
      </x:c>
      <x:c r="AS16" s="617">
        <x:v>0</x:v>
      </x:c>
      <x:c r="AT16" s="589">
        <x:v>0</x:v>
      </x:c>
      <x:c r="AU16" s="589">
        <x:v>0</x:v>
      </x:c>
      <x:c r="AV16" s="589">
        <x:v>0</x:v>
      </x:c>
      <x:c r="AW16" s="589">
        <x:v>0</x:v>
      </x:c>
      <x:c r="AX16" s="591" t="s">
        <x:v>1103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22.5" customHeight="1" x14ac:dyDescent="0.25">
      <x:c r="A17" s="642" t="s">
        <x:v>646</x:v>
      </x:c>
      <x:c r="B17" s="122" t="s">
        <x:v>23</x:v>
      </x:c>
      <x:c r="C17" s="617">
        <x:v>0</x:v>
      </x:c>
      <x:c r="D17" s="589">
        <x:v>0</x:v>
      </x:c>
      <x:c r="E17" s="589">
        <x:v>0</x:v>
      </x:c>
      <x:c r="F17" s="589">
        <x:v>0</x:v>
      </x:c>
      <x:c r="G17" s="589">
        <x:v>0</x:v>
      </x:c>
      <x:c r="H17" s="591" t="s">
        <x:v>1103</x:v>
      </x:c>
      <x:c r="I17" s="167"/>
      <x:c r="J17" s="185"/>
      <x:c r="K17" s="185"/>
      <x:c r="L17" s="185"/>
      <x:c r="M17" s="185"/>
      <x:c r="N17" s="36"/>
      <x:c r="O17" s="167"/>
      <x:c r="P17" s="185"/>
      <x:c r="Q17" s="185"/>
      <x:c r="R17" s="185"/>
      <x:c r="S17" s="185"/>
      <x:c r="T17" s="36"/>
      <x:c r="U17" s="167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617">
        <x:v>0</x:v>
      </x:c>
      <x:c r="AN17" s="589">
        <x:v>0</x:v>
      </x:c>
      <x:c r="AO17" s="589">
        <x:v>0</x:v>
      </x:c>
      <x:c r="AP17" s="589">
        <x:v>0</x:v>
      </x:c>
      <x:c r="AQ17" s="589">
        <x:v>0</x:v>
      </x:c>
      <x:c r="AR17" s="591" t="s">
        <x:v>1103</x:v>
      </x:c>
      <x:c r="AS17" s="617">
        <x:v>0</x:v>
      </x:c>
      <x:c r="AT17" s="589">
        <x:v>0</x:v>
      </x:c>
      <x:c r="AU17" s="589">
        <x:v>0</x:v>
      </x:c>
      <x:c r="AV17" s="589">
        <x:v>0</x:v>
      </x:c>
      <x:c r="AW17" s="589">
        <x:v>0</x:v>
      </x:c>
      <x:c r="AX17" s="591" t="s">
        <x:v>1103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22.5" customHeight="1" x14ac:dyDescent="0.25">
      <x:c r="A18" s="642" t="s">
        <x:v>633</x:v>
      </x:c>
      <x:c r="B18" s="122" t="s">
        <x:v>16</x:v>
      </x:c>
      <x:c r="C18" s="617">
        <x:v>0</x:v>
      </x:c>
      <x:c r="D18" s="589">
        <x:v>0</x:v>
      </x:c>
      <x:c r="E18" s="589">
        <x:v>0</x:v>
      </x:c>
      <x:c r="F18" s="589">
        <x:v>0</x:v>
      </x:c>
      <x:c r="G18" s="589">
        <x:v>0</x:v>
      </x:c>
      <x:c r="H18" s="591" t="s">
        <x:v>1103</x:v>
      </x:c>
      <x:c r="I18" s="167"/>
      <x:c r="J18" s="185"/>
      <x:c r="K18" s="185"/>
      <x:c r="L18" s="185"/>
      <x:c r="M18" s="185"/>
      <x:c r="N18" s="36"/>
      <x:c r="O18" s="167"/>
      <x:c r="P18" s="185"/>
      <x:c r="Q18" s="185"/>
      <x:c r="R18" s="185"/>
      <x:c r="S18" s="185"/>
      <x:c r="T18" s="36"/>
      <x:c r="U18" s="167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617">
        <x:v>0</x:v>
      </x:c>
      <x:c r="AN18" s="589">
        <x:v>0</x:v>
      </x:c>
      <x:c r="AO18" s="589">
        <x:v>0</x:v>
      </x:c>
      <x:c r="AP18" s="589">
        <x:v>0</x:v>
      </x:c>
      <x:c r="AQ18" s="589">
        <x:v>0</x:v>
      </x:c>
      <x:c r="AR18" s="591" t="s">
        <x:v>1103</x:v>
      </x:c>
      <x:c r="AS18" s="617">
        <x:v>0</x:v>
      </x:c>
      <x:c r="AT18" s="589">
        <x:v>0</x:v>
      </x:c>
      <x:c r="AU18" s="589">
        <x:v>0</x:v>
      </x:c>
      <x:c r="AV18" s="589">
        <x:v>0</x:v>
      </x:c>
      <x:c r="AW18" s="589">
        <x:v>0</x:v>
      </x:c>
      <x:c r="AX18" s="591" t="s">
        <x:v>1103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ht="22.5" customHeight="1" x14ac:dyDescent="0.25">
      <x:c r="A19" s="642" t="s">
        <x:v>651</x:v>
      </x:c>
      <x:c r="B19" s="122" t="s">
        <x:v>37</x:v>
      </x:c>
      <x:c r="C19" s="617">
        <x:v>0</x:v>
      </x:c>
      <x:c r="D19" s="589">
        <x:v>0</x:v>
      </x:c>
      <x:c r="E19" s="589">
        <x:v>0</x:v>
      </x:c>
      <x:c r="F19" s="589">
        <x:v>0</x:v>
      </x:c>
      <x:c r="G19" s="589">
        <x:v>0</x:v>
      </x:c>
      <x:c r="H19" s="591" t="s">
        <x:v>1103</x:v>
      </x:c>
      <x:c r="I19" s="167"/>
      <x:c r="J19" s="185"/>
      <x:c r="K19" s="185"/>
      <x:c r="L19" s="185"/>
      <x:c r="M19" s="185"/>
      <x:c r="N19" s="36"/>
      <x:c r="O19" s="167"/>
      <x:c r="P19" s="185"/>
      <x:c r="Q19" s="185"/>
      <x:c r="R19" s="185"/>
      <x:c r="S19" s="185"/>
      <x:c r="T19" s="36"/>
      <x:c r="U19" s="167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617">
        <x:v>0</x:v>
      </x:c>
      <x:c r="AN19" s="589">
        <x:v>0</x:v>
      </x:c>
      <x:c r="AO19" s="589">
        <x:v>0</x:v>
      </x:c>
      <x:c r="AP19" s="589">
        <x:v>0</x:v>
      </x:c>
      <x:c r="AQ19" s="589">
        <x:v>0</x:v>
      </x:c>
      <x:c r="AR19" s="591" t="s">
        <x:v>1103</x:v>
      </x:c>
      <x:c r="AS19" s="617">
        <x:v>0</x:v>
      </x:c>
      <x:c r="AT19" s="589">
        <x:v>0</x:v>
      </x:c>
      <x:c r="AU19" s="589">
        <x:v>0</x:v>
      </x:c>
      <x:c r="AV19" s="589">
        <x:v>0</x:v>
      </x:c>
      <x:c r="AW19" s="589">
        <x:v>0</x:v>
      </x:c>
      <x:c r="AX19" s="591" t="s">
        <x:v>1103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ht="22.5" customHeight="1" x14ac:dyDescent="0.25">
      <x:c r="A20" s="642" t="s">
        <x:v>643</x:v>
      </x:c>
      <x:c r="B20" s="122" t="s">
        <x:v>23</x:v>
      </x:c>
      <x:c r="C20" s="617">
        <x:v>0</x:v>
      </x:c>
      <x:c r="D20" s="589">
        <x:v>0</x:v>
      </x:c>
      <x:c r="E20" s="589">
        <x:v>0</x:v>
      </x:c>
      <x:c r="F20" s="589">
        <x:v>0</x:v>
      </x:c>
      <x:c r="G20" s="589">
        <x:v>0</x:v>
      </x:c>
      <x:c r="H20" s="591" t="s">
        <x:v>1103</x:v>
      </x:c>
      <x:c r="I20" s="167"/>
      <x:c r="J20" s="185"/>
      <x:c r="K20" s="185"/>
      <x:c r="L20" s="185"/>
      <x:c r="M20" s="185"/>
      <x:c r="N20" s="36"/>
      <x:c r="O20" s="167"/>
      <x:c r="P20" s="185"/>
      <x:c r="Q20" s="185"/>
      <x:c r="R20" s="185"/>
      <x:c r="S20" s="185"/>
      <x:c r="T20" s="36"/>
      <x:c r="U20" s="167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617">
        <x:v>0</x:v>
      </x:c>
      <x:c r="AN20" s="589">
        <x:v>0</x:v>
      </x:c>
      <x:c r="AO20" s="589">
        <x:v>0</x:v>
      </x:c>
      <x:c r="AP20" s="589">
        <x:v>0</x:v>
      </x:c>
      <x:c r="AQ20" s="589">
        <x:v>0</x:v>
      </x:c>
      <x:c r="AR20" s="591" t="s">
        <x:v>1103</x:v>
      </x:c>
      <x:c r="AS20" s="617">
        <x:v>0</x:v>
      </x:c>
      <x:c r="AT20" s="589">
        <x:v>0</x:v>
      </x:c>
      <x:c r="AU20" s="589">
        <x:v>0</x:v>
      </x:c>
      <x:c r="AV20" s="589">
        <x:v>0</x:v>
      </x:c>
      <x:c r="AW20" s="589">
        <x:v>0</x:v>
      </x:c>
      <x:c r="AX20" s="591" t="s">
        <x:v>1103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ht="22.5" customHeight="1" x14ac:dyDescent="0.25">
      <x:c r="A21" s="642" t="s">
        <x:v>645</x:v>
      </x:c>
      <x:c r="B21" s="122" t="s">
        <x:v>23</x:v>
      </x:c>
      <x:c r="C21" s="617">
        <x:v>0</x:v>
      </x:c>
      <x:c r="D21" s="589">
        <x:v>0</x:v>
      </x:c>
      <x:c r="E21" s="589">
        <x:v>0</x:v>
      </x:c>
      <x:c r="F21" s="589">
        <x:v>0</x:v>
      </x:c>
      <x:c r="G21" s="589">
        <x:v>0</x:v>
      </x:c>
      <x:c r="H21" s="591" t="s">
        <x:v>1103</x:v>
      </x:c>
      <x:c r="I21" s="167"/>
      <x:c r="J21" s="185"/>
      <x:c r="K21" s="185"/>
      <x:c r="L21" s="185"/>
      <x:c r="M21" s="185"/>
      <x:c r="N21" s="36"/>
      <x:c r="O21" s="167"/>
      <x:c r="P21" s="185"/>
      <x:c r="Q21" s="185"/>
      <x:c r="R21" s="185"/>
      <x:c r="S21" s="185"/>
      <x:c r="T21" s="36"/>
      <x:c r="U21" s="167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617">
        <x:v>0</x:v>
      </x:c>
      <x:c r="AN21" s="589">
        <x:v>0</x:v>
      </x:c>
      <x:c r="AO21" s="589">
        <x:v>0</x:v>
      </x:c>
      <x:c r="AP21" s="589">
        <x:v>0</x:v>
      </x:c>
      <x:c r="AQ21" s="589">
        <x:v>0</x:v>
      </x:c>
      <x:c r="AR21" s="591" t="s">
        <x:v>1103</x:v>
      </x:c>
      <x:c r="AS21" s="617">
        <x:v>0</x:v>
      </x:c>
      <x:c r="AT21" s="589">
        <x:v>0</x:v>
      </x:c>
      <x:c r="AU21" s="589">
        <x:v>0</x:v>
      </x:c>
      <x:c r="AV21" s="589">
        <x:v>0</x:v>
      </x:c>
      <x:c r="AW21" s="589">
        <x:v>0</x:v>
      </x:c>
      <x:c r="AX21" s="591" t="s">
        <x:v>1103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ht="22.5" customHeight="1" x14ac:dyDescent="0.25">
      <x:c r="A22" s="642" t="s">
        <x:v>639</x:v>
      </x:c>
      <x:c r="B22" s="122" t="s">
        <x:v>23</x:v>
      </x:c>
      <x:c r="C22" s="617">
        <x:v>0</x:v>
      </x:c>
      <x:c r="D22" s="589">
        <x:v>0</x:v>
      </x:c>
      <x:c r="E22" s="589">
        <x:v>0</x:v>
      </x:c>
      <x:c r="F22" s="589">
        <x:v>0</x:v>
      </x:c>
      <x:c r="G22" s="589">
        <x:v>0</x:v>
      </x:c>
      <x:c r="H22" s="591" t="s">
        <x:v>1103</x:v>
      </x:c>
      <x:c r="I22" s="167"/>
      <x:c r="J22" s="185"/>
      <x:c r="K22" s="185"/>
      <x:c r="L22" s="185"/>
      <x:c r="M22" s="185"/>
      <x:c r="N22" s="36"/>
      <x:c r="O22" s="167"/>
      <x:c r="P22" s="185"/>
      <x:c r="Q22" s="185"/>
      <x:c r="R22" s="185"/>
      <x:c r="S22" s="185"/>
      <x:c r="T22" s="36"/>
      <x:c r="U22" s="167"/>
      <x:c r="V22" s="185"/>
      <x:c r="W22" s="185"/>
      <x:c r="X22" s="185"/>
      <x:c r="Y22" s="185"/>
      <x:c r="Z22" s="36"/>
      <x:c r="AA22" s="167"/>
      <x:c r="AB22" s="185"/>
      <x:c r="AC22" s="185"/>
      <x:c r="AD22" s="185"/>
      <x:c r="AE22" s="185"/>
      <x:c r="AF22" s="36"/>
      <x:c r="AG22" s="167"/>
      <x:c r="AH22" s="185"/>
      <x:c r="AI22" s="185"/>
      <x:c r="AJ22" s="185"/>
      <x:c r="AK22" s="185"/>
      <x:c r="AL22" s="36"/>
      <x:c r="AM22" s="617">
        <x:v>0</x:v>
      </x:c>
      <x:c r="AN22" s="589">
        <x:v>0</x:v>
      </x:c>
      <x:c r="AO22" s="589">
        <x:v>0</x:v>
      </x:c>
      <x:c r="AP22" s="589">
        <x:v>0</x:v>
      </x:c>
      <x:c r="AQ22" s="589">
        <x:v>0</x:v>
      </x:c>
      <x:c r="AR22" s="591" t="s">
        <x:v>1103</x:v>
      </x:c>
      <x:c r="AS22" s="617">
        <x:v>0</x:v>
      </x:c>
      <x:c r="AT22" s="589">
        <x:v>0</x:v>
      </x:c>
      <x:c r="AU22" s="589">
        <x:v>0</x:v>
      </x:c>
      <x:c r="AV22" s="589">
        <x:v>0</x:v>
      </x:c>
      <x:c r="AW22" s="589">
        <x:v>0</x:v>
      </x:c>
      <x:c r="AX22" s="591" t="s">
        <x:v>1103</x:v>
      </x:c>
      <x:c r="AY22" s="167"/>
      <x:c r="AZ22" s="185"/>
      <x:c r="BA22" s="185"/>
      <x:c r="BB22" s="185"/>
      <x:c r="BC22" s="185"/>
      <x:c r="BD22" s="36"/>
      <x:c r="BE22" s="167"/>
      <x:c r="BF22" s="185"/>
      <x:c r="BG22" s="185"/>
      <x:c r="BH22" s="185"/>
      <x:c r="BI22" s="185"/>
      <x:c r="BJ22" s="36"/>
      <x:c r="BK22" s="167"/>
      <x:c r="BL22" s="185"/>
      <x:c r="BM22" s="185"/>
      <x:c r="BN22" s="185"/>
      <x:c r="BO22" s="185"/>
      <x:c r="BP22" s="36"/>
      <x:c r="BQ22" s="167"/>
      <x:c r="BR22" s="185"/>
      <x:c r="BS22" s="185"/>
      <x:c r="BT22" s="185"/>
      <x:c r="BU22" s="185"/>
      <x:c r="BV22" s="36"/>
    </x:row>
    <x:row r="23" spans="1:74" ht="22.5" customHeight="1" x14ac:dyDescent="0.3">
      <x:c r="A23" s="644" t="s">
        <x:v>649</x:v>
      </x:c>
      <x:c r="B23" s="100" t="s">
        <x:v>23</x:v>
      </x:c>
      <x:c r="C23" s="612">
        <x:v>0</x:v>
      </x:c>
      <x:c r="D23" s="613">
        <x:v>0</x:v>
      </x:c>
      <x:c r="E23" s="613">
        <x:v>0</x:v>
      </x:c>
      <x:c r="F23" s="613">
        <x:v>0</x:v>
      </x:c>
      <x:c r="G23" s="613">
        <x:v>0</x:v>
      </x:c>
      <x:c r="H23" s="645" t="s">
        <x:v>1103</x:v>
      </x:c>
      <x:c r="I23" s="38"/>
      <x:c r="J23" s="39"/>
      <x:c r="K23" s="39"/>
      <x:c r="L23" s="39"/>
      <x:c r="M23" s="39"/>
      <x:c r="N23" s="42"/>
      <x:c r="O23" s="38"/>
      <x:c r="P23" s="39"/>
      <x:c r="Q23" s="39"/>
      <x:c r="R23" s="39"/>
      <x:c r="S23" s="39"/>
      <x:c r="T23" s="42"/>
      <x:c r="U23" s="38"/>
      <x:c r="V23" s="39"/>
      <x:c r="W23" s="39"/>
      <x:c r="X23" s="39"/>
      <x:c r="Y23" s="39"/>
      <x:c r="Z23" s="42"/>
      <x:c r="AA23" s="38"/>
      <x:c r="AB23" s="39"/>
      <x:c r="AC23" s="39"/>
      <x:c r="AD23" s="39"/>
      <x:c r="AE23" s="39"/>
      <x:c r="AF23" s="42"/>
      <x:c r="AG23" s="38"/>
      <x:c r="AH23" s="39"/>
      <x:c r="AI23" s="39"/>
      <x:c r="AJ23" s="39"/>
      <x:c r="AK23" s="39"/>
      <x:c r="AL23" s="42"/>
      <x:c r="AM23" s="612">
        <x:v>0</x:v>
      </x:c>
      <x:c r="AN23" s="613">
        <x:v>0</x:v>
      </x:c>
      <x:c r="AO23" s="613">
        <x:v>0</x:v>
      </x:c>
      <x:c r="AP23" s="613">
        <x:v>0</x:v>
      </x:c>
      <x:c r="AQ23" s="613">
        <x:v>0</x:v>
      </x:c>
      <x:c r="AR23" s="645" t="s">
        <x:v>1103</x:v>
      </x:c>
      <x:c r="AS23" s="612">
        <x:v>0</x:v>
      </x:c>
      <x:c r="AT23" s="613">
        <x:v>0</x:v>
      </x:c>
      <x:c r="AU23" s="613">
        <x:v>0</x:v>
      </x:c>
      <x:c r="AV23" s="613">
        <x:v>0</x:v>
      </x:c>
      <x:c r="AW23" s="613">
        <x:v>0</x:v>
      </x:c>
      <x:c r="AX23" s="645" t="s">
        <x:v>1103</x:v>
      </x:c>
      <x:c r="AY23" s="38"/>
      <x:c r="AZ23" s="39"/>
      <x:c r="BA23" s="39"/>
      <x:c r="BB23" s="39"/>
      <x:c r="BC23" s="39"/>
      <x:c r="BD23" s="42"/>
      <x:c r="BE23" s="38"/>
      <x:c r="BF23" s="39"/>
      <x:c r="BG23" s="39"/>
      <x:c r="BH23" s="39"/>
      <x:c r="BI23" s="39"/>
      <x:c r="BJ23" s="42"/>
      <x:c r="BK23" s="38"/>
      <x:c r="BL23" s="39"/>
      <x:c r="BM23" s="39"/>
      <x:c r="BN23" s="39"/>
      <x:c r="BO23" s="39"/>
      <x:c r="BP23" s="42"/>
      <x:c r="BQ23" s="38"/>
      <x:c r="BR23" s="39"/>
      <x:c r="BS23" s="39"/>
      <x:c r="BT23" s="39"/>
      <x:c r="BU23" s="39"/>
      <x:c r="BV23" s="42"/>
    </x:row>
    <x:row r="24" spans="1:74" x14ac:dyDescent="0.25">
      <x:c r="C24" s="227">
        <x:f t="array" ref="C24:C24">SUMPRODUCT((C3:C23&gt;=10)*(D3:D23&gt;=10)*(E3:E23&gt;=10)*(F3:F23&gt;=10)*(G3:G23&gt;=10)*((NOT(ISERROR(FIND("Оператор",$B$3:$B$23))))+(NOT(ISERROR(FIND("Машинист",$B$3:$B$23))))&gt;0))</x:f>
      </x:c>
      <x:c r="H24" s="227">
        <x:f>COUNTIF(H3:H23,"Да")</x:f>
      </x:c>
      <x:c r="I24" s="227">
        <x:f t="array" ref="I24:I24">SUMPRODUCT((I3:I23&gt;=10)*(J3:J23&gt;=10)*(K3:K23&gt;=10)*(L3:L23&gt;=10)*(M3:M23&gt;=10)*((NOT(ISERROR(FIND("Оператор",$B$3:$B$23))))+(NOT(ISERROR(FIND("Машинист",$B$3:$B$23))))&gt;0))</x:f>
      </x:c>
      <x:c r="N24" s="227">
        <x:f>COUNTIF(N3:N23,"Да")</x:f>
      </x:c>
      <x:c r="O24" s="227">
        <x:f t="array" ref="O24:O24">SUMPRODUCT((O3:O23&gt;=10)*(P3:P23&gt;=10)*(Q3:Q23&gt;=10)*(R3:R23&gt;=10)*(S3:S23&gt;=10)*((NOT(ISERROR(FIND("Оператор",$B$3:$B$23))))+(NOT(ISERROR(FIND("Машинист",$B$3:$B$23))))&gt;0))</x:f>
      </x:c>
      <x:c r="T24" s="227">
        <x:f>COUNTIF(T3:T23,"Да")</x:f>
      </x:c>
      <x:c r="U24" s="227">
        <x:f t="array" ref="U24:U24">SUMPRODUCT((U3:U23&gt;=10)*(V3:V23&gt;=10)*(W3:W23&gt;=10)*(X3:X23&gt;=10)*(Y3:Y23&gt;=10)*((NOT(ISERROR(FIND("Оператор",$B$3:$B$23))))+(NOT(ISERROR(FIND("Машинист",$B$3:$B$23))))&gt;0))</x:f>
      </x:c>
      <x:c r="Z24" s="227">
        <x:f>COUNTIF(Z3:Z23,"Да")</x:f>
      </x:c>
      <x:c r="AA24" s="227">
        <x:f t="array" ref="AA24:AA24">SUMPRODUCT((AA3:AA23&gt;=10)*(AB3:AB23&gt;=10)*(AC3:AC23&gt;=10)*(AD3:AD23&gt;=10)*(AE3:AE23&gt;=10)*((NOT(ISERROR(FIND("Оператор",$B$3:$B$23))))+(NOT(ISERROR(FIND("Машинист",$B$3:$B$23))))&gt;0))</x:f>
      </x:c>
      <x:c r="AF24" s="227">
        <x:f>COUNTIF(AF3:AF23,"Да")</x:f>
      </x:c>
      <x:c r="AG24" s="227">
        <x:f t="array" ref="AG24:AG24">SUMPRODUCT((AG3:AG23&gt;=10)*(AH3:AH23&gt;=10)*(AI3:AI23&gt;=10)*(AJ3:AJ23&gt;=10)*(AK3:AK23&gt;=10)*((NOT(ISERROR(FIND("Оператор",$B$3:$B$23))))+(NOT(ISERROR(FIND("Машинист",$B$3:$B$23))))&gt;0))</x:f>
      </x:c>
      <x:c r="AL24" s="227">
        <x:f>COUNTIF(AL3:AL23,"Да")</x:f>
      </x:c>
      <x:c r="AM24" s="227">
        <x:f t="array" ref="AM24:AM24">SUMPRODUCT((AM3:AM23&gt;=10)*(AN3:AN23&gt;=10)*(AO3:AO23&gt;=10)*(AP3:AP23&gt;=10)*(AQ3:AQ23&gt;=10)*((NOT(ISERROR(FIND("Оператор",$B$3:$B$23))))+(NOT(ISERROR(FIND("Машинист",$B$3:$B$23))))&gt;0))</x:f>
      </x:c>
      <x:c r="AR24" s="227">
        <x:f>COUNTIF(AR3:AR23,"Да")</x:f>
      </x:c>
      <x:c r="AS24" s="227">
        <x:f t="array" ref="AS24:AS24">SUMPRODUCT((AS3:AS23&gt;=10)*(AT3:AT23&gt;=10)*(AU3:AU23&gt;=10)*(AV3:AV23&gt;=10)*(AW3:AW23&gt;=10)*((NOT(ISERROR(FIND("Оператор",$B$3:$B$23))))+(NOT(ISERROR(FIND("Машинист",$B$3:$B$23))))&gt;0))</x:f>
      </x:c>
      <x:c r="AX24" s="227">
        <x:f>COUNTIF(AX3:AX23,"Да")</x:f>
      </x:c>
      <x:c r="AY24" s="227">
        <x:f t="array" ref="AY24:AY24">SUMPRODUCT((AY3:AY23&gt;=10)*(AZ3:AZ23&gt;=10)*(BA3:BA23&gt;=10)*(BB3:BB23&gt;=10)*(BC3:BC23&gt;=10)*((NOT(ISERROR(FIND("Оператор",$B$3:$B$23))))+(NOT(ISERROR(FIND("Машинист",$B$3:$B$23))))&gt;0))</x:f>
      </x:c>
      <x:c r="BD24" s="227">
        <x:f>COUNTIF(BD3:BD23,"Да")</x:f>
      </x:c>
      <x:c r="BE24" s="227">
        <x:f t="array" ref="BE24:BE24">SUMPRODUCT((BE3:BE23&gt;=10)*(BF3:BF23&gt;=10)*(BG3:BG23&gt;=10)*(BH3:BH23&gt;=10)*(BI3:BI23&gt;=10)*((NOT(ISERROR(FIND("Оператор",$B$3:$B$23))))+(NOT(ISERROR(FIND("Машинист",$B$3:$B$23))))&gt;0))</x:f>
      </x:c>
      <x:c r="BJ24" s="227">
        <x:f>COUNTIF(BJ3:BJ23,"Да")</x:f>
      </x:c>
      <x:c r="BK24" s="227">
        <x:f t="array" ref="BK24:BK24">SUMPRODUCT((BK3:BK23&gt;=10)*(BL3:BL23&gt;=10)*(BM3:BM23&gt;=10)*(BN3:BN23&gt;=10)*(BO3:BO23&gt;=10)*((NOT(ISERROR(FIND("Оператор",$B$3:$B$23))))+(NOT(ISERROR(FIND("Машинист",$B$3:$B$23))))&gt;0))</x:f>
      </x:c>
      <x:c r="BP24" s="227">
        <x:f>COUNTIF(BP3:BP23,"Да")</x:f>
      </x:c>
      <x:c r="BQ24" s="227">
        <x:f t="array" ref="BQ24:BQ24">SUMPRODUCT((BQ3:BQ23&gt;=10)*(BR3:BR23&gt;=10)*(BS3:BS23&gt;=10)*(BT3:BT23&gt;=10)*(BU3:BU23&gt;=10)*((NOT(ISERROR(FIND("Оператор",$B$3:$B$23))))+(NOT(ISERROR(FIND("Машинист",$B$3:$B$23))))&gt;0))</x:f>
      </x:c>
      <x:c r="BV24" s="227">
        <x:f>COUNTIF(BV3:BV23,"Да")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4:G24"/>
    <x:mergeCell ref="I24:M24"/>
    <x:mergeCell ref="O24:S24"/>
    <x:mergeCell ref="U24:Y24"/>
    <x:mergeCell ref="AA24:AE24"/>
    <x:mergeCell ref="AG24:AK24"/>
    <x:mergeCell ref="AM24:AQ24"/>
    <x:mergeCell ref="AS24:AW24"/>
    <x:mergeCell ref="AY24:BC24"/>
    <x:mergeCell ref="BE24:BI24"/>
    <x:mergeCell ref="BK24:BO24"/>
    <x:mergeCell ref="BQ24:BU24"/>
  </x:mergeCells>
  <x:conditionalFormatting sqref="C3:BV23">
    <x:cfRule type="containsBlanks" dxfId="8" priority="1">
      <x:formula>LEN(TRIM(C3))=0</x:formula>
    </x:cfRule>
  </x:conditionalFormatting>
  <x:conditionalFormatting sqref="AS3:AX23">
    <x:cfRule type="expression" priority="2" stopIfTrue="1" operator="equal">
      <x:formula>LEN(TRIM(AS3&amp;""))=0</x:formula>
    </x:cfRule>
  </x:conditionalFormatting>
  <x:conditionalFormatting sqref="A3:A23">
    <x:cfRule type="duplicateValues" dxfId="0" priority="3"/>
  </x:conditionalFormatting>
  <x:conditionalFormatting sqref="B1:B1">
    <x:cfRule type="containsText" dxfId="4" priority="4" operator="containsText" text="динамическому">
      <x:formula>NOT(ISERROR(SEARCH("динамическому",B1)))</x:formula>
    </x:cfRule>
    <x:cfRule type="containsText" dxfId="5" priority="5" operator="containsText" text="Механик установки">
      <x:formula>NOT(ISERROR(SEARCH("Механик установки",B1)))</x:formula>
    </x:cfRule>
    <x:cfRule type="containsText" dxfId="6" priority="6" operator="containsText" text="Заместитель начальника">
      <x:formula>NOT(ISERROR(SEARCH("Заместитель начальника",B1)))</x:formula>
    </x:cfRule>
    <x:cfRule type="containsText" dxfId="7" priority="7" operator="containsText" text="Начальник">
      <x:formula>NOT(ISERROR(SEARCH("Начальник",B1)))</x:formula>
    </x:cfRule>
  </x:conditionalFormatting>
  <x:conditionalFormatting sqref="A1:A1">
    <x:cfRule type="duplicateValues" dxfId="0" priority="8"/>
  </x:conditionalFormatting>
  <x:conditionalFormatting sqref="C3:AR23 AY3:BV23">
    <x:cfRule type="expression" priority="9" stopIfTrue="1" operator="equal">
      <x:formula>LEN(TRIM(C3&amp;""))=0</x:formula>
    </x:cfRule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BV96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10.285156" style="0" customWidth="1"/>
    <x:col min="45" max="49" width="9.140625" style="0" customWidth="1"/>
    <x:col min="50" max="50" width="10.425781" style="0" customWidth="1"/>
    <x:col min="51" max="74" width="9.140625" style="0" customWidth="1"/>
  </x:cols>
  <x:sheetData>
    <x:row r="1" spans="1:74" ht="28.5" customHeight="1" x14ac:dyDescent="0.3">
      <x:c r="A1" s="22" t="s">
        <x:v>1079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5" t="s">
        <x:v>579</x:v>
      </x:c>
      <x:c r="B3" s="96" t="s">
        <x:v>23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97" t="s">
        <x:v>589</x:v>
      </x:c>
      <x:c r="B4" s="122" t="s">
        <x:v>23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97" t="s">
        <x:v>532</x:v>
      </x:c>
      <x:c r="B5" s="122" t="s">
        <x:v>183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92</x:v>
      </x:c>
      <x:c r="AP5" s="589">
        <x:v>0</x:v>
      </x:c>
      <x:c r="AQ5" s="589">
        <x:v>0</x:v>
      </x:c>
      <x:c r="AR5" s="620" t="s">
        <x:v>1102</x:v>
      </x:c>
      <x:c r="AS5" s="175">
        <x:v>100</x:v>
      </x:c>
      <x:c r="AT5" s="158">
        <x:v>100</x:v>
      </x:c>
      <x:c r="AU5" s="158">
        <x:v>100</x:v>
      </x:c>
      <x:c r="AV5" s="600">
        <x:v>0</x:v>
      </x:c>
      <x:c r="AW5" s="600">
        <x:v>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97" t="s">
        <x:v>563</x:v>
      </x:c>
      <x:c r="B6" s="122" t="s">
        <x:v>23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97" t="s">
        <x:v>547</x:v>
      </x:c>
      <x:c r="B7" s="122" t="s">
        <x:v>23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97" t="s">
        <x:v>557</x:v>
      </x:c>
      <x:c r="B8" s="122" t="s">
        <x:v>23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97" t="s">
        <x:v>530</x:v>
      </x:c>
      <x:c r="B9" s="122" t="s">
        <x:v>183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589">
        <x:v>0</x:v>
      </x:c>
      <x:c r="AQ9" s="589">
        <x:v>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600">
        <x:v>0</x:v>
      </x:c>
      <x:c r="AW9" s="600">
        <x:v>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97" t="s">
        <x:v>555</x:v>
      </x:c>
      <x:c r="B10" s="122" t="s">
        <x:v>23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97" t="s">
        <x:v>568</x:v>
      </x:c>
      <x:c r="B11" s="122" t="s">
        <x:v>23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97" t="s">
        <x:v>580</x:v>
      </x:c>
      <x:c r="B12" s="122" t="s">
        <x:v>23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619" t="s">
        <x:v>552</x:v>
      </x:c>
      <x:c r="B13" s="122" t="s">
        <x:v>23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588">
        <x:v>0</x:v>
      </x:c>
      <x:c r="AN13" s="589">
        <x:v>0</x:v>
      </x:c>
      <x:c r="AO13" s="589">
        <x:v>0</x:v>
      </x:c>
      <x:c r="AP13" s="589">
        <x:v>0</x:v>
      </x:c>
      <x:c r="AQ13" s="589">
        <x:v>0</x:v>
      </x:c>
      <x:c r="AR13" s="591" t="s">
        <x:v>1103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97" t="s">
        <x:v>564</x:v>
      </x:c>
      <x:c r="B14" s="122" t="s">
        <x:v>23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620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619" t="s">
        <x:v>588</x:v>
      </x:c>
      <x:c r="B15" s="122" t="s">
        <x:v>23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588">
        <x:v>0</x:v>
      </x:c>
      <x:c r="AN15" s="589">
        <x:v>0</x:v>
      </x:c>
      <x:c r="AO15" s="589">
        <x:v>0</x:v>
      </x:c>
      <x:c r="AP15" s="589">
        <x:v>0</x:v>
      </x:c>
      <x:c r="AQ15" s="589">
        <x:v>0</x:v>
      </x:c>
      <x:c r="AR15" s="591" t="s">
        <x:v>1103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97" t="s">
        <x:v>574</x:v>
      </x:c>
      <x:c r="B16" s="122" t="s">
        <x:v>23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22.5" customHeight="1" x14ac:dyDescent="0.25">
      <x:c r="A17" s="97" t="s">
        <x:v>583</x:v>
      </x:c>
      <x:c r="B17" s="122" t="s">
        <x:v>23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22.5" customHeight="1" x14ac:dyDescent="0.25">
      <x:c r="A18" s="97" t="s">
        <x:v>522</x:v>
      </x:c>
      <x:c r="B18" s="122" t="s">
        <x:v>183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620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158">
        <x:v>100</x:v>
      </x:c>
      <x:c r="AX18" s="585" t="s">
        <x:v>1102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ht="22.5" customHeight="1" x14ac:dyDescent="0.25">
      <x:c r="A19" s="618" t="s">
        <x:v>549</x:v>
      </x:c>
      <x:c r="B19" s="122" t="s">
        <x:v>23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617">
        <x:v>0</x:v>
      </x:c>
      <x:c r="AT19" s="589">
        <x:v>0</x:v>
      </x:c>
      <x:c r="AU19" s="589">
        <x:v>0</x:v>
      </x:c>
      <x:c r="AV19" s="589">
        <x:v>0</x:v>
      </x:c>
      <x:c r="AW19" s="589">
        <x:v>0</x:v>
      </x:c>
      <x:c r="AX19" s="591" t="s">
        <x:v>1103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ht="22.5" customHeight="1" x14ac:dyDescent="0.25">
      <x:c r="A20" s="97" t="s">
        <x:v>544</x:v>
      </x:c>
      <x:c r="B20" s="122" t="s">
        <x:v>21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620" t="s">
        <x:v>1102</x:v>
      </x:c>
      <x:c r="AS20" s="175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ht="22.5" customHeight="1" x14ac:dyDescent="0.25">
      <x:c r="A21" s="618" t="s">
        <x:v>599</x:v>
      </x:c>
      <x:c r="B21" s="122" t="s">
        <x:v>23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617">
        <x:v>0</x:v>
      </x:c>
      <x:c r="AT21" s="589">
        <x:v>0</x:v>
      </x:c>
      <x:c r="AU21" s="589">
        <x:v>0</x:v>
      </x:c>
      <x:c r="AV21" s="589">
        <x:v>0</x:v>
      </x:c>
      <x:c r="AW21" s="589">
        <x:v>0</x:v>
      </x:c>
      <x:c r="AX21" s="591" t="s">
        <x:v>1103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ht="22.5" customHeight="1" x14ac:dyDescent="0.25">
      <x:c r="A22" s="97" t="s">
        <x:v>567</x:v>
      </x:c>
      <x:c r="B22" s="122" t="s">
        <x:v>23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33"/>
      <x:c r="P22" s="185"/>
      <x:c r="Q22" s="185"/>
      <x:c r="R22" s="185"/>
      <x:c r="S22" s="185"/>
      <x:c r="T22" s="36"/>
      <x:c r="U22" s="33"/>
      <x:c r="V22" s="185"/>
      <x:c r="W22" s="185"/>
      <x:c r="X22" s="185"/>
      <x:c r="Y22" s="185"/>
      <x:c r="Z22" s="36"/>
      <x:c r="AA22" s="167"/>
      <x:c r="AB22" s="185"/>
      <x:c r="AC22" s="185"/>
      <x:c r="AD22" s="185"/>
      <x:c r="AE22" s="185"/>
      <x:c r="AF22" s="36"/>
      <x:c r="AG22" s="167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175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167"/>
      <x:c r="AZ22" s="185"/>
      <x:c r="BA22" s="185"/>
      <x:c r="BB22" s="185"/>
      <x:c r="BC22" s="185"/>
      <x:c r="BD22" s="36"/>
      <x:c r="BE22" s="167"/>
      <x:c r="BF22" s="185"/>
      <x:c r="BG22" s="185"/>
      <x:c r="BH22" s="185"/>
      <x:c r="BI22" s="185"/>
      <x:c r="BJ22" s="36"/>
      <x:c r="BK22" s="167"/>
      <x:c r="BL22" s="185"/>
      <x:c r="BM22" s="185"/>
      <x:c r="BN22" s="185"/>
      <x:c r="BO22" s="185"/>
      <x:c r="BP22" s="36"/>
      <x:c r="BQ22" s="167"/>
      <x:c r="BR22" s="185"/>
      <x:c r="BS22" s="185"/>
      <x:c r="BT22" s="185"/>
      <x:c r="BU22" s="185"/>
      <x:c r="BV22" s="36"/>
    </x:row>
    <x:row r="23" spans="1:74" ht="22.5" customHeight="1" x14ac:dyDescent="0.25">
      <x:c r="A23" s="97" t="s">
        <x:v>541</x:v>
      </x:c>
      <x:c r="B23" s="122" t="s">
        <x:v>16</x:v>
      </x:c>
      <x:c r="C23" s="157"/>
      <x:c r="D23" s="158"/>
      <x:c r="E23" s="158"/>
      <x:c r="F23" s="158"/>
      <x:c r="G23" s="158"/>
      <x:c r="H23" s="197"/>
      <x:c r="I23" s="33"/>
      <x:c r="J23" s="185"/>
      <x:c r="K23" s="185"/>
      <x:c r="L23" s="185"/>
      <x:c r="M23" s="185"/>
      <x:c r="N23" s="36"/>
      <x:c r="O23" s="33"/>
      <x:c r="P23" s="185"/>
      <x:c r="Q23" s="185"/>
      <x:c r="R23" s="185"/>
      <x:c r="S23" s="185"/>
      <x:c r="T23" s="36"/>
      <x:c r="U23" s="33"/>
      <x:c r="V23" s="185"/>
      <x:c r="W23" s="185"/>
      <x:c r="X23" s="185"/>
      <x:c r="Y23" s="185"/>
      <x:c r="Z23" s="36"/>
      <x:c r="AA23" s="167"/>
      <x:c r="AB23" s="185"/>
      <x:c r="AC23" s="185"/>
      <x:c r="AD23" s="185"/>
      <x:c r="AE23" s="185"/>
      <x:c r="AF23" s="36"/>
      <x:c r="AG23" s="167"/>
      <x:c r="AH23" s="185"/>
      <x:c r="AI23" s="185"/>
      <x:c r="AJ23" s="185"/>
      <x:c r="AK23" s="18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620" t="s">
        <x:v>1102</x:v>
      </x:c>
      <x:c r="AS23" s="175">
        <x:v>100</x:v>
      </x:c>
      <x:c r="AT23" s="158">
        <x:v>100</x:v>
      </x:c>
      <x:c r="AU23" s="158">
        <x:v>100</x:v>
      </x:c>
      <x:c r="AV23" s="158">
        <x:v>100</x:v>
      </x:c>
      <x:c r="AW23" s="158">
        <x:v>100</x:v>
      </x:c>
      <x:c r="AX23" s="585" t="s">
        <x:v>1102</x:v>
      </x:c>
      <x:c r="AY23" s="167"/>
      <x:c r="AZ23" s="185"/>
      <x:c r="BA23" s="185"/>
      <x:c r="BB23" s="185"/>
      <x:c r="BC23" s="185"/>
      <x:c r="BD23" s="36"/>
      <x:c r="BE23" s="167"/>
      <x:c r="BF23" s="185"/>
      <x:c r="BG23" s="185"/>
      <x:c r="BH23" s="185"/>
      <x:c r="BI23" s="185"/>
      <x:c r="BJ23" s="36"/>
      <x:c r="BK23" s="167"/>
      <x:c r="BL23" s="185"/>
      <x:c r="BM23" s="185"/>
      <x:c r="BN23" s="185"/>
      <x:c r="BO23" s="185"/>
      <x:c r="BP23" s="36"/>
      <x:c r="BQ23" s="167"/>
      <x:c r="BR23" s="185"/>
      <x:c r="BS23" s="185"/>
      <x:c r="BT23" s="185"/>
      <x:c r="BU23" s="185"/>
      <x:c r="BV23" s="36"/>
    </x:row>
    <x:row r="24" spans="1:74" ht="22.5" customHeight="1" x14ac:dyDescent="0.25">
      <x:c r="A24" s="97" t="s">
        <x:v>566</x:v>
      </x:c>
      <x:c r="B24" s="122" t="s">
        <x:v>23</x:v>
      </x:c>
      <x:c r="C24" s="157"/>
      <x:c r="D24" s="158"/>
      <x:c r="E24" s="158"/>
      <x:c r="F24" s="158"/>
      <x:c r="G24" s="158"/>
      <x:c r="H24" s="197"/>
      <x:c r="I24" s="33"/>
      <x:c r="J24" s="185"/>
      <x:c r="K24" s="185"/>
      <x:c r="L24" s="185"/>
      <x:c r="M24" s="185"/>
      <x:c r="N24" s="36"/>
      <x:c r="O24" s="33"/>
      <x:c r="P24" s="185"/>
      <x:c r="Q24" s="185"/>
      <x:c r="R24" s="185"/>
      <x:c r="S24" s="185"/>
      <x:c r="T24" s="36"/>
      <x:c r="U24" s="33"/>
      <x:c r="V24" s="185"/>
      <x:c r="W24" s="185"/>
      <x:c r="X24" s="185"/>
      <x:c r="Y24" s="185"/>
      <x:c r="Z24" s="36"/>
      <x:c r="AA24" s="167"/>
      <x:c r="AB24" s="185"/>
      <x:c r="AC24" s="185"/>
      <x:c r="AD24" s="185"/>
      <x:c r="AE24" s="185"/>
      <x:c r="AF24" s="36"/>
      <x:c r="AG24" s="167"/>
      <x:c r="AH24" s="185"/>
      <x:c r="AI24" s="185"/>
      <x:c r="AJ24" s="185"/>
      <x:c r="AK24" s="185"/>
      <x:c r="AL24" s="36"/>
      <x:c r="AM24" s="157">
        <x:v>100</x:v>
      </x:c>
      <x:c r="AN24" s="158">
        <x:v>100</x:v>
      </x:c>
      <x:c r="AO24" s="158">
        <x:v>100</x:v>
      </x:c>
      <x:c r="AP24" s="158">
        <x:v>100</x:v>
      </x:c>
      <x:c r="AQ24" s="158">
        <x:v>100</x:v>
      </x:c>
      <x:c r="AR24" s="620" t="s">
        <x:v>1102</x:v>
      </x:c>
      <x:c r="AS24" s="175">
        <x:v>100</x:v>
      </x:c>
      <x:c r="AT24" s="158">
        <x:v>100</x:v>
      </x:c>
      <x:c r="AU24" s="158">
        <x:v>100</x:v>
      </x:c>
      <x:c r="AV24" s="158">
        <x:v>100</x:v>
      </x:c>
      <x:c r="AW24" s="158">
        <x:v>100</x:v>
      </x:c>
      <x:c r="AX24" s="585" t="s">
        <x:v>1102</x:v>
      </x:c>
      <x:c r="AY24" s="167"/>
      <x:c r="AZ24" s="185"/>
      <x:c r="BA24" s="185"/>
      <x:c r="BB24" s="185"/>
      <x:c r="BC24" s="185"/>
      <x:c r="BD24" s="36"/>
      <x:c r="BE24" s="167"/>
      <x:c r="BF24" s="185"/>
      <x:c r="BG24" s="185"/>
      <x:c r="BH24" s="185"/>
      <x:c r="BI24" s="185"/>
      <x:c r="BJ24" s="36"/>
      <x:c r="BK24" s="167"/>
      <x:c r="BL24" s="185"/>
      <x:c r="BM24" s="185"/>
      <x:c r="BN24" s="185"/>
      <x:c r="BO24" s="185"/>
      <x:c r="BP24" s="36"/>
      <x:c r="BQ24" s="167"/>
      <x:c r="BR24" s="185"/>
      <x:c r="BS24" s="185"/>
      <x:c r="BT24" s="185"/>
      <x:c r="BU24" s="185"/>
      <x:c r="BV24" s="36"/>
    </x:row>
    <x:row r="25" spans="1:74" ht="22.5" customHeight="1" x14ac:dyDescent="0.25">
      <x:c r="A25" s="97" t="s">
        <x:v>554</x:v>
      </x:c>
      <x:c r="B25" s="122" t="s">
        <x:v>23</x:v>
      </x:c>
      <x:c r="C25" s="157"/>
      <x:c r="D25" s="158"/>
      <x:c r="E25" s="158"/>
      <x:c r="F25" s="158"/>
      <x:c r="G25" s="158"/>
      <x:c r="H25" s="197"/>
      <x:c r="I25" s="33"/>
      <x:c r="J25" s="185"/>
      <x:c r="K25" s="185"/>
      <x:c r="L25" s="185"/>
      <x:c r="M25" s="185"/>
      <x:c r="N25" s="36"/>
      <x:c r="O25" s="33"/>
      <x:c r="P25" s="185"/>
      <x:c r="Q25" s="185"/>
      <x:c r="R25" s="185"/>
      <x:c r="S25" s="185"/>
      <x:c r="T25" s="36"/>
      <x:c r="U25" s="33"/>
      <x:c r="V25" s="185"/>
      <x:c r="W25" s="185"/>
      <x:c r="X25" s="185"/>
      <x:c r="Y25" s="185"/>
      <x:c r="Z25" s="36"/>
      <x:c r="AA25" s="167"/>
      <x:c r="AB25" s="185"/>
      <x:c r="AC25" s="185"/>
      <x:c r="AD25" s="185"/>
      <x:c r="AE25" s="185"/>
      <x:c r="AF25" s="36"/>
      <x:c r="AG25" s="167"/>
      <x:c r="AH25" s="185"/>
      <x:c r="AI25" s="185"/>
      <x:c r="AJ25" s="185"/>
      <x:c r="AK25" s="185"/>
      <x:c r="AL25" s="36"/>
      <x:c r="AM25" s="157">
        <x:v>100</x:v>
      </x:c>
      <x:c r="AN25" s="158">
        <x:v>100</x:v>
      </x:c>
      <x:c r="AO25" s="158">
        <x:v>100</x:v>
      </x:c>
      <x:c r="AP25" s="158">
        <x:v>100</x:v>
      </x:c>
      <x:c r="AQ25" s="158">
        <x:v>100</x:v>
      </x:c>
      <x:c r="AR25" s="620" t="s">
        <x:v>1102</x:v>
      </x:c>
      <x:c r="AS25" s="175">
        <x:v>100</x:v>
      </x:c>
      <x:c r="AT25" s="158">
        <x:v>100</x:v>
      </x:c>
      <x:c r="AU25" s="158">
        <x:v>100</x:v>
      </x:c>
      <x:c r="AV25" s="158">
        <x:v>100</x:v>
      </x:c>
      <x:c r="AW25" s="158">
        <x:v>100</x:v>
      </x:c>
      <x:c r="AX25" s="585" t="s">
        <x:v>1102</x:v>
      </x:c>
      <x:c r="AY25" s="167"/>
      <x:c r="AZ25" s="185"/>
      <x:c r="BA25" s="185"/>
      <x:c r="BB25" s="185"/>
      <x:c r="BC25" s="185"/>
      <x:c r="BD25" s="36"/>
      <x:c r="BE25" s="167"/>
      <x:c r="BF25" s="185"/>
      <x:c r="BG25" s="185"/>
      <x:c r="BH25" s="185"/>
      <x:c r="BI25" s="185"/>
      <x:c r="BJ25" s="36"/>
      <x:c r="BK25" s="167"/>
      <x:c r="BL25" s="185"/>
      <x:c r="BM25" s="185"/>
      <x:c r="BN25" s="185"/>
      <x:c r="BO25" s="185"/>
      <x:c r="BP25" s="36"/>
      <x:c r="BQ25" s="167"/>
      <x:c r="BR25" s="185"/>
      <x:c r="BS25" s="185"/>
      <x:c r="BT25" s="185"/>
      <x:c r="BU25" s="185"/>
      <x:c r="BV25" s="36"/>
    </x:row>
    <x:row r="26" spans="1:74" ht="22.5" customHeight="1" x14ac:dyDescent="0.25">
      <x:c r="A26" s="97" t="s">
        <x:v>603</x:v>
      </x:c>
      <x:c r="B26" s="122" t="s">
        <x:v>37</x:v>
      </x:c>
      <x:c r="C26" s="157"/>
      <x:c r="D26" s="158"/>
      <x:c r="E26" s="158"/>
      <x:c r="F26" s="158"/>
      <x:c r="G26" s="158"/>
      <x:c r="H26" s="197"/>
      <x:c r="I26" s="33"/>
      <x:c r="J26" s="185"/>
      <x:c r="K26" s="185"/>
      <x:c r="L26" s="185"/>
      <x:c r="M26" s="185"/>
      <x:c r="N26" s="36"/>
      <x:c r="O26" s="33"/>
      <x:c r="P26" s="185"/>
      <x:c r="Q26" s="185"/>
      <x:c r="R26" s="185"/>
      <x:c r="S26" s="185"/>
      <x:c r="T26" s="36"/>
      <x:c r="U26" s="33"/>
      <x:c r="V26" s="185"/>
      <x:c r="W26" s="185"/>
      <x:c r="X26" s="185"/>
      <x:c r="Y26" s="185"/>
      <x:c r="Z26" s="36"/>
      <x:c r="AA26" s="167"/>
      <x:c r="AB26" s="185"/>
      <x:c r="AC26" s="185"/>
      <x:c r="AD26" s="185"/>
      <x:c r="AE26" s="185"/>
      <x:c r="AF26" s="36"/>
      <x:c r="AG26" s="167"/>
      <x:c r="AH26" s="185"/>
      <x:c r="AI26" s="185"/>
      <x:c r="AJ26" s="185"/>
      <x:c r="AK26" s="185"/>
      <x:c r="AL26" s="36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620" t="s">
        <x:v>1102</x:v>
      </x:c>
      <x:c r="AS26" s="175">
        <x:v>100</x:v>
      </x:c>
      <x:c r="AT26" s="158">
        <x:v>100</x:v>
      </x:c>
      <x:c r="AU26" s="158">
        <x:v>100</x:v>
      </x:c>
      <x:c r="AV26" s="158">
        <x:v>100</x:v>
      </x:c>
      <x:c r="AW26" s="158">
        <x:v>100</x:v>
      </x:c>
      <x:c r="AX26" s="585" t="s">
        <x:v>1102</x:v>
      </x:c>
      <x:c r="AY26" s="167"/>
      <x:c r="AZ26" s="185"/>
      <x:c r="BA26" s="185"/>
      <x:c r="BB26" s="185"/>
      <x:c r="BC26" s="185"/>
      <x:c r="BD26" s="36"/>
      <x:c r="BE26" s="167"/>
      <x:c r="BF26" s="185"/>
      <x:c r="BG26" s="185"/>
      <x:c r="BH26" s="185"/>
      <x:c r="BI26" s="185"/>
      <x:c r="BJ26" s="36"/>
      <x:c r="BK26" s="167"/>
      <x:c r="BL26" s="185"/>
      <x:c r="BM26" s="185"/>
      <x:c r="BN26" s="185"/>
      <x:c r="BO26" s="185"/>
      <x:c r="BP26" s="36"/>
      <x:c r="BQ26" s="167"/>
      <x:c r="BR26" s="185"/>
      <x:c r="BS26" s="185"/>
      <x:c r="BT26" s="185"/>
      <x:c r="BU26" s="185"/>
      <x:c r="BV26" s="36"/>
    </x:row>
    <x:row r="27" spans="1:74" ht="22.5" customHeight="1" x14ac:dyDescent="0.25">
      <x:c r="A27" s="97" t="s">
        <x:v>581</x:v>
      </x:c>
      <x:c r="B27" s="122" t="s">
        <x:v>23</x:v>
      </x:c>
      <x:c r="C27" s="157"/>
      <x:c r="D27" s="158"/>
      <x:c r="E27" s="158"/>
      <x:c r="F27" s="158"/>
      <x:c r="G27" s="158"/>
      <x:c r="H27" s="197"/>
      <x:c r="I27" s="33"/>
      <x:c r="J27" s="185"/>
      <x:c r="K27" s="185"/>
      <x:c r="L27" s="185"/>
      <x:c r="M27" s="185"/>
      <x:c r="N27" s="36"/>
      <x:c r="O27" s="33"/>
      <x:c r="P27" s="185"/>
      <x:c r="Q27" s="185"/>
      <x:c r="R27" s="185"/>
      <x:c r="S27" s="185"/>
      <x:c r="T27" s="36"/>
      <x:c r="U27" s="33"/>
      <x:c r="V27" s="185"/>
      <x:c r="W27" s="185"/>
      <x:c r="X27" s="185"/>
      <x:c r="Y27" s="185"/>
      <x:c r="Z27" s="36"/>
      <x:c r="AA27" s="167"/>
      <x:c r="AB27" s="185"/>
      <x:c r="AC27" s="185"/>
      <x:c r="AD27" s="185"/>
      <x:c r="AE27" s="185"/>
      <x:c r="AF27" s="36"/>
      <x:c r="AG27" s="167"/>
      <x:c r="AH27" s="185"/>
      <x:c r="AI27" s="185"/>
      <x:c r="AJ27" s="185"/>
      <x:c r="AK27" s="185"/>
      <x:c r="AL27" s="36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620" t="s">
        <x:v>1102</x:v>
      </x:c>
      <x:c r="AS27" s="175">
        <x:v>100</x:v>
      </x:c>
      <x:c r="AT27" s="158">
        <x:v>100</x:v>
      </x:c>
      <x:c r="AU27" s="158">
        <x:v>100</x:v>
      </x:c>
      <x:c r="AV27" s="158">
        <x:v>100</x:v>
      </x:c>
      <x:c r="AW27" s="158">
        <x:v>100</x:v>
      </x:c>
      <x:c r="AX27" s="585" t="s">
        <x:v>1102</x:v>
      </x:c>
      <x:c r="AY27" s="167"/>
      <x:c r="AZ27" s="185"/>
      <x:c r="BA27" s="185"/>
      <x:c r="BB27" s="185"/>
      <x:c r="BC27" s="185"/>
      <x:c r="BD27" s="36"/>
      <x:c r="BE27" s="167"/>
      <x:c r="BF27" s="185"/>
      <x:c r="BG27" s="185"/>
      <x:c r="BH27" s="185"/>
      <x:c r="BI27" s="185"/>
      <x:c r="BJ27" s="36"/>
      <x:c r="BK27" s="167"/>
      <x:c r="BL27" s="185"/>
      <x:c r="BM27" s="185"/>
      <x:c r="BN27" s="185"/>
      <x:c r="BO27" s="185"/>
      <x:c r="BP27" s="36"/>
      <x:c r="BQ27" s="167"/>
      <x:c r="BR27" s="185"/>
      <x:c r="BS27" s="185"/>
      <x:c r="BT27" s="185"/>
      <x:c r="BU27" s="185"/>
      <x:c r="BV27" s="36"/>
    </x:row>
    <x:row r="28" spans="1:74" ht="22.5" customHeight="1" x14ac:dyDescent="0.25">
      <x:c r="A28" s="97" t="s">
        <x:v>523</x:v>
      </x:c>
      <x:c r="B28" s="122" t="s">
        <x:v>183</x:v>
      </x:c>
      <x:c r="C28" s="157"/>
      <x:c r="D28" s="158"/>
      <x:c r="E28" s="158"/>
      <x:c r="F28" s="158"/>
      <x:c r="G28" s="158"/>
      <x:c r="H28" s="197"/>
      <x:c r="I28" s="33"/>
      <x:c r="J28" s="185"/>
      <x:c r="K28" s="185"/>
      <x:c r="L28" s="185"/>
      <x:c r="M28" s="185"/>
      <x:c r="N28" s="36"/>
      <x:c r="O28" s="33"/>
      <x:c r="P28" s="185"/>
      <x:c r="Q28" s="185"/>
      <x:c r="R28" s="185"/>
      <x:c r="S28" s="185"/>
      <x:c r="T28" s="36"/>
      <x:c r="U28" s="33"/>
      <x:c r="V28" s="185"/>
      <x:c r="W28" s="185"/>
      <x:c r="X28" s="185"/>
      <x:c r="Y28" s="185"/>
      <x:c r="Z28" s="36"/>
      <x:c r="AA28" s="167"/>
      <x:c r="AB28" s="185"/>
      <x:c r="AC28" s="185"/>
      <x:c r="AD28" s="185"/>
      <x:c r="AE28" s="185"/>
      <x:c r="AF28" s="36"/>
      <x:c r="AG28" s="167"/>
      <x:c r="AH28" s="185"/>
      <x:c r="AI28" s="185"/>
      <x:c r="AJ28" s="185"/>
      <x:c r="AK28" s="185"/>
      <x:c r="AL28" s="36"/>
      <x:c r="AM28" s="157">
        <x:v>100</x:v>
      </x:c>
      <x:c r="AN28" s="158">
        <x:v>100</x:v>
      </x:c>
      <x:c r="AO28" s="158">
        <x:v>100</x:v>
      </x:c>
      <x:c r="AP28" s="589">
        <x:v>0</x:v>
      </x:c>
      <x:c r="AQ28" s="589">
        <x:v>0</x:v>
      </x:c>
      <x:c r="AR28" s="620" t="s">
        <x:v>1102</x:v>
      </x:c>
      <x:c r="AS28" s="175">
        <x:v>100</x:v>
      </x:c>
      <x:c r="AT28" s="158">
        <x:v>100</x:v>
      </x:c>
      <x:c r="AU28" s="158">
        <x:v>100</x:v>
      </x:c>
      <x:c r="AV28" s="600">
        <x:v>0</x:v>
      </x:c>
      <x:c r="AW28" s="600">
        <x:v>0</x:v>
      </x:c>
      <x:c r="AX28" s="585" t="s">
        <x:v>1102</x:v>
      </x:c>
      <x:c r="AY28" s="167"/>
      <x:c r="AZ28" s="185"/>
      <x:c r="BA28" s="185"/>
      <x:c r="BB28" s="185"/>
      <x:c r="BC28" s="185"/>
      <x:c r="BD28" s="36"/>
      <x:c r="BE28" s="167"/>
      <x:c r="BF28" s="185"/>
      <x:c r="BG28" s="185"/>
      <x:c r="BH28" s="185"/>
      <x:c r="BI28" s="185"/>
      <x:c r="BJ28" s="36"/>
      <x:c r="BK28" s="167"/>
      <x:c r="BL28" s="185"/>
      <x:c r="BM28" s="185"/>
      <x:c r="BN28" s="185"/>
      <x:c r="BO28" s="185"/>
      <x:c r="BP28" s="36"/>
      <x:c r="BQ28" s="167"/>
      <x:c r="BR28" s="185"/>
      <x:c r="BS28" s="185"/>
      <x:c r="BT28" s="185"/>
      <x:c r="BU28" s="185"/>
      <x:c r="BV28" s="36"/>
    </x:row>
    <x:row r="29" spans="1:74" ht="22.5" customHeight="1" x14ac:dyDescent="0.25">
      <x:c r="A29" s="97" t="s">
        <x:v>538</x:v>
      </x:c>
      <x:c r="B29" s="122" t="s">
        <x:v>191</x:v>
      </x:c>
      <x:c r="C29" s="157"/>
      <x:c r="D29" s="158"/>
      <x:c r="E29" s="158"/>
      <x:c r="F29" s="158"/>
      <x:c r="G29" s="158"/>
      <x:c r="H29" s="197"/>
      <x:c r="I29" s="33"/>
      <x:c r="J29" s="185"/>
      <x:c r="K29" s="185"/>
      <x:c r="L29" s="185"/>
      <x:c r="M29" s="185"/>
      <x:c r="N29" s="36"/>
      <x:c r="O29" s="33"/>
      <x:c r="P29" s="185"/>
      <x:c r="Q29" s="185"/>
      <x:c r="R29" s="185"/>
      <x:c r="S29" s="185"/>
      <x:c r="T29" s="36"/>
      <x:c r="U29" s="33"/>
      <x:c r="V29" s="185"/>
      <x:c r="W29" s="185"/>
      <x:c r="X29" s="185"/>
      <x:c r="Y29" s="185"/>
      <x:c r="Z29" s="36"/>
      <x:c r="AA29" s="167"/>
      <x:c r="AB29" s="185"/>
      <x:c r="AC29" s="185"/>
      <x:c r="AD29" s="185"/>
      <x:c r="AE29" s="185"/>
      <x:c r="AF29" s="36"/>
      <x:c r="AG29" s="167"/>
      <x:c r="AH29" s="185"/>
      <x:c r="AI29" s="185"/>
      <x:c r="AJ29" s="185"/>
      <x:c r="AK29" s="185"/>
      <x:c r="AL29" s="36"/>
      <x:c r="AM29" s="157">
        <x:v>100</x:v>
      </x:c>
      <x:c r="AN29" s="158">
        <x:v>100</x:v>
      </x:c>
      <x:c r="AO29" s="158">
        <x:v>100</x:v>
      </x:c>
      <x:c r="AP29" s="589">
        <x:v>0</x:v>
      </x:c>
      <x:c r="AQ29" s="589">
        <x:v>0</x:v>
      </x:c>
      <x:c r="AR29" s="620" t="s">
        <x:v>1102</x:v>
      </x:c>
      <x:c r="AS29" s="175">
        <x:v>100</x:v>
      </x:c>
      <x:c r="AT29" s="158">
        <x:v>100</x:v>
      </x:c>
      <x:c r="AU29" s="158">
        <x:v>100</x:v>
      </x:c>
      <x:c r="AV29" s="600">
        <x:v>0</x:v>
      </x:c>
      <x:c r="AW29" s="600">
        <x:v>0</x:v>
      </x:c>
      <x:c r="AX29" s="585" t="s">
        <x:v>1102</x:v>
      </x:c>
      <x:c r="AY29" s="167"/>
      <x:c r="AZ29" s="185"/>
      <x:c r="BA29" s="185"/>
      <x:c r="BB29" s="185"/>
      <x:c r="BC29" s="185"/>
      <x:c r="BD29" s="36"/>
      <x:c r="BE29" s="167"/>
      <x:c r="BF29" s="185"/>
      <x:c r="BG29" s="185"/>
      <x:c r="BH29" s="185"/>
      <x:c r="BI29" s="185"/>
      <x:c r="BJ29" s="36"/>
      <x:c r="BK29" s="167"/>
      <x:c r="BL29" s="185"/>
      <x:c r="BM29" s="185"/>
      <x:c r="BN29" s="185"/>
      <x:c r="BO29" s="185"/>
      <x:c r="BP29" s="36"/>
      <x:c r="BQ29" s="167"/>
      <x:c r="BR29" s="185"/>
      <x:c r="BS29" s="185"/>
      <x:c r="BT29" s="185"/>
      <x:c r="BU29" s="185"/>
      <x:c r="BV29" s="36"/>
    </x:row>
    <x:row r="30" spans="1:74" ht="22.5" customHeight="1" x14ac:dyDescent="0.25">
      <x:c r="A30" s="97" t="s">
        <x:v>607</x:v>
      </x:c>
      <x:c r="B30" s="122" t="s">
        <x:v>37</x:v>
      </x:c>
      <x:c r="C30" s="157"/>
      <x:c r="D30" s="158"/>
      <x:c r="E30" s="158"/>
      <x:c r="F30" s="158"/>
      <x:c r="G30" s="158"/>
      <x:c r="H30" s="197"/>
      <x:c r="I30" s="33"/>
      <x:c r="J30" s="185"/>
      <x:c r="K30" s="185"/>
      <x:c r="L30" s="185"/>
      <x:c r="M30" s="185"/>
      <x:c r="N30" s="36"/>
      <x:c r="O30" s="33"/>
      <x:c r="P30" s="185"/>
      <x:c r="Q30" s="185"/>
      <x:c r="R30" s="185"/>
      <x:c r="S30" s="185"/>
      <x:c r="T30" s="36"/>
      <x:c r="U30" s="33"/>
      <x:c r="V30" s="185"/>
      <x:c r="W30" s="185"/>
      <x:c r="X30" s="185"/>
      <x:c r="Y30" s="185"/>
      <x:c r="Z30" s="36"/>
      <x:c r="AA30" s="167"/>
      <x:c r="AB30" s="185"/>
      <x:c r="AC30" s="185"/>
      <x:c r="AD30" s="185"/>
      <x:c r="AE30" s="185"/>
      <x:c r="AF30" s="36"/>
      <x:c r="AG30" s="167"/>
      <x:c r="AH30" s="185"/>
      <x:c r="AI30" s="185"/>
      <x:c r="AJ30" s="185"/>
      <x:c r="AK30" s="185"/>
      <x:c r="AL30" s="36"/>
      <x:c r="AM30" s="157">
        <x:v>100</x:v>
      </x:c>
      <x:c r="AN30" s="158">
        <x:v>100</x:v>
      </x:c>
      <x:c r="AO30" s="158">
        <x:v>100</x:v>
      </x:c>
      <x:c r="AP30" s="158">
        <x:v>100</x:v>
      </x:c>
      <x:c r="AQ30" s="158">
        <x:v>100</x:v>
      </x:c>
      <x:c r="AR30" s="620" t="s">
        <x:v>1102</x:v>
      </x:c>
      <x:c r="AS30" s="175">
        <x:v>100</x:v>
      </x:c>
      <x:c r="AT30" s="158">
        <x:v>100</x:v>
      </x:c>
      <x:c r="AU30" s="158">
        <x:v>100</x:v>
      </x:c>
      <x:c r="AV30" s="158">
        <x:v>100</x:v>
      </x:c>
      <x:c r="AW30" s="158">
        <x:v>100</x:v>
      </x:c>
      <x:c r="AX30" s="585" t="s">
        <x:v>1102</x:v>
      </x:c>
      <x:c r="AY30" s="167"/>
      <x:c r="AZ30" s="185"/>
      <x:c r="BA30" s="185"/>
      <x:c r="BB30" s="185"/>
      <x:c r="BC30" s="185"/>
      <x:c r="BD30" s="36"/>
      <x:c r="BE30" s="167"/>
      <x:c r="BF30" s="185"/>
      <x:c r="BG30" s="185"/>
      <x:c r="BH30" s="185"/>
      <x:c r="BI30" s="185"/>
      <x:c r="BJ30" s="36"/>
      <x:c r="BK30" s="167"/>
      <x:c r="BL30" s="185"/>
      <x:c r="BM30" s="185"/>
      <x:c r="BN30" s="185"/>
      <x:c r="BO30" s="185"/>
      <x:c r="BP30" s="36"/>
      <x:c r="BQ30" s="167"/>
      <x:c r="BR30" s="185"/>
      <x:c r="BS30" s="185"/>
      <x:c r="BT30" s="185"/>
      <x:c r="BU30" s="185"/>
      <x:c r="BV30" s="36"/>
    </x:row>
    <x:row r="31" spans="1:74" ht="22.5" customHeight="1" x14ac:dyDescent="0.25">
      <x:c r="A31" s="97" t="s">
        <x:v>550</x:v>
      </x:c>
      <x:c r="B31" s="122" t="s">
        <x:v>23</x:v>
      </x:c>
      <x:c r="C31" s="157"/>
      <x:c r="D31" s="158"/>
      <x:c r="E31" s="158"/>
      <x:c r="F31" s="158"/>
      <x:c r="G31" s="158"/>
      <x:c r="H31" s="197"/>
      <x:c r="I31" s="33"/>
      <x:c r="J31" s="185"/>
      <x:c r="K31" s="185"/>
      <x:c r="L31" s="185"/>
      <x:c r="M31" s="185"/>
      <x:c r="N31" s="36"/>
      <x:c r="O31" s="33"/>
      <x:c r="P31" s="185"/>
      <x:c r="Q31" s="185"/>
      <x:c r="R31" s="185"/>
      <x:c r="S31" s="185"/>
      <x:c r="T31" s="36"/>
      <x:c r="U31" s="33"/>
      <x:c r="V31" s="185"/>
      <x:c r="W31" s="185"/>
      <x:c r="X31" s="185"/>
      <x:c r="Y31" s="185"/>
      <x:c r="Z31" s="36"/>
      <x:c r="AA31" s="167"/>
      <x:c r="AB31" s="185"/>
      <x:c r="AC31" s="185"/>
      <x:c r="AD31" s="185"/>
      <x:c r="AE31" s="185"/>
      <x:c r="AF31" s="36"/>
      <x:c r="AG31" s="167"/>
      <x:c r="AH31" s="185"/>
      <x:c r="AI31" s="185"/>
      <x:c r="AJ31" s="185"/>
      <x:c r="AK31" s="185"/>
      <x:c r="AL31" s="36"/>
      <x:c r="AM31" s="157">
        <x:v>100</x:v>
      </x:c>
      <x:c r="AN31" s="158">
        <x:v>100</x:v>
      </x:c>
      <x:c r="AO31" s="158">
        <x:v>100</x:v>
      </x:c>
      <x:c r="AP31" s="158">
        <x:v>100</x:v>
      </x:c>
      <x:c r="AQ31" s="158">
        <x:v>100</x:v>
      </x:c>
      <x:c r="AR31" s="620" t="s">
        <x:v>1102</x:v>
      </x:c>
      <x:c r="AS31" s="175">
        <x:v>100</x:v>
      </x:c>
      <x:c r="AT31" s="158">
        <x:v>100</x:v>
      </x:c>
      <x:c r="AU31" s="158">
        <x:v>100</x:v>
      </x:c>
      <x:c r="AV31" s="600">
        <x:v>0</x:v>
      </x:c>
      <x:c r="AW31" s="600">
        <x:v>0</x:v>
      </x:c>
      <x:c r="AX31" s="585" t="s">
        <x:v>1102</x:v>
      </x:c>
      <x:c r="AY31" s="167"/>
      <x:c r="AZ31" s="185"/>
      <x:c r="BA31" s="185"/>
      <x:c r="BB31" s="185"/>
      <x:c r="BC31" s="185"/>
      <x:c r="BD31" s="36"/>
      <x:c r="BE31" s="167"/>
      <x:c r="BF31" s="185"/>
      <x:c r="BG31" s="185"/>
      <x:c r="BH31" s="185"/>
      <x:c r="BI31" s="185"/>
      <x:c r="BJ31" s="36"/>
      <x:c r="BK31" s="167"/>
      <x:c r="BL31" s="185"/>
      <x:c r="BM31" s="185"/>
      <x:c r="BN31" s="185"/>
      <x:c r="BO31" s="185"/>
      <x:c r="BP31" s="36"/>
      <x:c r="BQ31" s="167"/>
      <x:c r="BR31" s="185"/>
      <x:c r="BS31" s="185"/>
      <x:c r="BT31" s="185"/>
      <x:c r="BU31" s="185"/>
      <x:c r="BV31" s="36"/>
    </x:row>
    <x:row r="32" spans="1:74" ht="22.5" customHeight="1" x14ac:dyDescent="0.25">
      <x:c r="A32" s="97" t="s">
        <x:v>576</x:v>
      </x:c>
      <x:c r="B32" s="122" t="s">
        <x:v>23</x:v>
      </x:c>
      <x:c r="C32" s="157"/>
      <x:c r="D32" s="158"/>
      <x:c r="E32" s="158"/>
      <x:c r="F32" s="158"/>
      <x:c r="G32" s="158"/>
      <x:c r="H32" s="197"/>
      <x:c r="I32" s="33"/>
      <x:c r="J32" s="185"/>
      <x:c r="K32" s="185"/>
      <x:c r="L32" s="185"/>
      <x:c r="M32" s="185"/>
      <x:c r="N32" s="36"/>
      <x:c r="O32" s="33"/>
      <x:c r="P32" s="185"/>
      <x:c r="Q32" s="185"/>
      <x:c r="R32" s="185"/>
      <x:c r="S32" s="185"/>
      <x:c r="T32" s="36"/>
      <x:c r="U32" s="33"/>
      <x:c r="V32" s="185"/>
      <x:c r="W32" s="185"/>
      <x:c r="X32" s="185"/>
      <x:c r="Y32" s="185"/>
      <x:c r="Z32" s="36"/>
      <x:c r="AA32" s="167"/>
      <x:c r="AB32" s="185"/>
      <x:c r="AC32" s="185"/>
      <x:c r="AD32" s="185"/>
      <x:c r="AE32" s="185"/>
      <x:c r="AF32" s="36"/>
      <x:c r="AG32" s="167"/>
      <x:c r="AH32" s="185"/>
      <x:c r="AI32" s="185"/>
      <x:c r="AJ32" s="185"/>
      <x:c r="AK32" s="185"/>
      <x:c r="AL32" s="36"/>
      <x:c r="AM32" s="157">
        <x:v>100</x:v>
      </x:c>
      <x:c r="AN32" s="158">
        <x:v>100</x:v>
      </x:c>
      <x:c r="AO32" s="158">
        <x:v>100</x:v>
      </x:c>
      <x:c r="AP32" s="158">
        <x:v>100</x:v>
      </x:c>
      <x:c r="AQ32" s="158">
        <x:v>100</x:v>
      </x:c>
      <x:c r="AR32" s="620" t="s">
        <x:v>1102</x:v>
      </x:c>
      <x:c r="AS32" s="175">
        <x:v>100</x:v>
      </x:c>
      <x:c r="AT32" s="158">
        <x:v>100</x:v>
      </x:c>
      <x:c r="AU32" s="158">
        <x:v>100</x:v>
      </x:c>
      <x:c r="AV32" s="158">
        <x:v>100</x:v>
      </x:c>
      <x:c r="AW32" s="158">
        <x:v>100</x:v>
      </x:c>
      <x:c r="AX32" s="585" t="s">
        <x:v>1102</x:v>
      </x:c>
      <x:c r="AY32" s="167"/>
      <x:c r="AZ32" s="185"/>
      <x:c r="BA32" s="185"/>
      <x:c r="BB32" s="185"/>
      <x:c r="BC32" s="185"/>
      <x:c r="BD32" s="36"/>
      <x:c r="BE32" s="167"/>
      <x:c r="BF32" s="185"/>
      <x:c r="BG32" s="185"/>
      <x:c r="BH32" s="185"/>
      <x:c r="BI32" s="185"/>
      <x:c r="BJ32" s="36"/>
      <x:c r="BK32" s="167"/>
      <x:c r="BL32" s="185"/>
      <x:c r="BM32" s="185"/>
      <x:c r="BN32" s="185"/>
      <x:c r="BO32" s="185"/>
      <x:c r="BP32" s="36"/>
      <x:c r="BQ32" s="167"/>
      <x:c r="BR32" s="185"/>
      <x:c r="BS32" s="185"/>
      <x:c r="BT32" s="185"/>
      <x:c r="BU32" s="185"/>
      <x:c r="BV32" s="36"/>
    </x:row>
    <x:row r="33" spans="1:74" ht="22.5" customHeight="1" x14ac:dyDescent="0.25">
      <x:c r="A33" s="97" t="s">
        <x:v>572</x:v>
      </x:c>
      <x:c r="B33" s="122" t="s">
        <x:v>23</x:v>
      </x:c>
      <x:c r="C33" s="157"/>
      <x:c r="D33" s="158"/>
      <x:c r="E33" s="158"/>
      <x:c r="F33" s="158"/>
      <x:c r="G33" s="158"/>
      <x:c r="H33" s="197"/>
      <x:c r="I33" s="33"/>
      <x:c r="J33" s="185"/>
      <x:c r="K33" s="185"/>
      <x:c r="L33" s="185"/>
      <x:c r="M33" s="185"/>
      <x:c r="N33" s="36"/>
      <x:c r="O33" s="33"/>
      <x:c r="P33" s="185"/>
      <x:c r="Q33" s="185"/>
      <x:c r="R33" s="185"/>
      <x:c r="S33" s="185"/>
      <x:c r="T33" s="36"/>
      <x:c r="U33" s="33"/>
      <x:c r="V33" s="185"/>
      <x:c r="W33" s="185"/>
      <x:c r="X33" s="185"/>
      <x:c r="Y33" s="185"/>
      <x:c r="Z33" s="36"/>
      <x:c r="AA33" s="167"/>
      <x:c r="AB33" s="185"/>
      <x:c r="AC33" s="185"/>
      <x:c r="AD33" s="185"/>
      <x:c r="AE33" s="185"/>
      <x:c r="AF33" s="36"/>
      <x:c r="AG33" s="167"/>
      <x:c r="AH33" s="185"/>
      <x:c r="AI33" s="185"/>
      <x:c r="AJ33" s="185"/>
      <x:c r="AK33" s="185"/>
      <x:c r="AL33" s="36"/>
      <x:c r="AM33" s="157">
        <x:v>100</x:v>
      </x:c>
      <x:c r="AN33" s="158">
        <x:v>100</x:v>
      </x:c>
      <x:c r="AO33" s="158">
        <x:v>100</x:v>
      </x:c>
      <x:c r="AP33" s="158">
        <x:v>100</x:v>
      </x:c>
      <x:c r="AQ33" s="158">
        <x:v>100</x:v>
      </x:c>
      <x:c r="AR33" s="620" t="s">
        <x:v>1102</x:v>
      </x:c>
      <x:c r="AS33" s="175">
        <x:v>100</x:v>
      </x:c>
      <x:c r="AT33" s="158">
        <x:v>100</x:v>
      </x:c>
      <x:c r="AU33" s="158">
        <x:v>100</x:v>
      </x:c>
      <x:c r="AV33" s="158">
        <x:v>100</x:v>
      </x:c>
      <x:c r="AW33" s="158">
        <x:v>100</x:v>
      </x:c>
      <x:c r="AX33" s="585" t="s">
        <x:v>1102</x:v>
      </x:c>
      <x:c r="AY33" s="167"/>
      <x:c r="AZ33" s="185"/>
      <x:c r="BA33" s="185"/>
      <x:c r="BB33" s="185"/>
      <x:c r="BC33" s="185"/>
      <x:c r="BD33" s="36"/>
      <x:c r="BE33" s="167"/>
      <x:c r="BF33" s="185"/>
      <x:c r="BG33" s="185"/>
      <x:c r="BH33" s="185"/>
      <x:c r="BI33" s="185"/>
      <x:c r="BJ33" s="36"/>
      <x:c r="BK33" s="167"/>
      <x:c r="BL33" s="185"/>
      <x:c r="BM33" s="185"/>
      <x:c r="BN33" s="185"/>
      <x:c r="BO33" s="185"/>
      <x:c r="BP33" s="36"/>
      <x:c r="BQ33" s="167"/>
      <x:c r="BR33" s="185"/>
      <x:c r="BS33" s="185"/>
      <x:c r="BT33" s="185"/>
      <x:c r="BU33" s="185"/>
      <x:c r="BV33" s="36"/>
    </x:row>
    <x:row r="34" spans="1:74" ht="22.5" customHeight="1" x14ac:dyDescent="0.25">
      <x:c r="A34" s="97" t="s">
        <x:v>587</x:v>
      </x:c>
      <x:c r="B34" s="122" t="s">
        <x:v>23</x:v>
      </x:c>
      <x:c r="C34" s="157"/>
      <x:c r="D34" s="158"/>
      <x:c r="E34" s="158"/>
      <x:c r="F34" s="158"/>
      <x:c r="G34" s="158"/>
      <x:c r="H34" s="197"/>
      <x:c r="I34" s="33"/>
      <x:c r="J34" s="185"/>
      <x:c r="K34" s="185"/>
      <x:c r="L34" s="185"/>
      <x:c r="M34" s="185"/>
      <x:c r="N34" s="36"/>
      <x:c r="O34" s="33"/>
      <x:c r="P34" s="185"/>
      <x:c r="Q34" s="185"/>
      <x:c r="R34" s="185"/>
      <x:c r="S34" s="185"/>
      <x:c r="T34" s="36"/>
      <x:c r="U34" s="33"/>
      <x:c r="V34" s="185"/>
      <x:c r="W34" s="185"/>
      <x:c r="X34" s="185"/>
      <x:c r="Y34" s="185"/>
      <x:c r="Z34" s="36"/>
      <x:c r="AA34" s="167"/>
      <x:c r="AB34" s="185"/>
      <x:c r="AC34" s="185"/>
      <x:c r="AD34" s="185"/>
      <x:c r="AE34" s="185"/>
      <x:c r="AF34" s="36"/>
      <x:c r="AG34" s="167"/>
      <x:c r="AH34" s="185"/>
      <x:c r="AI34" s="185"/>
      <x:c r="AJ34" s="185"/>
      <x:c r="AK34" s="185"/>
      <x:c r="AL34" s="36"/>
      <x:c r="AM34" s="157">
        <x:v>100</x:v>
      </x:c>
      <x:c r="AN34" s="158">
        <x:v>100</x:v>
      </x:c>
      <x:c r="AO34" s="158">
        <x:v>100</x:v>
      </x:c>
      <x:c r="AP34" s="158">
        <x:v>100</x:v>
      </x:c>
      <x:c r="AQ34" s="158">
        <x:v>29.41</x:v>
      </x:c>
      <x:c r="AR34" s="620" t="s">
        <x:v>1102</x:v>
      </x:c>
      <x:c r="AS34" s="175">
        <x:v>100</x:v>
      </x:c>
      <x:c r="AT34" s="158">
        <x:v>100</x:v>
      </x:c>
      <x:c r="AU34" s="158">
        <x:v>100</x:v>
      </x:c>
      <x:c r="AV34" s="158">
        <x:v>100</x:v>
      </x:c>
      <x:c r="AW34" s="158">
        <x:v>100</x:v>
      </x:c>
      <x:c r="AX34" s="585" t="s">
        <x:v>1102</x:v>
      </x:c>
      <x:c r="AY34" s="167"/>
      <x:c r="AZ34" s="185"/>
      <x:c r="BA34" s="185"/>
      <x:c r="BB34" s="185"/>
      <x:c r="BC34" s="185"/>
      <x:c r="BD34" s="36"/>
      <x:c r="BE34" s="167"/>
      <x:c r="BF34" s="185"/>
      <x:c r="BG34" s="185"/>
      <x:c r="BH34" s="185"/>
      <x:c r="BI34" s="185"/>
      <x:c r="BJ34" s="36"/>
      <x:c r="BK34" s="167"/>
      <x:c r="BL34" s="185"/>
      <x:c r="BM34" s="185"/>
      <x:c r="BN34" s="185"/>
      <x:c r="BO34" s="185"/>
      <x:c r="BP34" s="36"/>
      <x:c r="BQ34" s="167"/>
      <x:c r="BR34" s="185"/>
      <x:c r="BS34" s="185"/>
      <x:c r="BT34" s="185"/>
      <x:c r="BU34" s="185"/>
      <x:c r="BV34" s="36"/>
    </x:row>
    <x:row r="35" spans="1:74" ht="22.5" customHeight="1" x14ac:dyDescent="0.25">
      <x:c r="A35" s="97" t="s">
        <x:v>524</x:v>
      </x:c>
      <x:c r="B35" s="122" t="s">
        <x:v>183</x:v>
      </x:c>
      <x:c r="C35" s="157"/>
      <x:c r="D35" s="158"/>
      <x:c r="E35" s="158"/>
      <x:c r="F35" s="158"/>
      <x:c r="G35" s="158"/>
      <x:c r="H35" s="197"/>
      <x:c r="I35" s="33"/>
      <x:c r="J35" s="185"/>
      <x:c r="K35" s="185"/>
      <x:c r="L35" s="185"/>
      <x:c r="M35" s="185"/>
      <x:c r="N35" s="36"/>
      <x:c r="O35" s="33"/>
      <x:c r="P35" s="185"/>
      <x:c r="Q35" s="185"/>
      <x:c r="R35" s="185"/>
      <x:c r="S35" s="185"/>
      <x:c r="T35" s="36"/>
      <x:c r="U35" s="33"/>
      <x:c r="V35" s="185"/>
      <x:c r="W35" s="185"/>
      <x:c r="X35" s="185"/>
      <x:c r="Y35" s="185"/>
      <x:c r="Z35" s="36"/>
      <x:c r="AA35" s="167"/>
      <x:c r="AB35" s="185"/>
      <x:c r="AC35" s="185"/>
      <x:c r="AD35" s="185"/>
      <x:c r="AE35" s="185"/>
      <x:c r="AF35" s="36"/>
      <x:c r="AG35" s="167"/>
      <x:c r="AH35" s="185"/>
      <x:c r="AI35" s="185"/>
      <x:c r="AJ35" s="185"/>
      <x:c r="AK35" s="185"/>
      <x:c r="AL35" s="36"/>
      <x:c r="AM35" s="157">
        <x:v>100</x:v>
      </x:c>
      <x:c r="AN35" s="158">
        <x:v>100</x:v>
      </x:c>
      <x:c r="AO35" s="158">
        <x:v>100</x:v>
      </x:c>
      <x:c r="AP35" s="589">
        <x:v>0</x:v>
      </x:c>
      <x:c r="AQ35" s="589">
        <x:v>0</x:v>
      </x:c>
      <x:c r="AR35" s="620" t="s">
        <x:v>1102</x:v>
      </x:c>
      <x:c r="AS35" s="175">
        <x:v>100</x:v>
      </x:c>
      <x:c r="AT35" s="158">
        <x:v>100</x:v>
      </x:c>
      <x:c r="AU35" s="158">
        <x:v>100</x:v>
      </x:c>
      <x:c r="AV35" s="158">
        <x:v>50</x:v>
      </x:c>
      <x:c r="AW35" s="602">
        <x:v>0</x:v>
      </x:c>
      <x:c r="AX35" s="585" t="s">
        <x:v>1102</x:v>
      </x:c>
      <x:c r="AY35" s="167"/>
      <x:c r="AZ35" s="185"/>
      <x:c r="BA35" s="185"/>
      <x:c r="BB35" s="185"/>
      <x:c r="BC35" s="185"/>
      <x:c r="BD35" s="36"/>
      <x:c r="BE35" s="167"/>
      <x:c r="BF35" s="185"/>
      <x:c r="BG35" s="185"/>
      <x:c r="BH35" s="185"/>
      <x:c r="BI35" s="185"/>
      <x:c r="BJ35" s="36"/>
      <x:c r="BK35" s="167"/>
      <x:c r="BL35" s="185"/>
      <x:c r="BM35" s="185"/>
      <x:c r="BN35" s="185"/>
      <x:c r="BO35" s="185"/>
      <x:c r="BP35" s="36"/>
      <x:c r="BQ35" s="167"/>
      <x:c r="BR35" s="185"/>
      <x:c r="BS35" s="185"/>
      <x:c r="BT35" s="185"/>
      <x:c r="BU35" s="185"/>
      <x:c r="BV35" s="36"/>
    </x:row>
    <x:row r="36" spans="1:74" ht="22.5" customHeight="1" x14ac:dyDescent="0.25">
      <x:c r="A36" s="97" t="s">
        <x:v>598</x:v>
      </x:c>
      <x:c r="B36" s="122" t="s">
        <x:v>23</x:v>
      </x:c>
      <x:c r="C36" s="157"/>
      <x:c r="D36" s="158"/>
      <x:c r="E36" s="158"/>
      <x:c r="F36" s="158"/>
      <x:c r="G36" s="158"/>
      <x:c r="H36" s="197"/>
      <x:c r="I36" s="33"/>
      <x:c r="J36" s="185"/>
      <x:c r="K36" s="185"/>
      <x:c r="L36" s="185"/>
      <x:c r="M36" s="185"/>
      <x:c r="N36" s="36"/>
      <x:c r="O36" s="33"/>
      <x:c r="P36" s="185"/>
      <x:c r="Q36" s="185"/>
      <x:c r="R36" s="185"/>
      <x:c r="S36" s="185"/>
      <x:c r="T36" s="36"/>
      <x:c r="U36" s="33"/>
      <x:c r="V36" s="185"/>
      <x:c r="W36" s="185"/>
      <x:c r="X36" s="185"/>
      <x:c r="Y36" s="185"/>
      <x:c r="Z36" s="36"/>
      <x:c r="AA36" s="167"/>
      <x:c r="AB36" s="185"/>
      <x:c r="AC36" s="185"/>
      <x:c r="AD36" s="185"/>
      <x:c r="AE36" s="185"/>
      <x:c r="AF36" s="36"/>
      <x:c r="AG36" s="167"/>
      <x:c r="AH36" s="185"/>
      <x:c r="AI36" s="185"/>
      <x:c r="AJ36" s="185"/>
      <x:c r="AK36" s="185"/>
      <x:c r="AL36" s="36"/>
      <x:c r="AM36" s="157">
        <x:v>100</x:v>
      </x:c>
      <x:c r="AN36" s="158">
        <x:v>100</x:v>
      </x:c>
      <x:c r="AO36" s="158">
        <x:v>100</x:v>
      </x:c>
      <x:c r="AP36" s="158">
        <x:v>100</x:v>
      </x:c>
      <x:c r="AQ36" s="158">
        <x:v>100</x:v>
      </x:c>
      <x:c r="AR36" s="620" t="s">
        <x:v>1102</x:v>
      </x:c>
      <x:c r="AS36" s="175">
        <x:v>100</x:v>
      </x:c>
      <x:c r="AT36" s="158">
        <x:v>100</x:v>
      </x:c>
      <x:c r="AU36" s="158">
        <x:v>100</x:v>
      </x:c>
      <x:c r="AV36" s="158">
        <x:v>100</x:v>
      </x:c>
      <x:c r="AW36" s="158">
        <x:v>100</x:v>
      </x:c>
      <x:c r="AX36" s="585" t="s">
        <x:v>1102</x:v>
      </x:c>
      <x:c r="AY36" s="167"/>
      <x:c r="AZ36" s="185"/>
      <x:c r="BA36" s="185"/>
      <x:c r="BB36" s="185"/>
      <x:c r="BC36" s="185"/>
      <x:c r="BD36" s="36"/>
      <x:c r="BE36" s="167"/>
      <x:c r="BF36" s="185"/>
      <x:c r="BG36" s="185"/>
      <x:c r="BH36" s="185"/>
      <x:c r="BI36" s="185"/>
      <x:c r="BJ36" s="36"/>
      <x:c r="BK36" s="167"/>
      <x:c r="BL36" s="185"/>
      <x:c r="BM36" s="185"/>
      <x:c r="BN36" s="185"/>
      <x:c r="BO36" s="185"/>
      <x:c r="BP36" s="36"/>
      <x:c r="BQ36" s="167"/>
      <x:c r="BR36" s="185"/>
      <x:c r="BS36" s="185"/>
      <x:c r="BT36" s="185"/>
      <x:c r="BU36" s="185"/>
      <x:c r="BV36" s="36"/>
    </x:row>
    <x:row r="37" spans="1:74" ht="22.5" customHeight="1" x14ac:dyDescent="0.25">
      <x:c r="A37" s="97" t="s">
        <x:v>600</x:v>
      </x:c>
      <x:c r="B37" s="122" t="s">
        <x:v>37</x:v>
      </x:c>
      <x:c r="C37" s="157"/>
      <x:c r="D37" s="158"/>
      <x:c r="E37" s="158"/>
      <x:c r="F37" s="158"/>
      <x:c r="G37" s="158"/>
      <x:c r="H37" s="197"/>
      <x:c r="I37" s="33"/>
      <x:c r="J37" s="185"/>
      <x:c r="K37" s="185"/>
      <x:c r="L37" s="185"/>
      <x:c r="M37" s="185"/>
      <x:c r="N37" s="36"/>
      <x:c r="O37" s="33"/>
      <x:c r="P37" s="185"/>
      <x:c r="Q37" s="185"/>
      <x:c r="R37" s="185"/>
      <x:c r="S37" s="185"/>
      <x:c r="T37" s="36"/>
      <x:c r="U37" s="33"/>
      <x:c r="V37" s="185"/>
      <x:c r="W37" s="185"/>
      <x:c r="X37" s="185"/>
      <x:c r="Y37" s="185"/>
      <x:c r="Z37" s="36"/>
      <x:c r="AA37" s="167"/>
      <x:c r="AB37" s="185"/>
      <x:c r="AC37" s="185"/>
      <x:c r="AD37" s="185"/>
      <x:c r="AE37" s="185"/>
      <x:c r="AF37" s="36"/>
      <x:c r="AG37" s="167"/>
      <x:c r="AH37" s="185"/>
      <x:c r="AI37" s="185"/>
      <x:c r="AJ37" s="185"/>
      <x:c r="AK37" s="185"/>
      <x:c r="AL37" s="36"/>
      <x:c r="AM37" s="157">
        <x:v>100</x:v>
      </x:c>
      <x:c r="AN37" s="158">
        <x:v>100</x:v>
      </x:c>
      <x:c r="AO37" s="158">
        <x:v>100</x:v>
      </x:c>
      <x:c r="AP37" s="158">
        <x:v>100</x:v>
      </x:c>
      <x:c r="AQ37" s="158">
        <x:v>100</x:v>
      </x:c>
      <x:c r="AR37" s="620" t="s">
        <x:v>1102</x:v>
      </x:c>
      <x:c r="AS37" s="175">
        <x:v>100</x:v>
      </x:c>
      <x:c r="AT37" s="158">
        <x:v>100</x:v>
      </x:c>
      <x:c r="AU37" s="158">
        <x:v>100</x:v>
      </x:c>
      <x:c r="AV37" s="158">
        <x:v>100</x:v>
      </x:c>
      <x:c r="AW37" s="158">
        <x:v>100</x:v>
      </x:c>
      <x:c r="AX37" s="585" t="s">
        <x:v>1102</x:v>
      </x:c>
      <x:c r="AY37" s="167"/>
      <x:c r="AZ37" s="185"/>
      <x:c r="BA37" s="185"/>
      <x:c r="BB37" s="185"/>
      <x:c r="BC37" s="185"/>
      <x:c r="BD37" s="36"/>
      <x:c r="BE37" s="167"/>
      <x:c r="BF37" s="185"/>
      <x:c r="BG37" s="185"/>
      <x:c r="BH37" s="185"/>
      <x:c r="BI37" s="185"/>
      <x:c r="BJ37" s="36"/>
      <x:c r="BK37" s="167"/>
      <x:c r="BL37" s="185"/>
      <x:c r="BM37" s="185"/>
      <x:c r="BN37" s="185"/>
      <x:c r="BO37" s="185"/>
      <x:c r="BP37" s="36"/>
      <x:c r="BQ37" s="167"/>
      <x:c r="BR37" s="185"/>
      <x:c r="BS37" s="185"/>
      <x:c r="BT37" s="185"/>
      <x:c r="BU37" s="185"/>
      <x:c r="BV37" s="36"/>
    </x:row>
    <x:row r="38" spans="1:74" ht="22.5" customHeight="1" x14ac:dyDescent="0.25">
      <x:c r="A38" s="619" t="s">
        <x:v>590</x:v>
      </x:c>
      <x:c r="B38" s="122" t="s">
        <x:v>23</x:v>
      </x:c>
      <x:c r="C38" s="157"/>
      <x:c r="D38" s="158"/>
      <x:c r="E38" s="158"/>
      <x:c r="F38" s="158"/>
      <x:c r="G38" s="158"/>
      <x:c r="H38" s="197"/>
      <x:c r="I38" s="33"/>
      <x:c r="J38" s="185"/>
      <x:c r="K38" s="185"/>
      <x:c r="L38" s="185"/>
      <x:c r="M38" s="185"/>
      <x:c r="N38" s="36"/>
      <x:c r="O38" s="33"/>
      <x:c r="P38" s="185"/>
      <x:c r="Q38" s="185"/>
      <x:c r="R38" s="185"/>
      <x:c r="S38" s="185"/>
      <x:c r="T38" s="36"/>
      <x:c r="U38" s="33"/>
      <x:c r="V38" s="185"/>
      <x:c r="W38" s="185"/>
      <x:c r="X38" s="185"/>
      <x:c r="Y38" s="185"/>
      <x:c r="Z38" s="36"/>
      <x:c r="AA38" s="167"/>
      <x:c r="AB38" s="185"/>
      <x:c r="AC38" s="185"/>
      <x:c r="AD38" s="185"/>
      <x:c r="AE38" s="185"/>
      <x:c r="AF38" s="36"/>
      <x:c r="AG38" s="167"/>
      <x:c r="AH38" s="185"/>
      <x:c r="AI38" s="185"/>
      <x:c r="AJ38" s="185"/>
      <x:c r="AK38" s="185"/>
      <x:c r="AL38" s="36"/>
      <x:c r="AM38" s="588">
        <x:v>0</x:v>
      </x:c>
      <x:c r="AN38" s="589">
        <x:v>0</x:v>
      </x:c>
      <x:c r="AO38" s="589">
        <x:v>0</x:v>
      </x:c>
      <x:c r="AP38" s="589">
        <x:v>0</x:v>
      </x:c>
      <x:c r="AQ38" s="589">
        <x:v>0</x:v>
      </x:c>
      <x:c r="AR38" s="591" t="s">
        <x:v>1103</x:v>
      </x:c>
      <x:c r="AS38" s="175">
        <x:v>100</x:v>
      </x:c>
      <x:c r="AT38" s="158">
        <x:v>100</x:v>
      </x:c>
      <x:c r="AU38" s="158">
        <x:v>100</x:v>
      </x:c>
      <x:c r="AV38" s="158">
        <x:v>100</x:v>
      </x:c>
      <x:c r="AW38" s="158">
        <x:v>100</x:v>
      </x:c>
      <x:c r="AX38" s="585" t="s">
        <x:v>1102</x:v>
      </x:c>
      <x:c r="AY38" s="167"/>
      <x:c r="AZ38" s="185"/>
      <x:c r="BA38" s="185"/>
      <x:c r="BB38" s="185"/>
      <x:c r="BC38" s="185"/>
      <x:c r="BD38" s="36"/>
      <x:c r="BE38" s="167"/>
      <x:c r="BF38" s="185"/>
      <x:c r="BG38" s="185"/>
      <x:c r="BH38" s="185"/>
      <x:c r="BI38" s="185"/>
      <x:c r="BJ38" s="36"/>
      <x:c r="BK38" s="167"/>
      <x:c r="BL38" s="185"/>
      <x:c r="BM38" s="185"/>
      <x:c r="BN38" s="185"/>
      <x:c r="BO38" s="185"/>
      <x:c r="BP38" s="36"/>
      <x:c r="BQ38" s="167"/>
      <x:c r="BR38" s="185"/>
      <x:c r="BS38" s="185"/>
      <x:c r="BT38" s="185"/>
      <x:c r="BU38" s="185"/>
      <x:c r="BV38" s="36"/>
    </x:row>
    <x:row r="39" spans="1:74" ht="22.5" customHeight="1" x14ac:dyDescent="0.25">
      <x:c r="A39" s="97" t="s">
        <x:v>565</x:v>
      </x:c>
      <x:c r="B39" s="122" t="s">
        <x:v>23</x:v>
      </x:c>
      <x:c r="C39" s="157"/>
      <x:c r="D39" s="158"/>
      <x:c r="E39" s="158"/>
      <x:c r="F39" s="158"/>
      <x:c r="G39" s="158"/>
      <x:c r="H39" s="197"/>
      <x:c r="I39" s="33"/>
      <x:c r="J39" s="185"/>
      <x:c r="K39" s="185"/>
      <x:c r="L39" s="185"/>
      <x:c r="M39" s="185"/>
      <x:c r="N39" s="36"/>
      <x:c r="O39" s="33"/>
      <x:c r="P39" s="185"/>
      <x:c r="Q39" s="185"/>
      <x:c r="R39" s="185"/>
      <x:c r="S39" s="185"/>
      <x:c r="T39" s="36"/>
      <x:c r="U39" s="33"/>
      <x:c r="V39" s="185"/>
      <x:c r="W39" s="185"/>
      <x:c r="X39" s="185"/>
      <x:c r="Y39" s="185"/>
      <x:c r="Z39" s="36"/>
      <x:c r="AA39" s="167"/>
      <x:c r="AB39" s="185"/>
      <x:c r="AC39" s="185"/>
      <x:c r="AD39" s="185"/>
      <x:c r="AE39" s="185"/>
      <x:c r="AF39" s="36"/>
      <x:c r="AG39" s="167"/>
      <x:c r="AH39" s="185"/>
      <x:c r="AI39" s="185"/>
      <x:c r="AJ39" s="185"/>
      <x:c r="AK39" s="185"/>
      <x:c r="AL39" s="36"/>
      <x:c r="AM39" s="157">
        <x:v>100</x:v>
      </x:c>
      <x:c r="AN39" s="158">
        <x:v>100</x:v>
      </x:c>
      <x:c r="AO39" s="158">
        <x:v>100</x:v>
      </x:c>
      <x:c r="AP39" s="158">
        <x:v>100</x:v>
      </x:c>
      <x:c r="AQ39" s="158">
        <x:v>100</x:v>
      </x:c>
      <x:c r="AR39" s="620" t="s">
        <x:v>1102</x:v>
      </x:c>
      <x:c r="AS39" s="175">
        <x:v>100</x:v>
      </x:c>
      <x:c r="AT39" s="158">
        <x:v>100</x:v>
      </x:c>
      <x:c r="AU39" s="158">
        <x:v>100</x:v>
      </x:c>
      <x:c r="AV39" s="158">
        <x:v>100</x:v>
      </x:c>
      <x:c r="AW39" s="158">
        <x:v>100</x:v>
      </x:c>
      <x:c r="AX39" s="585" t="s">
        <x:v>1102</x:v>
      </x:c>
      <x:c r="AY39" s="167"/>
      <x:c r="AZ39" s="185"/>
      <x:c r="BA39" s="185"/>
      <x:c r="BB39" s="185"/>
      <x:c r="BC39" s="185"/>
      <x:c r="BD39" s="36"/>
      <x:c r="BE39" s="167"/>
      <x:c r="BF39" s="185"/>
      <x:c r="BG39" s="185"/>
      <x:c r="BH39" s="185"/>
      <x:c r="BI39" s="185"/>
      <x:c r="BJ39" s="36"/>
      <x:c r="BK39" s="167"/>
      <x:c r="BL39" s="185"/>
      <x:c r="BM39" s="185"/>
      <x:c r="BN39" s="185"/>
      <x:c r="BO39" s="185"/>
      <x:c r="BP39" s="36"/>
      <x:c r="BQ39" s="167"/>
      <x:c r="BR39" s="185"/>
      <x:c r="BS39" s="185"/>
      <x:c r="BT39" s="185"/>
      <x:c r="BU39" s="185"/>
      <x:c r="BV39" s="36"/>
    </x:row>
    <x:row r="40" spans="1:74" ht="22.5" customHeight="1" x14ac:dyDescent="0.25">
      <x:c r="A40" s="97" t="s">
        <x:v>585</x:v>
      </x:c>
      <x:c r="B40" s="122" t="s">
        <x:v>23</x:v>
      </x:c>
      <x:c r="C40" s="157"/>
      <x:c r="D40" s="158"/>
      <x:c r="E40" s="158"/>
      <x:c r="F40" s="158"/>
      <x:c r="G40" s="158"/>
      <x:c r="H40" s="197"/>
      <x:c r="I40" s="33"/>
      <x:c r="J40" s="185"/>
      <x:c r="K40" s="185"/>
      <x:c r="L40" s="185"/>
      <x:c r="M40" s="185"/>
      <x:c r="N40" s="36"/>
      <x:c r="O40" s="33"/>
      <x:c r="P40" s="185"/>
      <x:c r="Q40" s="185"/>
      <x:c r="R40" s="185"/>
      <x:c r="S40" s="185"/>
      <x:c r="T40" s="36"/>
      <x:c r="U40" s="33"/>
      <x:c r="V40" s="185"/>
      <x:c r="W40" s="185"/>
      <x:c r="X40" s="185"/>
      <x:c r="Y40" s="185"/>
      <x:c r="Z40" s="36"/>
      <x:c r="AA40" s="167"/>
      <x:c r="AB40" s="185"/>
      <x:c r="AC40" s="185"/>
      <x:c r="AD40" s="185"/>
      <x:c r="AE40" s="185"/>
      <x:c r="AF40" s="36"/>
      <x:c r="AG40" s="167"/>
      <x:c r="AH40" s="185"/>
      <x:c r="AI40" s="185"/>
      <x:c r="AJ40" s="185"/>
      <x:c r="AK40" s="185"/>
      <x:c r="AL40" s="36"/>
      <x:c r="AM40" s="157">
        <x:v>100</x:v>
      </x:c>
      <x:c r="AN40" s="158">
        <x:v>100</x:v>
      </x:c>
      <x:c r="AO40" s="158">
        <x:v>100</x:v>
      </x:c>
      <x:c r="AP40" s="158">
        <x:v>100</x:v>
      </x:c>
      <x:c r="AQ40" s="158">
        <x:v>100</x:v>
      </x:c>
      <x:c r="AR40" s="620" t="s">
        <x:v>1102</x:v>
      </x:c>
      <x:c r="AS40" s="175">
        <x:v>100</x:v>
      </x:c>
      <x:c r="AT40" s="158">
        <x:v>100</x:v>
      </x:c>
      <x:c r="AU40" s="158">
        <x:v>100</x:v>
      </x:c>
      <x:c r="AV40" s="158">
        <x:v>100</x:v>
      </x:c>
      <x:c r="AW40" s="158">
        <x:v>100</x:v>
      </x:c>
      <x:c r="AX40" s="585" t="s">
        <x:v>1102</x:v>
      </x:c>
      <x:c r="AY40" s="167"/>
      <x:c r="AZ40" s="185"/>
      <x:c r="BA40" s="185"/>
      <x:c r="BB40" s="185"/>
      <x:c r="BC40" s="185"/>
      <x:c r="BD40" s="36"/>
      <x:c r="BE40" s="167"/>
      <x:c r="BF40" s="185"/>
      <x:c r="BG40" s="185"/>
      <x:c r="BH40" s="185"/>
      <x:c r="BI40" s="185"/>
      <x:c r="BJ40" s="36"/>
      <x:c r="BK40" s="167"/>
      <x:c r="BL40" s="185"/>
      <x:c r="BM40" s="185"/>
      <x:c r="BN40" s="185"/>
      <x:c r="BO40" s="185"/>
      <x:c r="BP40" s="36"/>
      <x:c r="BQ40" s="167"/>
      <x:c r="BR40" s="185"/>
      <x:c r="BS40" s="185"/>
      <x:c r="BT40" s="185"/>
      <x:c r="BU40" s="185"/>
      <x:c r="BV40" s="36"/>
    </x:row>
    <x:row r="41" spans="1:74" ht="22.5" customHeight="1" x14ac:dyDescent="0.25">
      <x:c r="A41" s="97" t="s">
        <x:v>591</x:v>
      </x:c>
      <x:c r="B41" s="122" t="s">
        <x:v>23</x:v>
      </x:c>
      <x:c r="C41" s="157"/>
      <x:c r="D41" s="158"/>
      <x:c r="E41" s="158"/>
      <x:c r="F41" s="158"/>
      <x:c r="G41" s="158"/>
      <x:c r="H41" s="197"/>
      <x:c r="I41" s="33"/>
      <x:c r="J41" s="185"/>
      <x:c r="K41" s="185"/>
      <x:c r="L41" s="185"/>
      <x:c r="M41" s="185"/>
      <x:c r="N41" s="36"/>
      <x:c r="O41" s="33"/>
      <x:c r="P41" s="185"/>
      <x:c r="Q41" s="185"/>
      <x:c r="R41" s="185"/>
      <x:c r="S41" s="185"/>
      <x:c r="T41" s="36"/>
      <x:c r="U41" s="33"/>
      <x:c r="V41" s="185"/>
      <x:c r="W41" s="185"/>
      <x:c r="X41" s="185"/>
      <x:c r="Y41" s="185"/>
      <x:c r="Z41" s="36"/>
      <x:c r="AA41" s="167"/>
      <x:c r="AB41" s="185"/>
      <x:c r="AC41" s="185"/>
      <x:c r="AD41" s="185"/>
      <x:c r="AE41" s="185"/>
      <x:c r="AF41" s="36"/>
      <x:c r="AG41" s="167"/>
      <x:c r="AH41" s="185"/>
      <x:c r="AI41" s="185"/>
      <x:c r="AJ41" s="185"/>
      <x:c r="AK41" s="185"/>
      <x:c r="AL41" s="36"/>
      <x:c r="AM41" s="157">
        <x:v>100</x:v>
      </x:c>
      <x:c r="AN41" s="158">
        <x:v>100</x:v>
      </x:c>
      <x:c r="AO41" s="158">
        <x:v>100</x:v>
      </x:c>
      <x:c r="AP41" s="158">
        <x:v>100</x:v>
      </x:c>
      <x:c r="AQ41" s="158">
        <x:v>100</x:v>
      </x:c>
      <x:c r="AR41" s="620" t="s">
        <x:v>1102</x:v>
      </x:c>
      <x:c r="AS41" s="175">
        <x:v>100</x:v>
      </x:c>
      <x:c r="AT41" s="158">
        <x:v>100</x:v>
      </x:c>
      <x:c r="AU41" s="158">
        <x:v>100</x:v>
      </x:c>
      <x:c r="AV41" s="158">
        <x:v>100</x:v>
      </x:c>
      <x:c r="AW41" s="158">
        <x:v>100</x:v>
      </x:c>
      <x:c r="AX41" s="585" t="s">
        <x:v>1102</x:v>
      </x:c>
      <x:c r="AY41" s="167"/>
      <x:c r="AZ41" s="185"/>
      <x:c r="BA41" s="185"/>
      <x:c r="BB41" s="185"/>
      <x:c r="BC41" s="185"/>
      <x:c r="BD41" s="36"/>
      <x:c r="BE41" s="167"/>
      <x:c r="BF41" s="185"/>
      <x:c r="BG41" s="185"/>
      <x:c r="BH41" s="185"/>
      <x:c r="BI41" s="185"/>
      <x:c r="BJ41" s="36"/>
      <x:c r="BK41" s="167"/>
      <x:c r="BL41" s="185"/>
      <x:c r="BM41" s="185"/>
      <x:c r="BN41" s="185"/>
      <x:c r="BO41" s="185"/>
      <x:c r="BP41" s="36"/>
      <x:c r="BQ41" s="167"/>
      <x:c r="BR41" s="185"/>
      <x:c r="BS41" s="185"/>
      <x:c r="BT41" s="185"/>
      <x:c r="BU41" s="185"/>
      <x:c r="BV41" s="36"/>
    </x:row>
    <x:row r="42" spans="1:74" ht="22.5" customHeight="1" x14ac:dyDescent="0.25">
      <x:c r="A42" s="97" t="s">
        <x:v>525</x:v>
      </x:c>
      <x:c r="B42" s="122" t="s">
        <x:v>183</x:v>
      </x:c>
      <x:c r="C42" s="157"/>
      <x:c r="D42" s="158"/>
      <x:c r="E42" s="158"/>
      <x:c r="F42" s="158"/>
      <x:c r="G42" s="158"/>
      <x:c r="H42" s="197"/>
      <x:c r="I42" s="33"/>
      <x:c r="J42" s="185"/>
      <x:c r="K42" s="185"/>
      <x:c r="L42" s="185"/>
      <x:c r="M42" s="185"/>
      <x:c r="N42" s="36"/>
      <x:c r="O42" s="33"/>
      <x:c r="P42" s="185"/>
      <x:c r="Q42" s="185"/>
      <x:c r="R42" s="185"/>
      <x:c r="S42" s="185"/>
      <x:c r="T42" s="36"/>
      <x:c r="U42" s="33"/>
      <x:c r="V42" s="185"/>
      <x:c r="W42" s="185"/>
      <x:c r="X42" s="185"/>
      <x:c r="Y42" s="185"/>
      <x:c r="Z42" s="36"/>
      <x:c r="AA42" s="167"/>
      <x:c r="AB42" s="185"/>
      <x:c r="AC42" s="185"/>
      <x:c r="AD42" s="185"/>
      <x:c r="AE42" s="185"/>
      <x:c r="AF42" s="36"/>
      <x:c r="AG42" s="167"/>
      <x:c r="AH42" s="185"/>
      <x:c r="AI42" s="185"/>
      <x:c r="AJ42" s="185"/>
      <x:c r="AK42" s="185"/>
      <x:c r="AL42" s="36"/>
      <x:c r="AM42" s="157">
        <x:v>100</x:v>
      </x:c>
      <x:c r="AN42" s="158">
        <x:v>100</x:v>
      </x:c>
      <x:c r="AO42" s="158">
        <x:v>100</x:v>
      </x:c>
      <x:c r="AP42" s="589">
        <x:v>0</x:v>
      </x:c>
      <x:c r="AQ42" s="589">
        <x:v>0</x:v>
      </x:c>
      <x:c r="AR42" s="620" t="s">
        <x:v>1102</x:v>
      </x:c>
      <x:c r="AS42" s="175">
        <x:v>100</x:v>
      </x:c>
      <x:c r="AT42" s="158">
        <x:v>100</x:v>
      </x:c>
      <x:c r="AU42" s="158">
        <x:v>100</x:v>
      </x:c>
      <x:c r="AV42" s="600">
        <x:v>0</x:v>
      </x:c>
      <x:c r="AW42" s="600">
        <x:v>0</x:v>
      </x:c>
      <x:c r="AX42" s="585" t="s">
        <x:v>1102</x:v>
      </x:c>
      <x:c r="AY42" s="167"/>
      <x:c r="AZ42" s="185"/>
      <x:c r="BA42" s="185"/>
      <x:c r="BB42" s="185"/>
      <x:c r="BC42" s="185"/>
      <x:c r="BD42" s="36"/>
      <x:c r="BE42" s="167"/>
      <x:c r="BF42" s="185"/>
      <x:c r="BG42" s="185"/>
      <x:c r="BH42" s="185"/>
      <x:c r="BI42" s="185"/>
      <x:c r="BJ42" s="36"/>
      <x:c r="BK42" s="167"/>
      <x:c r="BL42" s="185"/>
      <x:c r="BM42" s="185"/>
      <x:c r="BN42" s="185"/>
      <x:c r="BO42" s="185"/>
      <x:c r="BP42" s="36"/>
      <x:c r="BQ42" s="167"/>
      <x:c r="BR42" s="185"/>
      <x:c r="BS42" s="185"/>
      <x:c r="BT42" s="185"/>
      <x:c r="BU42" s="185"/>
      <x:c r="BV42" s="36"/>
    </x:row>
    <x:row r="43" spans="1:74" ht="22.5" customHeight="1" x14ac:dyDescent="0.25">
      <x:c r="A43" s="97" t="s">
        <x:v>601</x:v>
      </x:c>
      <x:c r="B43" s="122" t="s">
        <x:v>37</x:v>
      </x:c>
      <x:c r="C43" s="157"/>
      <x:c r="D43" s="158"/>
      <x:c r="E43" s="158"/>
      <x:c r="F43" s="158"/>
      <x:c r="G43" s="158"/>
      <x:c r="H43" s="197"/>
      <x:c r="I43" s="33"/>
      <x:c r="J43" s="185"/>
      <x:c r="K43" s="185"/>
      <x:c r="L43" s="185"/>
      <x:c r="M43" s="185"/>
      <x:c r="N43" s="36"/>
      <x:c r="O43" s="33"/>
      <x:c r="P43" s="185"/>
      <x:c r="Q43" s="185"/>
      <x:c r="R43" s="185"/>
      <x:c r="S43" s="185"/>
      <x:c r="T43" s="36"/>
      <x:c r="U43" s="33"/>
      <x:c r="V43" s="185"/>
      <x:c r="W43" s="185"/>
      <x:c r="X43" s="185"/>
      <x:c r="Y43" s="185"/>
      <x:c r="Z43" s="36"/>
      <x:c r="AA43" s="167"/>
      <x:c r="AB43" s="185"/>
      <x:c r="AC43" s="185"/>
      <x:c r="AD43" s="185"/>
      <x:c r="AE43" s="185"/>
      <x:c r="AF43" s="36"/>
      <x:c r="AG43" s="167"/>
      <x:c r="AH43" s="185"/>
      <x:c r="AI43" s="185"/>
      <x:c r="AJ43" s="185"/>
      <x:c r="AK43" s="185"/>
      <x:c r="AL43" s="36"/>
      <x:c r="AM43" s="157">
        <x:v>100</x:v>
      </x:c>
      <x:c r="AN43" s="158">
        <x:v>100</x:v>
      </x:c>
      <x:c r="AO43" s="158">
        <x:v>100</x:v>
      </x:c>
      <x:c r="AP43" s="158">
        <x:v>100</x:v>
      </x:c>
      <x:c r="AQ43" s="158">
        <x:v>100</x:v>
      </x:c>
      <x:c r="AR43" s="620" t="s">
        <x:v>1102</x:v>
      </x:c>
      <x:c r="AS43" s="175">
        <x:v>100</x:v>
      </x:c>
      <x:c r="AT43" s="158">
        <x:v>100</x:v>
      </x:c>
      <x:c r="AU43" s="158">
        <x:v>100</x:v>
      </x:c>
      <x:c r="AV43" s="158">
        <x:v>100</x:v>
      </x:c>
      <x:c r="AW43" s="158">
        <x:v>100</x:v>
      </x:c>
      <x:c r="AX43" s="585" t="s">
        <x:v>1102</x:v>
      </x:c>
      <x:c r="AY43" s="167"/>
      <x:c r="AZ43" s="185"/>
      <x:c r="BA43" s="185"/>
      <x:c r="BB43" s="185"/>
      <x:c r="BC43" s="185"/>
      <x:c r="BD43" s="36"/>
      <x:c r="BE43" s="167"/>
      <x:c r="BF43" s="185"/>
      <x:c r="BG43" s="185"/>
      <x:c r="BH43" s="185"/>
      <x:c r="BI43" s="185"/>
      <x:c r="BJ43" s="36"/>
      <x:c r="BK43" s="167"/>
      <x:c r="BL43" s="185"/>
      <x:c r="BM43" s="185"/>
      <x:c r="BN43" s="185"/>
      <x:c r="BO43" s="185"/>
      <x:c r="BP43" s="36"/>
      <x:c r="BQ43" s="167"/>
      <x:c r="BR43" s="185"/>
      <x:c r="BS43" s="185"/>
      <x:c r="BT43" s="185"/>
      <x:c r="BU43" s="185"/>
      <x:c r="BV43" s="36"/>
    </x:row>
    <x:row r="44" spans="1:74" ht="22.5" customHeight="1" x14ac:dyDescent="0.25">
      <x:c r="A44" s="97" t="s">
        <x:v>551</x:v>
      </x:c>
      <x:c r="B44" s="122" t="s">
        <x:v>23</x:v>
      </x:c>
      <x:c r="C44" s="157"/>
      <x:c r="D44" s="158"/>
      <x:c r="E44" s="158"/>
      <x:c r="F44" s="158"/>
      <x:c r="G44" s="158"/>
      <x:c r="H44" s="197"/>
      <x:c r="I44" s="33"/>
      <x:c r="J44" s="185"/>
      <x:c r="K44" s="185"/>
      <x:c r="L44" s="185"/>
      <x:c r="M44" s="185"/>
      <x:c r="N44" s="36"/>
      <x:c r="O44" s="33"/>
      <x:c r="P44" s="185"/>
      <x:c r="Q44" s="185"/>
      <x:c r="R44" s="185"/>
      <x:c r="S44" s="185"/>
      <x:c r="T44" s="36"/>
      <x:c r="U44" s="33"/>
      <x:c r="V44" s="185"/>
      <x:c r="W44" s="185"/>
      <x:c r="X44" s="185"/>
      <x:c r="Y44" s="185"/>
      <x:c r="Z44" s="36"/>
      <x:c r="AA44" s="167"/>
      <x:c r="AB44" s="185"/>
      <x:c r="AC44" s="185"/>
      <x:c r="AD44" s="185"/>
      <x:c r="AE44" s="185"/>
      <x:c r="AF44" s="36"/>
      <x:c r="AG44" s="167"/>
      <x:c r="AH44" s="185"/>
      <x:c r="AI44" s="185"/>
      <x:c r="AJ44" s="185"/>
      <x:c r="AK44" s="185"/>
      <x:c r="AL44" s="36"/>
      <x:c r="AM44" s="157">
        <x:v>100</x:v>
      </x:c>
      <x:c r="AN44" s="158">
        <x:v>100</x:v>
      </x:c>
      <x:c r="AO44" s="158">
        <x:v>100</x:v>
      </x:c>
      <x:c r="AP44" s="158">
        <x:v>100</x:v>
      </x:c>
      <x:c r="AQ44" s="158">
        <x:v>100</x:v>
      </x:c>
      <x:c r="AR44" s="620" t="s">
        <x:v>1102</x:v>
      </x:c>
      <x:c r="AS44" s="175">
        <x:v>100</x:v>
      </x:c>
      <x:c r="AT44" s="158">
        <x:v>100</x:v>
      </x:c>
      <x:c r="AU44" s="158">
        <x:v>100</x:v>
      </x:c>
      <x:c r="AV44" s="158">
        <x:v>100</x:v>
      </x:c>
      <x:c r="AW44" s="158">
        <x:v>93.33</x:v>
      </x:c>
      <x:c r="AX44" s="585" t="s">
        <x:v>1102</x:v>
      </x:c>
      <x:c r="AY44" s="167"/>
      <x:c r="AZ44" s="185"/>
      <x:c r="BA44" s="185"/>
      <x:c r="BB44" s="185"/>
      <x:c r="BC44" s="185"/>
      <x:c r="BD44" s="36"/>
      <x:c r="BE44" s="167"/>
      <x:c r="BF44" s="185"/>
      <x:c r="BG44" s="185"/>
      <x:c r="BH44" s="185"/>
      <x:c r="BI44" s="185"/>
      <x:c r="BJ44" s="36"/>
      <x:c r="BK44" s="167"/>
      <x:c r="BL44" s="185"/>
      <x:c r="BM44" s="185"/>
      <x:c r="BN44" s="185"/>
      <x:c r="BO44" s="185"/>
      <x:c r="BP44" s="36"/>
      <x:c r="BQ44" s="167"/>
      <x:c r="BR44" s="185"/>
      <x:c r="BS44" s="185"/>
      <x:c r="BT44" s="185"/>
      <x:c r="BU44" s="185"/>
      <x:c r="BV44" s="36"/>
    </x:row>
    <x:row r="45" spans="1:74" ht="22.5" customHeight="1" x14ac:dyDescent="0.25">
      <x:c r="A45" s="97" t="s">
        <x:v>592</x:v>
      </x:c>
      <x:c r="B45" s="122" t="s">
        <x:v>23</x:v>
      </x:c>
      <x:c r="C45" s="157"/>
      <x:c r="D45" s="158"/>
      <x:c r="E45" s="158"/>
      <x:c r="F45" s="158"/>
      <x:c r="G45" s="158"/>
      <x:c r="H45" s="197"/>
      <x:c r="I45" s="33"/>
      <x:c r="J45" s="185"/>
      <x:c r="K45" s="185"/>
      <x:c r="L45" s="185"/>
      <x:c r="M45" s="185"/>
      <x:c r="N45" s="36"/>
      <x:c r="O45" s="33"/>
      <x:c r="P45" s="185"/>
      <x:c r="Q45" s="185"/>
      <x:c r="R45" s="185"/>
      <x:c r="S45" s="185"/>
      <x:c r="T45" s="36"/>
      <x:c r="U45" s="33"/>
      <x:c r="V45" s="185"/>
      <x:c r="W45" s="185"/>
      <x:c r="X45" s="185"/>
      <x:c r="Y45" s="185"/>
      <x:c r="Z45" s="36"/>
      <x:c r="AA45" s="167"/>
      <x:c r="AB45" s="185"/>
      <x:c r="AC45" s="185"/>
      <x:c r="AD45" s="185"/>
      <x:c r="AE45" s="185"/>
      <x:c r="AF45" s="36"/>
      <x:c r="AG45" s="167"/>
      <x:c r="AH45" s="185"/>
      <x:c r="AI45" s="185"/>
      <x:c r="AJ45" s="185"/>
      <x:c r="AK45" s="185"/>
      <x:c r="AL45" s="36"/>
      <x:c r="AM45" s="157">
        <x:v>100</x:v>
      </x:c>
      <x:c r="AN45" s="158">
        <x:v>100</x:v>
      </x:c>
      <x:c r="AO45" s="158">
        <x:v>100</x:v>
      </x:c>
      <x:c r="AP45" s="158">
        <x:v>100</x:v>
      </x:c>
      <x:c r="AQ45" s="158">
        <x:v>100</x:v>
      </x:c>
      <x:c r="AR45" s="620" t="s">
        <x:v>1102</x:v>
      </x:c>
      <x:c r="AS45" s="175">
        <x:v>100</x:v>
      </x:c>
      <x:c r="AT45" s="158">
        <x:v>100</x:v>
      </x:c>
      <x:c r="AU45" s="158">
        <x:v>100</x:v>
      </x:c>
      <x:c r="AV45" s="158">
        <x:v>100</x:v>
      </x:c>
      <x:c r="AW45" s="158">
        <x:v>100</x:v>
      </x:c>
      <x:c r="AX45" s="585" t="s">
        <x:v>1102</x:v>
      </x:c>
      <x:c r="AY45" s="167"/>
      <x:c r="AZ45" s="185"/>
      <x:c r="BA45" s="185"/>
      <x:c r="BB45" s="185"/>
      <x:c r="BC45" s="185"/>
      <x:c r="BD45" s="36"/>
      <x:c r="BE45" s="167"/>
      <x:c r="BF45" s="185"/>
      <x:c r="BG45" s="185"/>
      <x:c r="BH45" s="185"/>
      <x:c r="BI45" s="185"/>
      <x:c r="BJ45" s="36"/>
      <x:c r="BK45" s="167"/>
      <x:c r="BL45" s="185"/>
      <x:c r="BM45" s="185"/>
      <x:c r="BN45" s="185"/>
      <x:c r="BO45" s="185"/>
      <x:c r="BP45" s="36"/>
      <x:c r="BQ45" s="167"/>
      <x:c r="BR45" s="185"/>
      <x:c r="BS45" s="185"/>
      <x:c r="BT45" s="185"/>
      <x:c r="BU45" s="185"/>
      <x:c r="BV45" s="36"/>
    </x:row>
    <x:row r="46" spans="1:74" ht="22.5" customHeight="1" x14ac:dyDescent="0.25">
      <x:c r="A46" s="97" t="s">
        <x:v>561</x:v>
      </x:c>
      <x:c r="B46" s="122" t="s">
        <x:v>37</x:v>
      </x:c>
      <x:c r="C46" s="157"/>
      <x:c r="D46" s="158"/>
      <x:c r="E46" s="158"/>
      <x:c r="F46" s="158"/>
      <x:c r="G46" s="158"/>
      <x:c r="H46" s="197"/>
      <x:c r="I46" s="33"/>
      <x:c r="J46" s="185"/>
      <x:c r="K46" s="185"/>
      <x:c r="L46" s="185"/>
      <x:c r="M46" s="185"/>
      <x:c r="N46" s="36"/>
      <x:c r="O46" s="33"/>
      <x:c r="P46" s="185"/>
      <x:c r="Q46" s="185"/>
      <x:c r="R46" s="185"/>
      <x:c r="S46" s="185"/>
      <x:c r="T46" s="36"/>
      <x:c r="U46" s="33"/>
      <x:c r="V46" s="185"/>
      <x:c r="W46" s="185"/>
      <x:c r="X46" s="185"/>
      <x:c r="Y46" s="185"/>
      <x:c r="Z46" s="36"/>
      <x:c r="AA46" s="167"/>
      <x:c r="AB46" s="185"/>
      <x:c r="AC46" s="185"/>
      <x:c r="AD46" s="185"/>
      <x:c r="AE46" s="185"/>
      <x:c r="AF46" s="36"/>
      <x:c r="AG46" s="167"/>
      <x:c r="AH46" s="185"/>
      <x:c r="AI46" s="185"/>
      <x:c r="AJ46" s="185"/>
      <x:c r="AK46" s="185"/>
      <x:c r="AL46" s="36"/>
      <x:c r="AM46" s="157">
        <x:v>100</x:v>
      </x:c>
      <x:c r="AN46" s="158">
        <x:v>100</x:v>
      </x:c>
      <x:c r="AO46" s="158">
        <x:v>100</x:v>
      </x:c>
      <x:c r="AP46" s="158">
        <x:v>100</x:v>
      </x:c>
      <x:c r="AQ46" s="158">
        <x:v>100</x:v>
      </x:c>
      <x:c r="AR46" s="620" t="s">
        <x:v>1102</x:v>
      </x:c>
      <x:c r="AS46" s="175">
        <x:v>100</x:v>
      </x:c>
      <x:c r="AT46" s="158">
        <x:v>100</x:v>
      </x:c>
      <x:c r="AU46" s="158">
        <x:v>100</x:v>
      </x:c>
      <x:c r="AV46" s="158">
        <x:v>100</x:v>
      </x:c>
      <x:c r="AW46" s="158">
        <x:v>100</x:v>
      </x:c>
      <x:c r="AX46" s="585" t="s">
        <x:v>1102</x:v>
      </x:c>
      <x:c r="AY46" s="167"/>
      <x:c r="AZ46" s="185"/>
      <x:c r="BA46" s="185"/>
      <x:c r="BB46" s="185"/>
      <x:c r="BC46" s="185"/>
      <x:c r="BD46" s="36"/>
      <x:c r="BE46" s="167"/>
      <x:c r="BF46" s="185"/>
      <x:c r="BG46" s="185"/>
      <x:c r="BH46" s="185"/>
      <x:c r="BI46" s="185"/>
      <x:c r="BJ46" s="36"/>
      <x:c r="BK46" s="167"/>
      <x:c r="BL46" s="185"/>
      <x:c r="BM46" s="185"/>
      <x:c r="BN46" s="185"/>
      <x:c r="BO46" s="185"/>
      <x:c r="BP46" s="36"/>
      <x:c r="BQ46" s="167"/>
      <x:c r="BR46" s="185"/>
      <x:c r="BS46" s="185"/>
      <x:c r="BT46" s="185"/>
      <x:c r="BU46" s="185"/>
      <x:c r="BV46" s="36"/>
    </x:row>
    <x:row r="47" spans="1:74" ht="22.5" customHeight="1" x14ac:dyDescent="0.25">
      <x:c r="A47" s="97" t="s">
        <x:v>560</x:v>
      </x:c>
      <x:c r="B47" s="122" t="s">
        <x:v>37</x:v>
      </x:c>
      <x:c r="C47" s="157"/>
      <x:c r="D47" s="158"/>
      <x:c r="E47" s="158"/>
      <x:c r="F47" s="158"/>
      <x:c r="G47" s="158"/>
      <x:c r="H47" s="197"/>
      <x:c r="I47" s="33"/>
      <x:c r="J47" s="185"/>
      <x:c r="K47" s="185"/>
      <x:c r="L47" s="185"/>
      <x:c r="M47" s="185"/>
      <x:c r="N47" s="36"/>
      <x:c r="O47" s="33"/>
      <x:c r="P47" s="185"/>
      <x:c r="Q47" s="185"/>
      <x:c r="R47" s="185"/>
      <x:c r="S47" s="185"/>
      <x:c r="T47" s="36"/>
      <x:c r="U47" s="33"/>
      <x:c r="V47" s="185"/>
      <x:c r="W47" s="185"/>
      <x:c r="X47" s="185"/>
      <x:c r="Y47" s="185"/>
      <x:c r="Z47" s="36"/>
      <x:c r="AA47" s="167"/>
      <x:c r="AB47" s="185"/>
      <x:c r="AC47" s="185"/>
      <x:c r="AD47" s="185"/>
      <x:c r="AE47" s="185"/>
      <x:c r="AF47" s="36"/>
      <x:c r="AG47" s="167"/>
      <x:c r="AH47" s="185"/>
      <x:c r="AI47" s="185"/>
      <x:c r="AJ47" s="185"/>
      <x:c r="AK47" s="185"/>
      <x:c r="AL47" s="36"/>
      <x:c r="AM47" s="157">
        <x:v>100</x:v>
      </x:c>
      <x:c r="AN47" s="158">
        <x:v>100</x:v>
      </x:c>
      <x:c r="AO47" s="158">
        <x:v>100</x:v>
      </x:c>
      <x:c r="AP47" s="158">
        <x:v>100</x:v>
      </x:c>
      <x:c r="AQ47" s="158">
        <x:v>100</x:v>
      </x:c>
      <x:c r="AR47" s="620" t="s">
        <x:v>1102</x:v>
      </x:c>
      <x:c r="AS47" s="175">
        <x:v>100</x:v>
      </x:c>
      <x:c r="AT47" s="158">
        <x:v>100</x:v>
      </x:c>
      <x:c r="AU47" s="158">
        <x:v>100</x:v>
      </x:c>
      <x:c r="AV47" s="158">
        <x:v>100</x:v>
      </x:c>
      <x:c r="AW47" s="158">
        <x:v>100</x:v>
      </x:c>
      <x:c r="AX47" s="585" t="s">
        <x:v>1102</x:v>
      </x:c>
      <x:c r="AY47" s="167"/>
      <x:c r="AZ47" s="185"/>
      <x:c r="BA47" s="185"/>
      <x:c r="BB47" s="185"/>
      <x:c r="BC47" s="185"/>
      <x:c r="BD47" s="36"/>
      <x:c r="BE47" s="167"/>
      <x:c r="BF47" s="185"/>
      <x:c r="BG47" s="185"/>
      <x:c r="BH47" s="185"/>
      <x:c r="BI47" s="185"/>
      <x:c r="BJ47" s="36"/>
      <x:c r="BK47" s="167"/>
      <x:c r="BL47" s="185"/>
      <x:c r="BM47" s="185"/>
      <x:c r="BN47" s="185"/>
      <x:c r="BO47" s="185"/>
      <x:c r="BP47" s="36"/>
      <x:c r="BQ47" s="167"/>
      <x:c r="BR47" s="185"/>
      <x:c r="BS47" s="185"/>
      <x:c r="BT47" s="185"/>
      <x:c r="BU47" s="185"/>
      <x:c r="BV47" s="36"/>
    </x:row>
    <x:row r="48" spans="1:74" ht="22.5" customHeight="1" x14ac:dyDescent="0.25">
      <x:c r="A48" s="97" t="s">
        <x:v>558</x:v>
      </x:c>
      <x:c r="B48" s="122" t="s">
        <x:v>23</x:v>
      </x:c>
      <x:c r="C48" s="157"/>
      <x:c r="D48" s="158"/>
      <x:c r="E48" s="158"/>
      <x:c r="F48" s="158"/>
      <x:c r="G48" s="158"/>
      <x:c r="H48" s="197"/>
      <x:c r="I48" s="33"/>
      <x:c r="J48" s="185"/>
      <x:c r="K48" s="185"/>
      <x:c r="L48" s="185"/>
      <x:c r="M48" s="185"/>
      <x:c r="N48" s="36"/>
      <x:c r="O48" s="33"/>
      <x:c r="P48" s="185"/>
      <x:c r="Q48" s="185"/>
      <x:c r="R48" s="185"/>
      <x:c r="S48" s="185"/>
      <x:c r="T48" s="36"/>
      <x:c r="U48" s="33"/>
      <x:c r="V48" s="185"/>
      <x:c r="W48" s="185"/>
      <x:c r="X48" s="185"/>
      <x:c r="Y48" s="185"/>
      <x:c r="Z48" s="36"/>
      <x:c r="AA48" s="167"/>
      <x:c r="AB48" s="185"/>
      <x:c r="AC48" s="185"/>
      <x:c r="AD48" s="185"/>
      <x:c r="AE48" s="185"/>
      <x:c r="AF48" s="36"/>
      <x:c r="AG48" s="167"/>
      <x:c r="AH48" s="185"/>
      <x:c r="AI48" s="185"/>
      <x:c r="AJ48" s="185"/>
      <x:c r="AK48" s="185"/>
      <x:c r="AL48" s="36"/>
      <x:c r="AM48" s="157">
        <x:v>100</x:v>
      </x:c>
      <x:c r="AN48" s="158">
        <x:v>100</x:v>
      </x:c>
      <x:c r="AO48" s="158">
        <x:v>100</x:v>
      </x:c>
      <x:c r="AP48" s="158">
        <x:v>100</x:v>
      </x:c>
      <x:c r="AQ48" s="158">
        <x:v>100</x:v>
      </x:c>
      <x:c r="AR48" s="620" t="s">
        <x:v>1102</x:v>
      </x:c>
      <x:c r="AS48" s="175">
        <x:v>100</x:v>
      </x:c>
      <x:c r="AT48" s="158">
        <x:v>100</x:v>
      </x:c>
      <x:c r="AU48" s="158">
        <x:v>100</x:v>
      </x:c>
      <x:c r="AV48" s="158">
        <x:v>100</x:v>
      </x:c>
      <x:c r="AW48" s="158">
        <x:v>100</x:v>
      </x:c>
      <x:c r="AX48" s="585" t="s">
        <x:v>1102</x:v>
      </x:c>
      <x:c r="AY48" s="167"/>
      <x:c r="AZ48" s="185"/>
      <x:c r="BA48" s="185"/>
      <x:c r="BB48" s="185"/>
      <x:c r="BC48" s="185"/>
      <x:c r="BD48" s="36"/>
      <x:c r="BE48" s="167"/>
      <x:c r="BF48" s="185"/>
      <x:c r="BG48" s="185"/>
      <x:c r="BH48" s="185"/>
      <x:c r="BI48" s="185"/>
      <x:c r="BJ48" s="36"/>
      <x:c r="BK48" s="167"/>
      <x:c r="BL48" s="185"/>
      <x:c r="BM48" s="185"/>
      <x:c r="BN48" s="185"/>
      <x:c r="BO48" s="185"/>
      <x:c r="BP48" s="36"/>
      <x:c r="BQ48" s="167"/>
      <x:c r="BR48" s="185"/>
      <x:c r="BS48" s="185"/>
      <x:c r="BT48" s="185"/>
      <x:c r="BU48" s="185"/>
      <x:c r="BV48" s="36"/>
    </x:row>
    <x:row r="49" spans="1:74" ht="22.5" customHeight="1" x14ac:dyDescent="0.25">
      <x:c r="A49" s="97" t="s">
        <x:v>1129</x:v>
      </x:c>
      <x:c r="B49" s="122" t="s">
        <x:v>23</x:v>
      </x:c>
      <x:c r="C49" s="181"/>
      <x:c r="D49" s="182"/>
      <x:c r="E49" s="182"/>
      <x:c r="F49" s="182"/>
      <x:c r="G49" s="182"/>
      <x:c r="H49" s="206"/>
      <x:c r="I49" s="44"/>
      <x:c r="J49" s="45"/>
      <x:c r="K49" s="45"/>
      <x:c r="L49" s="45"/>
      <x:c r="M49" s="45"/>
      <x:c r="N49" s="48"/>
      <x:c r="O49" s="44"/>
      <x:c r="P49" s="45"/>
      <x:c r="Q49" s="45"/>
      <x:c r="R49" s="45"/>
      <x:c r="S49" s="45"/>
      <x:c r="T49" s="48"/>
      <x:c r="U49" s="44"/>
      <x:c r="V49" s="45"/>
      <x:c r="W49" s="45"/>
      <x:c r="X49" s="45"/>
      <x:c r="Y49" s="45"/>
      <x:c r="Z49" s="48"/>
      <x:c r="AA49" s="44"/>
      <x:c r="AB49" s="45"/>
      <x:c r="AC49" s="45"/>
      <x:c r="AD49" s="45"/>
      <x:c r="AE49" s="45"/>
      <x:c r="AF49" s="48"/>
      <x:c r="AG49" s="44"/>
      <x:c r="AH49" s="45"/>
      <x:c r="AI49" s="45"/>
      <x:c r="AJ49" s="45"/>
      <x:c r="AK49" s="45"/>
      <x:c r="AL49" s="48"/>
      <x:c r="AM49" s="181">
        <x:v>100</x:v>
      </x:c>
      <x:c r="AN49" s="182">
        <x:v>100</x:v>
      </x:c>
      <x:c r="AO49" s="182">
        <x:v>100</x:v>
      </x:c>
      <x:c r="AP49" s="182">
        <x:v>100</x:v>
      </x:c>
      <x:c r="AQ49" s="182">
        <x:v>100</x:v>
      </x:c>
      <x:c r="AR49" s="632" t="s">
        <x:v>1102</x:v>
      </x:c>
      <x:c r="AS49" s="181">
        <x:v>100</x:v>
      </x:c>
      <x:c r="AT49" s="182">
        <x:v>100</x:v>
      </x:c>
      <x:c r="AU49" s="182">
        <x:v>100</x:v>
      </x:c>
      <x:c r="AV49" s="182">
        <x:v>100</x:v>
      </x:c>
      <x:c r="AW49" s="182">
        <x:v>100</x:v>
      </x:c>
      <x:c r="AX49" s="608" t="s">
        <x:v>1102</x:v>
      </x:c>
      <x:c r="AY49" s="44"/>
      <x:c r="AZ49" s="45"/>
      <x:c r="BA49" s="45"/>
      <x:c r="BB49" s="45"/>
      <x:c r="BC49" s="45"/>
      <x:c r="BD49" s="48"/>
      <x:c r="BE49" s="44"/>
      <x:c r="BF49" s="45"/>
      <x:c r="BG49" s="45"/>
      <x:c r="BH49" s="45"/>
      <x:c r="BI49" s="45"/>
      <x:c r="BJ49" s="48"/>
      <x:c r="BK49" s="44"/>
      <x:c r="BL49" s="45"/>
      <x:c r="BM49" s="45"/>
      <x:c r="BN49" s="45"/>
      <x:c r="BO49" s="45"/>
      <x:c r="BP49" s="48"/>
      <x:c r="BQ49" s="44"/>
      <x:c r="BR49" s="45"/>
      <x:c r="BS49" s="45"/>
      <x:c r="BT49" s="45"/>
      <x:c r="BU49" s="45"/>
      <x:c r="BV49" s="48"/>
    </x:row>
    <x:row r="50" spans="1:74" ht="22.5" customHeight="1" x14ac:dyDescent="0.25">
      <x:c r="A50" s="97" t="s">
        <x:v>562</x:v>
      </x:c>
      <x:c r="B50" s="122" t="s">
        <x:v>23</x:v>
      </x:c>
      <x:c r="C50" s="157"/>
      <x:c r="D50" s="158"/>
      <x:c r="E50" s="158"/>
      <x:c r="F50" s="158"/>
      <x:c r="G50" s="158"/>
      <x:c r="H50" s="197"/>
      <x:c r="I50" s="33"/>
      <x:c r="J50" s="185"/>
      <x:c r="K50" s="185"/>
      <x:c r="L50" s="185"/>
      <x:c r="M50" s="185"/>
      <x:c r="N50" s="36"/>
      <x:c r="O50" s="33"/>
      <x:c r="P50" s="185"/>
      <x:c r="Q50" s="185"/>
      <x:c r="R50" s="185"/>
      <x:c r="S50" s="185"/>
      <x:c r="T50" s="36"/>
      <x:c r="U50" s="33"/>
      <x:c r="V50" s="185"/>
      <x:c r="W50" s="185"/>
      <x:c r="X50" s="185"/>
      <x:c r="Y50" s="185"/>
      <x:c r="Z50" s="36"/>
      <x:c r="AA50" s="167"/>
      <x:c r="AB50" s="185"/>
      <x:c r="AC50" s="185"/>
      <x:c r="AD50" s="185"/>
      <x:c r="AE50" s="185"/>
      <x:c r="AF50" s="36"/>
      <x:c r="AG50" s="167"/>
      <x:c r="AH50" s="185"/>
      <x:c r="AI50" s="185"/>
      <x:c r="AJ50" s="185"/>
      <x:c r="AK50" s="185"/>
      <x:c r="AL50" s="36"/>
      <x:c r="AM50" s="157">
        <x:v>100</x:v>
      </x:c>
      <x:c r="AN50" s="158">
        <x:v>100</x:v>
      </x:c>
      <x:c r="AO50" s="158">
        <x:v>100</x:v>
      </x:c>
      <x:c r="AP50" s="158">
        <x:v>100</x:v>
      </x:c>
      <x:c r="AQ50" s="158">
        <x:v>100</x:v>
      </x:c>
      <x:c r="AR50" s="620" t="s">
        <x:v>1102</x:v>
      </x:c>
      <x:c r="AS50" s="175">
        <x:v>100</x:v>
      </x:c>
      <x:c r="AT50" s="158">
        <x:v>100</x:v>
      </x:c>
      <x:c r="AU50" s="158">
        <x:v>100</x:v>
      </x:c>
      <x:c r="AV50" s="158">
        <x:v>100</x:v>
      </x:c>
      <x:c r="AW50" s="158">
        <x:v>100</x:v>
      </x:c>
      <x:c r="AX50" s="585" t="s">
        <x:v>1102</x:v>
      </x:c>
      <x:c r="AY50" s="167"/>
      <x:c r="AZ50" s="185"/>
      <x:c r="BA50" s="185"/>
      <x:c r="BB50" s="185"/>
      <x:c r="BC50" s="185"/>
      <x:c r="BD50" s="36"/>
      <x:c r="BE50" s="167"/>
      <x:c r="BF50" s="185"/>
      <x:c r="BG50" s="185"/>
      <x:c r="BH50" s="185"/>
      <x:c r="BI50" s="185"/>
      <x:c r="BJ50" s="36"/>
      <x:c r="BK50" s="167"/>
      <x:c r="BL50" s="185"/>
      <x:c r="BM50" s="185"/>
      <x:c r="BN50" s="185"/>
      <x:c r="BO50" s="185"/>
      <x:c r="BP50" s="36"/>
      <x:c r="BQ50" s="167"/>
      <x:c r="BR50" s="185"/>
      <x:c r="BS50" s="185"/>
      <x:c r="BT50" s="185"/>
      <x:c r="BU50" s="185"/>
      <x:c r="BV50" s="36"/>
    </x:row>
    <x:row r="51" spans="1:74" ht="22.5" customHeight="1" x14ac:dyDescent="0.25">
      <x:c r="A51" s="97" t="s">
        <x:v>586</x:v>
      </x:c>
      <x:c r="B51" s="122" t="s">
        <x:v>23</x:v>
      </x:c>
      <x:c r="C51" s="157"/>
      <x:c r="D51" s="158"/>
      <x:c r="E51" s="158"/>
      <x:c r="F51" s="158"/>
      <x:c r="G51" s="158"/>
      <x:c r="H51" s="197"/>
      <x:c r="I51" s="33"/>
      <x:c r="J51" s="185"/>
      <x:c r="K51" s="185"/>
      <x:c r="L51" s="185"/>
      <x:c r="M51" s="185"/>
      <x:c r="N51" s="36"/>
      <x:c r="O51" s="33"/>
      <x:c r="P51" s="185"/>
      <x:c r="Q51" s="185"/>
      <x:c r="R51" s="185"/>
      <x:c r="S51" s="185"/>
      <x:c r="T51" s="36"/>
      <x:c r="U51" s="33"/>
      <x:c r="V51" s="185"/>
      <x:c r="W51" s="185"/>
      <x:c r="X51" s="185"/>
      <x:c r="Y51" s="185"/>
      <x:c r="Z51" s="36"/>
      <x:c r="AA51" s="167"/>
      <x:c r="AB51" s="185"/>
      <x:c r="AC51" s="185"/>
      <x:c r="AD51" s="185"/>
      <x:c r="AE51" s="185"/>
      <x:c r="AF51" s="36"/>
      <x:c r="AG51" s="167"/>
      <x:c r="AH51" s="185"/>
      <x:c r="AI51" s="185"/>
      <x:c r="AJ51" s="185"/>
      <x:c r="AK51" s="185"/>
      <x:c r="AL51" s="36"/>
      <x:c r="AM51" s="157">
        <x:v>100</x:v>
      </x:c>
      <x:c r="AN51" s="158">
        <x:v>100</x:v>
      </x:c>
      <x:c r="AO51" s="158">
        <x:v>100</x:v>
      </x:c>
      <x:c r="AP51" s="158">
        <x:v>100</x:v>
      </x:c>
      <x:c r="AQ51" s="589">
        <x:v>0</x:v>
      </x:c>
      <x:c r="AR51" s="620" t="s">
        <x:v>1102</x:v>
      </x:c>
      <x:c r="AS51" s="175">
        <x:v>100</x:v>
      </x:c>
      <x:c r="AT51" s="158">
        <x:v>100</x:v>
      </x:c>
      <x:c r="AU51" s="158">
        <x:v>100</x:v>
      </x:c>
      <x:c r="AV51" s="158">
        <x:v>100</x:v>
      </x:c>
      <x:c r="AW51" s="158">
        <x:v>100</x:v>
      </x:c>
      <x:c r="AX51" s="585" t="s">
        <x:v>1102</x:v>
      </x:c>
      <x:c r="AY51" s="167"/>
      <x:c r="AZ51" s="185"/>
      <x:c r="BA51" s="185"/>
      <x:c r="BB51" s="185"/>
      <x:c r="BC51" s="185"/>
      <x:c r="BD51" s="36"/>
      <x:c r="BE51" s="167"/>
      <x:c r="BF51" s="185"/>
      <x:c r="BG51" s="185"/>
      <x:c r="BH51" s="185"/>
      <x:c r="BI51" s="185"/>
      <x:c r="BJ51" s="36"/>
      <x:c r="BK51" s="167"/>
      <x:c r="BL51" s="185"/>
      <x:c r="BM51" s="185"/>
      <x:c r="BN51" s="185"/>
      <x:c r="BO51" s="185"/>
      <x:c r="BP51" s="36"/>
      <x:c r="BQ51" s="167"/>
      <x:c r="BR51" s="185"/>
      <x:c r="BS51" s="185"/>
      <x:c r="BT51" s="185"/>
      <x:c r="BU51" s="185"/>
      <x:c r="BV51" s="36"/>
    </x:row>
    <x:row r="52" spans="1:74" ht="22.5" customHeight="1" x14ac:dyDescent="0.25">
      <x:c r="A52" s="97" t="s">
        <x:v>577</x:v>
      </x:c>
      <x:c r="B52" s="122" t="s">
        <x:v>23</x:v>
      </x:c>
      <x:c r="C52" s="157"/>
      <x:c r="D52" s="158"/>
      <x:c r="E52" s="158"/>
      <x:c r="F52" s="158"/>
      <x:c r="G52" s="158"/>
      <x:c r="H52" s="197"/>
      <x:c r="I52" s="33"/>
      <x:c r="J52" s="185"/>
      <x:c r="K52" s="185"/>
      <x:c r="L52" s="185"/>
      <x:c r="M52" s="185"/>
      <x:c r="N52" s="36"/>
      <x:c r="O52" s="33"/>
      <x:c r="P52" s="185"/>
      <x:c r="Q52" s="185"/>
      <x:c r="R52" s="185"/>
      <x:c r="S52" s="185"/>
      <x:c r="T52" s="36"/>
      <x:c r="U52" s="33"/>
      <x:c r="V52" s="185"/>
      <x:c r="W52" s="185"/>
      <x:c r="X52" s="185"/>
      <x:c r="Y52" s="185"/>
      <x:c r="Z52" s="36"/>
      <x:c r="AA52" s="167"/>
      <x:c r="AB52" s="185"/>
      <x:c r="AC52" s="185"/>
      <x:c r="AD52" s="185"/>
      <x:c r="AE52" s="185"/>
      <x:c r="AF52" s="36"/>
      <x:c r="AG52" s="167"/>
      <x:c r="AH52" s="185"/>
      <x:c r="AI52" s="185"/>
      <x:c r="AJ52" s="185"/>
      <x:c r="AK52" s="185"/>
      <x:c r="AL52" s="36"/>
      <x:c r="AM52" s="157">
        <x:v>100</x:v>
      </x:c>
      <x:c r="AN52" s="158">
        <x:v>100</x:v>
      </x:c>
      <x:c r="AO52" s="158">
        <x:v>100</x:v>
      </x:c>
      <x:c r="AP52" s="158">
        <x:v>100</x:v>
      </x:c>
      <x:c r="AQ52" s="158">
        <x:v>100</x:v>
      </x:c>
      <x:c r="AR52" s="620" t="s">
        <x:v>1102</x:v>
      </x:c>
      <x:c r="AS52" s="175">
        <x:v>100</x:v>
      </x:c>
      <x:c r="AT52" s="158">
        <x:v>100</x:v>
      </x:c>
      <x:c r="AU52" s="158">
        <x:v>100</x:v>
      </x:c>
      <x:c r="AV52" s="158">
        <x:v>100</x:v>
      </x:c>
      <x:c r="AW52" s="158">
        <x:v>100</x:v>
      </x:c>
      <x:c r="AX52" s="585" t="s">
        <x:v>1102</x:v>
      </x:c>
      <x:c r="AY52" s="167"/>
      <x:c r="AZ52" s="185"/>
      <x:c r="BA52" s="185"/>
      <x:c r="BB52" s="185"/>
      <x:c r="BC52" s="185"/>
      <x:c r="BD52" s="36"/>
      <x:c r="BE52" s="167"/>
      <x:c r="BF52" s="185"/>
      <x:c r="BG52" s="185"/>
      <x:c r="BH52" s="185"/>
      <x:c r="BI52" s="185"/>
      <x:c r="BJ52" s="36"/>
      <x:c r="BK52" s="167"/>
      <x:c r="BL52" s="185"/>
      <x:c r="BM52" s="185"/>
      <x:c r="BN52" s="185"/>
      <x:c r="BO52" s="185"/>
      <x:c r="BP52" s="36"/>
      <x:c r="BQ52" s="167"/>
      <x:c r="BR52" s="185"/>
      <x:c r="BS52" s="185"/>
      <x:c r="BT52" s="185"/>
      <x:c r="BU52" s="185"/>
      <x:c r="BV52" s="36"/>
    </x:row>
    <x:row r="53" spans="1:74" ht="22.5" customHeight="1" x14ac:dyDescent="0.25">
      <x:c r="A53" s="98" t="s">
        <x:v>1130</x:v>
      </x:c>
      <x:c r="B53" s="122" t="s">
        <x:v>23</x:v>
      </x:c>
      <x:c r="C53" s="157"/>
      <x:c r="D53" s="158"/>
      <x:c r="E53" s="158"/>
      <x:c r="F53" s="158"/>
      <x:c r="G53" s="158"/>
      <x:c r="H53" s="197"/>
      <x:c r="I53" s="33"/>
      <x:c r="J53" s="185"/>
      <x:c r="K53" s="185"/>
      <x:c r="L53" s="185"/>
      <x:c r="M53" s="185"/>
      <x:c r="N53" s="36"/>
      <x:c r="O53" s="33"/>
      <x:c r="P53" s="185"/>
      <x:c r="Q53" s="185"/>
      <x:c r="R53" s="185"/>
      <x:c r="S53" s="185"/>
      <x:c r="T53" s="36"/>
      <x:c r="U53" s="33"/>
      <x:c r="V53" s="185"/>
      <x:c r="W53" s="185"/>
      <x:c r="X53" s="185"/>
      <x:c r="Y53" s="185"/>
      <x:c r="Z53" s="36"/>
      <x:c r="AA53" s="167"/>
      <x:c r="AB53" s="185"/>
      <x:c r="AC53" s="185"/>
      <x:c r="AD53" s="185"/>
      <x:c r="AE53" s="185"/>
      <x:c r="AF53" s="36"/>
      <x:c r="AG53" s="167"/>
      <x:c r="AH53" s="185"/>
      <x:c r="AI53" s="185"/>
      <x:c r="AJ53" s="185"/>
      <x:c r="AK53" s="185"/>
      <x:c r="AL53" s="36"/>
      <x:c r="AM53" s="157">
        <x:v>100</x:v>
      </x:c>
      <x:c r="AN53" s="158">
        <x:v>100</x:v>
      </x:c>
      <x:c r="AO53" s="158">
        <x:v>100</x:v>
      </x:c>
      <x:c r="AP53" s="158">
        <x:v>100</x:v>
      </x:c>
      <x:c r="AQ53" s="158">
        <x:v>100</x:v>
      </x:c>
      <x:c r="AR53" s="620" t="s">
        <x:v>1102</x:v>
      </x:c>
      <x:c r="AS53" s="175">
        <x:v>100</x:v>
      </x:c>
      <x:c r="AT53" s="158">
        <x:v>100</x:v>
      </x:c>
      <x:c r="AU53" s="158">
        <x:v>100</x:v>
      </x:c>
      <x:c r="AV53" s="158">
        <x:v>100</x:v>
      </x:c>
      <x:c r="AW53" s="158">
        <x:v>100</x:v>
      </x:c>
      <x:c r="AX53" s="585" t="s">
        <x:v>1102</x:v>
      </x:c>
      <x:c r="AY53" s="167"/>
      <x:c r="AZ53" s="185"/>
      <x:c r="BA53" s="185"/>
      <x:c r="BB53" s="185"/>
      <x:c r="BC53" s="185"/>
      <x:c r="BD53" s="36"/>
      <x:c r="BE53" s="167"/>
      <x:c r="BF53" s="185"/>
      <x:c r="BG53" s="185"/>
      <x:c r="BH53" s="185"/>
      <x:c r="BI53" s="185"/>
      <x:c r="BJ53" s="36"/>
      <x:c r="BK53" s="167"/>
      <x:c r="BL53" s="185"/>
      <x:c r="BM53" s="185"/>
      <x:c r="BN53" s="185"/>
      <x:c r="BO53" s="185"/>
      <x:c r="BP53" s="36"/>
      <x:c r="BQ53" s="167"/>
      <x:c r="BR53" s="185"/>
      <x:c r="BS53" s="185"/>
      <x:c r="BT53" s="185"/>
      <x:c r="BU53" s="185"/>
      <x:c r="BV53" s="36"/>
    </x:row>
    <x:row r="54" spans="1:74" ht="22.5" customHeight="1" x14ac:dyDescent="0.25">
      <x:c r="A54" s="97" t="s">
        <x:v>529</x:v>
      </x:c>
      <x:c r="B54" s="122" t="s">
        <x:v>183</x:v>
      </x:c>
      <x:c r="C54" s="157"/>
      <x:c r="D54" s="158"/>
      <x:c r="E54" s="158"/>
      <x:c r="F54" s="158"/>
      <x:c r="G54" s="158"/>
      <x:c r="H54" s="197"/>
      <x:c r="I54" s="33"/>
      <x:c r="J54" s="185"/>
      <x:c r="K54" s="185"/>
      <x:c r="L54" s="185"/>
      <x:c r="M54" s="185"/>
      <x:c r="N54" s="36"/>
      <x:c r="O54" s="33"/>
      <x:c r="P54" s="185"/>
      <x:c r="Q54" s="185"/>
      <x:c r="R54" s="185"/>
      <x:c r="S54" s="185"/>
      <x:c r="T54" s="36"/>
      <x:c r="U54" s="33"/>
      <x:c r="V54" s="185"/>
      <x:c r="W54" s="185"/>
      <x:c r="X54" s="185"/>
      <x:c r="Y54" s="185"/>
      <x:c r="Z54" s="36"/>
      <x:c r="AA54" s="167"/>
      <x:c r="AB54" s="185"/>
      <x:c r="AC54" s="185"/>
      <x:c r="AD54" s="185"/>
      <x:c r="AE54" s="185"/>
      <x:c r="AF54" s="36"/>
      <x:c r="AG54" s="167"/>
      <x:c r="AH54" s="185"/>
      <x:c r="AI54" s="185"/>
      <x:c r="AJ54" s="185"/>
      <x:c r="AK54" s="185"/>
      <x:c r="AL54" s="36"/>
      <x:c r="AM54" s="157">
        <x:v>100</x:v>
      </x:c>
      <x:c r="AN54" s="158">
        <x:v>100</x:v>
      </x:c>
      <x:c r="AO54" s="158">
        <x:v>100</x:v>
      </x:c>
      <x:c r="AP54" s="589">
        <x:v>0</x:v>
      </x:c>
      <x:c r="AQ54" s="589">
        <x:v>0</x:v>
      </x:c>
      <x:c r="AR54" s="620" t="s">
        <x:v>1102</x:v>
      </x:c>
      <x:c r="AS54" s="175">
        <x:v>100</x:v>
      </x:c>
      <x:c r="AT54" s="158">
        <x:v>100</x:v>
      </x:c>
      <x:c r="AU54" s="158">
        <x:v>100</x:v>
      </x:c>
      <x:c r="AV54" s="600">
        <x:v>0</x:v>
      </x:c>
      <x:c r="AW54" s="600">
        <x:v>0</x:v>
      </x:c>
      <x:c r="AX54" s="585" t="s">
        <x:v>1102</x:v>
      </x:c>
      <x:c r="AY54" s="167"/>
      <x:c r="AZ54" s="185"/>
      <x:c r="BA54" s="185"/>
      <x:c r="BB54" s="185"/>
      <x:c r="BC54" s="185"/>
      <x:c r="BD54" s="36"/>
      <x:c r="BE54" s="167"/>
      <x:c r="BF54" s="185"/>
      <x:c r="BG54" s="185"/>
      <x:c r="BH54" s="185"/>
      <x:c r="BI54" s="185"/>
      <x:c r="BJ54" s="36"/>
      <x:c r="BK54" s="167"/>
      <x:c r="BL54" s="185"/>
      <x:c r="BM54" s="185"/>
      <x:c r="BN54" s="185"/>
      <x:c r="BO54" s="185"/>
      <x:c r="BP54" s="36"/>
      <x:c r="BQ54" s="167"/>
      <x:c r="BR54" s="185"/>
      <x:c r="BS54" s="185"/>
      <x:c r="BT54" s="185"/>
      <x:c r="BU54" s="185"/>
      <x:c r="BV54" s="36"/>
    </x:row>
    <x:row r="55" spans="1:74" ht="22.5" customHeight="1" x14ac:dyDescent="0.25">
      <x:c r="A55" s="97" t="s">
        <x:v>545</x:v>
      </x:c>
      <x:c r="B55" s="122" t="s">
        <x:v>21</x:v>
      </x:c>
      <x:c r="C55" s="157"/>
      <x:c r="D55" s="158"/>
      <x:c r="E55" s="158"/>
      <x:c r="F55" s="158"/>
      <x:c r="G55" s="158"/>
      <x:c r="H55" s="197"/>
      <x:c r="I55" s="33"/>
      <x:c r="J55" s="185"/>
      <x:c r="K55" s="185"/>
      <x:c r="L55" s="185"/>
      <x:c r="M55" s="185"/>
      <x:c r="N55" s="36"/>
      <x:c r="O55" s="33"/>
      <x:c r="P55" s="185"/>
      <x:c r="Q55" s="185"/>
      <x:c r="R55" s="185"/>
      <x:c r="S55" s="185"/>
      <x:c r="T55" s="36"/>
      <x:c r="U55" s="33"/>
      <x:c r="V55" s="185"/>
      <x:c r="W55" s="185"/>
      <x:c r="X55" s="185"/>
      <x:c r="Y55" s="185"/>
      <x:c r="Z55" s="36"/>
      <x:c r="AA55" s="167"/>
      <x:c r="AB55" s="185"/>
      <x:c r="AC55" s="185"/>
      <x:c r="AD55" s="185"/>
      <x:c r="AE55" s="185"/>
      <x:c r="AF55" s="36"/>
      <x:c r="AG55" s="167"/>
      <x:c r="AH55" s="185"/>
      <x:c r="AI55" s="185"/>
      <x:c r="AJ55" s="185"/>
      <x:c r="AK55" s="185"/>
      <x:c r="AL55" s="36"/>
      <x:c r="AM55" s="157">
        <x:v>100</x:v>
      </x:c>
      <x:c r="AN55" s="158">
        <x:v>100</x:v>
      </x:c>
      <x:c r="AO55" s="158">
        <x:v>100</x:v>
      </x:c>
      <x:c r="AP55" s="158">
        <x:v>100</x:v>
      </x:c>
      <x:c r="AQ55" s="158">
        <x:v>100</x:v>
      </x:c>
      <x:c r="AR55" s="620" t="s">
        <x:v>1102</x:v>
      </x:c>
      <x:c r="AS55" s="175">
        <x:v>100</x:v>
      </x:c>
      <x:c r="AT55" s="158">
        <x:v>100</x:v>
      </x:c>
      <x:c r="AU55" s="158">
        <x:v>100</x:v>
      </x:c>
      <x:c r="AV55" s="158">
        <x:v>100</x:v>
      </x:c>
      <x:c r="AW55" s="158">
        <x:v>100</x:v>
      </x:c>
      <x:c r="AX55" s="585" t="s">
        <x:v>1102</x:v>
      </x:c>
      <x:c r="AY55" s="167"/>
      <x:c r="AZ55" s="185"/>
      <x:c r="BA55" s="185"/>
      <x:c r="BB55" s="185"/>
      <x:c r="BC55" s="185"/>
      <x:c r="BD55" s="36"/>
      <x:c r="BE55" s="167"/>
      <x:c r="BF55" s="185"/>
      <x:c r="BG55" s="185"/>
      <x:c r="BH55" s="185"/>
      <x:c r="BI55" s="185"/>
      <x:c r="BJ55" s="36"/>
      <x:c r="BK55" s="167"/>
      <x:c r="BL55" s="185"/>
      <x:c r="BM55" s="185"/>
      <x:c r="BN55" s="185"/>
      <x:c r="BO55" s="185"/>
      <x:c r="BP55" s="36"/>
      <x:c r="BQ55" s="167"/>
      <x:c r="BR55" s="185"/>
      <x:c r="BS55" s="185"/>
      <x:c r="BT55" s="185"/>
      <x:c r="BU55" s="185"/>
      <x:c r="BV55" s="36"/>
    </x:row>
    <x:row r="56" spans="1:74" ht="22.5" customHeight="1" x14ac:dyDescent="0.25">
      <x:c r="A56" s="97" t="s">
        <x:v>539</x:v>
      </x:c>
      <x:c r="B56" s="122" t="s">
        <x:v>16</x:v>
      </x:c>
      <x:c r="C56" s="157"/>
      <x:c r="D56" s="158"/>
      <x:c r="E56" s="158"/>
      <x:c r="F56" s="158"/>
      <x:c r="G56" s="158"/>
      <x:c r="H56" s="197"/>
      <x:c r="I56" s="33"/>
      <x:c r="J56" s="185"/>
      <x:c r="K56" s="185"/>
      <x:c r="L56" s="185"/>
      <x:c r="M56" s="185"/>
      <x:c r="N56" s="36"/>
      <x:c r="O56" s="33"/>
      <x:c r="P56" s="185"/>
      <x:c r="Q56" s="185"/>
      <x:c r="R56" s="185"/>
      <x:c r="S56" s="185"/>
      <x:c r="T56" s="36"/>
      <x:c r="U56" s="33"/>
      <x:c r="V56" s="185"/>
      <x:c r="W56" s="185"/>
      <x:c r="X56" s="185"/>
      <x:c r="Y56" s="185"/>
      <x:c r="Z56" s="36"/>
      <x:c r="AA56" s="167"/>
      <x:c r="AB56" s="185"/>
      <x:c r="AC56" s="185"/>
      <x:c r="AD56" s="185"/>
      <x:c r="AE56" s="185"/>
      <x:c r="AF56" s="36"/>
      <x:c r="AG56" s="167"/>
      <x:c r="AH56" s="185"/>
      <x:c r="AI56" s="185"/>
      <x:c r="AJ56" s="185"/>
      <x:c r="AK56" s="185"/>
      <x:c r="AL56" s="36"/>
      <x:c r="AM56" s="157">
        <x:v>100</x:v>
      </x:c>
      <x:c r="AN56" s="158">
        <x:v>100</x:v>
      </x:c>
      <x:c r="AO56" s="158">
        <x:v>100</x:v>
      </x:c>
      <x:c r="AP56" s="158">
        <x:v>100</x:v>
      </x:c>
      <x:c r="AQ56" s="158">
        <x:v>100</x:v>
      </x:c>
      <x:c r="AR56" s="620" t="s">
        <x:v>1102</x:v>
      </x:c>
      <x:c r="AS56" s="175">
        <x:v>100</x:v>
      </x:c>
      <x:c r="AT56" s="158">
        <x:v>100</x:v>
      </x:c>
      <x:c r="AU56" s="158">
        <x:v>100</x:v>
      </x:c>
      <x:c r="AV56" s="600">
        <x:v>0</x:v>
      </x:c>
      <x:c r="AW56" s="600">
        <x:v>0</x:v>
      </x:c>
      <x:c r="AX56" s="585" t="s">
        <x:v>1102</x:v>
      </x:c>
      <x:c r="AY56" s="167"/>
      <x:c r="AZ56" s="185"/>
      <x:c r="BA56" s="185"/>
      <x:c r="BB56" s="185"/>
      <x:c r="BC56" s="185"/>
      <x:c r="BD56" s="36"/>
      <x:c r="BE56" s="167"/>
      <x:c r="BF56" s="185"/>
      <x:c r="BG56" s="185"/>
      <x:c r="BH56" s="185"/>
      <x:c r="BI56" s="185"/>
      <x:c r="BJ56" s="36"/>
      <x:c r="BK56" s="167"/>
      <x:c r="BL56" s="185"/>
      <x:c r="BM56" s="185"/>
      <x:c r="BN56" s="185"/>
      <x:c r="BO56" s="185"/>
      <x:c r="BP56" s="36"/>
      <x:c r="BQ56" s="167"/>
      <x:c r="BR56" s="185"/>
      <x:c r="BS56" s="185"/>
      <x:c r="BT56" s="185"/>
      <x:c r="BU56" s="185"/>
      <x:c r="BV56" s="36"/>
    </x:row>
    <x:row r="57" spans="1:74" ht="22.5" customHeight="1" x14ac:dyDescent="0.25">
      <x:c r="A57" s="97" t="s">
        <x:v>597</x:v>
      </x:c>
      <x:c r="B57" s="122" t="s">
        <x:v>23</x:v>
      </x:c>
      <x:c r="C57" s="157"/>
      <x:c r="D57" s="158"/>
      <x:c r="E57" s="158"/>
      <x:c r="F57" s="158"/>
      <x:c r="G57" s="158"/>
      <x:c r="H57" s="197"/>
      <x:c r="I57" s="33"/>
      <x:c r="J57" s="185"/>
      <x:c r="K57" s="185"/>
      <x:c r="L57" s="185"/>
      <x:c r="M57" s="185"/>
      <x:c r="N57" s="36"/>
      <x:c r="O57" s="33"/>
      <x:c r="P57" s="185"/>
      <x:c r="Q57" s="185"/>
      <x:c r="R57" s="185"/>
      <x:c r="S57" s="185"/>
      <x:c r="T57" s="36"/>
      <x:c r="U57" s="33"/>
      <x:c r="V57" s="185"/>
      <x:c r="W57" s="185"/>
      <x:c r="X57" s="185"/>
      <x:c r="Y57" s="185"/>
      <x:c r="Z57" s="36"/>
      <x:c r="AA57" s="167"/>
      <x:c r="AB57" s="185"/>
      <x:c r="AC57" s="185"/>
      <x:c r="AD57" s="185"/>
      <x:c r="AE57" s="185"/>
      <x:c r="AF57" s="36"/>
      <x:c r="AG57" s="167"/>
      <x:c r="AH57" s="185"/>
      <x:c r="AI57" s="185"/>
      <x:c r="AJ57" s="185"/>
      <x:c r="AK57" s="185"/>
      <x:c r="AL57" s="36"/>
      <x:c r="AM57" s="157">
        <x:v>100</x:v>
      </x:c>
      <x:c r="AN57" s="158">
        <x:v>100</x:v>
      </x:c>
      <x:c r="AO57" s="158">
        <x:v>100</x:v>
      </x:c>
      <x:c r="AP57" s="158">
        <x:v>100</x:v>
      </x:c>
      <x:c r="AQ57" s="158">
        <x:v>29.41</x:v>
      </x:c>
      <x:c r="AR57" s="620" t="s">
        <x:v>1102</x:v>
      </x:c>
      <x:c r="AS57" s="175">
        <x:v>100</x:v>
      </x:c>
      <x:c r="AT57" s="158">
        <x:v>100</x:v>
      </x:c>
      <x:c r="AU57" s="158">
        <x:v>100</x:v>
      </x:c>
      <x:c r="AV57" s="158">
        <x:v>100</x:v>
      </x:c>
      <x:c r="AW57" s="158">
        <x:v>100</x:v>
      </x:c>
      <x:c r="AX57" s="585" t="s">
        <x:v>1102</x:v>
      </x:c>
      <x:c r="AY57" s="167"/>
      <x:c r="AZ57" s="185"/>
      <x:c r="BA57" s="185"/>
      <x:c r="BB57" s="185"/>
      <x:c r="BC57" s="185"/>
      <x:c r="BD57" s="36"/>
      <x:c r="BE57" s="167"/>
      <x:c r="BF57" s="185"/>
      <x:c r="BG57" s="185"/>
      <x:c r="BH57" s="185"/>
      <x:c r="BI57" s="185"/>
      <x:c r="BJ57" s="36"/>
      <x:c r="BK57" s="167"/>
      <x:c r="BL57" s="185"/>
      <x:c r="BM57" s="185"/>
      <x:c r="BN57" s="185"/>
      <x:c r="BO57" s="185"/>
      <x:c r="BP57" s="36"/>
      <x:c r="BQ57" s="167"/>
      <x:c r="BR57" s="185"/>
      <x:c r="BS57" s="185"/>
      <x:c r="BT57" s="185"/>
      <x:c r="BU57" s="185"/>
      <x:c r="BV57" s="36"/>
    </x:row>
    <x:row r="58" spans="1:74" ht="22.5" customHeight="1" x14ac:dyDescent="0.25">
      <x:c r="A58" s="97" t="s">
        <x:v>548</x:v>
      </x:c>
      <x:c r="B58" s="122" t="s">
        <x:v>23</x:v>
      </x:c>
      <x:c r="C58" s="157"/>
      <x:c r="D58" s="158"/>
      <x:c r="E58" s="158"/>
      <x:c r="F58" s="158"/>
      <x:c r="G58" s="158"/>
      <x:c r="H58" s="197"/>
      <x:c r="I58" s="33"/>
      <x:c r="J58" s="185"/>
      <x:c r="K58" s="185"/>
      <x:c r="L58" s="185"/>
      <x:c r="M58" s="185"/>
      <x:c r="N58" s="36"/>
      <x:c r="O58" s="33"/>
      <x:c r="P58" s="185"/>
      <x:c r="Q58" s="185"/>
      <x:c r="R58" s="185"/>
      <x:c r="S58" s="185"/>
      <x:c r="T58" s="36"/>
      <x:c r="U58" s="33"/>
      <x:c r="V58" s="185"/>
      <x:c r="W58" s="185"/>
      <x:c r="X58" s="185"/>
      <x:c r="Y58" s="185"/>
      <x:c r="Z58" s="36"/>
      <x:c r="AA58" s="167"/>
      <x:c r="AB58" s="185"/>
      <x:c r="AC58" s="185"/>
      <x:c r="AD58" s="185"/>
      <x:c r="AE58" s="185"/>
      <x:c r="AF58" s="36"/>
      <x:c r="AG58" s="167"/>
      <x:c r="AH58" s="185"/>
      <x:c r="AI58" s="185"/>
      <x:c r="AJ58" s="185"/>
      <x:c r="AK58" s="185"/>
      <x:c r="AL58" s="36"/>
      <x:c r="AM58" s="157">
        <x:v>100</x:v>
      </x:c>
      <x:c r="AN58" s="158">
        <x:v>100</x:v>
      </x:c>
      <x:c r="AO58" s="158">
        <x:v>100</x:v>
      </x:c>
      <x:c r="AP58" s="158">
        <x:v>100</x:v>
      </x:c>
      <x:c r="AQ58" s="158">
        <x:v>100</x:v>
      </x:c>
      <x:c r="AR58" s="620" t="s">
        <x:v>1102</x:v>
      </x:c>
      <x:c r="AS58" s="175">
        <x:v>100</x:v>
      </x:c>
      <x:c r="AT58" s="158">
        <x:v>100</x:v>
      </x:c>
      <x:c r="AU58" s="158">
        <x:v>100</x:v>
      </x:c>
      <x:c r="AV58" s="158">
        <x:v>100</x:v>
      </x:c>
      <x:c r="AW58" s="158">
        <x:v>100</x:v>
      </x:c>
      <x:c r="AX58" s="585" t="s">
        <x:v>1102</x:v>
      </x:c>
      <x:c r="AY58" s="167"/>
      <x:c r="AZ58" s="185"/>
      <x:c r="BA58" s="185"/>
      <x:c r="BB58" s="185"/>
      <x:c r="BC58" s="185"/>
      <x:c r="BD58" s="36"/>
      <x:c r="BE58" s="167"/>
      <x:c r="BF58" s="185"/>
      <x:c r="BG58" s="185"/>
      <x:c r="BH58" s="185"/>
      <x:c r="BI58" s="185"/>
      <x:c r="BJ58" s="36"/>
      <x:c r="BK58" s="167"/>
      <x:c r="BL58" s="185"/>
      <x:c r="BM58" s="185"/>
      <x:c r="BN58" s="185"/>
      <x:c r="BO58" s="185"/>
      <x:c r="BP58" s="36"/>
      <x:c r="BQ58" s="167"/>
      <x:c r="BR58" s="185"/>
      <x:c r="BS58" s="185"/>
      <x:c r="BT58" s="185"/>
      <x:c r="BU58" s="185"/>
      <x:c r="BV58" s="36"/>
    </x:row>
    <x:row r="59" spans="1:74" ht="22.5" customHeight="1" x14ac:dyDescent="0.25">
      <x:c r="A59" s="97" t="s">
        <x:v>584</x:v>
      </x:c>
      <x:c r="B59" s="122" t="s">
        <x:v>23</x:v>
      </x:c>
      <x:c r="C59" s="157"/>
      <x:c r="D59" s="158"/>
      <x:c r="E59" s="158"/>
      <x:c r="F59" s="158"/>
      <x:c r="G59" s="158"/>
      <x:c r="H59" s="197"/>
      <x:c r="I59" s="33"/>
      <x:c r="J59" s="185"/>
      <x:c r="K59" s="185"/>
      <x:c r="L59" s="185"/>
      <x:c r="M59" s="185"/>
      <x:c r="N59" s="36"/>
      <x:c r="O59" s="33"/>
      <x:c r="P59" s="185"/>
      <x:c r="Q59" s="185"/>
      <x:c r="R59" s="185"/>
      <x:c r="S59" s="185"/>
      <x:c r="T59" s="36"/>
      <x:c r="U59" s="33"/>
      <x:c r="V59" s="185"/>
      <x:c r="W59" s="185"/>
      <x:c r="X59" s="185"/>
      <x:c r="Y59" s="185"/>
      <x:c r="Z59" s="36"/>
      <x:c r="AA59" s="167"/>
      <x:c r="AB59" s="185"/>
      <x:c r="AC59" s="185"/>
      <x:c r="AD59" s="185"/>
      <x:c r="AE59" s="185"/>
      <x:c r="AF59" s="36"/>
      <x:c r="AG59" s="167"/>
      <x:c r="AH59" s="185"/>
      <x:c r="AI59" s="185"/>
      <x:c r="AJ59" s="185"/>
      <x:c r="AK59" s="185"/>
      <x:c r="AL59" s="36"/>
      <x:c r="AM59" s="157">
        <x:v>100</x:v>
      </x:c>
      <x:c r="AN59" s="158">
        <x:v>100</x:v>
      </x:c>
      <x:c r="AO59" s="158">
        <x:v>100</x:v>
      </x:c>
      <x:c r="AP59" s="158">
        <x:v>100</x:v>
      </x:c>
      <x:c r="AQ59" s="158">
        <x:v>100</x:v>
      </x:c>
      <x:c r="AR59" s="620" t="s">
        <x:v>1102</x:v>
      </x:c>
      <x:c r="AS59" s="175">
        <x:v>100</x:v>
      </x:c>
      <x:c r="AT59" s="158">
        <x:v>100</x:v>
      </x:c>
      <x:c r="AU59" s="158">
        <x:v>100</x:v>
      </x:c>
      <x:c r="AV59" s="158">
        <x:v>100</x:v>
      </x:c>
      <x:c r="AW59" s="158">
        <x:v>100</x:v>
      </x:c>
      <x:c r="AX59" s="585" t="s">
        <x:v>1102</x:v>
      </x:c>
      <x:c r="AY59" s="167"/>
      <x:c r="AZ59" s="185"/>
      <x:c r="BA59" s="185"/>
      <x:c r="BB59" s="185"/>
      <x:c r="BC59" s="185"/>
      <x:c r="BD59" s="36"/>
      <x:c r="BE59" s="167"/>
      <x:c r="BF59" s="185"/>
      <x:c r="BG59" s="185"/>
      <x:c r="BH59" s="185"/>
      <x:c r="BI59" s="185"/>
      <x:c r="BJ59" s="36"/>
      <x:c r="BK59" s="167"/>
      <x:c r="BL59" s="185"/>
      <x:c r="BM59" s="185"/>
      <x:c r="BN59" s="185"/>
      <x:c r="BO59" s="185"/>
      <x:c r="BP59" s="36"/>
      <x:c r="BQ59" s="167"/>
      <x:c r="BR59" s="185"/>
      <x:c r="BS59" s="185"/>
      <x:c r="BT59" s="185"/>
      <x:c r="BU59" s="185"/>
      <x:c r="BV59" s="36"/>
    </x:row>
    <x:row r="60" spans="1:74" ht="22.5" customHeight="1" x14ac:dyDescent="0.25">
      <x:c r="A60" s="97" t="s">
        <x:v>596</x:v>
      </x:c>
      <x:c r="B60" s="122" t="s">
        <x:v>23</x:v>
      </x:c>
      <x:c r="C60" s="157"/>
      <x:c r="D60" s="158"/>
      <x:c r="E60" s="158"/>
      <x:c r="F60" s="158"/>
      <x:c r="G60" s="158"/>
      <x:c r="H60" s="197"/>
      <x:c r="I60" s="33"/>
      <x:c r="J60" s="185"/>
      <x:c r="K60" s="185"/>
      <x:c r="L60" s="185"/>
      <x:c r="M60" s="185"/>
      <x:c r="N60" s="36"/>
      <x:c r="O60" s="33"/>
      <x:c r="P60" s="185"/>
      <x:c r="Q60" s="185"/>
      <x:c r="R60" s="185"/>
      <x:c r="S60" s="185"/>
      <x:c r="T60" s="36"/>
      <x:c r="U60" s="33"/>
      <x:c r="V60" s="185"/>
      <x:c r="W60" s="185"/>
      <x:c r="X60" s="185"/>
      <x:c r="Y60" s="185"/>
      <x:c r="Z60" s="36"/>
      <x:c r="AA60" s="167"/>
      <x:c r="AB60" s="185"/>
      <x:c r="AC60" s="185"/>
      <x:c r="AD60" s="185"/>
      <x:c r="AE60" s="185"/>
      <x:c r="AF60" s="36"/>
      <x:c r="AG60" s="167"/>
      <x:c r="AH60" s="185"/>
      <x:c r="AI60" s="185"/>
      <x:c r="AJ60" s="185"/>
      <x:c r="AK60" s="185"/>
      <x:c r="AL60" s="36"/>
      <x:c r="AM60" s="157">
        <x:v>100</x:v>
      </x:c>
      <x:c r="AN60" s="158">
        <x:v>100</x:v>
      </x:c>
      <x:c r="AO60" s="158">
        <x:v>100</x:v>
      </x:c>
      <x:c r="AP60" s="158">
        <x:v>100</x:v>
      </x:c>
      <x:c r="AQ60" s="158">
        <x:v>100</x:v>
      </x:c>
      <x:c r="AR60" s="620" t="s">
        <x:v>1102</x:v>
      </x:c>
      <x:c r="AS60" s="175">
        <x:v>100</x:v>
      </x:c>
      <x:c r="AT60" s="158">
        <x:v>100</x:v>
      </x:c>
      <x:c r="AU60" s="158">
        <x:v>100</x:v>
      </x:c>
      <x:c r="AV60" s="158">
        <x:v>100</x:v>
      </x:c>
      <x:c r="AW60" s="158">
        <x:v>100</x:v>
      </x:c>
      <x:c r="AX60" s="585" t="s">
        <x:v>1102</x:v>
      </x:c>
      <x:c r="AY60" s="167"/>
      <x:c r="AZ60" s="185"/>
      <x:c r="BA60" s="185"/>
      <x:c r="BB60" s="185"/>
      <x:c r="BC60" s="185"/>
      <x:c r="BD60" s="36"/>
      <x:c r="BE60" s="167"/>
      <x:c r="BF60" s="185"/>
      <x:c r="BG60" s="185"/>
      <x:c r="BH60" s="185"/>
      <x:c r="BI60" s="185"/>
      <x:c r="BJ60" s="36"/>
      <x:c r="BK60" s="167"/>
      <x:c r="BL60" s="185"/>
      <x:c r="BM60" s="185"/>
      <x:c r="BN60" s="185"/>
      <x:c r="BO60" s="185"/>
      <x:c r="BP60" s="36"/>
      <x:c r="BQ60" s="167"/>
      <x:c r="BR60" s="185"/>
      <x:c r="BS60" s="185"/>
      <x:c r="BT60" s="185"/>
      <x:c r="BU60" s="185"/>
      <x:c r="BV60" s="36"/>
    </x:row>
    <x:row r="61" spans="1:74" ht="22.5" customHeight="1" x14ac:dyDescent="0.25">
      <x:c r="A61" s="97" t="s">
        <x:v>594</x:v>
      </x:c>
      <x:c r="B61" s="122" t="s">
        <x:v>23</x:v>
      </x:c>
      <x:c r="C61" s="157"/>
      <x:c r="D61" s="158"/>
      <x:c r="E61" s="158"/>
      <x:c r="F61" s="158"/>
      <x:c r="G61" s="158"/>
      <x:c r="H61" s="197"/>
      <x:c r="I61" s="33"/>
      <x:c r="J61" s="185"/>
      <x:c r="K61" s="185"/>
      <x:c r="L61" s="185"/>
      <x:c r="M61" s="185"/>
      <x:c r="N61" s="36"/>
      <x:c r="O61" s="33"/>
      <x:c r="P61" s="185"/>
      <x:c r="Q61" s="185"/>
      <x:c r="R61" s="185"/>
      <x:c r="S61" s="185"/>
      <x:c r="T61" s="36"/>
      <x:c r="U61" s="33"/>
      <x:c r="V61" s="185"/>
      <x:c r="W61" s="185"/>
      <x:c r="X61" s="185"/>
      <x:c r="Y61" s="185"/>
      <x:c r="Z61" s="36"/>
      <x:c r="AA61" s="167"/>
      <x:c r="AB61" s="185"/>
      <x:c r="AC61" s="185"/>
      <x:c r="AD61" s="185"/>
      <x:c r="AE61" s="185"/>
      <x:c r="AF61" s="36"/>
      <x:c r="AG61" s="167"/>
      <x:c r="AH61" s="185"/>
      <x:c r="AI61" s="185"/>
      <x:c r="AJ61" s="185"/>
      <x:c r="AK61" s="185"/>
      <x:c r="AL61" s="36"/>
      <x:c r="AM61" s="157">
        <x:v>100</x:v>
      </x:c>
      <x:c r="AN61" s="158">
        <x:v>100</x:v>
      </x:c>
      <x:c r="AO61" s="158">
        <x:v>100</x:v>
      </x:c>
      <x:c r="AP61" s="158">
        <x:v>100</x:v>
      </x:c>
      <x:c r="AQ61" s="158">
        <x:v>100</x:v>
      </x:c>
      <x:c r="AR61" s="620" t="s">
        <x:v>1102</x:v>
      </x:c>
      <x:c r="AS61" s="175">
        <x:v>100</x:v>
      </x:c>
      <x:c r="AT61" s="158">
        <x:v>100</x:v>
      </x:c>
      <x:c r="AU61" s="158">
        <x:v>100</x:v>
      </x:c>
      <x:c r="AV61" s="158">
        <x:v>100</x:v>
      </x:c>
      <x:c r="AW61" s="158">
        <x:v>100</x:v>
      </x:c>
      <x:c r="AX61" s="585" t="s">
        <x:v>1102</x:v>
      </x:c>
      <x:c r="AY61" s="167"/>
      <x:c r="AZ61" s="185"/>
      <x:c r="BA61" s="185"/>
      <x:c r="BB61" s="185"/>
      <x:c r="BC61" s="185"/>
      <x:c r="BD61" s="36"/>
      <x:c r="BE61" s="167"/>
      <x:c r="BF61" s="185"/>
      <x:c r="BG61" s="185"/>
      <x:c r="BH61" s="185"/>
      <x:c r="BI61" s="185"/>
      <x:c r="BJ61" s="36"/>
      <x:c r="BK61" s="167"/>
      <x:c r="BL61" s="185"/>
      <x:c r="BM61" s="185"/>
      <x:c r="BN61" s="185"/>
      <x:c r="BO61" s="185"/>
      <x:c r="BP61" s="36"/>
      <x:c r="BQ61" s="167"/>
      <x:c r="BR61" s="185"/>
      <x:c r="BS61" s="185"/>
      <x:c r="BT61" s="185"/>
      <x:c r="BU61" s="185"/>
      <x:c r="BV61" s="36"/>
    </x:row>
    <x:row r="62" spans="1:74" ht="22.5" customHeight="1" x14ac:dyDescent="0.25">
      <x:c r="A62" s="618" t="s">
        <x:v>519</x:v>
      </x:c>
      <x:c r="B62" s="122" t="s">
        <x:v>43</x:v>
      </x:c>
      <x:c r="C62" s="157"/>
      <x:c r="D62" s="158"/>
      <x:c r="E62" s="158"/>
      <x:c r="F62" s="158"/>
      <x:c r="G62" s="158"/>
      <x:c r="H62" s="197"/>
      <x:c r="I62" s="33"/>
      <x:c r="J62" s="185"/>
      <x:c r="K62" s="185"/>
      <x:c r="L62" s="185"/>
      <x:c r="M62" s="185"/>
      <x:c r="N62" s="36"/>
      <x:c r="O62" s="33"/>
      <x:c r="P62" s="185"/>
      <x:c r="Q62" s="185"/>
      <x:c r="R62" s="185"/>
      <x:c r="S62" s="185"/>
      <x:c r="T62" s="36"/>
      <x:c r="U62" s="33"/>
      <x:c r="V62" s="185"/>
      <x:c r="W62" s="185"/>
      <x:c r="X62" s="185"/>
      <x:c r="Y62" s="185"/>
      <x:c r="Z62" s="36"/>
      <x:c r="AA62" s="167"/>
      <x:c r="AB62" s="185"/>
      <x:c r="AC62" s="185"/>
      <x:c r="AD62" s="185"/>
      <x:c r="AE62" s="185"/>
      <x:c r="AF62" s="36"/>
      <x:c r="AG62" s="167"/>
      <x:c r="AH62" s="185"/>
      <x:c r="AI62" s="185"/>
      <x:c r="AJ62" s="185"/>
      <x:c r="AK62" s="185"/>
      <x:c r="AL62" s="36"/>
      <x:c r="AM62" s="588">
        <x:v>0</x:v>
      </x:c>
      <x:c r="AN62" s="589">
        <x:v>0</x:v>
      </x:c>
      <x:c r="AO62" s="589">
        <x:v>0</x:v>
      </x:c>
      <x:c r="AP62" s="589">
        <x:v>0</x:v>
      </x:c>
      <x:c r="AQ62" s="589">
        <x:v>0</x:v>
      </x:c>
      <x:c r="AR62" s="591" t="s">
        <x:v>1103</x:v>
      </x:c>
      <x:c r="AS62" s="617">
        <x:v>0</x:v>
      </x:c>
      <x:c r="AT62" s="589">
        <x:v>0</x:v>
      </x:c>
      <x:c r="AU62" s="589">
        <x:v>0</x:v>
      </x:c>
      <x:c r="AV62" s="589">
        <x:v>0</x:v>
      </x:c>
      <x:c r="AW62" s="589">
        <x:v>0</x:v>
      </x:c>
      <x:c r="AX62" s="591" t="s">
        <x:v>1103</x:v>
      </x:c>
      <x:c r="AY62" s="167"/>
      <x:c r="AZ62" s="185"/>
      <x:c r="BA62" s="185"/>
      <x:c r="BB62" s="185"/>
      <x:c r="BC62" s="185"/>
      <x:c r="BD62" s="36"/>
      <x:c r="BE62" s="167"/>
      <x:c r="BF62" s="185"/>
      <x:c r="BG62" s="185"/>
      <x:c r="BH62" s="185"/>
      <x:c r="BI62" s="185"/>
      <x:c r="BJ62" s="36"/>
      <x:c r="BK62" s="167"/>
      <x:c r="BL62" s="185"/>
      <x:c r="BM62" s="185"/>
      <x:c r="BN62" s="185"/>
      <x:c r="BO62" s="185"/>
      <x:c r="BP62" s="36"/>
      <x:c r="BQ62" s="167"/>
      <x:c r="BR62" s="185"/>
      <x:c r="BS62" s="185"/>
      <x:c r="BT62" s="185"/>
      <x:c r="BU62" s="185"/>
      <x:c r="BV62" s="36"/>
    </x:row>
    <x:row r="63" spans="1:74" ht="22.5" customHeight="1" x14ac:dyDescent="0.25">
      <x:c r="A63" s="97" t="s">
        <x:v>595</x:v>
      </x:c>
      <x:c r="B63" s="122" t="s">
        <x:v>23</x:v>
      </x:c>
      <x:c r="C63" s="157"/>
      <x:c r="D63" s="158"/>
      <x:c r="E63" s="158"/>
      <x:c r="F63" s="158"/>
      <x:c r="G63" s="158"/>
      <x:c r="H63" s="197"/>
      <x:c r="I63" s="33"/>
      <x:c r="J63" s="185"/>
      <x:c r="K63" s="185"/>
      <x:c r="L63" s="185"/>
      <x:c r="M63" s="185"/>
      <x:c r="N63" s="36"/>
      <x:c r="O63" s="33"/>
      <x:c r="P63" s="185"/>
      <x:c r="Q63" s="185"/>
      <x:c r="R63" s="185"/>
      <x:c r="S63" s="185"/>
      <x:c r="T63" s="36"/>
      <x:c r="U63" s="33"/>
      <x:c r="V63" s="185"/>
      <x:c r="W63" s="185"/>
      <x:c r="X63" s="185"/>
      <x:c r="Y63" s="185"/>
      <x:c r="Z63" s="36"/>
      <x:c r="AA63" s="167"/>
      <x:c r="AB63" s="185"/>
      <x:c r="AC63" s="185"/>
      <x:c r="AD63" s="185"/>
      <x:c r="AE63" s="185"/>
      <x:c r="AF63" s="36"/>
      <x:c r="AG63" s="167"/>
      <x:c r="AH63" s="185"/>
      <x:c r="AI63" s="185"/>
      <x:c r="AJ63" s="185"/>
      <x:c r="AK63" s="185"/>
      <x:c r="AL63" s="36"/>
      <x:c r="AM63" s="157">
        <x:v>100</x:v>
      </x:c>
      <x:c r="AN63" s="158">
        <x:v>100</x:v>
      </x:c>
      <x:c r="AO63" s="158">
        <x:v>100</x:v>
      </x:c>
      <x:c r="AP63" s="158">
        <x:v>100</x:v>
      </x:c>
      <x:c r="AQ63" s="158">
        <x:v>100</x:v>
      </x:c>
      <x:c r="AR63" s="620" t="s">
        <x:v>1102</x:v>
      </x:c>
      <x:c r="AS63" s="175">
        <x:v>100</x:v>
      </x:c>
      <x:c r="AT63" s="158">
        <x:v>100</x:v>
      </x:c>
      <x:c r="AU63" s="158">
        <x:v>100</x:v>
      </x:c>
      <x:c r="AV63" s="158">
        <x:v>100</x:v>
      </x:c>
      <x:c r="AW63" s="158">
        <x:v>100</x:v>
      </x:c>
      <x:c r="AX63" s="585" t="s">
        <x:v>1102</x:v>
      </x:c>
      <x:c r="AY63" s="167"/>
      <x:c r="AZ63" s="185"/>
      <x:c r="BA63" s="185"/>
      <x:c r="BB63" s="185"/>
      <x:c r="BC63" s="185"/>
      <x:c r="BD63" s="36"/>
      <x:c r="BE63" s="167"/>
      <x:c r="BF63" s="185"/>
      <x:c r="BG63" s="185"/>
      <x:c r="BH63" s="185"/>
      <x:c r="BI63" s="185"/>
      <x:c r="BJ63" s="36"/>
      <x:c r="BK63" s="167"/>
      <x:c r="BL63" s="185"/>
      <x:c r="BM63" s="185"/>
      <x:c r="BN63" s="185"/>
      <x:c r="BO63" s="185"/>
      <x:c r="BP63" s="36"/>
      <x:c r="BQ63" s="167"/>
      <x:c r="BR63" s="185"/>
      <x:c r="BS63" s="185"/>
      <x:c r="BT63" s="185"/>
      <x:c r="BU63" s="185"/>
      <x:c r="BV63" s="36"/>
    </x:row>
    <x:row r="64" spans="1:74" ht="22.5" customHeight="1" x14ac:dyDescent="0.25">
      <x:c r="A64" s="97" t="s">
        <x:v>526</x:v>
      </x:c>
      <x:c r="B64" s="122" t="s">
        <x:v>191</x:v>
      </x:c>
      <x:c r="C64" s="157"/>
      <x:c r="D64" s="158"/>
      <x:c r="E64" s="158"/>
      <x:c r="F64" s="158"/>
      <x:c r="G64" s="158"/>
      <x:c r="H64" s="197"/>
      <x:c r="I64" s="33"/>
      <x:c r="J64" s="185"/>
      <x:c r="K64" s="185"/>
      <x:c r="L64" s="185"/>
      <x:c r="M64" s="185"/>
      <x:c r="N64" s="36"/>
      <x:c r="O64" s="33"/>
      <x:c r="P64" s="185"/>
      <x:c r="Q64" s="185"/>
      <x:c r="R64" s="185"/>
      <x:c r="S64" s="185"/>
      <x:c r="T64" s="36"/>
      <x:c r="U64" s="33"/>
      <x:c r="V64" s="185"/>
      <x:c r="W64" s="185"/>
      <x:c r="X64" s="185"/>
      <x:c r="Y64" s="185"/>
      <x:c r="Z64" s="36"/>
      <x:c r="AA64" s="167"/>
      <x:c r="AB64" s="185"/>
      <x:c r="AC64" s="185"/>
      <x:c r="AD64" s="185"/>
      <x:c r="AE64" s="185"/>
      <x:c r="AF64" s="36"/>
      <x:c r="AG64" s="167"/>
      <x:c r="AH64" s="185"/>
      <x:c r="AI64" s="185"/>
      <x:c r="AJ64" s="185"/>
      <x:c r="AK64" s="185"/>
      <x:c r="AL64" s="36"/>
      <x:c r="AM64" s="157">
        <x:v>100</x:v>
      </x:c>
      <x:c r="AN64" s="158">
        <x:v>100</x:v>
      </x:c>
      <x:c r="AO64" s="158">
        <x:v>100</x:v>
      </x:c>
      <x:c r="AP64" s="589">
        <x:v>0</x:v>
      </x:c>
      <x:c r="AQ64" s="589">
        <x:v>0</x:v>
      </x:c>
      <x:c r="AR64" s="620" t="s">
        <x:v>1102</x:v>
      </x:c>
      <x:c r="AS64" s="175">
        <x:v>100</x:v>
      </x:c>
      <x:c r="AT64" s="158">
        <x:v>100</x:v>
      </x:c>
      <x:c r="AU64" s="158">
        <x:v>100</x:v>
      </x:c>
      <x:c r="AV64" s="600">
        <x:v>0</x:v>
      </x:c>
      <x:c r="AW64" s="600">
        <x:v>0</x:v>
      </x:c>
      <x:c r="AX64" s="585" t="s">
        <x:v>1102</x:v>
      </x:c>
      <x:c r="AY64" s="167"/>
      <x:c r="AZ64" s="185"/>
      <x:c r="BA64" s="185"/>
      <x:c r="BB64" s="185"/>
      <x:c r="BC64" s="185"/>
      <x:c r="BD64" s="36"/>
      <x:c r="BE64" s="167"/>
      <x:c r="BF64" s="185"/>
      <x:c r="BG64" s="185"/>
      <x:c r="BH64" s="185"/>
      <x:c r="BI64" s="185"/>
      <x:c r="BJ64" s="36"/>
      <x:c r="BK64" s="167"/>
      <x:c r="BL64" s="185"/>
      <x:c r="BM64" s="185"/>
      <x:c r="BN64" s="185"/>
      <x:c r="BO64" s="185"/>
      <x:c r="BP64" s="36"/>
      <x:c r="BQ64" s="167"/>
      <x:c r="BR64" s="185"/>
      <x:c r="BS64" s="185"/>
      <x:c r="BT64" s="185"/>
      <x:c r="BU64" s="185"/>
      <x:c r="BV64" s="36"/>
    </x:row>
    <x:row r="65" spans="1:74" ht="22.5" customHeight="1" x14ac:dyDescent="0.25">
      <x:c r="A65" s="97" t="s">
        <x:v>578</x:v>
      </x:c>
      <x:c r="B65" s="122" t="s">
        <x:v>23</x:v>
      </x:c>
      <x:c r="C65" s="157"/>
      <x:c r="D65" s="158"/>
      <x:c r="E65" s="158"/>
      <x:c r="F65" s="158"/>
      <x:c r="G65" s="158"/>
      <x:c r="H65" s="197"/>
      <x:c r="I65" s="33"/>
      <x:c r="J65" s="185"/>
      <x:c r="K65" s="185"/>
      <x:c r="L65" s="185"/>
      <x:c r="M65" s="185"/>
      <x:c r="N65" s="36"/>
      <x:c r="O65" s="33"/>
      <x:c r="P65" s="185"/>
      <x:c r="Q65" s="185"/>
      <x:c r="R65" s="185"/>
      <x:c r="S65" s="185"/>
      <x:c r="T65" s="36"/>
      <x:c r="U65" s="33"/>
      <x:c r="V65" s="185"/>
      <x:c r="W65" s="185"/>
      <x:c r="X65" s="185"/>
      <x:c r="Y65" s="185"/>
      <x:c r="Z65" s="36"/>
      <x:c r="AA65" s="167"/>
      <x:c r="AB65" s="185"/>
      <x:c r="AC65" s="185"/>
      <x:c r="AD65" s="185"/>
      <x:c r="AE65" s="185"/>
      <x:c r="AF65" s="36"/>
      <x:c r="AG65" s="167"/>
      <x:c r="AH65" s="185"/>
      <x:c r="AI65" s="185"/>
      <x:c r="AJ65" s="185"/>
      <x:c r="AK65" s="185"/>
      <x:c r="AL65" s="36"/>
      <x:c r="AM65" s="157">
        <x:v>100</x:v>
      </x:c>
      <x:c r="AN65" s="158">
        <x:v>100</x:v>
      </x:c>
      <x:c r="AO65" s="158">
        <x:v>100</x:v>
      </x:c>
      <x:c r="AP65" s="158">
        <x:v>100</x:v>
      </x:c>
      <x:c r="AQ65" s="158">
        <x:v>100</x:v>
      </x:c>
      <x:c r="AR65" s="620" t="s">
        <x:v>1102</x:v>
      </x:c>
      <x:c r="AS65" s="175">
        <x:v>100</x:v>
      </x:c>
      <x:c r="AT65" s="158">
        <x:v>100</x:v>
      </x:c>
      <x:c r="AU65" s="158">
        <x:v>100</x:v>
      </x:c>
      <x:c r="AV65" s="158">
        <x:v>100</x:v>
      </x:c>
      <x:c r="AW65" s="158">
        <x:v>100</x:v>
      </x:c>
      <x:c r="AX65" s="585" t="s">
        <x:v>1102</x:v>
      </x:c>
      <x:c r="AY65" s="167"/>
      <x:c r="AZ65" s="185"/>
      <x:c r="BA65" s="185"/>
      <x:c r="BB65" s="185"/>
      <x:c r="BC65" s="185"/>
      <x:c r="BD65" s="36"/>
      <x:c r="BE65" s="167"/>
      <x:c r="BF65" s="185"/>
      <x:c r="BG65" s="185"/>
      <x:c r="BH65" s="185"/>
      <x:c r="BI65" s="185"/>
      <x:c r="BJ65" s="36"/>
      <x:c r="BK65" s="167"/>
      <x:c r="BL65" s="185"/>
      <x:c r="BM65" s="185"/>
      <x:c r="BN65" s="185"/>
      <x:c r="BO65" s="185"/>
      <x:c r="BP65" s="36"/>
      <x:c r="BQ65" s="167"/>
      <x:c r="BR65" s="185"/>
      <x:c r="BS65" s="185"/>
      <x:c r="BT65" s="185"/>
      <x:c r="BU65" s="185"/>
      <x:c r="BV65" s="36"/>
    </x:row>
    <x:row r="66" spans="1:74" ht="22.5" customHeight="1" x14ac:dyDescent="0.25">
      <x:c r="A66" s="97" t="s">
        <x:v>546</x:v>
      </x:c>
      <x:c r="B66" s="122" t="s">
        <x:v>23</x:v>
      </x:c>
      <x:c r="C66" s="157"/>
      <x:c r="D66" s="158"/>
      <x:c r="E66" s="158"/>
      <x:c r="F66" s="158"/>
      <x:c r="G66" s="158"/>
      <x:c r="H66" s="197"/>
      <x:c r="I66" s="33"/>
      <x:c r="J66" s="185"/>
      <x:c r="K66" s="185"/>
      <x:c r="L66" s="185"/>
      <x:c r="M66" s="185"/>
      <x:c r="N66" s="36"/>
      <x:c r="O66" s="33"/>
      <x:c r="P66" s="185"/>
      <x:c r="Q66" s="185"/>
      <x:c r="R66" s="185"/>
      <x:c r="S66" s="185"/>
      <x:c r="T66" s="36"/>
      <x:c r="U66" s="33"/>
      <x:c r="V66" s="185"/>
      <x:c r="W66" s="185"/>
      <x:c r="X66" s="185"/>
      <x:c r="Y66" s="185"/>
      <x:c r="Z66" s="36"/>
      <x:c r="AA66" s="167"/>
      <x:c r="AB66" s="185"/>
      <x:c r="AC66" s="185"/>
      <x:c r="AD66" s="185"/>
      <x:c r="AE66" s="185"/>
      <x:c r="AF66" s="36"/>
      <x:c r="AG66" s="167"/>
      <x:c r="AH66" s="185"/>
      <x:c r="AI66" s="185"/>
      <x:c r="AJ66" s="185"/>
      <x:c r="AK66" s="185"/>
      <x:c r="AL66" s="36"/>
      <x:c r="AM66" s="157">
        <x:v>100</x:v>
      </x:c>
      <x:c r="AN66" s="158">
        <x:v>100</x:v>
      </x:c>
      <x:c r="AO66" s="158">
        <x:v>100</x:v>
      </x:c>
      <x:c r="AP66" s="158">
        <x:v>100</x:v>
      </x:c>
      <x:c r="AQ66" s="158">
        <x:v>17.65</x:v>
      </x:c>
      <x:c r="AR66" s="620" t="s">
        <x:v>1102</x:v>
      </x:c>
      <x:c r="AS66" s="175">
        <x:v>100</x:v>
      </x:c>
      <x:c r="AT66" s="158">
        <x:v>100</x:v>
      </x:c>
      <x:c r="AU66" s="158">
        <x:v>100</x:v>
      </x:c>
      <x:c r="AV66" s="158">
        <x:v>100</x:v>
      </x:c>
      <x:c r="AW66" s="158">
        <x:v>100</x:v>
      </x:c>
      <x:c r="AX66" s="585" t="s">
        <x:v>1102</x:v>
      </x:c>
      <x:c r="AY66" s="167"/>
      <x:c r="AZ66" s="185"/>
      <x:c r="BA66" s="185"/>
      <x:c r="BB66" s="185"/>
      <x:c r="BC66" s="185"/>
      <x:c r="BD66" s="36"/>
      <x:c r="BE66" s="167"/>
      <x:c r="BF66" s="185"/>
      <x:c r="BG66" s="185"/>
      <x:c r="BH66" s="185"/>
      <x:c r="BI66" s="185"/>
      <x:c r="BJ66" s="36"/>
      <x:c r="BK66" s="167"/>
      <x:c r="BL66" s="185"/>
      <x:c r="BM66" s="185"/>
      <x:c r="BN66" s="185"/>
      <x:c r="BO66" s="185"/>
      <x:c r="BP66" s="36"/>
      <x:c r="BQ66" s="167"/>
      <x:c r="BR66" s="185"/>
      <x:c r="BS66" s="185"/>
      <x:c r="BT66" s="185"/>
      <x:c r="BU66" s="185"/>
      <x:c r="BV66" s="36"/>
    </x:row>
    <x:row r="67" spans="1:74" ht="22.5" customHeight="1" x14ac:dyDescent="0.25">
      <x:c r="A67" s="97" t="s">
        <x:v>571</x:v>
      </x:c>
      <x:c r="B67" s="122" t="s">
        <x:v>23</x:v>
      </x:c>
      <x:c r="C67" s="157"/>
      <x:c r="D67" s="158"/>
      <x:c r="E67" s="158"/>
      <x:c r="F67" s="158"/>
      <x:c r="G67" s="158"/>
      <x:c r="H67" s="197"/>
      <x:c r="I67" s="33"/>
      <x:c r="J67" s="185"/>
      <x:c r="K67" s="185"/>
      <x:c r="L67" s="185"/>
      <x:c r="M67" s="185"/>
      <x:c r="N67" s="36"/>
      <x:c r="O67" s="33"/>
      <x:c r="P67" s="185"/>
      <x:c r="Q67" s="185"/>
      <x:c r="R67" s="185"/>
      <x:c r="S67" s="185"/>
      <x:c r="T67" s="36"/>
      <x:c r="U67" s="33"/>
      <x:c r="V67" s="185"/>
      <x:c r="W67" s="185"/>
      <x:c r="X67" s="185"/>
      <x:c r="Y67" s="185"/>
      <x:c r="Z67" s="36"/>
      <x:c r="AA67" s="167"/>
      <x:c r="AB67" s="185"/>
      <x:c r="AC67" s="185"/>
      <x:c r="AD67" s="185"/>
      <x:c r="AE67" s="185"/>
      <x:c r="AF67" s="36"/>
      <x:c r="AG67" s="167"/>
      <x:c r="AH67" s="185"/>
      <x:c r="AI67" s="185"/>
      <x:c r="AJ67" s="185"/>
      <x:c r="AK67" s="185"/>
      <x:c r="AL67" s="36"/>
      <x:c r="AM67" s="157">
        <x:v>100</x:v>
      </x:c>
      <x:c r="AN67" s="158">
        <x:v>100</x:v>
      </x:c>
      <x:c r="AO67" s="158">
        <x:v>100</x:v>
      </x:c>
      <x:c r="AP67" s="158">
        <x:v>100</x:v>
      </x:c>
      <x:c r="AQ67" s="158">
        <x:v>94.12</x:v>
      </x:c>
      <x:c r="AR67" s="620" t="s">
        <x:v>1102</x:v>
      </x:c>
      <x:c r="AS67" s="175">
        <x:v>100</x:v>
      </x:c>
      <x:c r="AT67" s="158">
        <x:v>100</x:v>
      </x:c>
      <x:c r="AU67" s="158">
        <x:v>100</x:v>
      </x:c>
      <x:c r="AV67" s="158">
        <x:v>100</x:v>
      </x:c>
      <x:c r="AW67" s="158">
        <x:v>100</x:v>
      </x:c>
      <x:c r="AX67" s="585" t="s">
        <x:v>1102</x:v>
      </x:c>
      <x:c r="AY67" s="167"/>
      <x:c r="AZ67" s="185"/>
      <x:c r="BA67" s="185"/>
      <x:c r="BB67" s="185"/>
      <x:c r="BC67" s="185"/>
      <x:c r="BD67" s="36"/>
      <x:c r="BE67" s="167"/>
      <x:c r="BF67" s="185"/>
      <x:c r="BG67" s="185"/>
      <x:c r="BH67" s="185"/>
      <x:c r="BI67" s="185"/>
      <x:c r="BJ67" s="36"/>
      <x:c r="BK67" s="167"/>
      <x:c r="BL67" s="185"/>
      <x:c r="BM67" s="185"/>
      <x:c r="BN67" s="185"/>
      <x:c r="BO67" s="185"/>
      <x:c r="BP67" s="36"/>
      <x:c r="BQ67" s="167"/>
      <x:c r="BR67" s="185"/>
      <x:c r="BS67" s="185"/>
      <x:c r="BT67" s="185"/>
      <x:c r="BU67" s="185"/>
      <x:c r="BV67" s="36"/>
    </x:row>
    <x:row r="68" spans="1:74" ht="22.5" customHeight="1" x14ac:dyDescent="0.25">
      <x:c r="A68" s="97" t="s">
        <x:v>527</x:v>
      </x:c>
      <x:c r="B68" s="122" t="s">
        <x:v>183</x:v>
      </x:c>
      <x:c r="C68" s="157"/>
      <x:c r="D68" s="158"/>
      <x:c r="E68" s="158"/>
      <x:c r="F68" s="158"/>
      <x:c r="G68" s="158"/>
      <x:c r="H68" s="197"/>
      <x:c r="I68" s="33"/>
      <x:c r="J68" s="185"/>
      <x:c r="K68" s="185"/>
      <x:c r="L68" s="185"/>
      <x:c r="M68" s="185"/>
      <x:c r="N68" s="36"/>
      <x:c r="O68" s="33"/>
      <x:c r="P68" s="185"/>
      <x:c r="Q68" s="185"/>
      <x:c r="R68" s="185"/>
      <x:c r="S68" s="185"/>
      <x:c r="T68" s="36"/>
      <x:c r="U68" s="33"/>
      <x:c r="V68" s="185"/>
      <x:c r="W68" s="185"/>
      <x:c r="X68" s="185"/>
      <x:c r="Y68" s="185"/>
      <x:c r="Z68" s="36"/>
      <x:c r="AA68" s="167"/>
      <x:c r="AB68" s="185"/>
      <x:c r="AC68" s="185"/>
      <x:c r="AD68" s="185"/>
      <x:c r="AE68" s="185"/>
      <x:c r="AF68" s="36"/>
      <x:c r="AG68" s="167"/>
      <x:c r="AH68" s="185"/>
      <x:c r="AI68" s="185"/>
      <x:c r="AJ68" s="185"/>
      <x:c r="AK68" s="185"/>
      <x:c r="AL68" s="36"/>
      <x:c r="AM68" s="157">
        <x:v>100</x:v>
      </x:c>
      <x:c r="AN68" s="158">
        <x:v>100</x:v>
      </x:c>
      <x:c r="AO68" s="158">
        <x:v>100</x:v>
      </x:c>
      <x:c r="AP68" s="589">
        <x:v>0</x:v>
      </x:c>
      <x:c r="AQ68" s="589">
        <x:v>0</x:v>
      </x:c>
      <x:c r="AR68" s="620" t="s">
        <x:v>1102</x:v>
      </x:c>
      <x:c r="AS68" s="175">
        <x:v>100</x:v>
      </x:c>
      <x:c r="AT68" s="158">
        <x:v>100</x:v>
      </x:c>
      <x:c r="AU68" s="158">
        <x:v>100</x:v>
      </x:c>
      <x:c r="AV68" s="600">
        <x:v>0</x:v>
      </x:c>
      <x:c r="AW68" s="600">
        <x:v>0</x:v>
      </x:c>
      <x:c r="AX68" s="585" t="s">
        <x:v>1102</x:v>
      </x:c>
      <x:c r="AY68" s="167"/>
      <x:c r="AZ68" s="185"/>
      <x:c r="BA68" s="185"/>
      <x:c r="BB68" s="185"/>
      <x:c r="BC68" s="185"/>
      <x:c r="BD68" s="36"/>
      <x:c r="BE68" s="167"/>
      <x:c r="BF68" s="185"/>
      <x:c r="BG68" s="185"/>
      <x:c r="BH68" s="185"/>
      <x:c r="BI68" s="185"/>
      <x:c r="BJ68" s="36"/>
      <x:c r="BK68" s="167"/>
      <x:c r="BL68" s="185"/>
      <x:c r="BM68" s="185"/>
      <x:c r="BN68" s="185"/>
      <x:c r="BO68" s="185"/>
      <x:c r="BP68" s="36"/>
      <x:c r="BQ68" s="167"/>
      <x:c r="BR68" s="185"/>
      <x:c r="BS68" s="185"/>
      <x:c r="BT68" s="185"/>
      <x:c r="BU68" s="185"/>
      <x:c r="BV68" s="36"/>
    </x:row>
    <x:row r="69" spans="1:74" ht="22.5" customHeight="1" x14ac:dyDescent="0.25">
      <x:c r="A69" s="97" t="s">
        <x:v>553</x:v>
      </x:c>
      <x:c r="B69" s="122" t="s">
        <x:v>23</x:v>
      </x:c>
      <x:c r="C69" s="157"/>
      <x:c r="D69" s="158"/>
      <x:c r="E69" s="158"/>
      <x:c r="F69" s="158"/>
      <x:c r="G69" s="158"/>
      <x:c r="H69" s="197"/>
      <x:c r="I69" s="33"/>
      <x:c r="J69" s="185"/>
      <x:c r="K69" s="185"/>
      <x:c r="L69" s="185"/>
      <x:c r="M69" s="185"/>
      <x:c r="N69" s="36"/>
      <x:c r="O69" s="33"/>
      <x:c r="P69" s="185"/>
      <x:c r="Q69" s="185"/>
      <x:c r="R69" s="185"/>
      <x:c r="S69" s="185"/>
      <x:c r="T69" s="36"/>
      <x:c r="U69" s="33"/>
      <x:c r="V69" s="185"/>
      <x:c r="W69" s="185"/>
      <x:c r="X69" s="185"/>
      <x:c r="Y69" s="185"/>
      <x:c r="Z69" s="36"/>
      <x:c r="AA69" s="167"/>
      <x:c r="AB69" s="185"/>
      <x:c r="AC69" s="185"/>
      <x:c r="AD69" s="185"/>
      <x:c r="AE69" s="185"/>
      <x:c r="AF69" s="36"/>
      <x:c r="AG69" s="167"/>
      <x:c r="AH69" s="185"/>
      <x:c r="AI69" s="185"/>
      <x:c r="AJ69" s="185"/>
      <x:c r="AK69" s="185"/>
      <x:c r="AL69" s="36"/>
      <x:c r="AM69" s="157">
        <x:v>100</x:v>
      </x:c>
      <x:c r="AN69" s="158">
        <x:v>100</x:v>
      </x:c>
      <x:c r="AO69" s="158">
        <x:v>100</x:v>
      </x:c>
      <x:c r="AP69" s="158">
        <x:v>100</x:v>
      </x:c>
      <x:c r="AQ69" s="158">
        <x:v>100</x:v>
      </x:c>
      <x:c r="AR69" s="620" t="s">
        <x:v>1102</x:v>
      </x:c>
      <x:c r="AS69" s="175">
        <x:v>100</x:v>
      </x:c>
      <x:c r="AT69" s="158">
        <x:v>100</x:v>
      </x:c>
      <x:c r="AU69" s="158">
        <x:v>100</x:v>
      </x:c>
      <x:c r="AV69" s="158">
        <x:v>100</x:v>
      </x:c>
      <x:c r="AW69" s="158">
        <x:v>100</x:v>
      </x:c>
      <x:c r="AX69" s="585" t="s">
        <x:v>1102</x:v>
      </x:c>
      <x:c r="AY69" s="167"/>
      <x:c r="AZ69" s="185"/>
      <x:c r="BA69" s="185"/>
      <x:c r="BB69" s="185"/>
      <x:c r="BC69" s="185"/>
      <x:c r="BD69" s="36"/>
      <x:c r="BE69" s="167"/>
      <x:c r="BF69" s="185"/>
      <x:c r="BG69" s="185"/>
      <x:c r="BH69" s="185"/>
      <x:c r="BI69" s="185"/>
      <x:c r="BJ69" s="36"/>
      <x:c r="BK69" s="167"/>
      <x:c r="BL69" s="185"/>
      <x:c r="BM69" s="185"/>
      <x:c r="BN69" s="185"/>
      <x:c r="BO69" s="185"/>
      <x:c r="BP69" s="36"/>
      <x:c r="BQ69" s="167"/>
      <x:c r="BR69" s="185"/>
      <x:c r="BS69" s="185"/>
      <x:c r="BT69" s="185"/>
      <x:c r="BU69" s="185"/>
      <x:c r="BV69" s="36"/>
    </x:row>
    <x:row r="70" spans="1:74" ht="22.5" customHeight="1" x14ac:dyDescent="0.25">
      <x:c r="A70" s="97" t="s">
        <x:v>542</x:v>
      </x:c>
      <x:c r="B70" s="122" t="s">
        <x:v>16</x:v>
      </x:c>
      <x:c r="C70" s="157"/>
      <x:c r="D70" s="158"/>
      <x:c r="E70" s="158"/>
      <x:c r="F70" s="158"/>
      <x:c r="G70" s="158"/>
      <x:c r="H70" s="197"/>
      <x:c r="I70" s="33"/>
      <x:c r="J70" s="185"/>
      <x:c r="K70" s="185"/>
      <x:c r="L70" s="185"/>
      <x:c r="M70" s="185"/>
      <x:c r="N70" s="36"/>
      <x:c r="O70" s="33"/>
      <x:c r="P70" s="185"/>
      <x:c r="Q70" s="185"/>
      <x:c r="R70" s="185"/>
      <x:c r="S70" s="185"/>
      <x:c r="T70" s="36"/>
      <x:c r="U70" s="33"/>
      <x:c r="V70" s="185"/>
      <x:c r="W70" s="185"/>
      <x:c r="X70" s="185"/>
      <x:c r="Y70" s="185"/>
      <x:c r="Z70" s="36"/>
      <x:c r="AA70" s="167"/>
      <x:c r="AB70" s="185"/>
      <x:c r="AC70" s="185"/>
      <x:c r="AD70" s="185"/>
      <x:c r="AE70" s="185"/>
      <x:c r="AF70" s="36"/>
      <x:c r="AG70" s="167"/>
      <x:c r="AH70" s="185"/>
      <x:c r="AI70" s="185"/>
      <x:c r="AJ70" s="185"/>
      <x:c r="AK70" s="185"/>
      <x:c r="AL70" s="36"/>
      <x:c r="AM70" s="157">
        <x:v>100</x:v>
      </x:c>
      <x:c r="AN70" s="158">
        <x:v>100</x:v>
      </x:c>
      <x:c r="AO70" s="158">
        <x:v>100</x:v>
      </x:c>
      <x:c r="AP70" s="158">
        <x:v>100</x:v>
      </x:c>
      <x:c r="AQ70" s="158">
        <x:v>100</x:v>
      </x:c>
      <x:c r="AR70" s="620" t="s">
        <x:v>1102</x:v>
      </x:c>
      <x:c r="AS70" s="175">
        <x:v>100</x:v>
      </x:c>
      <x:c r="AT70" s="158">
        <x:v>100</x:v>
      </x:c>
      <x:c r="AU70" s="158">
        <x:v>100</x:v>
      </x:c>
      <x:c r="AV70" s="158">
        <x:v>100</x:v>
      </x:c>
      <x:c r="AW70" s="158">
        <x:v>100</x:v>
      </x:c>
      <x:c r="AX70" s="585" t="s">
        <x:v>1102</x:v>
      </x:c>
      <x:c r="AY70" s="167"/>
      <x:c r="AZ70" s="185"/>
      <x:c r="BA70" s="185"/>
      <x:c r="BB70" s="185"/>
      <x:c r="BC70" s="185"/>
      <x:c r="BD70" s="36"/>
      <x:c r="BE70" s="167"/>
      <x:c r="BF70" s="185"/>
      <x:c r="BG70" s="185"/>
      <x:c r="BH70" s="185"/>
      <x:c r="BI70" s="185"/>
      <x:c r="BJ70" s="36"/>
      <x:c r="BK70" s="167"/>
      <x:c r="BL70" s="185"/>
      <x:c r="BM70" s="185"/>
      <x:c r="BN70" s="185"/>
      <x:c r="BO70" s="185"/>
      <x:c r="BP70" s="36"/>
      <x:c r="BQ70" s="167"/>
      <x:c r="BR70" s="185"/>
      <x:c r="BS70" s="185"/>
      <x:c r="BT70" s="185"/>
      <x:c r="BU70" s="185"/>
      <x:c r="BV70" s="36"/>
    </x:row>
    <x:row r="71" spans="1:74" ht="22.5" customHeight="1" x14ac:dyDescent="0.25">
      <x:c r="A71" s="97" t="s">
        <x:v>602</x:v>
      </x:c>
      <x:c r="B71" s="122" t="s">
        <x:v>37</x:v>
      </x:c>
      <x:c r="C71" s="157"/>
      <x:c r="D71" s="158"/>
      <x:c r="E71" s="158"/>
      <x:c r="F71" s="158"/>
      <x:c r="G71" s="158"/>
      <x:c r="H71" s="197"/>
      <x:c r="I71" s="33"/>
      <x:c r="J71" s="185"/>
      <x:c r="K71" s="185"/>
      <x:c r="L71" s="185"/>
      <x:c r="M71" s="185"/>
      <x:c r="N71" s="36"/>
      <x:c r="O71" s="33"/>
      <x:c r="P71" s="185"/>
      <x:c r="Q71" s="185"/>
      <x:c r="R71" s="185"/>
      <x:c r="S71" s="185"/>
      <x:c r="T71" s="36"/>
      <x:c r="U71" s="33"/>
      <x:c r="V71" s="185"/>
      <x:c r="W71" s="185"/>
      <x:c r="X71" s="185"/>
      <x:c r="Y71" s="185"/>
      <x:c r="Z71" s="36"/>
      <x:c r="AA71" s="167"/>
      <x:c r="AB71" s="185"/>
      <x:c r="AC71" s="185"/>
      <x:c r="AD71" s="185"/>
      <x:c r="AE71" s="185"/>
      <x:c r="AF71" s="36"/>
      <x:c r="AG71" s="167"/>
      <x:c r="AH71" s="185"/>
      <x:c r="AI71" s="185"/>
      <x:c r="AJ71" s="185"/>
      <x:c r="AK71" s="185"/>
      <x:c r="AL71" s="36"/>
      <x:c r="AM71" s="157">
        <x:v>100</x:v>
      </x:c>
      <x:c r="AN71" s="158">
        <x:v>100</x:v>
      </x:c>
      <x:c r="AO71" s="158">
        <x:v>100</x:v>
      </x:c>
      <x:c r="AP71" s="158">
        <x:v>100</x:v>
      </x:c>
      <x:c r="AQ71" s="158">
        <x:v>100</x:v>
      </x:c>
      <x:c r="AR71" s="620" t="s">
        <x:v>1102</x:v>
      </x:c>
      <x:c r="AS71" s="175">
        <x:v>100</x:v>
      </x:c>
      <x:c r="AT71" s="158">
        <x:v>100</x:v>
      </x:c>
      <x:c r="AU71" s="158">
        <x:v>100</x:v>
      </x:c>
      <x:c r="AV71" s="158">
        <x:v>100</x:v>
      </x:c>
      <x:c r="AW71" s="158">
        <x:v>100</x:v>
      </x:c>
      <x:c r="AX71" s="585" t="s">
        <x:v>1102</x:v>
      </x:c>
      <x:c r="AY71" s="167"/>
      <x:c r="AZ71" s="185"/>
      <x:c r="BA71" s="185"/>
      <x:c r="BB71" s="185"/>
      <x:c r="BC71" s="185"/>
      <x:c r="BD71" s="36"/>
      <x:c r="BE71" s="167"/>
      <x:c r="BF71" s="185"/>
      <x:c r="BG71" s="185"/>
      <x:c r="BH71" s="185"/>
      <x:c r="BI71" s="185"/>
      <x:c r="BJ71" s="36"/>
      <x:c r="BK71" s="167"/>
      <x:c r="BL71" s="185"/>
      <x:c r="BM71" s="185"/>
      <x:c r="BN71" s="185"/>
      <x:c r="BO71" s="185"/>
      <x:c r="BP71" s="36"/>
      <x:c r="BQ71" s="167"/>
      <x:c r="BR71" s="185"/>
      <x:c r="BS71" s="185"/>
      <x:c r="BT71" s="185"/>
      <x:c r="BU71" s="185"/>
      <x:c r="BV71" s="36"/>
    </x:row>
    <x:row r="72" spans="1:74" ht="22.5" customHeight="1" x14ac:dyDescent="0.25">
      <x:c r="A72" s="97" t="s">
        <x:v>540</x:v>
      </x:c>
      <x:c r="B72" s="122" t="s">
        <x:v>16</x:v>
      </x:c>
      <x:c r="C72" s="157"/>
      <x:c r="D72" s="158"/>
      <x:c r="E72" s="158"/>
      <x:c r="F72" s="158"/>
      <x:c r="G72" s="158"/>
      <x:c r="H72" s="197"/>
      <x:c r="I72" s="33"/>
      <x:c r="J72" s="185"/>
      <x:c r="K72" s="185"/>
      <x:c r="L72" s="185"/>
      <x:c r="M72" s="185"/>
      <x:c r="N72" s="36"/>
      <x:c r="O72" s="33"/>
      <x:c r="P72" s="185"/>
      <x:c r="Q72" s="185"/>
      <x:c r="R72" s="185"/>
      <x:c r="S72" s="185"/>
      <x:c r="T72" s="36"/>
      <x:c r="U72" s="33"/>
      <x:c r="V72" s="185"/>
      <x:c r="W72" s="185"/>
      <x:c r="X72" s="185"/>
      <x:c r="Y72" s="185"/>
      <x:c r="Z72" s="36"/>
      <x:c r="AA72" s="167"/>
      <x:c r="AB72" s="185"/>
      <x:c r="AC72" s="185"/>
      <x:c r="AD72" s="185"/>
      <x:c r="AE72" s="185"/>
      <x:c r="AF72" s="36"/>
      <x:c r="AG72" s="167"/>
      <x:c r="AH72" s="185"/>
      <x:c r="AI72" s="185"/>
      <x:c r="AJ72" s="185"/>
      <x:c r="AK72" s="185"/>
      <x:c r="AL72" s="36"/>
      <x:c r="AM72" s="157">
        <x:v>100</x:v>
      </x:c>
      <x:c r="AN72" s="158">
        <x:v>100</x:v>
      </x:c>
      <x:c r="AO72" s="158">
        <x:v>100</x:v>
      </x:c>
      <x:c r="AP72" s="158">
        <x:v>100</x:v>
      </x:c>
      <x:c r="AQ72" s="158">
        <x:v>100</x:v>
      </x:c>
      <x:c r="AR72" s="620" t="s">
        <x:v>1102</x:v>
      </x:c>
      <x:c r="AS72" s="175">
        <x:v>100</x:v>
      </x:c>
      <x:c r="AT72" s="158">
        <x:v>100</x:v>
      </x:c>
      <x:c r="AU72" s="158">
        <x:v>100</x:v>
      </x:c>
      <x:c r="AV72" s="158">
        <x:v>100</x:v>
      </x:c>
      <x:c r="AW72" s="158">
        <x:v>100</x:v>
      </x:c>
      <x:c r="AX72" s="585" t="s">
        <x:v>1102</x:v>
      </x:c>
      <x:c r="AY72" s="167"/>
      <x:c r="AZ72" s="185"/>
      <x:c r="BA72" s="185"/>
      <x:c r="BB72" s="185"/>
      <x:c r="BC72" s="185"/>
      <x:c r="BD72" s="36"/>
      <x:c r="BE72" s="167"/>
      <x:c r="BF72" s="185"/>
      <x:c r="BG72" s="185"/>
      <x:c r="BH72" s="185"/>
      <x:c r="BI72" s="185"/>
      <x:c r="BJ72" s="36"/>
      <x:c r="BK72" s="167"/>
      <x:c r="BL72" s="185"/>
      <x:c r="BM72" s="185"/>
      <x:c r="BN72" s="185"/>
      <x:c r="BO72" s="185"/>
      <x:c r="BP72" s="36"/>
      <x:c r="BQ72" s="167"/>
      <x:c r="BR72" s="185"/>
      <x:c r="BS72" s="185"/>
      <x:c r="BT72" s="185"/>
      <x:c r="BU72" s="185"/>
      <x:c r="BV72" s="36"/>
    </x:row>
    <x:row r="73" spans="1:74" ht="22.5" customHeight="1" x14ac:dyDescent="0.25">
      <x:c r="A73" s="97" t="s">
        <x:v>573</x:v>
      </x:c>
      <x:c r="B73" s="122" t="s">
        <x:v>23</x:v>
      </x:c>
      <x:c r="C73" s="157"/>
      <x:c r="D73" s="158"/>
      <x:c r="E73" s="158"/>
      <x:c r="F73" s="158"/>
      <x:c r="G73" s="158"/>
      <x:c r="H73" s="197"/>
      <x:c r="I73" s="33"/>
      <x:c r="J73" s="185"/>
      <x:c r="K73" s="185"/>
      <x:c r="L73" s="185"/>
      <x:c r="M73" s="185"/>
      <x:c r="N73" s="36"/>
      <x:c r="O73" s="33"/>
      <x:c r="P73" s="185"/>
      <x:c r="Q73" s="185"/>
      <x:c r="R73" s="185"/>
      <x:c r="S73" s="185"/>
      <x:c r="T73" s="36"/>
      <x:c r="U73" s="33"/>
      <x:c r="V73" s="185"/>
      <x:c r="W73" s="185"/>
      <x:c r="X73" s="185"/>
      <x:c r="Y73" s="185"/>
      <x:c r="Z73" s="36"/>
      <x:c r="AA73" s="167"/>
      <x:c r="AB73" s="185"/>
      <x:c r="AC73" s="185"/>
      <x:c r="AD73" s="185"/>
      <x:c r="AE73" s="185"/>
      <x:c r="AF73" s="36"/>
      <x:c r="AG73" s="167"/>
      <x:c r="AH73" s="185"/>
      <x:c r="AI73" s="185"/>
      <x:c r="AJ73" s="185"/>
      <x:c r="AK73" s="185"/>
      <x:c r="AL73" s="36"/>
      <x:c r="AM73" s="157">
        <x:v>100</x:v>
      </x:c>
      <x:c r="AN73" s="158">
        <x:v>100</x:v>
      </x:c>
      <x:c r="AO73" s="158">
        <x:v>100</x:v>
      </x:c>
      <x:c r="AP73" s="158">
        <x:v>100</x:v>
      </x:c>
      <x:c r="AQ73" s="158">
        <x:v>100</x:v>
      </x:c>
      <x:c r="AR73" s="620" t="s">
        <x:v>1102</x:v>
      </x:c>
      <x:c r="AS73" s="175">
        <x:v>100</x:v>
      </x:c>
      <x:c r="AT73" s="158">
        <x:v>100</x:v>
      </x:c>
      <x:c r="AU73" s="158">
        <x:v>100</x:v>
      </x:c>
      <x:c r="AV73" s="158">
        <x:v>100</x:v>
      </x:c>
      <x:c r="AW73" s="158">
        <x:v>100</x:v>
      </x:c>
      <x:c r="AX73" s="585" t="s">
        <x:v>1102</x:v>
      </x:c>
      <x:c r="AY73" s="167"/>
      <x:c r="AZ73" s="185"/>
      <x:c r="BA73" s="185"/>
      <x:c r="BB73" s="185"/>
      <x:c r="BC73" s="185"/>
      <x:c r="BD73" s="36"/>
      <x:c r="BE73" s="167"/>
      <x:c r="BF73" s="185"/>
      <x:c r="BG73" s="185"/>
      <x:c r="BH73" s="185"/>
      <x:c r="BI73" s="185"/>
      <x:c r="BJ73" s="36"/>
      <x:c r="BK73" s="167"/>
      <x:c r="BL73" s="185"/>
      <x:c r="BM73" s="185"/>
      <x:c r="BN73" s="185"/>
      <x:c r="BO73" s="185"/>
      <x:c r="BP73" s="36"/>
      <x:c r="BQ73" s="167"/>
      <x:c r="BR73" s="185"/>
      <x:c r="BS73" s="185"/>
      <x:c r="BT73" s="185"/>
      <x:c r="BU73" s="185"/>
      <x:c r="BV73" s="36"/>
    </x:row>
    <x:row r="74" spans="1:74" ht="22.5" customHeight="1" x14ac:dyDescent="0.25">
      <x:c r="A74" s="97" t="s">
        <x:v>606</x:v>
      </x:c>
      <x:c r="B74" s="122" t="s">
        <x:v>37</x:v>
      </x:c>
      <x:c r="C74" s="157"/>
      <x:c r="D74" s="158"/>
      <x:c r="E74" s="158"/>
      <x:c r="F74" s="158"/>
      <x:c r="G74" s="158"/>
      <x:c r="H74" s="197"/>
      <x:c r="I74" s="33"/>
      <x:c r="J74" s="185"/>
      <x:c r="K74" s="185"/>
      <x:c r="L74" s="185"/>
      <x:c r="M74" s="185"/>
      <x:c r="N74" s="36"/>
      <x:c r="O74" s="33"/>
      <x:c r="P74" s="185"/>
      <x:c r="Q74" s="185"/>
      <x:c r="R74" s="185"/>
      <x:c r="S74" s="185"/>
      <x:c r="T74" s="36"/>
      <x:c r="U74" s="33"/>
      <x:c r="V74" s="185"/>
      <x:c r="W74" s="185"/>
      <x:c r="X74" s="185"/>
      <x:c r="Y74" s="185"/>
      <x:c r="Z74" s="36"/>
      <x:c r="AA74" s="167"/>
      <x:c r="AB74" s="185"/>
      <x:c r="AC74" s="185"/>
      <x:c r="AD74" s="185"/>
      <x:c r="AE74" s="185"/>
      <x:c r="AF74" s="36"/>
      <x:c r="AG74" s="167"/>
      <x:c r="AH74" s="185"/>
      <x:c r="AI74" s="185"/>
      <x:c r="AJ74" s="185"/>
      <x:c r="AK74" s="185"/>
      <x:c r="AL74" s="36"/>
      <x:c r="AM74" s="157">
        <x:v>100</x:v>
      </x:c>
      <x:c r="AN74" s="158">
        <x:v>100</x:v>
      </x:c>
      <x:c r="AO74" s="158">
        <x:v>100</x:v>
      </x:c>
      <x:c r="AP74" s="158">
        <x:v>100</x:v>
      </x:c>
      <x:c r="AQ74" s="158">
        <x:v>82.35</x:v>
      </x:c>
      <x:c r="AR74" s="620" t="s">
        <x:v>1102</x:v>
      </x:c>
      <x:c r="AS74" s="175">
        <x:v>100</x:v>
      </x:c>
      <x:c r="AT74" s="158">
        <x:v>100</x:v>
      </x:c>
      <x:c r="AU74" s="158">
        <x:v>100</x:v>
      </x:c>
      <x:c r="AV74" s="158">
        <x:v>53.33</x:v>
      </x:c>
      <x:c r="AW74" s="600">
        <x:v>0</x:v>
      </x:c>
      <x:c r="AX74" s="585" t="s">
        <x:v>1102</x:v>
      </x:c>
      <x:c r="AY74" s="167"/>
      <x:c r="AZ74" s="185"/>
      <x:c r="BA74" s="185"/>
      <x:c r="BB74" s="185"/>
      <x:c r="BC74" s="185"/>
      <x:c r="BD74" s="36"/>
      <x:c r="BE74" s="167"/>
      <x:c r="BF74" s="185"/>
      <x:c r="BG74" s="185"/>
      <x:c r="BH74" s="185"/>
      <x:c r="BI74" s="185"/>
      <x:c r="BJ74" s="36"/>
      <x:c r="BK74" s="167"/>
      <x:c r="BL74" s="185"/>
      <x:c r="BM74" s="185"/>
      <x:c r="BN74" s="185"/>
      <x:c r="BO74" s="185"/>
      <x:c r="BP74" s="36"/>
      <x:c r="BQ74" s="167"/>
      <x:c r="BR74" s="185"/>
      <x:c r="BS74" s="185"/>
      <x:c r="BT74" s="185"/>
      <x:c r="BU74" s="185"/>
      <x:c r="BV74" s="36"/>
    </x:row>
    <x:row r="75" spans="1:74" ht="22.5" customHeight="1" x14ac:dyDescent="0.25">
      <x:c r="A75" s="97" t="s">
        <x:v>593</x:v>
      </x:c>
      <x:c r="B75" s="122" t="s">
        <x:v>23</x:v>
      </x:c>
      <x:c r="C75" s="157"/>
      <x:c r="D75" s="158"/>
      <x:c r="E75" s="158"/>
      <x:c r="F75" s="158"/>
      <x:c r="G75" s="158"/>
      <x:c r="H75" s="197"/>
      <x:c r="I75" s="33"/>
      <x:c r="J75" s="185"/>
      <x:c r="K75" s="185"/>
      <x:c r="L75" s="185"/>
      <x:c r="M75" s="185"/>
      <x:c r="N75" s="36"/>
      <x:c r="O75" s="33"/>
      <x:c r="P75" s="185"/>
      <x:c r="Q75" s="185"/>
      <x:c r="R75" s="185"/>
      <x:c r="S75" s="185"/>
      <x:c r="T75" s="36"/>
      <x:c r="U75" s="33"/>
      <x:c r="V75" s="185"/>
      <x:c r="W75" s="185"/>
      <x:c r="X75" s="185"/>
      <x:c r="Y75" s="185"/>
      <x:c r="Z75" s="36"/>
      <x:c r="AA75" s="167"/>
      <x:c r="AB75" s="185"/>
      <x:c r="AC75" s="185"/>
      <x:c r="AD75" s="185"/>
      <x:c r="AE75" s="185"/>
      <x:c r="AF75" s="36"/>
      <x:c r="AG75" s="167"/>
      <x:c r="AH75" s="185"/>
      <x:c r="AI75" s="185"/>
      <x:c r="AJ75" s="185"/>
      <x:c r="AK75" s="185"/>
      <x:c r="AL75" s="36"/>
      <x:c r="AM75" s="157">
        <x:v>100</x:v>
      </x:c>
      <x:c r="AN75" s="158">
        <x:v>100</x:v>
      </x:c>
      <x:c r="AO75" s="158">
        <x:v>100</x:v>
      </x:c>
      <x:c r="AP75" s="158">
        <x:v>100</x:v>
      </x:c>
      <x:c r="AQ75" s="158">
        <x:v>100</x:v>
      </x:c>
      <x:c r="AR75" s="620" t="s">
        <x:v>1102</x:v>
      </x:c>
      <x:c r="AS75" s="175">
        <x:v>100</x:v>
      </x:c>
      <x:c r="AT75" s="158">
        <x:v>100</x:v>
      </x:c>
      <x:c r="AU75" s="158">
        <x:v>100</x:v>
      </x:c>
      <x:c r="AV75" s="158">
        <x:v>100</x:v>
      </x:c>
      <x:c r="AW75" s="158">
        <x:v>100</x:v>
      </x:c>
      <x:c r="AX75" s="585" t="s">
        <x:v>1102</x:v>
      </x:c>
      <x:c r="AY75" s="167"/>
      <x:c r="AZ75" s="185"/>
      <x:c r="BA75" s="185"/>
      <x:c r="BB75" s="185"/>
      <x:c r="BC75" s="185"/>
      <x:c r="BD75" s="36"/>
      <x:c r="BE75" s="167"/>
      <x:c r="BF75" s="185"/>
      <x:c r="BG75" s="185"/>
      <x:c r="BH75" s="185"/>
      <x:c r="BI75" s="185"/>
      <x:c r="BJ75" s="36"/>
      <x:c r="BK75" s="167"/>
      <x:c r="BL75" s="185"/>
      <x:c r="BM75" s="185"/>
      <x:c r="BN75" s="185"/>
      <x:c r="BO75" s="185"/>
      <x:c r="BP75" s="36"/>
      <x:c r="BQ75" s="167"/>
      <x:c r="BR75" s="185"/>
      <x:c r="BS75" s="185"/>
      <x:c r="BT75" s="185"/>
      <x:c r="BU75" s="185"/>
      <x:c r="BV75" s="36"/>
    </x:row>
    <x:row r="76" spans="1:74" ht="22.5" customHeight="1" x14ac:dyDescent="0.25">
      <x:c r="A76" s="97" t="s">
        <x:v>575</x:v>
      </x:c>
      <x:c r="B76" s="122" t="s">
        <x:v>23</x:v>
      </x:c>
      <x:c r="C76" s="157"/>
      <x:c r="D76" s="158"/>
      <x:c r="E76" s="158"/>
      <x:c r="F76" s="158"/>
      <x:c r="G76" s="158"/>
      <x:c r="H76" s="197"/>
      <x:c r="I76" s="33"/>
      <x:c r="J76" s="185"/>
      <x:c r="K76" s="185"/>
      <x:c r="L76" s="185"/>
      <x:c r="M76" s="185"/>
      <x:c r="N76" s="36"/>
      <x:c r="O76" s="33"/>
      <x:c r="P76" s="185"/>
      <x:c r="Q76" s="185"/>
      <x:c r="R76" s="185"/>
      <x:c r="S76" s="185"/>
      <x:c r="T76" s="36"/>
      <x:c r="U76" s="33"/>
      <x:c r="V76" s="185"/>
      <x:c r="W76" s="185"/>
      <x:c r="X76" s="185"/>
      <x:c r="Y76" s="185"/>
      <x:c r="Z76" s="36"/>
      <x:c r="AA76" s="167"/>
      <x:c r="AB76" s="185"/>
      <x:c r="AC76" s="185"/>
      <x:c r="AD76" s="185"/>
      <x:c r="AE76" s="185"/>
      <x:c r="AF76" s="36"/>
      <x:c r="AG76" s="167"/>
      <x:c r="AH76" s="185"/>
      <x:c r="AI76" s="185"/>
      <x:c r="AJ76" s="185"/>
      <x:c r="AK76" s="185"/>
      <x:c r="AL76" s="36"/>
      <x:c r="AM76" s="157">
        <x:v>100</x:v>
      </x:c>
      <x:c r="AN76" s="158">
        <x:v>100</x:v>
      </x:c>
      <x:c r="AO76" s="158">
        <x:v>100</x:v>
      </x:c>
      <x:c r="AP76" s="158">
        <x:v>100</x:v>
      </x:c>
      <x:c r="AQ76" s="158">
        <x:v>100</x:v>
      </x:c>
      <x:c r="AR76" s="620" t="s">
        <x:v>1102</x:v>
      </x:c>
      <x:c r="AS76" s="175">
        <x:v>100</x:v>
      </x:c>
      <x:c r="AT76" s="158">
        <x:v>100</x:v>
      </x:c>
      <x:c r="AU76" s="158">
        <x:v>100</x:v>
      </x:c>
      <x:c r="AV76" s="158">
        <x:v>100</x:v>
      </x:c>
      <x:c r="AW76" s="158">
        <x:v>100</x:v>
      </x:c>
      <x:c r="AX76" s="585" t="s">
        <x:v>1102</x:v>
      </x:c>
      <x:c r="AY76" s="167"/>
      <x:c r="AZ76" s="185"/>
      <x:c r="BA76" s="185"/>
      <x:c r="BB76" s="185"/>
      <x:c r="BC76" s="185"/>
      <x:c r="BD76" s="36"/>
      <x:c r="BE76" s="167"/>
      <x:c r="BF76" s="185"/>
      <x:c r="BG76" s="185"/>
      <x:c r="BH76" s="185"/>
      <x:c r="BI76" s="185"/>
      <x:c r="BJ76" s="36"/>
      <x:c r="BK76" s="167"/>
      <x:c r="BL76" s="185"/>
      <x:c r="BM76" s="185"/>
      <x:c r="BN76" s="185"/>
      <x:c r="BO76" s="185"/>
      <x:c r="BP76" s="36"/>
      <x:c r="BQ76" s="167"/>
      <x:c r="BR76" s="185"/>
      <x:c r="BS76" s="185"/>
      <x:c r="BT76" s="185"/>
      <x:c r="BU76" s="185"/>
      <x:c r="BV76" s="36"/>
    </x:row>
    <x:row r="77" spans="1:74" ht="22.5" customHeight="1" x14ac:dyDescent="0.25">
      <x:c r="A77" s="97" t="s">
        <x:v>543</x:v>
      </x:c>
      <x:c r="B77" s="122" t="s">
        <x:v>16</x:v>
      </x:c>
      <x:c r="C77" s="157"/>
      <x:c r="D77" s="158"/>
      <x:c r="E77" s="158"/>
      <x:c r="F77" s="158"/>
      <x:c r="G77" s="158"/>
      <x:c r="H77" s="197"/>
      <x:c r="I77" s="33"/>
      <x:c r="J77" s="185"/>
      <x:c r="K77" s="185"/>
      <x:c r="L77" s="185"/>
      <x:c r="M77" s="185"/>
      <x:c r="N77" s="36"/>
      <x:c r="O77" s="33"/>
      <x:c r="P77" s="185"/>
      <x:c r="Q77" s="185"/>
      <x:c r="R77" s="185"/>
      <x:c r="S77" s="185"/>
      <x:c r="T77" s="36"/>
      <x:c r="U77" s="33"/>
      <x:c r="V77" s="185"/>
      <x:c r="W77" s="185"/>
      <x:c r="X77" s="185"/>
      <x:c r="Y77" s="185"/>
      <x:c r="Z77" s="36"/>
      <x:c r="AA77" s="167"/>
      <x:c r="AB77" s="185"/>
      <x:c r="AC77" s="185"/>
      <x:c r="AD77" s="185"/>
      <x:c r="AE77" s="185"/>
      <x:c r="AF77" s="36"/>
      <x:c r="AG77" s="167"/>
      <x:c r="AH77" s="185"/>
      <x:c r="AI77" s="185"/>
      <x:c r="AJ77" s="185"/>
      <x:c r="AK77" s="185"/>
      <x:c r="AL77" s="36"/>
      <x:c r="AM77" s="157">
        <x:v>100</x:v>
      </x:c>
      <x:c r="AN77" s="158">
        <x:v>100</x:v>
      </x:c>
      <x:c r="AO77" s="158">
        <x:v>100</x:v>
      </x:c>
      <x:c r="AP77" s="158">
        <x:v>100</x:v>
      </x:c>
      <x:c r="AQ77" s="158">
        <x:v>100</x:v>
      </x:c>
      <x:c r="AR77" s="620" t="s">
        <x:v>1102</x:v>
      </x:c>
      <x:c r="AS77" s="175">
        <x:v>100</x:v>
      </x:c>
      <x:c r="AT77" s="158">
        <x:v>100</x:v>
      </x:c>
      <x:c r="AU77" s="158">
        <x:v>100</x:v>
      </x:c>
      <x:c r="AV77" s="158">
        <x:v>100</x:v>
      </x:c>
      <x:c r="AW77" s="158">
        <x:v>93.33</x:v>
      </x:c>
      <x:c r="AX77" s="585" t="s">
        <x:v>1102</x:v>
      </x:c>
      <x:c r="AY77" s="167"/>
      <x:c r="AZ77" s="185"/>
      <x:c r="BA77" s="185"/>
      <x:c r="BB77" s="185"/>
      <x:c r="BC77" s="185"/>
      <x:c r="BD77" s="36"/>
      <x:c r="BE77" s="167"/>
      <x:c r="BF77" s="185"/>
      <x:c r="BG77" s="185"/>
      <x:c r="BH77" s="185"/>
      <x:c r="BI77" s="185"/>
      <x:c r="BJ77" s="36"/>
      <x:c r="BK77" s="167"/>
      <x:c r="BL77" s="185"/>
      <x:c r="BM77" s="185"/>
      <x:c r="BN77" s="185"/>
      <x:c r="BO77" s="185"/>
      <x:c r="BP77" s="36"/>
      <x:c r="BQ77" s="167"/>
      <x:c r="BR77" s="185"/>
      <x:c r="BS77" s="185"/>
      <x:c r="BT77" s="185"/>
      <x:c r="BU77" s="185"/>
      <x:c r="BV77" s="36"/>
    </x:row>
    <x:row r="78" spans="1:74" ht="22.5" customHeight="1" x14ac:dyDescent="0.25">
      <x:c r="A78" s="97" t="s">
        <x:v>569</x:v>
      </x:c>
      <x:c r="B78" s="122" t="s">
        <x:v>23</x:v>
      </x:c>
      <x:c r="C78" s="157"/>
      <x:c r="D78" s="158"/>
      <x:c r="E78" s="158"/>
      <x:c r="F78" s="158"/>
      <x:c r="G78" s="158"/>
      <x:c r="H78" s="197"/>
      <x:c r="I78" s="33"/>
      <x:c r="J78" s="185"/>
      <x:c r="K78" s="185"/>
      <x:c r="L78" s="185"/>
      <x:c r="M78" s="185"/>
      <x:c r="N78" s="36"/>
      <x:c r="O78" s="33"/>
      <x:c r="P78" s="185"/>
      <x:c r="Q78" s="185"/>
      <x:c r="R78" s="185"/>
      <x:c r="S78" s="185"/>
      <x:c r="T78" s="36"/>
      <x:c r="U78" s="33"/>
      <x:c r="V78" s="185"/>
      <x:c r="W78" s="185"/>
      <x:c r="X78" s="185"/>
      <x:c r="Y78" s="185"/>
      <x:c r="Z78" s="36"/>
      <x:c r="AA78" s="167"/>
      <x:c r="AB78" s="185"/>
      <x:c r="AC78" s="185"/>
      <x:c r="AD78" s="185"/>
      <x:c r="AE78" s="185"/>
      <x:c r="AF78" s="36"/>
      <x:c r="AG78" s="167"/>
      <x:c r="AH78" s="185"/>
      <x:c r="AI78" s="185"/>
      <x:c r="AJ78" s="185"/>
      <x:c r="AK78" s="185"/>
      <x:c r="AL78" s="36"/>
      <x:c r="AM78" s="157">
        <x:v>100</x:v>
      </x:c>
      <x:c r="AN78" s="158">
        <x:v>100</x:v>
      </x:c>
      <x:c r="AO78" s="158">
        <x:v>100</x:v>
      </x:c>
      <x:c r="AP78" s="158">
        <x:v>100</x:v>
      </x:c>
      <x:c r="AQ78" s="158">
        <x:v>100</x:v>
      </x:c>
      <x:c r="AR78" s="620" t="s">
        <x:v>1102</x:v>
      </x:c>
      <x:c r="AS78" s="175">
        <x:v>100</x:v>
      </x:c>
      <x:c r="AT78" s="158">
        <x:v>100</x:v>
      </x:c>
      <x:c r="AU78" s="158">
        <x:v>100</x:v>
      </x:c>
      <x:c r="AV78" s="158">
        <x:v>100</x:v>
      </x:c>
      <x:c r="AW78" s="158">
        <x:v>100</x:v>
      </x:c>
      <x:c r="AX78" s="585" t="s">
        <x:v>1102</x:v>
      </x:c>
      <x:c r="AY78" s="167"/>
      <x:c r="AZ78" s="185"/>
      <x:c r="BA78" s="185"/>
      <x:c r="BB78" s="185"/>
      <x:c r="BC78" s="185"/>
      <x:c r="BD78" s="36"/>
      <x:c r="BE78" s="167"/>
      <x:c r="BF78" s="185"/>
      <x:c r="BG78" s="185"/>
      <x:c r="BH78" s="185"/>
      <x:c r="BI78" s="185"/>
      <x:c r="BJ78" s="36"/>
      <x:c r="BK78" s="167"/>
      <x:c r="BL78" s="185"/>
      <x:c r="BM78" s="185"/>
      <x:c r="BN78" s="185"/>
      <x:c r="BO78" s="185"/>
      <x:c r="BP78" s="36"/>
      <x:c r="BQ78" s="167"/>
      <x:c r="BR78" s="185"/>
      <x:c r="BS78" s="185"/>
      <x:c r="BT78" s="185"/>
      <x:c r="BU78" s="185"/>
      <x:c r="BV78" s="36"/>
    </x:row>
    <x:row r="79" spans="1:74" ht="22.5" customHeight="1" x14ac:dyDescent="0.25">
      <x:c r="A79" s="618" t="s">
        <x:v>536</x:v>
      </x:c>
      <x:c r="B79" s="122" t="s">
        <x:v>183</x:v>
      </x:c>
      <x:c r="C79" s="157"/>
      <x:c r="D79" s="158"/>
      <x:c r="E79" s="158"/>
      <x:c r="F79" s="158"/>
      <x:c r="G79" s="158"/>
      <x:c r="H79" s="197"/>
      <x:c r="I79" s="33"/>
      <x:c r="J79" s="185"/>
      <x:c r="K79" s="185"/>
      <x:c r="L79" s="185"/>
      <x:c r="M79" s="185"/>
      <x:c r="N79" s="36"/>
      <x:c r="O79" s="33"/>
      <x:c r="P79" s="185"/>
      <x:c r="Q79" s="185"/>
      <x:c r="R79" s="185"/>
      <x:c r="S79" s="185"/>
      <x:c r="T79" s="36"/>
      <x:c r="U79" s="33"/>
      <x:c r="V79" s="185"/>
      <x:c r="W79" s="185"/>
      <x:c r="X79" s="185"/>
      <x:c r="Y79" s="185"/>
      <x:c r="Z79" s="36"/>
      <x:c r="AA79" s="167"/>
      <x:c r="AB79" s="185"/>
      <x:c r="AC79" s="185"/>
      <x:c r="AD79" s="185"/>
      <x:c r="AE79" s="185"/>
      <x:c r="AF79" s="36"/>
      <x:c r="AG79" s="167"/>
      <x:c r="AH79" s="185"/>
      <x:c r="AI79" s="185"/>
      <x:c r="AJ79" s="185"/>
      <x:c r="AK79" s="185"/>
      <x:c r="AL79" s="36"/>
      <x:c r="AM79" s="157">
        <x:v>100</x:v>
      </x:c>
      <x:c r="AN79" s="158">
        <x:v>100</x:v>
      </x:c>
      <x:c r="AO79" s="158">
        <x:v>100</x:v>
      </x:c>
      <x:c r="AP79" s="589">
        <x:v>0</x:v>
      </x:c>
      <x:c r="AQ79" s="589">
        <x:v>0</x:v>
      </x:c>
      <x:c r="AR79" s="620" t="s">
        <x:v>1102</x:v>
      </x:c>
      <x:c r="AS79" s="617">
        <x:v>0</x:v>
      </x:c>
      <x:c r="AT79" s="589">
        <x:v>0</x:v>
      </x:c>
      <x:c r="AU79" s="589">
        <x:v>0</x:v>
      </x:c>
      <x:c r="AV79" s="589">
        <x:v>0</x:v>
      </x:c>
      <x:c r="AW79" s="589">
        <x:v>0</x:v>
      </x:c>
      <x:c r="AX79" s="591" t="s">
        <x:v>1103</x:v>
      </x:c>
      <x:c r="AY79" s="167"/>
      <x:c r="AZ79" s="185"/>
      <x:c r="BA79" s="185"/>
      <x:c r="BB79" s="185"/>
      <x:c r="BC79" s="185"/>
      <x:c r="BD79" s="36"/>
      <x:c r="BE79" s="167"/>
      <x:c r="BF79" s="185"/>
      <x:c r="BG79" s="185"/>
      <x:c r="BH79" s="185"/>
      <x:c r="BI79" s="185"/>
      <x:c r="BJ79" s="36"/>
      <x:c r="BK79" s="167"/>
      <x:c r="BL79" s="185"/>
      <x:c r="BM79" s="185"/>
      <x:c r="BN79" s="185"/>
      <x:c r="BO79" s="185"/>
      <x:c r="BP79" s="36"/>
      <x:c r="BQ79" s="167"/>
      <x:c r="BR79" s="185"/>
      <x:c r="BS79" s="185"/>
      <x:c r="BT79" s="185"/>
      <x:c r="BU79" s="185"/>
      <x:c r="BV79" s="36"/>
    </x:row>
    <x:row r="80" spans="1:74" ht="22.5" customHeight="1" x14ac:dyDescent="0.25">
      <x:c r="A80" s="618" t="s">
        <x:v>605</x:v>
      </x:c>
      <x:c r="B80" s="122" t="s">
        <x:v>37</x:v>
      </x:c>
      <x:c r="C80" s="157"/>
      <x:c r="D80" s="158"/>
      <x:c r="E80" s="158"/>
      <x:c r="F80" s="158"/>
      <x:c r="G80" s="158"/>
      <x:c r="H80" s="197"/>
      <x:c r="I80" s="33"/>
      <x:c r="J80" s="185"/>
      <x:c r="K80" s="185"/>
      <x:c r="L80" s="185"/>
      <x:c r="M80" s="185"/>
      <x:c r="N80" s="36"/>
      <x:c r="O80" s="33"/>
      <x:c r="P80" s="185"/>
      <x:c r="Q80" s="185"/>
      <x:c r="R80" s="185"/>
      <x:c r="S80" s="185"/>
      <x:c r="T80" s="36"/>
      <x:c r="U80" s="33"/>
      <x:c r="V80" s="185"/>
      <x:c r="W80" s="185"/>
      <x:c r="X80" s="185"/>
      <x:c r="Y80" s="185"/>
      <x:c r="Z80" s="36"/>
      <x:c r="AA80" s="167"/>
      <x:c r="AB80" s="185"/>
      <x:c r="AC80" s="185"/>
      <x:c r="AD80" s="185"/>
      <x:c r="AE80" s="185"/>
      <x:c r="AF80" s="36"/>
      <x:c r="AG80" s="167"/>
      <x:c r="AH80" s="185"/>
      <x:c r="AI80" s="185"/>
      <x:c r="AJ80" s="185"/>
      <x:c r="AK80" s="185"/>
      <x:c r="AL80" s="36"/>
      <x:c r="AM80" s="588">
        <x:v>0</x:v>
      </x:c>
      <x:c r="AN80" s="589">
        <x:v>0</x:v>
      </x:c>
      <x:c r="AO80" s="589">
        <x:v>0</x:v>
      </x:c>
      <x:c r="AP80" s="589">
        <x:v>0</x:v>
      </x:c>
      <x:c r="AQ80" s="589">
        <x:v>0</x:v>
      </x:c>
      <x:c r="AR80" s="591" t="s">
        <x:v>1103</x:v>
      </x:c>
      <x:c r="AS80" s="617">
        <x:v>0</x:v>
      </x:c>
      <x:c r="AT80" s="589">
        <x:v>0</x:v>
      </x:c>
      <x:c r="AU80" s="589">
        <x:v>0</x:v>
      </x:c>
      <x:c r="AV80" s="589">
        <x:v>0</x:v>
      </x:c>
      <x:c r="AW80" s="589">
        <x:v>0</x:v>
      </x:c>
      <x:c r="AX80" s="591" t="s">
        <x:v>1103</x:v>
      </x:c>
      <x:c r="AY80" s="167"/>
      <x:c r="AZ80" s="185"/>
      <x:c r="BA80" s="185"/>
      <x:c r="BB80" s="185"/>
      <x:c r="BC80" s="185"/>
      <x:c r="BD80" s="36"/>
      <x:c r="BE80" s="167"/>
      <x:c r="BF80" s="185"/>
      <x:c r="BG80" s="185"/>
      <x:c r="BH80" s="185"/>
      <x:c r="BI80" s="185"/>
      <x:c r="BJ80" s="36"/>
      <x:c r="BK80" s="167"/>
      <x:c r="BL80" s="185"/>
      <x:c r="BM80" s="185"/>
      <x:c r="BN80" s="185"/>
      <x:c r="BO80" s="185"/>
      <x:c r="BP80" s="36"/>
      <x:c r="BQ80" s="167"/>
      <x:c r="BR80" s="185"/>
      <x:c r="BS80" s="185"/>
      <x:c r="BT80" s="185"/>
      <x:c r="BU80" s="185"/>
      <x:c r="BV80" s="36"/>
    </x:row>
    <x:row r="81" spans="1:74" ht="22.5" customHeight="1" x14ac:dyDescent="0.25">
      <x:c r="A81" s="97" t="s">
        <x:v>534</x:v>
      </x:c>
      <x:c r="B81" s="122" t="s">
        <x:v>183</x:v>
      </x:c>
      <x:c r="C81" s="157"/>
      <x:c r="D81" s="158"/>
      <x:c r="E81" s="158"/>
      <x:c r="F81" s="158"/>
      <x:c r="G81" s="158"/>
      <x:c r="H81" s="197"/>
      <x:c r="I81" s="33"/>
      <x:c r="J81" s="185"/>
      <x:c r="K81" s="185"/>
      <x:c r="L81" s="185"/>
      <x:c r="M81" s="185"/>
      <x:c r="N81" s="36"/>
      <x:c r="O81" s="33"/>
      <x:c r="P81" s="185"/>
      <x:c r="Q81" s="185"/>
      <x:c r="R81" s="185"/>
      <x:c r="S81" s="185"/>
      <x:c r="T81" s="36"/>
      <x:c r="U81" s="33"/>
      <x:c r="V81" s="185"/>
      <x:c r="W81" s="185"/>
      <x:c r="X81" s="185"/>
      <x:c r="Y81" s="185"/>
      <x:c r="Z81" s="36"/>
      <x:c r="AA81" s="167"/>
      <x:c r="AB81" s="185"/>
      <x:c r="AC81" s="185"/>
      <x:c r="AD81" s="185"/>
      <x:c r="AE81" s="185"/>
      <x:c r="AF81" s="36"/>
      <x:c r="AG81" s="167"/>
      <x:c r="AH81" s="185"/>
      <x:c r="AI81" s="185"/>
      <x:c r="AJ81" s="185"/>
      <x:c r="AK81" s="185"/>
      <x:c r="AL81" s="36"/>
      <x:c r="AM81" s="157">
        <x:v>100</x:v>
      </x:c>
      <x:c r="AN81" s="158">
        <x:v>100</x:v>
      </x:c>
      <x:c r="AO81" s="158">
        <x:v>100</x:v>
      </x:c>
      <x:c r="AP81" s="589">
        <x:v>0</x:v>
      </x:c>
      <x:c r="AQ81" s="589">
        <x:v>0</x:v>
      </x:c>
      <x:c r="AR81" s="620" t="s">
        <x:v>1102</x:v>
      </x:c>
      <x:c r="AS81" s="175">
        <x:v>100</x:v>
      </x:c>
      <x:c r="AT81" s="158">
        <x:v>100</x:v>
      </x:c>
      <x:c r="AU81" s="158">
        <x:v>100</x:v>
      </x:c>
      <x:c r="AV81" s="600">
        <x:v>0</x:v>
      </x:c>
      <x:c r="AW81" s="600">
        <x:v>0</x:v>
      </x:c>
      <x:c r="AX81" s="585" t="s">
        <x:v>1102</x:v>
      </x:c>
      <x:c r="AY81" s="167"/>
      <x:c r="AZ81" s="185"/>
      <x:c r="BA81" s="185"/>
      <x:c r="BB81" s="185"/>
      <x:c r="BC81" s="185"/>
      <x:c r="BD81" s="36"/>
      <x:c r="BE81" s="167"/>
      <x:c r="BF81" s="185"/>
      <x:c r="BG81" s="185"/>
      <x:c r="BH81" s="185"/>
      <x:c r="BI81" s="185"/>
      <x:c r="BJ81" s="36"/>
      <x:c r="BK81" s="167"/>
      <x:c r="BL81" s="185"/>
      <x:c r="BM81" s="185"/>
      <x:c r="BN81" s="185"/>
      <x:c r="BO81" s="185"/>
      <x:c r="BP81" s="36"/>
      <x:c r="BQ81" s="167"/>
      <x:c r="BR81" s="185"/>
      <x:c r="BS81" s="185"/>
      <x:c r="BT81" s="185"/>
      <x:c r="BU81" s="185"/>
      <x:c r="BV81" s="36"/>
    </x:row>
    <x:row r="82" spans="1:74" ht="22.5" customHeight="1" x14ac:dyDescent="0.25">
      <x:c r="A82" s="97" t="s">
        <x:v>582</x:v>
      </x:c>
      <x:c r="B82" s="122" t="s">
        <x:v>23</x:v>
      </x:c>
      <x:c r="C82" s="157"/>
      <x:c r="D82" s="158"/>
      <x:c r="E82" s="158"/>
      <x:c r="F82" s="158"/>
      <x:c r="G82" s="158"/>
      <x:c r="H82" s="197"/>
      <x:c r="I82" s="33"/>
      <x:c r="J82" s="185"/>
      <x:c r="K82" s="185"/>
      <x:c r="L82" s="185"/>
      <x:c r="M82" s="185"/>
      <x:c r="N82" s="36"/>
      <x:c r="O82" s="33"/>
      <x:c r="P82" s="185"/>
      <x:c r="Q82" s="185"/>
      <x:c r="R82" s="185"/>
      <x:c r="S82" s="185"/>
      <x:c r="T82" s="36"/>
      <x:c r="U82" s="33"/>
      <x:c r="V82" s="185"/>
      <x:c r="W82" s="185"/>
      <x:c r="X82" s="185"/>
      <x:c r="Y82" s="185"/>
      <x:c r="Z82" s="36"/>
      <x:c r="AA82" s="167"/>
      <x:c r="AB82" s="185"/>
      <x:c r="AC82" s="185"/>
      <x:c r="AD82" s="185"/>
      <x:c r="AE82" s="185"/>
      <x:c r="AF82" s="36"/>
      <x:c r="AG82" s="167"/>
      <x:c r="AH82" s="185"/>
      <x:c r="AI82" s="185"/>
      <x:c r="AJ82" s="185"/>
      <x:c r="AK82" s="185"/>
      <x:c r="AL82" s="36"/>
      <x:c r="AM82" s="157">
        <x:v>100</x:v>
      </x:c>
      <x:c r="AN82" s="158">
        <x:v>100</x:v>
      </x:c>
      <x:c r="AO82" s="158">
        <x:v>100</x:v>
      </x:c>
      <x:c r="AP82" s="158">
        <x:v>100</x:v>
      </x:c>
      <x:c r="AQ82" s="158">
        <x:v>100</x:v>
      </x:c>
      <x:c r="AR82" s="620" t="s">
        <x:v>1102</x:v>
      </x:c>
      <x:c r="AS82" s="175">
        <x:v>100</x:v>
      </x:c>
      <x:c r="AT82" s="158">
        <x:v>100</x:v>
      </x:c>
      <x:c r="AU82" s="158">
        <x:v>100</x:v>
      </x:c>
      <x:c r="AV82" s="158">
        <x:v>100</x:v>
      </x:c>
      <x:c r="AW82" s="158">
        <x:v>100</x:v>
      </x:c>
      <x:c r="AX82" s="585" t="s">
        <x:v>1102</x:v>
      </x:c>
      <x:c r="AY82" s="167"/>
      <x:c r="AZ82" s="185"/>
      <x:c r="BA82" s="185"/>
      <x:c r="BB82" s="185"/>
      <x:c r="BC82" s="185"/>
      <x:c r="BD82" s="36"/>
      <x:c r="BE82" s="167"/>
      <x:c r="BF82" s="185"/>
      <x:c r="BG82" s="185"/>
      <x:c r="BH82" s="185"/>
      <x:c r="BI82" s="185"/>
      <x:c r="BJ82" s="36"/>
      <x:c r="BK82" s="167"/>
      <x:c r="BL82" s="185"/>
      <x:c r="BM82" s="185"/>
      <x:c r="BN82" s="185"/>
      <x:c r="BO82" s="185"/>
      <x:c r="BP82" s="36"/>
      <x:c r="BQ82" s="167"/>
      <x:c r="BR82" s="185"/>
      <x:c r="BS82" s="185"/>
      <x:c r="BT82" s="185"/>
      <x:c r="BU82" s="185"/>
      <x:c r="BV82" s="36"/>
    </x:row>
    <x:row r="83" spans="1:74" ht="22.5" customHeight="1" x14ac:dyDescent="0.25">
      <x:c r="A83" s="97" t="s">
        <x:v>521</x:v>
      </x:c>
      <x:c r="B83" s="122" t="s">
        <x:v>183</x:v>
      </x:c>
      <x:c r="C83" s="157"/>
      <x:c r="D83" s="158"/>
      <x:c r="E83" s="158"/>
      <x:c r="F83" s="158"/>
      <x:c r="G83" s="158"/>
      <x:c r="H83" s="197"/>
      <x:c r="I83" s="33"/>
      <x:c r="J83" s="185"/>
      <x:c r="K83" s="185"/>
      <x:c r="L83" s="185"/>
      <x:c r="M83" s="185"/>
      <x:c r="N83" s="36"/>
      <x:c r="O83" s="33"/>
      <x:c r="P83" s="185"/>
      <x:c r="Q83" s="185"/>
      <x:c r="R83" s="185"/>
      <x:c r="S83" s="185"/>
      <x:c r="T83" s="36"/>
      <x:c r="U83" s="33"/>
      <x:c r="V83" s="185"/>
      <x:c r="W83" s="185"/>
      <x:c r="X83" s="185"/>
      <x:c r="Y83" s="185"/>
      <x:c r="Z83" s="36"/>
      <x:c r="AA83" s="167"/>
      <x:c r="AB83" s="185"/>
      <x:c r="AC83" s="185"/>
      <x:c r="AD83" s="185"/>
      <x:c r="AE83" s="185"/>
      <x:c r="AF83" s="36"/>
      <x:c r="AG83" s="167"/>
      <x:c r="AH83" s="185"/>
      <x:c r="AI83" s="185"/>
      <x:c r="AJ83" s="185"/>
      <x:c r="AK83" s="185"/>
      <x:c r="AL83" s="36"/>
      <x:c r="AM83" s="157">
        <x:v>100</x:v>
      </x:c>
      <x:c r="AN83" s="158">
        <x:v>100</x:v>
      </x:c>
      <x:c r="AO83" s="158">
        <x:v>100</x:v>
      </x:c>
      <x:c r="AP83" s="589">
        <x:v>0</x:v>
      </x:c>
      <x:c r="AQ83" s="589">
        <x:v>0</x:v>
      </x:c>
      <x:c r="AR83" s="620" t="s">
        <x:v>1102</x:v>
      </x:c>
      <x:c r="AS83" s="175">
        <x:v>100</x:v>
      </x:c>
      <x:c r="AT83" s="158">
        <x:v>100</x:v>
      </x:c>
      <x:c r="AU83" s="158">
        <x:v>100</x:v>
      </x:c>
      <x:c r="AV83" s="600">
        <x:v>0</x:v>
      </x:c>
      <x:c r="AW83" s="600">
        <x:v>0</x:v>
      </x:c>
      <x:c r="AX83" s="585" t="s">
        <x:v>1102</x:v>
      </x:c>
      <x:c r="AY83" s="167"/>
      <x:c r="AZ83" s="185"/>
      <x:c r="BA83" s="185"/>
      <x:c r="BB83" s="185"/>
      <x:c r="BC83" s="185"/>
      <x:c r="BD83" s="36"/>
      <x:c r="BE83" s="167"/>
      <x:c r="BF83" s="185"/>
      <x:c r="BG83" s="185"/>
      <x:c r="BH83" s="185"/>
      <x:c r="BI83" s="185"/>
      <x:c r="BJ83" s="36"/>
      <x:c r="BK83" s="167"/>
      <x:c r="BL83" s="185"/>
      <x:c r="BM83" s="185"/>
      <x:c r="BN83" s="185"/>
      <x:c r="BO83" s="185"/>
      <x:c r="BP83" s="36"/>
      <x:c r="BQ83" s="167"/>
      <x:c r="BR83" s="185"/>
      <x:c r="BS83" s="185"/>
      <x:c r="BT83" s="185"/>
      <x:c r="BU83" s="185"/>
      <x:c r="BV83" s="36"/>
    </x:row>
    <x:row r="84" spans="1:74" ht="22.5" customHeight="1" x14ac:dyDescent="0.25">
      <x:c r="A84" s="97" t="s">
        <x:v>520</x:v>
      </x:c>
      <x:c r="B84" s="122" t="s">
        <x:v>23</x:v>
      </x:c>
      <x:c r="C84" s="157"/>
      <x:c r="D84" s="158"/>
      <x:c r="E84" s="158"/>
      <x:c r="F84" s="158"/>
      <x:c r="G84" s="158"/>
      <x:c r="H84" s="197"/>
      <x:c r="I84" s="33"/>
      <x:c r="J84" s="185"/>
      <x:c r="K84" s="185"/>
      <x:c r="L84" s="185"/>
      <x:c r="M84" s="185"/>
      <x:c r="N84" s="36"/>
      <x:c r="O84" s="33"/>
      <x:c r="P84" s="185"/>
      <x:c r="Q84" s="185"/>
      <x:c r="R84" s="185"/>
      <x:c r="S84" s="185"/>
      <x:c r="T84" s="36"/>
      <x:c r="U84" s="33"/>
      <x:c r="V84" s="185"/>
      <x:c r="W84" s="185"/>
      <x:c r="X84" s="185"/>
      <x:c r="Y84" s="185"/>
      <x:c r="Z84" s="36"/>
      <x:c r="AA84" s="167"/>
      <x:c r="AB84" s="185"/>
      <x:c r="AC84" s="185"/>
      <x:c r="AD84" s="185"/>
      <x:c r="AE84" s="185"/>
      <x:c r="AF84" s="36"/>
      <x:c r="AG84" s="167"/>
      <x:c r="AH84" s="185"/>
      <x:c r="AI84" s="185"/>
      <x:c r="AJ84" s="185"/>
      <x:c r="AK84" s="185"/>
      <x:c r="AL84" s="36"/>
      <x:c r="AM84" s="157">
        <x:v>100</x:v>
      </x:c>
      <x:c r="AN84" s="158">
        <x:v>100</x:v>
      </x:c>
      <x:c r="AO84" s="158">
        <x:v>100</x:v>
      </x:c>
      <x:c r="AP84" s="158">
        <x:v>100</x:v>
      </x:c>
      <x:c r="AQ84" s="158">
        <x:v>100</x:v>
      </x:c>
      <x:c r="AR84" s="620" t="s">
        <x:v>1102</x:v>
      </x:c>
      <x:c r="AS84" s="175">
        <x:v>100</x:v>
      </x:c>
      <x:c r="AT84" s="158">
        <x:v>100</x:v>
      </x:c>
      <x:c r="AU84" s="158">
        <x:v>100</x:v>
      </x:c>
      <x:c r="AV84" s="158">
        <x:v>100</x:v>
      </x:c>
      <x:c r="AW84" s="158">
        <x:v>100</x:v>
      </x:c>
      <x:c r="AX84" s="585" t="s">
        <x:v>1102</x:v>
      </x:c>
      <x:c r="AY84" s="167"/>
      <x:c r="AZ84" s="185"/>
      <x:c r="BA84" s="185"/>
      <x:c r="BB84" s="185"/>
      <x:c r="BC84" s="185"/>
      <x:c r="BD84" s="36"/>
      <x:c r="BE84" s="167"/>
      <x:c r="BF84" s="185"/>
      <x:c r="BG84" s="185"/>
      <x:c r="BH84" s="185"/>
      <x:c r="BI84" s="185"/>
      <x:c r="BJ84" s="36"/>
      <x:c r="BK84" s="167"/>
      <x:c r="BL84" s="185"/>
      <x:c r="BM84" s="185"/>
      <x:c r="BN84" s="185"/>
      <x:c r="BO84" s="185"/>
      <x:c r="BP84" s="36"/>
      <x:c r="BQ84" s="167"/>
      <x:c r="BR84" s="185"/>
      <x:c r="BS84" s="185"/>
      <x:c r="BT84" s="185"/>
      <x:c r="BU84" s="185"/>
      <x:c r="BV84" s="36"/>
    </x:row>
    <x:row r="85" spans="1:74" ht="22.5" customHeight="1" x14ac:dyDescent="0.25">
      <x:c r="A85" s="97" t="s">
        <x:v>570</x:v>
      </x:c>
      <x:c r="B85" s="122" t="s">
        <x:v>23</x:v>
      </x:c>
      <x:c r="C85" s="157"/>
      <x:c r="D85" s="158"/>
      <x:c r="E85" s="158"/>
      <x:c r="F85" s="158"/>
      <x:c r="G85" s="158"/>
      <x:c r="H85" s="197"/>
      <x:c r="I85" s="33"/>
      <x:c r="J85" s="185"/>
      <x:c r="K85" s="185"/>
      <x:c r="L85" s="185"/>
      <x:c r="M85" s="185"/>
      <x:c r="N85" s="36"/>
      <x:c r="O85" s="33"/>
      <x:c r="P85" s="185"/>
      <x:c r="Q85" s="185"/>
      <x:c r="R85" s="185"/>
      <x:c r="S85" s="185"/>
      <x:c r="T85" s="36"/>
      <x:c r="U85" s="33"/>
      <x:c r="V85" s="185"/>
      <x:c r="W85" s="185"/>
      <x:c r="X85" s="185"/>
      <x:c r="Y85" s="185"/>
      <x:c r="Z85" s="36"/>
      <x:c r="AA85" s="167"/>
      <x:c r="AB85" s="185"/>
      <x:c r="AC85" s="185"/>
      <x:c r="AD85" s="185"/>
      <x:c r="AE85" s="185"/>
      <x:c r="AF85" s="36"/>
      <x:c r="AG85" s="167"/>
      <x:c r="AH85" s="185"/>
      <x:c r="AI85" s="185"/>
      <x:c r="AJ85" s="185"/>
      <x:c r="AK85" s="185"/>
      <x:c r="AL85" s="36"/>
      <x:c r="AM85" s="157">
        <x:v>100</x:v>
      </x:c>
      <x:c r="AN85" s="158">
        <x:v>100</x:v>
      </x:c>
      <x:c r="AO85" s="158">
        <x:v>100</x:v>
      </x:c>
      <x:c r="AP85" s="158">
        <x:v>100</x:v>
      </x:c>
      <x:c r="AQ85" s="158">
        <x:v>100</x:v>
      </x:c>
      <x:c r="AR85" s="620" t="s">
        <x:v>1102</x:v>
      </x:c>
      <x:c r="AS85" s="175">
        <x:v>100</x:v>
      </x:c>
      <x:c r="AT85" s="158">
        <x:v>100</x:v>
      </x:c>
      <x:c r="AU85" s="158">
        <x:v>100</x:v>
      </x:c>
      <x:c r="AV85" s="158">
        <x:v>100</x:v>
      </x:c>
      <x:c r="AW85" s="158">
        <x:v>100</x:v>
      </x:c>
      <x:c r="AX85" s="585" t="s">
        <x:v>1102</x:v>
      </x:c>
      <x:c r="AY85" s="167"/>
      <x:c r="AZ85" s="185"/>
      <x:c r="BA85" s="185"/>
      <x:c r="BB85" s="185"/>
      <x:c r="BC85" s="185"/>
      <x:c r="BD85" s="36"/>
      <x:c r="BE85" s="167"/>
      <x:c r="BF85" s="185"/>
      <x:c r="BG85" s="185"/>
      <x:c r="BH85" s="185"/>
      <x:c r="BI85" s="185"/>
      <x:c r="BJ85" s="36"/>
      <x:c r="BK85" s="167"/>
      <x:c r="BL85" s="185"/>
      <x:c r="BM85" s="185"/>
      <x:c r="BN85" s="185"/>
      <x:c r="BO85" s="185"/>
      <x:c r="BP85" s="36"/>
      <x:c r="BQ85" s="167"/>
      <x:c r="BR85" s="185"/>
      <x:c r="BS85" s="185"/>
      <x:c r="BT85" s="185"/>
      <x:c r="BU85" s="185"/>
      <x:c r="BV85" s="36"/>
    </x:row>
    <x:row r="86" spans="1:74" ht="22.5" customHeight="1" x14ac:dyDescent="0.25">
      <x:c r="A86" s="97" t="s">
        <x:v>604</x:v>
      </x:c>
      <x:c r="B86" s="122" t="s">
        <x:v>37</x:v>
      </x:c>
      <x:c r="C86" s="157"/>
      <x:c r="D86" s="158"/>
      <x:c r="E86" s="158"/>
      <x:c r="F86" s="158"/>
      <x:c r="G86" s="158"/>
      <x:c r="H86" s="197"/>
      <x:c r="I86" s="33"/>
      <x:c r="J86" s="185"/>
      <x:c r="K86" s="185"/>
      <x:c r="L86" s="185"/>
      <x:c r="M86" s="185"/>
      <x:c r="N86" s="36"/>
      <x:c r="O86" s="33"/>
      <x:c r="P86" s="185"/>
      <x:c r="Q86" s="185"/>
      <x:c r="R86" s="185"/>
      <x:c r="S86" s="185"/>
      <x:c r="T86" s="36"/>
      <x:c r="U86" s="33"/>
      <x:c r="V86" s="185"/>
      <x:c r="W86" s="185"/>
      <x:c r="X86" s="185"/>
      <x:c r="Y86" s="185"/>
      <x:c r="Z86" s="36"/>
      <x:c r="AA86" s="167"/>
      <x:c r="AB86" s="185"/>
      <x:c r="AC86" s="185"/>
      <x:c r="AD86" s="185"/>
      <x:c r="AE86" s="185"/>
      <x:c r="AF86" s="36"/>
      <x:c r="AG86" s="167"/>
      <x:c r="AH86" s="185"/>
      <x:c r="AI86" s="185"/>
      <x:c r="AJ86" s="185"/>
      <x:c r="AK86" s="185"/>
      <x:c r="AL86" s="36"/>
      <x:c r="AM86" s="157">
        <x:v>100</x:v>
      </x:c>
      <x:c r="AN86" s="158">
        <x:v>100</x:v>
      </x:c>
      <x:c r="AO86" s="158">
        <x:v>100</x:v>
      </x:c>
      <x:c r="AP86" s="158">
        <x:v>100</x:v>
      </x:c>
      <x:c r="AQ86" s="158">
        <x:v>100</x:v>
      </x:c>
      <x:c r="AR86" s="620" t="s">
        <x:v>1102</x:v>
      </x:c>
      <x:c r="AS86" s="175">
        <x:v>100</x:v>
      </x:c>
      <x:c r="AT86" s="158">
        <x:v>100</x:v>
      </x:c>
      <x:c r="AU86" s="158">
        <x:v>100</x:v>
      </x:c>
      <x:c r="AV86" s="158">
        <x:v>100</x:v>
      </x:c>
      <x:c r="AW86" s="158">
        <x:v>100</x:v>
      </x:c>
      <x:c r="AX86" s="585" t="s">
        <x:v>1102</x:v>
      </x:c>
      <x:c r="AY86" s="167"/>
      <x:c r="AZ86" s="185"/>
      <x:c r="BA86" s="185"/>
      <x:c r="BB86" s="185"/>
      <x:c r="BC86" s="185"/>
      <x:c r="BD86" s="36"/>
      <x:c r="BE86" s="167"/>
      <x:c r="BF86" s="185"/>
      <x:c r="BG86" s="185"/>
      <x:c r="BH86" s="185"/>
      <x:c r="BI86" s="185"/>
      <x:c r="BJ86" s="36"/>
      <x:c r="BK86" s="167"/>
      <x:c r="BL86" s="185"/>
      <x:c r="BM86" s="185"/>
      <x:c r="BN86" s="185"/>
      <x:c r="BO86" s="185"/>
      <x:c r="BP86" s="36"/>
      <x:c r="BQ86" s="167"/>
      <x:c r="BR86" s="185"/>
      <x:c r="BS86" s="185"/>
      <x:c r="BT86" s="185"/>
      <x:c r="BU86" s="185"/>
      <x:c r="BV86" s="36"/>
    </x:row>
    <x:row r="87" spans="1:74" ht="22.5" customHeight="1" x14ac:dyDescent="0.25">
      <x:c r="A87" s="97" t="s">
        <x:v>535</x:v>
      </x:c>
      <x:c r="B87" s="122" t="s">
        <x:v>183</x:v>
      </x:c>
      <x:c r="C87" s="157"/>
      <x:c r="D87" s="158"/>
      <x:c r="E87" s="158"/>
      <x:c r="F87" s="158"/>
      <x:c r="G87" s="158"/>
      <x:c r="H87" s="197"/>
      <x:c r="I87" s="33"/>
      <x:c r="J87" s="185"/>
      <x:c r="K87" s="185"/>
      <x:c r="L87" s="185"/>
      <x:c r="M87" s="185"/>
      <x:c r="N87" s="36"/>
      <x:c r="O87" s="33"/>
      <x:c r="P87" s="185"/>
      <x:c r="Q87" s="185"/>
      <x:c r="R87" s="185"/>
      <x:c r="S87" s="185"/>
      <x:c r="T87" s="36"/>
      <x:c r="U87" s="33"/>
      <x:c r="V87" s="185"/>
      <x:c r="W87" s="185"/>
      <x:c r="X87" s="185"/>
      <x:c r="Y87" s="185"/>
      <x:c r="Z87" s="36"/>
      <x:c r="AA87" s="167"/>
      <x:c r="AB87" s="185"/>
      <x:c r="AC87" s="185"/>
      <x:c r="AD87" s="185"/>
      <x:c r="AE87" s="185"/>
      <x:c r="AF87" s="36"/>
      <x:c r="AG87" s="167"/>
      <x:c r="AH87" s="185"/>
      <x:c r="AI87" s="185"/>
      <x:c r="AJ87" s="185"/>
      <x:c r="AK87" s="185"/>
      <x:c r="AL87" s="36"/>
      <x:c r="AM87" s="157">
        <x:v>100</x:v>
      </x:c>
      <x:c r="AN87" s="158">
        <x:v>100</x:v>
      </x:c>
      <x:c r="AO87" s="158">
        <x:v>100</x:v>
      </x:c>
      <x:c r="AP87" s="589">
        <x:v>0</x:v>
      </x:c>
      <x:c r="AQ87" s="589">
        <x:v>0</x:v>
      </x:c>
      <x:c r="AR87" s="620" t="s">
        <x:v>1102</x:v>
      </x:c>
      <x:c r="AS87" s="175">
        <x:v>100</x:v>
      </x:c>
      <x:c r="AT87" s="158">
        <x:v>100</x:v>
      </x:c>
      <x:c r="AU87" s="158">
        <x:v>100</x:v>
      </x:c>
      <x:c r="AV87" s="600">
        <x:v>0</x:v>
      </x:c>
      <x:c r="AW87" s="600">
        <x:v>0</x:v>
      </x:c>
      <x:c r="AX87" s="585" t="s">
        <x:v>1102</x:v>
      </x:c>
      <x:c r="AY87" s="167"/>
      <x:c r="AZ87" s="185"/>
      <x:c r="BA87" s="185"/>
      <x:c r="BB87" s="185"/>
      <x:c r="BC87" s="185"/>
      <x:c r="BD87" s="36"/>
      <x:c r="BE87" s="167"/>
      <x:c r="BF87" s="185"/>
      <x:c r="BG87" s="185"/>
      <x:c r="BH87" s="185"/>
      <x:c r="BI87" s="185"/>
      <x:c r="BJ87" s="36"/>
      <x:c r="BK87" s="167"/>
      <x:c r="BL87" s="185"/>
      <x:c r="BM87" s="185"/>
      <x:c r="BN87" s="185"/>
      <x:c r="BO87" s="185"/>
      <x:c r="BP87" s="36"/>
      <x:c r="BQ87" s="167"/>
      <x:c r="BR87" s="185"/>
      <x:c r="BS87" s="185"/>
      <x:c r="BT87" s="185"/>
      <x:c r="BU87" s="185"/>
      <x:c r="BV87" s="36"/>
    </x:row>
    <x:row r="88" spans="1:74" ht="22.5" customHeight="1" x14ac:dyDescent="0.25">
      <x:c r="A88" s="619" t="s">
        <x:v>518</x:v>
      </x:c>
      <x:c r="B88" s="646" t="s">
        <x:v>14</x:v>
      </x:c>
      <x:c r="C88" s="157"/>
      <x:c r="D88" s="158"/>
      <x:c r="E88" s="158"/>
      <x:c r="F88" s="158"/>
      <x:c r="G88" s="158"/>
      <x:c r="H88" s="197"/>
      <x:c r="I88" s="33"/>
      <x:c r="J88" s="185"/>
      <x:c r="K88" s="185"/>
      <x:c r="L88" s="185"/>
      <x:c r="M88" s="185"/>
      <x:c r="N88" s="36"/>
      <x:c r="O88" s="33"/>
      <x:c r="P88" s="185"/>
      <x:c r="Q88" s="185"/>
      <x:c r="R88" s="185"/>
      <x:c r="S88" s="185"/>
      <x:c r="T88" s="36"/>
      <x:c r="U88" s="33"/>
      <x:c r="V88" s="185"/>
      <x:c r="W88" s="185"/>
      <x:c r="X88" s="185"/>
      <x:c r="Y88" s="185"/>
      <x:c r="Z88" s="36"/>
      <x:c r="AA88" s="167"/>
      <x:c r="AB88" s="185"/>
      <x:c r="AC88" s="185"/>
      <x:c r="AD88" s="185"/>
      <x:c r="AE88" s="185"/>
      <x:c r="AF88" s="36"/>
      <x:c r="AG88" s="167"/>
      <x:c r="AH88" s="185"/>
      <x:c r="AI88" s="185"/>
      <x:c r="AJ88" s="185"/>
      <x:c r="AK88" s="185"/>
      <x:c r="AL88" s="36"/>
      <x:c r="AM88" s="588">
        <x:v>0</x:v>
      </x:c>
      <x:c r="AN88" s="589">
        <x:v>0</x:v>
      </x:c>
      <x:c r="AO88" s="589">
        <x:v>0</x:v>
      </x:c>
      <x:c r="AP88" s="589">
        <x:v>0</x:v>
      </x:c>
      <x:c r="AQ88" s="589">
        <x:v>0</x:v>
      </x:c>
      <x:c r="AR88" s="591" t="s">
        <x:v>1103</x:v>
      </x:c>
      <x:c r="AS88" s="175">
        <x:v>100</x:v>
      </x:c>
      <x:c r="AT88" s="158">
        <x:v>100</x:v>
      </x:c>
      <x:c r="AU88" s="158">
        <x:v>100</x:v>
      </x:c>
      <x:c r="AV88" s="158">
        <x:v>100</x:v>
      </x:c>
      <x:c r="AW88" s="158">
        <x:v>53.33</x:v>
      </x:c>
      <x:c r="AX88" s="585" t="s">
        <x:v>1102</x:v>
      </x:c>
      <x:c r="AY88" s="167"/>
      <x:c r="AZ88" s="185"/>
      <x:c r="BA88" s="185"/>
      <x:c r="BB88" s="185"/>
      <x:c r="BC88" s="185"/>
      <x:c r="BD88" s="36"/>
      <x:c r="BE88" s="167"/>
      <x:c r="BF88" s="185"/>
      <x:c r="BG88" s="185"/>
      <x:c r="BH88" s="185"/>
      <x:c r="BI88" s="185"/>
      <x:c r="BJ88" s="36"/>
      <x:c r="BK88" s="167"/>
      <x:c r="BL88" s="185"/>
      <x:c r="BM88" s="185"/>
      <x:c r="BN88" s="185"/>
      <x:c r="BO88" s="185"/>
      <x:c r="BP88" s="36"/>
      <x:c r="BQ88" s="167"/>
      <x:c r="BR88" s="185"/>
      <x:c r="BS88" s="185"/>
      <x:c r="BT88" s="185"/>
      <x:c r="BU88" s="185"/>
      <x:c r="BV88" s="36"/>
    </x:row>
    <x:row r="89" spans="1:74" ht="22.5" customHeight="1" x14ac:dyDescent="0.25">
      <x:c r="A89" s="97" t="s">
        <x:v>528</x:v>
      </x:c>
      <x:c r="B89" s="122" t="s">
        <x:v>183</x:v>
      </x:c>
      <x:c r="C89" s="157"/>
      <x:c r="D89" s="158"/>
      <x:c r="E89" s="158"/>
      <x:c r="F89" s="158"/>
      <x:c r="G89" s="158"/>
      <x:c r="H89" s="197"/>
      <x:c r="I89" s="33"/>
      <x:c r="J89" s="185"/>
      <x:c r="K89" s="185"/>
      <x:c r="L89" s="185"/>
      <x:c r="M89" s="185"/>
      <x:c r="N89" s="36"/>
      <x:c r="O89" s="33"/>
      <x:c r="P89" s="185"/>
      <x:c r="Q89" s="185"/>
      <x:c r="R89" s="185"/>
      <x:c r="S89" s="185"/>
      <x:c r="T89" s="36"/>
      <x:c r="U89" s="33"/>
      <x:c r="V89" s="185"/>
      <x:c r="W89" s="185"/>
      <x:c r="X89" s="185"/>
      <x:c r="Y89" s="185"/>
      <x:c r="Z89" s="36"/>
      <x:c r="AA89" s="167"/>
      <x:c r="AB89" s="185"/>
      <x:c r="AC89" s="185"/>
      <x:c r="AD89" s="185"/>
      <x:c r="AE89" s="185"/>
      <x:c r="AF89" s="36"/>
      <x:c r="AG89" s="167"/>
      <x:c r="AH89" s="185"/>
      <x:c r="AI89" s="185"/>
      <x:c r="AJ89" s="185"/>
      <x:c r="AK89" s="185"/>
      <x:c r="AL89" s="36"/>
      <x:c r="AM89" s="157">
        <x:v>100</x:v>
      </x:c>
      <x:c r="AN89" s="158">
        <x:v>100</x:v>
      </x:c>
      <x:c r="AO89" s="158">
        <x:v>100</x:v>
      </x:c>
      <x:c r="AP89" s="589">
        <x:v>0</x:v>
      </x:c>
      <x:c r="AQ89" s="589">
        <x:v>0</x:v>
      </x:c>
      <x:c r="AR89" s="620" t="s">
        <x:v>1102</x:v>
      </x:c>
      <x:c r="AS89" s="175">
        <x:v>100</x:v>
      </x:c>
      <x:c r="AT89" s="158">
        <x:v>100</x:v>
      </x:c>
      <x:c r="AU89" s="158">
        <x:v>100</x:v>
      </x:c>
      <x:c r="AV89" s="600">
        <x:v>0</x:v>
      </x:c>
      <x:c r="AW89" s="600">
        <x:v>0</x:v>
      </x:c>
      <x:c r="AX89" s="585" t="s">
        <x:v>1102</x:v>
      </x:c>
      <x:c r="AY89" s="167"/>
      <x:c r="AZ89" s="185"/>
      <x:c r="BA89" s="185"/>
      <x:c r="BB89" s="185"/>
      <x:c r="BC89" s="185"/>
      <x:c r="BD89" s="36"/>
      <x:c r="BE89" s="167"/>
      <x:c r="BF89" s="185"/>
      <x:c r="BG89" s="185"/>
      <x:c r="BH89" s="185"/>
      <x:c r="BI89" s="185"/>
      <x:c r="BJ89" s="36"/>
      <x:c r="BK89" s="167"/>
      <x:c r="BL89" s="185"/>
      <x:c r="BM89" s="185"/>
      <x:c r="BN89" s="185"/>
      <x:c r="BO89" s="185"/>
      <x:c r="BP89" s="36"/>
      <x:c r="BQ89" s="167"/>
      <x:c r="BR89" s="185"/>
      <x:c r="BS89" s="185"/>
      <x:c r="BT89" s="185"/>
      <x:c r="BU89" s="185"/>
      <x:c r="BV89" s="36"/>
    </x:row>
    <x:row r="90" spans="1:74" ht="22.5" customHeight="1" x14ac:dyDescent="0.25">
      <x:c r="A90" s="97" t="s">
        <x:v>556</x:v>
      </x:c>
      <x:c r="B90" s="122" t="s">
        <x:v>23</x:v>
      </x:c>
      <x:c r="C90" s="157"/>
      <x:c r="D90" s="158"/>
      <x:c r="E90" s="158"/>
      <x:c r="F90" s="158"/>
      <x:c r="G90" s="158"/>
      <x:c r="H90" s="197"/>
      <x:c r="I90" s="33"/>
      <x:c r="J90" s="185"/>
      <x:c r="K90" s="185"/>
      <x:c r="L90" s="185"/>
      <x:c r="M90" s="185"/>
      <x:c r="N90" s="36"/>
      <x:c r="O90" s="33"/>
      <x:c r="P90" s="185"/>
      <x:c r="Q90" s="185"/>
      <x:c r="R90" s="185"/>
      <x:c r="S90" s="185"/>
      <x:c r="T90" s="36"/>
      <x:c r="U90" s="33"/>
      <x:c r="V90" s="185"/>
      <x:c r="W90" s="185"/>
      <x:c r="X90" s="185"/>
      <x:c r="Y90" s="185"/>
      <x:c r="Z90" s="36"/>
      <x:c r="AA90" s="167"/>
      <x:c r="AB90" s="185"/>
      <x:c r="AC90" s="185"/>
      <x:c r="AD90" s="185"/>
      <x:c r="AE90" s="185"/>
      <x:c r="AF90" s="36"/>
      <x:c r="AG90" s="167"/>
      <x:c r="AH90" s="185"/>
      <x:c r="AI90" s="185"/>
      <x:c r="AJ90" s="185"/>
      <x:c r="AK90" s="185"/>
      <x:c r="AL90" s="36"/>
      <x:c r="AM90" s="157">
        <x:v>100</x:v>
      </x:c>
      <x:c r="AN90" s="158">
        <x:v>100</x:v>
      </x:c>
      <x:c r="AO90" s="158">
        <x:v>100</x:v>
      </x:c>
      <x:c r="AP90" s="158">
        <x:v>100</x:v>
      </x:c>
      <x:c r="AQ90" s="158">
        <x:v>100</x:v>
      </x:c>
      <x:c r="AR90" s="620" t="s">
        <x:v>1102</x:v>
      </x:c>
      <x:c r="AS90" s="175">
        <x:v>100</x:v>
      </x:c>
      <x:c r="AT90" s="158">
        <x:v>100</x:v>
      </x:c>
      <x:c r="AU90" s="158">
        <x:v>100</x:v>
      </x:c>
      <x:c r="AV90" s="158">
        <x:v>100</x:v>
      </x:c>
      <x:c r="AW90" s="158">
        <x:v>100</x:v>
      </x:c>
      <x:c r="AX90" s="585" t="s">
        <x:v>1102</x:v>
      </x:c>
      <x:c r="AY90" s="167"/>
      <x:c r="AZ90" s="185"/>
      <x:c r="BA90" s="185"/>
      <x:c r="BB90" s="185"/>
      <x:c r="BC90" s="185"/>
      <x:c r="BD90" s="36"/>
      <x:c r="BE90" s="167"/>
      <x:c r="BF90" s="185"/>
      <x:c r="BG90" s="185"/>
      <x:c r="BH90" s="185"/>
      <x:c r="BI90" s="185"/>
      <x:c r="BJ90" s="36"/>
      <x:c r="BK90" s="167"/>
      <x:c r="BL90" s="185"/>
      <x:c r="BM90" s="185"/>
      <x:c r="BN90" s="185"/>
      <x:c r="BO90" s="185"/>
      <x:c r="BP90" s="36"/>
      <x:c r="BQ90" s="167"/>
      <x:c r="BR90" s="185"/>
      <x:c r="BS90" s="185"/>
      <x:c r="BT90" s="185"/>
      <x:c r="BU90" s="185"/>
      <x:c r="BV90" s="36"/>
    </x:row>
    <x:row r="91" spans="1:74" ht="22.5" customHeight="1" x14ac:dyDescent="0.25">
      <x:c r="A91" s="97" t="s">
        <x:v>531</x:v>
      </x:c>
      <x:c r="B91" s="122" t="s">
        <x:v>183</x:v>
      </x:c>
      <x:c r="C91" s="157"/>
      <x:c r="D91" s="158"/>
      <x:c r="E91" s="158"/>
      <x:c r="F91" s="158"/>
      <x:c r="G91" s="158"/>
      <x:c r="H91" s="197"/>
      <x:c r="I91" s="33"/>
      <x:c r="J91" s="185"/>
      <x:c r="K91" s="185"/>
      <x:c r="L91" s="185"/>
      <x:c r="M91" s="185"/>
      <x:c r="N91" s="36"/>
      <x:c r="O91" s="33"/>
      <x:c r="P91" s="185"/>
      <x:c r="Q91" s="185"/>
      <x:c r="R91" s="185"/>
      <x:c r="S91" s="185"/>
      <x:c r="T91" s="36"/>
      <x:c r="U91" s="33"/>
      <x:c r="V91" s="185"/>
      <x:c r="W91" s="185"/>
      <x:c r="X91" s="185"/>
      <x:c r="Y91" s="185"/>
      <x:c r="Z91" s="36"/>
      <x:c r="AA91" s="167"/>
      <x:c r="AB91" s="185"/>
      <x:c r="AC91" s="185"/>
      <x:c r="AD91" s="185"/>
      <x:c r="AE91" s="185"/>
      <x:c r="AF91" s="36"/>
      <x:c r="AG91" s="167"/>
      <x:c r="AH91" s="185"/>
      <x:c r="AI91" s="185"/>
      <x:c r="AJ91" s="185"/>
      <x:c r="AK91" s="185"/>
      <x:c r="AL91" s="36"/>
      <x:c r="AM91" s="157">
        <x:v>100</x:v>
      </x:c>
      <x:c r="AN91" s="158">
        <x:v>100</x:v>
      </x:c>
      <x:c r="AO91" s="158">
        <x:v>100</x:v>
      </x:c>
      <x:c r="AP91" s="589">
        <x:v>0</x:v>
      </x:c>
      <x:c r="AQ91" s="589">
        <x:v>0</x:v>
      </x:c>
      <x:c r="AR91" s="620" t="s">
        <x:v>1102</x:v>
      </x:c>
      <x:c r="AS91" s="175">
        <x:v>100</x:v>
      </x:c>
      <x:c r="AT91" s="158">
        <x:v>100</x:v>
      </x:c>
      <x:c r="AU91" s="158">
        <x:v>100</x:v>
      </x:c>
      <x:c r="AV91" s="600">
        <x:v>0</x:v>
      </x:c>
      <x:c r="AW91" s="600">
        <x:v>0</x:v>
      </x:c>
      <x:c r="AX91" s="585" t="s">
        <x:v>1102</x:v>
      </x:c>
      <x:c r="AY91" s="167"/>
      <x:c r="AZ91" s="185"/>
      <x:c r="BA91" s="185"/>
      <x:c r="BB91" s="185"/>
      <x:c r="BC91" s="185"/>
      <x:c r="BD91" s="36"/>
      <x:c r="BE91" s="167"/>
      <x:c r="BF91" s="185"/>
      <x:c r="BG91" s="185"/>
      <x:c r="BH91" s="185"/>
      <x:c r="BI91" s="185"/>
      <x:c r="BJ91" s="36"/>
      <x:c r="BK91" s="167"/>
      <x:c r="BL91" s="185"/>
      <x:c r="BM91" s="185"/>
      <x:c r="BN91" s="185"/>
      <x:c r="BO91" s="185"/>
      <x:c r="BP91" s="36"/>
      <x:c r="BQ91" s="167"/>
      <x:c r="BR91" s="185"/>
      <x:c r="BS91" s="185"/>
      <x:c r="BT91" s="185"/>
      <x:c r="BU91" s="185"/>
      <x:c r="BV91" s="36"/>
    </x:row>
    <x:row r="92" spans="1:74" ht="22.5" customHeight="1" x14ac:dyDescent="0.25">
      <x:c r="A92" s="97" t="s">
        <x:v>537</x:v>
      </x:c>
      <x:c r="B92" s="122" t="s">
        <x:v>191</x:v>
      </x:c>
      <x:c r="C92" s="157"/>
      <x:c r="D92" s="158"/>
      <x:c r="E92" s="158"/>
      <x:c r="F92" s="158"/>
      <x:c r="G92" s="158"/>
      <x:c r="H92" s="197"/>
      <x:c r="I92" s="33"/>
      <x:c r="J92" s="185"/>
      <x:c r="K92" s="185"/>
      <x:c r="L92" s="185"/>
      <x:c r="M92" s="185"/>
      <x:c r="N92" s="36"/>
      <x:c r="O92" s="33"/>
      <x:c r="P92" s="185"/>
      <x:c r="Q92" s="185"/>
      <x:c r="R92" s="185"/>
      <x:c r="S92" s="185"/>
      <x:c r="T92" s="36"/>
      <x:c r="U92" s="33"/>
      <x:c r="V92" s="185"/>
      <x:c r="W92" s="185"/>
      <x:c r="X92" s="185"/>
      <x:c r="Y92" s="185"/>
      <x:c r="Z92" s="36"/>
      <x:c r="AA92" s="167"/>
      <x:c r="AB92" s="185"/>
      <x:c r="AC92" s="185"/>
      <x:c r="AD92" s="185"/>
      <x:c r="AE92" s="185"/>
      <x:c r="AF92" s="36"/>
      <x:c r="AG92" s="167"/>
      <x:c r="AH92" s="185"/>
      <x:c r="AI92" s="185"/>
      <x:c r="AJ92" s="185"/>
      <x:c r="AK92" s="185"/>
      <x:c r="AL92" s="36"/>
      <x:c r="AM92" s="157">
        <x:v>100</x:v>
      </x:c>
      <x:c r="AN92" s="158">
        <x:v>100</x:v>
      </x:c>
      <x:c r="AO92" s="158">
        <x:v>100</x:v>
      </x:c>
      <x:c r="AP92" s="589">
        <x:v>0</x:v>
      </x:c>
      <x:c r="AQ92" s="589">
        <x:v>0</x:v>
      </x:c>
      <x:c r="AR92" s="620" t="s">
        <x:v>1102</x:v>
      </x:c>
      <x:c r="AS92" s="175">
        <x:v>100</x:v>
      </x:c>
      <x:c r="AT92" s="158">
        <x:v>100</x:v>
      </x:c>
      <x:c r="AU92" s="158">
        <x:v>100</x:v>
      </x:c>
      <x:c r="AV92" s="600">
        <x:v>0</x:v>
      </x:c>
      <x:c r="AW92" s="600">
        <x:v>0</x:v>
      </x:c>
      <x:c r="AX92" s="585" t="s">
        <x:v>1102</x:v>
      </x:c>
      <x:c r="AY92" s="167"/>
      <x:c r="AZ92" s="185"/>
      <x:c r="BA92" s="185"/>
      <x:c r="BB92" s="185"/>
      <x:c r="BC92" s="185"/>
      <x:c r="BD92" s="36"/>
      <x:c r="BE92" s="167"/>
      <x:c r="BF92" s="185"/>
      <x:c r="BG92" s="185"/>
      <x:c r="BH92" s="185"/>
      <x:c r="BI92" s="185"/>
      <x:c r="BJ92" s="36"/>
      <x:c r="BK92" s="167"/>
      <x:c r="BL92" s="185"/>
      <x:c r="BM92" s="185"/>
      <x:c r="BN92" s="185"/>
      <x:c r="BO92" s="185"/>
      <x:c r="BP92" s="36"/>
      <x:c r="BQ92" s="167"/>
      <x:c r="BR92" s="185"/>
      <x:c r="BS92" s="185"/>
      <x:c r="BT92" s="185"/>
      <x:c r="BU92" s="185"/>
      <x:c r="BV92" s="36"/>
    </x:row>
    <x:row r="93" spans="1:74" ht="22.5" customHeight="1" x14ac:dyDescent="0.25">
      <x:c r="A93" s="97" t="s">
        <x:v>533</x:v>
      </x:c>
      <x:c r="B93" s="122" t="s">
        <x:v>183</x:v>
      </x:c>
      <x:c r="C93" s="157"/>
      <x:c r="D93" s="158"/>
      <x:c r="E93" s="158"/>
      <x:c r="F93" s="158"/>
      <x:c r="G93" s="158"/>
      <x:c r="H93" s="197"/>
      <x:c r="I93" s="33"/>
      <x:c r="J93" s="185"/>
      <x:c r="K93" s="185"/>
      <x:c r="L93" s="185"/>
      <x:c r="M93" s="185"/>
      <x:c r="N93" s="36"/>
      <x:c r="O93" s="33"/>
      <x:c r="P93" s="185"/>
      <x:c r="Q93" s="185"/>
      <x:c r="R93" s="185"/>
      <x:c r="S93" s="185"/>
      <x:c r="T93" s="36"/>
      <x:c r="U93" s="33"/>
      <x:c r="V93" s="185"/>
      <x:c r="W93" s="185"/>
      <x:c r="X93" s="185"/>
      <x:c r="Y93" s="185"/>
      <x:c r="Z93" s="36"/>
      <x:c r="AA93" s="167"/>
      <x:c r="AB93" s="185"/>
      <x:c r="AC93" s="185"/>
      <x:c r="AD93" s="185"/>
      <x:c r="AE93" s="185"/>
      <x:c r="AF93" s="36"/>
      <x:c r="AG93" s="167"/>
      <x:c r="AH93" s="185"/>
      <x:c r="AI93" s="185"/>
      <x:c r="AJ93" s="185"/>
      <x:c r="AK93" s="185"/>
      <x:c r="AL93" s="36"/>
      <x:c r="AM93" s="157">
        <x:v>100</x:v>
      </x:c>
      <x:c r="AN93" s="158">
        <x:v>100</x:v>
      </x:c>
      <x:c r="AO93" s="158">
        <x:v>100</x:v>
      </x:c>
      <x:c r="AP93" s="589">
        <x:v>0</x:v>
      </x:c>
      <x:c r="AQ93" s="589">
        <x:v>0</x:v>
      </x:c>
      <x:c r="AR93" s="620" t="s">
        <x:v>1102</x:v>
      </x:c>
      <x:c r="AS93" s="175">
        <x:v>100</x:v>
      </x:c>
      <x:c r="AT93" s="158">
        <x:v>100</x:v>
      </x:c>
      <x:c r="AU93" s="158">
        <x:v>100</x:v>
      </x:c>
      <x:c r="AV93" s="158">
        <x:v>50</x:v>
      </x:c>
      <x:c r="AW93" s="602">
        <x:v>0</x:v>
      </x:c>
      <x:c r="AX93" s="585" t="s">
        <x:v>1102</x:v>
      </x:c>
      <x:c r="AY93" s="167"/>
      <x:c r="AZ93" s="185"/>
      <x:c r="BA93" s="185"/>
      <x:c r="BB93" s="185"/>
      <x:c r="BC93" s="185"/>
      <x:c r="BD93" s="36"/>
      <x:c r="BE93" s="167"/>
      <x:c r="BF93" s="185"/>
      <x:c r="BG93" s="185"/>
      <x:c r="BH93" s="185"/>
      <x:c r="BI93" s="185"/>
      <x:c r="BJ93" s="36"/>
      <x:c r="BK93" s="167"/>
      <x:c r="BL93" s="185"/>
      <x:c r="BM93" s="185"/>
      <x:c r="BN93" s="185"/>
      <x:c r="BO93" s="185"/>
      <x:c r="BP93" s="36"/>
      <x:c r="BQ93" s="167"/>
      <x:c r="BR93" s="185"/>
      <x:c r="BS93" s="185"/>
      <x:c r="BT93" s="185"/>
      <x:c r="BU93" s="185"/>
      <x:c r="BV93" s="36"/>
    </x:row>
    <x:row r="94" spans="1:74" ht="22.5" customHeight="1" x14ac:dyDescent="0.25">
      <x:c r="A94" s="97" t="s">
        <x:v>516</x:v>
      </x:c>
      <x:c r="B94" s="646" t="s">
        <x:v>43</x:v>
      </x:c>
      <x:c r="C94" s="157"/>
      <x:c r="D94" s="158"/>
      <x:c r="E94" s="158"/>
      <x:c r="F94" s="158"/>
      <x:c r="G94" s="158"/>
      <x:c r="H94" s="197"/>
      <x:c r="I94" s="33"/>
      <x:c r="J94" s="185"/>
      <x:c r="K94" s="185"/>
      <x:c r="L94" s="185"/>
      <x:c r="M94" s="185"/>
      <x:c r="N94" s="36"/>
      <x:c r="O94" s="33"/>
      <x:c r="P94" s="185"/>
      <x:c r="Q94" s="185"/>
      <x:c r="R94" s="185"/>
      <x:c r="S94" s="185"/>
      <x:c r="T94" s="36"/>
      <x:c r="U94" s="33"/>
      <x:c r="V94" s="185"/>
      <x:c r="W94" s="185"/>
      <x:c r="X94" s="185"/>
      <x:c r="Y94" s="185"/>
      <x:c r="Z94" s="36"/>
      <x:c r="AA94" s="167"/>
      <x:c r="AB94" s="185"/>
      <x:c r="AC94" s="185"/>
      <x:c r="AD94" s="185"/>
      <x:c r="AE94" s="185"/>
      <x:c r="AF94" s="36"/>
      <x:c r="AG94" s="167"/>
      <x:c r="AH94" s="185"/>
      <x:c r="AI94" s="185"/>
      <x:c r="AJ94" s="185"/>
      <x:c r="AK94" s="185"/>
      <x:c r="AL94" s="36"/>
      <x:c r="AM94" s="157">
        <x:v>100</x:v>
      </x:c>
      <x:c r="AN94" s="158">
        <x:v>100</x:v>
      </x:c>
      <x:c r="AO94" s="158">
        <x:v>100</x:v>
      </x:c>
      <x:c r="AP94" s="158">
        <x:v>100</x:v>
      </x:c>
      <x:c r="AQ94" s="158">
        <x:v>82.35</x:v>
      </x:c>
      <x:c r="AR94" s="620" t="s">
        <x:v>1102</x:v>
      </x:c>
      <x:c r="AS94" s="175">
        <x:v>100</x:v>
      </x:c>
      <x:c r="AT94" s="158">
        <x:v>100</x:v>
      </x:c>
      <x:c r="AU94" s="158">
        <x:v>100</x:v>
      </x:c>
      <x:c r="AV94" s="158">
        <x:v>100</x:v>
      </x:c>
      <x:c r="AW94" s="158">
        <x:v>53.33</x:v>
      </x:c>
      <x:c r="AX94" s="585" t="s">
        <x:v>1102</x:v>
      </x:c>
      <x:c r="AY94" s="167"/>
      <x:c r="AZ94" s="185"/>
      <x:c r="BA94" s="185"/>
      <x:c r="BB94" s="185"/>
      <x:c r="BC94" s="185"/>
      <x:c r="BD94" s="36"/>
      <x:c r="BE94" s="167"/>
      <x:c r="BF94" s="185"/>
      <x:c r="BG94" s="185"/>
      <x:c r="BH94" s="185"/>
      <x:c r="BI94" s="185"/>
      <x:c r="BJ94" s="36"/>
      <x:c r="BK94" s="167"/>
      <x:c r="BL94" s="185"/>
      <x:c r="BM94" s="185"/>
      <x:c r="BN94" s="185"/>
      <x:c r="BO94" s="185"/>
      <x:c r="BP94" s="36"/>
      <x:c r="BQ94" s="167"/>
      <x:c r="BR94" s="185"/>
      <x:c r="BS94" s="185"/>
      <x:c r="BT94" s="185"/>
      <x:c r="BU94" s="185"/>
      <x:c r="BV94" s="36"/>
    </x:row>
    <x:row r="95" spans="1:74" ht="22.5" customHeight="1" x14ac:dyDescent="0.3">
      <x:c r="A95" s="51" t="s">
        <x:v>559</x:v>
      </x:c>
      <x:c r="B95" s="100" t="s">
        <x:v>37</x:v>
      </x:c>
      <x:c r="C95" s="160"/>
      <x:c r="D95" s="161"/>
      <x:c r="E95" s="161"/>
      <x:c r="F95" s="161"/>
      <x:c r="G95" s="161"/>
      <x:c r="H95" s="204"/>
      <x:c r="I95" s="38"/>
      <x:c r="J95" s="39"/>
      <x:c r="K95" s="39"/>
      <x:c r="L95" s="39"/>
      <x:c r="M95" s="39"/>
      <x:c r="N95" s="42"/>
      <x:c r="O95" s="38"/>
      <x:c r="P95" s="39"/>
      <x:c r="Q95" s="39"/>
      <x:c r="R95" s="39"/>
      <x:c r="S95" s="39"/>
      <x:c r="T95" s="42"/>
      <x:c r="U95" s="38"/>
      <x:c r="V95" s="39"/>
      <x:c r="W95" s="39"/>
      <x:c r="X95" s="39"/>
      <x:c r="Y95" s="39"/>
      <x:c r="Z95" s="42"/>
      <x:c r="AA95" s="38"/>
      <x:c r="AB95" s="39"/>
      <x:c r="AC95" s="39"/>
      <x:c r="AD95" s="39"/>
      <x:c r="AE95" s="39"/>
      <x:c r="AF95" s="42"/>
      <x:c r="AG95" s="38"/>
      <x:c r="AH95" s="39"/>
      <x:c r="AI95" s="39"/>
      <x:c r="AJ95" s="39"/>
      <x:c r="AK95" s="39"/>
      <x:c r="AL95" s="42"/>
      <x:c r="AM95" s="160">
        <x:v>100</x:v>
      </x:c>
      <x:c r="AN95" s="161">
        <x:v>100</x:v>
      </x:c>
      <x:c r="AO95" s="161">
        <x:v>100</x:v>
      </x:c>
      <x:c r="AP95" s="161">
        <x:v>100</x:v>
      </x:c>
      <x:c r="AQ95" s="161">
        <x:v>100</x:v>
      </x:c>
      <x:c r="AR95" s="631" t="s">
        <x:v>1102</x:v>
      </x:c>
      <x:c r="AS95" s="160">
        <x:v>100</x:v>
      </x:c>
      <x:c r="AT95" s="161">
        <x:v>100</x:v>
      </x:c>
      <x:c r="AU95" s="161">
        <x:v>100</x:v>
      </x:c>
      <x:c r="AV95" s="161">
        <x:v>100</x:v>
      </x:c>
      <x:c r="AW95" s="161">
        <x:v>100</x:v>
      </x:c>
      <x:c r="AX95" s="594" t="s">
        <x:v>1102</x:v>
      </x:c>
      <x:c r="AY95" s="38"/>
      <x:c r="AZ95" s="39"/>
      <x:c r="BA95" s="39"/>
      <x:c r="BB95" s="39"/>
      <x:c r="BC95" s="39"/>
      <x:c r="BD95" s="42"/>
      <x:c r="BE95" s="38"/>
      <x:c r="BF95" s="39"/>
      <x:c r="BG95" s="39"/>
      <x:c r="BH95" s="39"/>
      <x:c r="BI95" s="39"/>
      <x:c r="BJ95" s="42"/>
      <x:c r="BK95" s="38"/>
      <x:c r="BL95" s="39"/>
      <x:c r="BM95" s="39"/>
      <x:c r="BN95" s="39"/>
      <x:c r="BO95" s="39"/>
      <x:c r="BP95" s="42"/>
      <x:c r="BQ95" s="38"/>
      <x:c r="BR95" s="39"/>
      <x:c r="BS95" s="39"/>
      <x:c r="BT95" s="39"/>
      <x:c r="BU95" s="39"/>
      <x:c r="BV95" s="42"/>
    </x:row>
    <x:row r="96" spans="1:74" x14ac:dyDescent="0.25">
      <x:c r="B96" s="1"/>
      <x:c r="C96" s="498">
        <x:f t="array" ref="C96:C96">SUMPRODUCT((C3:C95&gt;=10)*(D3:D95&gt;=10)*(E3:E95&gt;=10)*(F3:F95&gt;=10)*(G3:G95&gt;=10))</x:f>
      </x:c>
      <x:c r="H96" s="227">
        <x:f>COUNTIF(H3:H95,"Да")</x:f>
      </x:c>
      <x:c r="I96" s="498">
        <x:f t="array" ref="I96:I96">SUMPRODUCT((I3:I95&gt;=10)*(J3:J95&gt;=10)*(K3:K95&gt;=10)*(L3:L95&gt;=10)*(M3:M95&gt;=10))</x:f>
      </x:c>
      <x:c r="N96" s="227">
        <x:f>COUNTIF(N3:N95,"Да")</x:f>
      </x:c>
      <x:c r="O96" s="498">
        <x:f t="array" ref="O96:O96">SUMPRODUCT((O3:O95&gt;=10)*(P3:P95&gt;=10)*(Q3:Q95&gt;=10)*(R3:R95&gt;=10)*(S3:S95&gt;=10))</x:f>
      </x:c>
      <x:c r="T96" s="227">
        <x:f>COUNTIF(T3:T95,"Да")</x:f>
      </x:c>
      <x:c r="U96" s="498">
        <x:f t="array" ref="U96:U96">SUMPRODUCT((U3:U95&gt;=10)*(V3:V95&gt;=10)*(W3:W95&gt;=10)*(X3:X95&gt;=10)*(Y3:Y95&gt;=10))</x:f>
      </x:c>
      <x:c r="Z96" s="227">
        <x:f>COUNTIF(Z3:Z95,"Да")</x:f>
      </x:c>
      <x:c r="AA96" s="498">
        <x:f t="array" ref="AA96:AA96">SUMPRODUCT((AA3:AA95&gt;=10)*(AB3:AB95&gt;=10)*(AC3:AC95&gt;=10)*(AD3:AD95&gt;=10)*(AE3:AE95&gt;=10))</x:f>
      </x:c>
      <x:c r="AF96" s="227">
        <x:f>COUNTIF(AF3:AF95,"Да")</x:f>
      </x:c>
      <x:c r="AG96" s="498">
        <x:f t="array" ref="AG96:AG96">SUMPRODUCT((AG3:AG95&gt;=10)*(AH3:AH95&gt;=10)*(AI3:AI95&gt;=10)*(AJ3:AJ95&gt;=10)*(AK3:AK95&gt;=10))</x:f>
      </x:c>
      <x:c r="AL96" s="227">
        <x:f>COUNTIF(AL3:AL95,"Да")</x:f>
      </x:c>
      <x:c r="AM96" s="498">
        <x:f t="array" ref="AM96:AM96">SUMPRODUCT((AM3:AM95&gt;=10)*(AN3:AN95&gt;=10)*(AO3:AO95&gt;=10)*(AP3:AP95&gt;=10)*(AQ3:AQ95&gt;=10))</x:f>
      </x:c>
      <x:c r="AR96" s="227">
        <x:f>COUNTIF(AR3:AR95,"Да")</x:f>
      </x:c>
      <x:c r="AS96" s="498">
        <x:f t="array" ref="AS96:AS96">SUMPRODUCT((AS3:AS95&gt;=10)*(AT3:AT95&gt;=10)*(AU3:AU95&gt;=10)*(AV3:AV95&gt;=10)*(AW3:AW95&gt;=10))</x:f>
      </x:c>
      <x:c r="AX96" s="227">
        <x:f>COUNTIF(AX3:AX95,"Да")</x:f>
      </x:c>
      <x:c r="AY96" s="498">
        <x:f t="array" ref="AY96:AY96">SUMPRODUCT((AY3:AY95&gt;=10)*(AZ3:AZ95&gt;=10)*(BA3:BA95&gt;=10)*(BB3:BB95&gt;=10)*(BC3:BC95&gt;=10))</x:f>
      </x:c>
      <x:c r="BD96" s="227">
        <x:f>COUNTIF(BD3:BD95,"Да")</x:f>
      </x:c>
      <x:c r="BE96" s="498">
        <x:f t="array" ref="BE96:BE96">SUMPRODUCT((BE3:BE95&gt;=10)*(BF3:BF95&gt;=10)*(BG3:BG95&gt;=10)*(BH3:BH95&gt;=10)*(BI3:BI95&gt;=10))</x:f>
      </x:c>
      <x:c r="BJ96" s="227">
        <x:f>COUNTIF(BJ3:BJ95,"Да")</x:f>
      </x:c>
      <x:c r="BK96" s="498">
        <x:f t="array" ref="BK96:BK96">SUMPRODUCT((BK3:BK95&gt;=10)*(BL3:BL95&gt;=10)*(BM3:BM95&gt;=10)*(BN3:BN95&gt;=10)*(BO3:BO95&gt;=10))</x:f>
      </x:c>
      <x:c r="BP96" s="227">
        <x:f>COUNTIF(BP3:BP95,"Да")</x:f>
      </x:c>
      <x:c r="BQ96" s="498">
        <x:f t="array" ref="BQ96:BQ96">SUMPRODUCT((BQ3:BQ95&gt;=10)*(BR3:BR95&gt;=10)*(BS3:BS95&gt;=10)*(BT3:BT95&gt;=10)*(BU3:BU95&gt;=10))</x:f>
      </x:c>
      <x:c r="BV96" s="227">
        <x:f>COUNTIF(BV3:BV95,"Да")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96:G96"/>
    <x:mergeCell ref="I96:M96"/>
    <x:mergeCell ref="O96:S96"/>
    <x:mergeCell ref="U96:Y96"/>
    <x:mergeCell ref="AA96:AE96"/>
    <x:mergeCell ref="AG96:AK96"/>
    <x:mergeCell ref="AM96:AQ96"/>
    <x:mergeCell ref="AS96:AW96"/>
    <x:mergeCell ref="AY96:BC96"/>
    <x:mergeCell ref="BE96:BI96"/>
    <x:mergeCell ref="BK96:BO96"/>
    <x:mergeCell ref="BQ96:BU96"/>
  </x:mergeCells>
  <x:conditionalFormatting sqref="C3:BV95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95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BV109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2" style="0" customWidth="1"/>
    <x:col min="2" max="2" width="26.425781" style="0" customWidth="1"/>
    <x:col min="3" max="7" width="9.140625" style="0" customWidth="1"/>
    <x:col min="8" max="8" width="10.140625" style="0" customWidth="1"/>
    <x:col min="9" max="43" width="9.140625" style="0" customWidth="1"/>
    <x:col min="44" max="44" width="10" style="0" customWidth="1"/>
    <x:col min="45" max="49" width="9.140625" style="0" customWidth="1"/>
    <x:col min="50" max="50" width="9.855469" style="0" customWidth="1"/>
    <x:col min="51" max="55" width="9.140625" style="0" customWidth="1"/>
    <x:col min="56" max="56" width="10.710938" style="0" customWidth="1"/>
    <x:col min="57" max="61" width="9.140625" style="0" customWidth="1"/>
    <x:col min="62" max="62" width="9.855469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9.855469" style="0" customWidth="1"/>
  </x:cols>
  <x:sheetData>
    <x:row r="1" spans="1:74" ht="28.5" customHeight="1" x14ac:dyDescent="0.3">
      <x:c r="A1" s="22" t="s">
        <x:v>1081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3.25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92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92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92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92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92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92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92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92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92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92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33.75" customHeight="1" x14ac:dyDescent="0.25">
      <x:c r="A3" s="647" t="s">
        <x:v>334</x:v>
      </x:c>
      <x:c r="B3" s="53" t="s">
        <x:v>23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93"/>
      <x:c r="P3" s="55"/>
      <x:c r="Q3" s="55"/>
      <x:c r="R3" s="55"/>
      <x:c r="S3" s="55"/>
      <x:c r="T3" s="56"/>
      <x:c r="U3" s="93"/>
      <x:c r="V3" s="55"/>
      <x:c r="W3" s="55"/>
      <x:c r="X3" s="55"/>
      <x:c r="Y3" s="55"/>
      <x:c r="Z3" s="56"/>
      <x:c r="AA3" s="93"/>
      <x:c r="AB3" s="55"/>
      <x:c r="AC3" s="55"/>
      <x:c r="AD3" s="55"/>
      <x:c r="AE3" s="55"/>
      <x:c r="AF3" s="56"/>
      <x:c r="AG3" s="93"/>
      <x:c r="AH3" s="55"/>
      <x:c r="AI3" s="55"/>
      <x:c r="AJ3" s="55"/>
      <x:c r="AK3" s="55"/>
      <x:c r="AL3" s="56"/>
      <x:c r="AM3" s="639">
        <x:v>0</x:v>
      </x:c>
      <x:c r="AN3" s="640">
        <x:v>0</x:v>
      </x:c>
      <x:c r="AO3" s="640">
        <x:v>0</x:v>
      </x:c>
      <x:c r="AP3" s="640">
        <x:v>0</x:v>
      </x:c>
      <x:c r="AQ3" s="640">
        <x:v>0</x:v>
      </x:c>
      <x:c r="AR3" s="641" t="s">
        <x:v>1103</x:v>
      </x:c>
      <x:c r="AS3" s="256">
        <x:v>100</x:v>
      </x:c>
      <x:c r="AT3" s="202">
        <x:v>100</x:v>
      </x:c>
      <x:c r="AU3" s="633">
        <x:v>0</x:v>
      </x:c>
      <x:c r="AV3" s="633">
        <x:v>0</x:v>
      </x:c>
      <x:c r="AW3" s="633">
        <x:v>0</x:v>
      </x:c>
      <x:c r="AX3" s="628" t="s">
        <x:v>1102</x:v>
      </x:c>
      <x:c r="AY3" s="93"/>
      <x:c r="AZ3" s="55"/>
      <x:c r="BA3" s="55"/>
      <x:c r="BB3" s="55"/>
      <x:c r="BC3" s="55"/>
      <x:c r="BD3" s="56"/>
      <x:c r="BE3" s="93"/>
      <x:c r="BF3" s="55"/>
      <x:c r="BG3" s="55"/>
      <x:c r="BH3" s="55"/>
      <x:c r="BI3" s="55"/>
      <x:c r="BJ3" s="56"/>
      <x:c r="BK3" s="93"/>
      <x:c r="BL3" s="55"/>
      <x:c r="BM3" s="55"/>
      <x:c r="BN3" s="55"/>
      <x:c r="BO3" s="55"/>
      <x:c r="BP3" s="56"/>
      <x:c r="BQ3" s="93"/>
      <x:c r="BR3" s="55"/>
      <x:c r="BS3" s="55"/>
      <x:c r="BT3" s="55"/>
      <x:c r="BU3" s="55"/>
      <x:c r="BV3" s="56"/>
    </x:row>
    <x:row r="4" spans="1:74" ht="22.5" customHeight="1" x14ac:dyDescent="0.25">
      <x:c r="A4" s="619" t="s">
        <x:v>317</x:v>
      </x:c>
      <x:c r="B4" s="57" t="s">
        <x:v>16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221"/>
      <x:c r="P4" s="185"/>
      <x:c r="Q4" s="185"/>
      <x:c r="R4" s="185"/>
      <x:c r="S4" s="185"/>
      <x:c r="T4" s="36"/>
      <x:c r="U4" s="221"/>
      <x:c r="V4" s="185"/>
      <x:c r="W4" s="185"/>
      <x:c r="X4" s="185"/>
      <x:c r="Y4" s="185"/>
      <x:c r="Z4" s="36"/>
      <x:c r="AA4" s="221"/>
      <x:c r="AB4" s="185"/>
      <x:c r="AC4" s="185"/>
      <x:c r="AD4" s="185"/>
      <x:c r="AE4" s="185"/>
      <x:c r="AF4" s="36"/>
      <x:c r="AG4" s="221"/>
      <x:c r="AH4" s="185"/>
      <x:c r="AI4" s="185"/>
      <x:c r="AJ4" s="185"/>
      <x:c r="AK4" s="185"/>
      <x:c r="AL4" s="36"/>
      <x:c r="AM4" s="588">
        <x:v>0</x:v>
      </x:c>
      <x:c r="AN4" s="589">
        <x:v>0</x:v>
      </x:c>
      <x:c r="AO4" s="589">
        <x:v>0</x:v>
      </x:c>
      <x:c r="AP4" s="589">
        <x:v>0</x:v>
      </x:c>
      <x:c r="AQ4" s="589">
        <x:v>0</x:v>
      </x:c>
      <x:c r="AR4" s="591" t="s">
        <x:v>1103</x:v>
      </x:c>
      <x:c r="AS4" s="239">
        <x:v>100</x:v>
      </x:c>
      <x:c r="AT4" s="158">
        <x:v>32.14</x:v>
      </x:c>
      <x:c r="AU4" s="600">
        <x:v>0</x:v>
      </x:c>
      <x:c r="AV4" s="600">
        <x:v>0</x:v>
      </x:c>
      <x:c r="AW4" s="600">
        <x:v>0</x:v>
      </x:c>
      <x:c r="AX4" s="585" t="s">
        <x:v>1102</x:v>
      </x:c>
      <x:c r="AY4" s="221"/>
      <x:c r="AZ4" s="185"/>
      <x:c r="BA4" s="185"/>
      <x:c r="BB4" s="185"/>
      <x:c r="BC4" s="185"/>
      <x:c r="BD4" s="36"/>
      <x:c r="BE4" s="221"/>
      <x:c r="BF4" s="185"/>
      <x:c r="BG4" s="185"/>
      <x:c r="BH4" s="185"/>
      <x:c r="BI4" s="185"/>
      <x:c r="BJ4" s="36"/>
      <x:c r="BK4" s="221"/>
      <x:c r="BL4" s="185"/>
      <x:c r="BM4" s="185"/>
      <x:c r="BN4" s="185"/>
      <x:c r="BO4" s="185"/>
      <x:c r="BP4" s="36"/>
      <x:c r="BQ4" s="221"/>
      <x:c r="BR4" s="185"/>
      <x:c r="BS4" s="185"/>
      <x:c r="BT4" s="185"/>
      <x:c r="BU4" s="185"/>
      <x:c r="BV4" s="36"/>
    </x:row>
    <x:row r="5" spans="1:74" ht="22.5" customHeight="1" x14ac:dyDescent="0.25">
      <x:c r="A5" s="619" t="s">
        <x:v>333</x:v>
      </x:c>
      <x:c r="B5" s="57" t="s">
        <x:v>23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221"/>
      <x:c r="P5" s="185"/>
      <x:c r="Q5" s="185"/>
      <x:c r="R5" s="185"/>
      <x:c r="S5" s="185"/>
      <x:c r="T5" s="36"/>
      <x:c r="U5" s="221"/>
      <x:c r="V5" s="185"/>
      <x:c r="W5" s="185"/>
      <x:c r="X5" s="185"/>
      <x:c r="Y5" s="185"/>
      <x:c r="Z5" s="36"/>
      <x:c r="AA5" s="221"/>
      <x:c r="AB5" s="185"/>
      <x:c r="AC5" s="185"/>
      <x:c r="AD5" s="185"/>
      <x:c r="AE5" s="185"/>
      <x:c r="AF5" s="36"/>
      <x:c r="AG5" s="221"/>
      <x:c r="AH5" s="185"/>
      <x:c r="AI5" s="185"/>
      <x:c r="AJ5" s="185"/>
      <x:c r="AK5" s="185"/>
      <x:c r="AL5" s="36"/>
      <x:c r="AM5" s="588">
        <x:v>0</x:v>
      </x:c>
      <x:c r="AN5" s="589">
        <x:v>0</x:v>
      </x:c>
      <x:c r="AO5" s="589">
        <x:v>0</x:v>
      </x:c>
      <x:c r="AP5" s="589">
        <x:v>0</x:v>
      </x:c>
      <x:c r="AQ5" s="589">
        <x:v>0</x:v>
      </x:c>
      <x:c r="AR5" s="591" t="s">
        <x:v>1103</x:v>
      </x:c>
      <x:c r="AS5" s="239">
        <x:v>100</x:v>
      </x:c>
      <x:c r="AT5" s="158">
        <x:v>100</x:v>
      </x:c>
      <x:c r="AU5" s="158">
        <x:v>100</x:v>
      </x:c>
      <x:c r="AV5" s="158">
        <x:v>53.57</x:v>
      </x:c>
      <x:c r="AW5" s="600">
        <x:v>0</x:v>
      </x:c>
      <x:c r="AX5" s="585" t="s">
        <x:v>1102</x:v>
      </x:c>
      <x:c r="AY5" s="221"/>
      <x:c r="AZ5" s="185"/>
      <x:c r="BA5" s="185"/>
      <x:c r="BB5" s="185"/>
      <x:c r="BC5" s="185"/>
      <x:c r="BD5" s="36"/>
      <x:c r="BE5" s="221"/>
      <x:c r="BF5" s="185"/>
      <x:c r="BG5" s="185"/>
      <x:c r="BH5" s="185"/>
      <x:c r="BI5" s="185"/>
      <x:c r="BJ5" s="36"/>
      <x:c r="BK5" s="221"/>
      <x:c r="BL5" s="185"/>
      <x:c r="BM5" s="185"/>
      <x:c r="BN5" s="185"/>
      <x:c r="BO5" s="185"/>
      <x:c r="BP5" s="36"/>
      <x:c r="BQ5" s="221"/>
      <x:c r="BR5" s="185"/>
      <x:c r="BS5" s="185"/>
      <x:c r="BT5" s="185"/>
      <x:c r="BU5" s="185"/>
      <x:c r="BV5" s="36"/>
    </x:row>
    <x:row r="6" spans="1:74" ht="22.5" customHeight="1" x14ac:dyDescent="0.25">
      <x:c r="A6" s="97" t="s">
        <x:v>335</x:v>
      </x:c>
      <x:c r="B6" s="57" t="s">
        <x:v>23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221"/>
      <x:c r="P6" s="185"/>
      <x:c r="Q6" s="185"/>
      <x:c r="R6" s="185"/>
      <x:c r="S6" s="185"/>
      <x:c r="T6" s="36"/>
      <x:c r="U6" s="221"/>
      <x:c r="V6" s="185"/>
      <x:c r="W6" s="185"/>
      <x:c r="X6" s="185"/>
      <x:c r="Y6" s="185"/>
      <x:c r="Z6" s="36"/>
      <x:c r="AA6" s="221"/>
      <x:c r="AB6" s="185"/>
      <x:c r="AC6" s="185"/>
      <x:c r="AD6" s="185"/>
      <x:c r="AE6" s="185"/>
      <x:c r="AF6" s="36"/>
      <x:c r="AG6" s="221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589">
        <x:v>0</x:v>
      </x:c>
      <x:c r="AP6" s="589">
        <x:v>0</x:v>
      </x:c>
      <x:c r="AQ6" s="589">
        <x:v>0</x:v>
      </x:c>
      <x:c r="AR6" s="620" t="s">
        <x:v>1102</x:v>
      </x:c>
      <x:c r="AS6" s="239">
        <x:v>100</x:v>
      </x:c>
      <x:c r="AT6" s="158">
        <x:v>53.57</x:v>
      </x:c>
      <x:c r="AU6" s="600">
        <x:v>0</x:v>
      </x:c>
      <x:c r="AV6" s="600">
        <x:v>0</x:v>
      </x:c>
      <x:c r="AW6" s="600">
        <x:v>0</x:v>
      </x:c>
      <x:c r="AX6" s="585" t="s">
        <x:v>1102</x:v>
      </x:c>
      <x:c r="AY6" s="221"/>
      <x:c r="AZ6" s="185"/>
      <x:c r="BA6" s="185"/>
      <x:c r="BB6" s="185"/>
      <x:c r="BC6" s="185"/>
      <x:c r="BD6" s="36"/>
      <x:c r="BE6" s="221"/>
      <x:c r="BF6" s="185"/>
      <x:c r="BG6" s="185"/>
      <x:c r="BH6" s="185"/>
      <x:c r="BI6" s="185"/>
      <x:c r="BJ6" s="36"/>
      <x:c r="BK6" s="221"/>
      <x:c r="BL6" s="185"/>
      <x:c r="BM6" s="185"/>
      <x:c r="BN6" s="185"/>
      <x:c r="BO6" s="185"/>
      <x:c r="BP6" s="36"/>
      <x:c r="BQ6" s="221"/>
      <x:c r="BR6" s="185"/>
      <x:c r="BS6" s="185"/>
      <x:c r="BT6" s="185"/>
      <x:c r="BU6" s="185"/>
      <x:c r="BV6" s="36"/>
    </x:row>
    <x:row r="7" spans="1:74" ht="22.5" customHeight="1" x14ac:dyDescent="0.25">
      <x:c r="A7" s="619" t="s">
        <x:v>1131</x:v>
      </x:c>
      <x:c r="B7" s="57"/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221"/>
      <x:c r="P7" s="185"/>
      <x:c r="Q7" s="185"/>
      <x:c r="R7" s="185"/>
      <x:c r="S7" s="185"/>
      <x:c r="T7" s="36"/>
      <x:c r="U7" s="221"/>
      <x:c r="V7" s="185"/>
      <x:c r="W7" s="185"/>
      <x:c r="X7" s="185"/>
      <x:c r="Y7" s="185"/>
      <x:c r="Z7" s="36"/>
      <x:c r="AA7" s="221"/>
      <x:c r="AB7" s="185"/>
      <x:c r="AC7" s="185"/>
      <x:c r="AD7" s="185"/>
      <x:c r="AE7" s="185"/>
      <x:c r="AF7" s="36"/>
      <x:c r="AG7" s="221"/>
      <x:c r="AH7" s="185"/>
      <x:c r="AI7" s="185"/>
      <x:c r="AJ7" s="185"/>
      <x:c r="AK7" s="185"/>
      <x:c r="AL7" s="36"/>
      <x:c r="AM7" s="588"/>
      <x:c r="AN7" s="589"/>
      <x:c r="AO7" s="589"/>
      <x:c r="AP7" s="589"/>
      <x:c r="AQ7" s="589"/>
      <x:c r="AR7" s="591"/>
      <x:c r="AS7" s="239">
        <x:v>100</x:v>
      </x:c>
      <x:c r="AT7" s="158">
        <x:v>100</x:v>
      </x:c>
      <x:c r="AU7" s="158">
        <x:v>100</x:v>
      </x:c>
      <x:c r="AV7" s="158">
        <x:v>32.14</x:v>
      </x:c>
      <x:c r="AW7" s="600">
        <x:v>0</x:v>
      </x:c>
      <x:c r="AX7" s="585" t="s">
        <x:v>1102</x:v>
      </x:c>
      <x:c r="AY7" s="221"/>
      <x:c r="AZ7" s="185"/>
      <x:c r="BA7" s="185"/>
      <x:c r="BB7" s="185"/>
      <x:c r="BC7" s="185"/>
      <x:c r="BD7" s="36"/>
      <x:c r="BE7" s="221"/>
      <x:c r="BF7" s="185"/>
      <x:c r="BG7" s="185"/>
      <x:c r="BH7" s="185"/>
      <x:c r="BI7" s="185"/>
      <x:c r="BJ7" s="36"/>
      <x:c r="BK7" s="221"/>
      <x:c r="BL7" s="185"/>
      <x:c r="BM7" s="185"/>
      <x:c r="BN7" s="185"/>
      <x:c r="BO7" s="185"/>
      <x:c r="BP7" s="36"/>
      <x:c r="BQ7" s="221"/>
      <x:c r="BR7" s="185"/>
      <x:c r="BS7" s="185"/>
      <x:c r="BT7" s="185"/>
      <x:c r="BU7" s="185"/>
      <x:c r="BV7" s="36"/>
    </x:row>
    <x:row r="8" spans="1:74" ht="22.5" customHeight="1" x14ac:dyDescent="0.25">
      <x:c r="A8" s="618" t="s">
        <x:v>299</x:v>
      </x:c>
      <x:c r="B8" s="57" t="s">
        <x:v>183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221"/>
      <x:c r="P8" s="185"/>
      <x:c r="Q8" s="185"/>
      <x:c r="R8" s="185"/>
      <x:c r="S8" s="185"/>
      <x:c r="T8" s="36"/>
      <x:c r="U8" s="221"/>
      <x:c r="V8" s="185"/>
      <x:c r="W8" s="185"/>
      <x:c r="X8" s="185"/>
      <x:c r="Y8" s="185"/>
      <x:c r="Z8" s="36"/>
      <x:c r="AA8" s="221"/>
      <x:c r="AB8" s="185"/>
      <x:c r="AC8" s="185"/>
      <x:c r="AD8" s="185"/>
      <x:c r="AE8" s="185"/>
      <x:c r="AF8" s="36"/>
      <x:c r="AG8" s="221"/>
      <x:c r="AH8" s="185"/>
      <x:c r="AI8" s="185"/>
      <x:c r="AJ8" s="185"/>
      <x:c r="AK8" s="185"/>
      <x:c r="AL8" s="36"/>
      <x:c r="AM8" s="588">
        <x:v>0</x:v>
      </x:c>
      <x:c r="AN8" s="589">
        <x:v>0</x:v>
      </x:c>
      <x:c r="AO8" s="589">
        <x:v>0</x:v>
      </x:c>
      <x:c r="AP8" s="589">
        <x:v>0</x:v>
      </x:c>
      <x:c r="AQ8" s="589">
        <x:v>0</x:v>
      </x:c>
      <x:c r="AR8" s="591" t="s">
        <x:v>1103</x:v>
      </x:c>
      <x:c r="AS8" s="648">
        <x:v>0</x:v>
      </x:c>
      <x:c r="AT8" s="589">
        <x:v>0</x:v>
      </x:c>
      <x:c r="AU8" s="589">
        <x:v>0</x:v>
      </x:c>
      <x:c r="AV8" s="589">
        <x:v>0</x:v>
      </x:c>
      <x:c r="AW8" s="589">
        <x:v>0</x:v>
      </x:c>
      <x:c r="AX8" s="591" t="s">
        <x:v>1103</x:v>
      </x:c>
      <x:c r="AY8" s="221"/>
      <x:c r="AZ8" s="185"/>
      <x:c r="BA8" s="185"/>
      <x:c r="BB8" s="185"/>
      <x:c r="BC8" s="185"/>
      <x:c r="BD8" s="36"/>
      <x:c r="BE8" s="221"/>
      <x:c r="BF8" s="185"/>
      <x:c r="BG8" s="185"/>
      <x:c r="BH8" s="185"/>
      <x:c r="BI8" s="185"/>
      <x:c r="BJ8" s="36"/>
      <x:c r="BK8" s="221"/>
      <x:c r="BL8" s="185"/>
      <x:c r="BM8" s="185"/>
      <x:c r="BN8" s="185"/>
      <x:c r="BO8" s="185"/>
      <x:c r="BP8" s="36"/>
      <x:c r="BQ8" s="221"/>
      <x:c r="BR8" s="185"/>
      <x:c r="BS8" s="185"/>
      <x:c r="BT8" s="185"/>
      <x:c r="BU8" s="185"/>
      <x:c r="BV8" s="36"/>
    </x:row>
    <x:row r="9" spans="1:74" ht="22.5" customHeight="1" x14ac:dyDescent="0.25">
      <x:c r="A9" s="619" t="s">
        <x:v>1132</x:v>
      </x:c>
      <x:c r="B9" s="57"/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221"/>
      <x:c r="P9" s="185"/>
      <x:c r="Q9" s="185"/>
      <x:c r="R9" s="185"/>
      <x:c r="S9" s="185"/>
      <x:c r="T9" s="36"/>
      <x:c r="U9" s="221"/>
      <x:c r="V9" s="185"/>
      <x:c r="W9" s="185"/>
      <x:c r="X9" s="185"/>
      <x:c r="Y9" s="185"/>
      <x:c r="Z9" s="36"/>
      <x:c r="AA9" s="221"/>
      <x:c r="AB9" s="185"/>
      <x:c r="AC9" s="185"/>
      <x:c r="AD9" s="185"/>
      <x:c r="AE9" s="185"/>
      <x:c r="AF9" s="36"/>
      <x:c r="AG9" s="221"/>
      <x:c r="AH9" s="185"/>
      <x:c r="AI9" s="185"/>
      <x:c r="AJ9" s="185"/>
      <x:c r="AK9" s="185"/>
      <x:c r="AL9" s="36"/>
      <x:c r="AM9" s="588"/>
      <x:c r="AN9" s="589"/>
      <x:c r="AO9" s="589"/>
      <x:c r="AP9" s="589"/>
      <x:c r="AQ9" s="589"/>
      <x:c r="AR9" s="591"/>
      <x:c r="AS9" s="239">
        <x:v>100</x:v>
      </x:c>
      <x:c r="AT9" s="158">
        <x:v>100</x:v>
      </x:c>
      <x:c r="AU9" s="158">
        <x:v>100</x:v>
      </x:c>
      <x:c r="AV9" s="158">
        <x:v>32.14</x:v>
      </x:c>
      <x:c r="AW9" s="600">
        <x:v>0</x:v>
      </x:c>
      <x:c r="AX9" s="585" t="s">
        <x:v>1102</x:v>
      </x:c>
      <x:c r="AY9" s="221"/>
      <x:c r="AZ9" s="185"/>
      <x:c r="BA9" s="185"/>
      <x:c r="BB9" s="185"/>
      <x:c r="BC9" s="185"/>
      <x:c r="BD9" s="36"/>
      <x:c r="BE9" s="221"/>
      <x:c r="BF9" s="185"/>
      <x:c r="BG9" s="185"/>
      <x:c r="BH9" s="185"/>
      <x:c r="BI9" s="185"/>
      <x:c r="BJ9" s="36"/>
      <x:c r="BK9" s="221"/>
      <x:c r="BL9" s="185"/>
      <x:c r="BM9" s="185"/>
      <x:c r="BN9" s="185"/>
      <x:c r="BO9" s="185"/>
      <x:c r="BP9" s="36"/>
      <x:c r="BQ9" s="221"/>
      <x:c r="BR9" s="185"/>
      <x:c r="BS9" s="185"/>
      <x:c r="BT9" s="185"/>
      <x:c r="BU9" s="185"/>
      <x:c r="BV9" s="36"/>
    </x:row>
    <x:row r="10" spans="1:74" ht="22.5" customHeight="1" x14ac:dyDescent="0.25">
      <x:c r="A10" s="619" t="s">
        <x:v>315</x:v>
      </x:c>
      <x:c r="B10" s="57" t="s">
        <x:v>183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221"/>
      <x:c r="P10" s="185"/>
      <x:c r="Q10" s="185"/>
      <x:c r="R10" s="185"/>
      <x:c r="S10" s="185"/>
      <x:c r="T10" s="36"/>
      <x:c r="U10" s="221"/>
      <x:c r="V10" s="185"/>
      <x:c r="W10" s="185"/>
      <x:c r="X10" s="185"/>
      <x:c r="Y10" s="185"/>
      <x:c r="Z10" s="36"/>
      <x:c r="AA10" s="221"/>
      <x:c r="AB10" s="185"/>
      <x:c r="AC10" s="185"/>
      <x:c r="AD10" s="185"/>
      <x:c r="AE10" s="185"/>
      <x:c r="AF10" s="36"/>
      <x:c r="AG10" s="221"/>
      <x:c r="AH10" s="185"/>
      <x:c r="AI10" s="185"/>
      <x:c r="AJ10" s="185"/>
      <x:c r="AK10" s="185"/>
      <x:c r="AL10" s="36"/>
      <x:c r="AM10" s="588">
        <x:v>0</x:v>
      </x:c>
      <x:c r="AN10" s="589">
        <x:v>0</x:v>
      </x:c>
      <x:c r="AO10" s="589">
        <x:v>0</x:v>
      </x:c>
      <x:c r="AP10" s="589">
        <x:v>0</x:v>
      </x:c>
      <x:c r="AQ10" s="589">
        <x:v>0</x:v>
      </x:c>
      <x:c r="AR10" s="591" t="s">
        <x:v>1103</x:v>
      </x:c>
      <x:c r="AS10" s="239">
        <x:v>100</x:v>
      </x:c>
      <x:c r="AT10" s="158">
        <x:v>100</x:v>
      </x:c>
      <x:c r="AU10" s="158">
        <x:v>100</x:v>
      </x:c>
      <x:c r="AV10" s="158">
        <x:v>32.14</x:v>
      </x:c>
      <x:c r="AW10" s="600">
        <x:v>0</x:v>
      </x:c>
      <x:c r="AX10" s="585" t="s">
        <x:v>1102</x:v>
      </x:c>
      <x:c r="AY10" s="221"/>
      <x:c r="AZ10" s="185"/>
      <x:c r="BA10" s="185"/>
      <x:c r="BB10" s="185"/>
      <x:c r="BC10" s="185"/>
      <x:c r="BD10" s="36"/>
      <x:c r="BE10" s="221"/>
      <x:c r="BF10" s="185"/>
      <x:c r="BG10" s="185"/>
      <x:c r="BH10" s="185"/>
      <x:c r="BI10" s="185"/>
      <x:c r="BJ10" s="36"/>
      <x:c r="BK10" s="221"/>
      <x:c r="BL10" s="185"/>
      <x:c r="BM10" s="185"/>
      <x:c r="BN10" s="185"/>
      <x:c r="BO10" s="185"/>
      <x:c r="BP10" s="36"/>
      <x:c r="BQ10" s="221"/>
      <x:c r="BR10" s="185"/>
      <x:c r="BS10" s="185"/>
      <x:c r="BT10" s="185"/>
      <x:c r="BU10" s="185"/>
      <x:c r="BV10" s="36"/>
    </x:row>
    <x:row r="11" spans="1:74" ht="22.5" customHeight="1" x14ac:dyDescent="0.25">
      <x:c r="A11" s="619" t="s">
        <x:v>313</x:v>
      </x:c>
      <x:c r="B11" s="57" t="s">
        <x:v>183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221"/>
      <x:c r="P11" s="185"/>
      <x:c r="Q11" s="185"/>
      <x:c r="R11" s="185"/>
      <x:c r="S11" s="185"/>
      <x:c r="T11" s="36"/>
      <x:c r="U11" s="221"/>
      <x:c r="V11" s="185"/>
      <x:c r="W11" s="185"/>
      <x:c r="X11" s="185"/>
      <x:c r="Y11" s="185"/>
      <x:c r="Z11" s="36"/>
      <x:c r="AA11" s="221"/>
      <x:c r="AB11" s="185"/>
      <x:c r="AC11" s="185"/>
      <x:c r="AD11" s="185"/>
      <x:c r="AE11" s="185"/>
      <x:c r="AF11" s="36"/>
      <x:c r="AG11" s="221"/>
      <x:c r="AH11" s="185"/>
      <x:c r="AI11" s="185"/>
      <x:c r="AJ11" s="185"/>
      <x:c r="AK11" s="185"/>
      <x:c r="AL11" s="36"/>
      <x:c r="AM11" s="588">
        <x:v>0</x:v>
      </x:c>
      <x:c r="AN11" s="589">
        <x:v>0</x:v>
      </x:c>
      <x:c r="AO11" s="589">
        <x:v>0</x:v>
      </x:c>
      <x:c r="AP11" s="589">
        <x:v>0</x:v>
      </x:c>
      <x:c r="AQ11" s="589">
        <x:v>0</x:v>
      </x:c>
      <x:c r="AR11" s="591" t="s">
        <x:v>1103</x:v>
      </x:c>
      <x:c r="AS11" s="239">
        <x:v>100</x:v>
      </x:c>
      <x:c r="AT11" s="158">
        <x:v>32.14</x:v>
      </x:c>
      <x:c r="AU11" s="600">
        <x:v>0</x:v>
      </x:c>
      <x:c r="AV11" s="600">
        <x:v>0</x:v>
      </x:c>
      <x:c r="AW11" s="600">
        <x:v>0</x:v>
      </x:c>
      <x:c r="AX11" s="585" t="s">
        <x:v>1102</x:v>
      </x:c>
      <x:c r="AY11" s="221"/>
      <x:c r="AZ11" s="185"/>
      <x:c r="BA11" s="185"/>
      <x:c r="BB11" s="185"/>
      <x:c r="BC11" s="185"/>
      <x:c r="BD11" s="36"/>
      <x:c r="BE11" s="221"/>
      <x:c r="BF11" s="185"/>
      <x:c r="BG11" s="185"/>
      <x:c r="BH11" s="185"/>
      <x:c r="BI11" s="185"/>
      <x:c r="BJ11" s="36"/>
      <x:c r="BK11" s="221"/>
      <x:c r="BL11" s="185"/>
      <x:c r="BM11" s="185"/>
      <x:c r="BN11" s="185"/>
      <x:c r="BO11" s="185"/>
      <x:c r="BP11" s="36"/>
      <x:c r="BQ11" s="221"/>
      <x:c r="BR11" s="185"/>
      <x:c r="BS11" s="185"/>
      <x:c r="BT11" s="185"/>
      <x:c r="BU11" s="185"/>
      <x:c r="BV11" s="36"/>
    </x:row>
    <x:row r="12" spans="1:74" ht="22.5" customHeight="1" x14ac:dyDescent="0.25">
      <x:c r="A12" s="619" t="s">
        <x:v>326</x:v>
      </x:c>
      <x:c r="B12" s="57" t="s">
        <x:v>23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221"/>
      <x:c r="P12" s="185"/>
      <x:c r="Q12" s="185"/>
      <x:c r="R12" s="185"/>
      <x:c r="S12" s="185"/>
      <x:c r="T12" s="36"/>
      <x:c r="U12" s="221"/>
      <x:c r="V12" s="185"/>
      <x:c r="W12" s="185"/>
      <x:c r="X12" s="185"/>
      <x:c r="Y12" s="185"/>
      <x:c r="Z12" s="36"/>
      <x:c r="AA12" s="221"/>
      <x:c r="AB12" s="185"/>
      <x:c r="AC12" s="185"/>
      <x:c r="AD12" s="185"/>
      <x:c r="AE12" s="185"/>
      <x:c r="AF12" s="36"/>
      <x:c r="AG12" s="221"/>
      <x:c r="AH12" s="185"/>
      <x:c r="AI12" s="185"/>
      <x:c r="AJ12" s="185"/>
      <x:c r="AK12" s="185"/>
      <x:c r="AL12" s="36"/>
      <x:c r="AM12" s="588">
        <x:v>0</x:v>
      </x:c>
      <x:c r="AN12" s="589">
        <x:v>0</x:v>
      </x:c>
      <x:c r="AO12" s="589">
        <x:v>0</x:v>
      </x:c>
      <x:c r="AP12" s="589">
        <x:v>0</x:v>
      </x:c>
      <x:c r="AQ12" s="589">
        <x:v>0</x:v>
      </x:c>
      <x:c r="AR12" s="591" t="s">
        <x:v>1103</x:v>
      </x:c>
      <x:c r="AS12" s="239">
        <x:v>100</x:v>
      </x:c>
      <x:c r="AT12" s="158">
        <x:v>100</x:v>
      </x:c>
      <x:c r="AU12" s="158">
        <x:v>100</x:v>
      </x:c>
      <x:c r="AV12" s="158">
        <x:v>53.57</x:v>
      </x:c>
      <x:c r="AW12" s="600">
        <x:v>0</x:v>
      </x:c>
      <x:c r="AX12" s="585" t="s">
        <x:v>1102</x:v>
      </x:c>
      <x:c r="AY12" s="221"/>
      <x:c r="AZ12" s="185"/>
      <x:c r="BA12" s="185"/>
      <x:c r="BB12" s="185"/>
      <x:c r="BC12" s="185"/>
      <x:c r="BD12" s="36"/>
      <x:c r="BE12" s="221"/>
      <x:c r="BF12" s="185"/>
      <x:c r="BG12" s="185"/>
      <x:c r="BH12" s="185"/>
      <x:c r="BI12" s="185"/>
      <x:c r="BJ12" s="36"/>
      <x:c r="BK12" s="221"/>
      <x:c r="BL12" s="185"/>
      <x:c r="BM12" s="185"/>
      <x:c r="BN12" s="185"/>
      <x:c r="BO12" s="185"/>
      <x:c r="BP12" s="36"/>
      <x:c r="BQ12" s="221"/>
      <x:c r="BR12" s="185"/>
      <x:c r="BS12" s="185"/>
      <x:c r="BT12" s="185"/>
      <x:c r="BU12" s="185"/>
      <x:c r="BV12" s="36"/>
    </x:row>
    <x:row r="13" spans="1:74" ht="22.5" customHeight="1" x14ac:dyDescent="0.25">
      <x:c r="A13" s="619" t="s">
        <x:v>386</x:v>
      </x:c>
      <x:c r="B13" s="57" t="s">
        <x:v>23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221"/>
      <x:c r="P13" s="185"/>
      <x:c r="Q13" s="185"/>
      <x:c r="R13" s="185"/>
      <x:c r="S13" s="185"/>
      <x:c r="T13" s="36"/>
      <x:c r="U13" s="221"/>
      <x:c r="V13" s="185"/>
      <x:c r="W13" s="185"/>
      <x:c r="X13" s="185"/>
      <x:c r="Y13" s="185"/>
      <x:c r="Z13" s="36"/>
      <x:c r="AA13" s="221"/>
      <x:c r="AB13" s="185"/>
      <x:c r="AC13" s="185"/>
      <x:c r="AD13" s="185"/>
      <x:c r="AE13" s="185"/>
      <x:c r="AF13" s="36"/>
      <x:c r="AG13" s="221"/>
      <x:c r="AH13" s="185"/>
      <x:c r="AI13" s="185"/>
      <x:c r="AJ13" s="185"/>
      <x:c r="AK13" s="185"/>
      <x:c r="AL13" s="36"/>
      <x:c r="AM13" s="588">
        <x:v>0</x:v>
      </x:c>
      <x:c r="AN13" s="589">
        <x:v>0</x:v>
      </x:c>
      <x:c r="AO13" s="589">
        <x:v>0</x:v>
      </x:c>
      <x:c r="AP13" s="589">
        <x:v>0</x:v>
      </x:c>
      <x:c r="AQ13" s="589">
        <x:v>0</x:v>
      </x:c>
      <x:c r="AR13" s="591" t="s">
        <x:v>1103</x:v>
      </x:c>
      <x:c r="AS13" s="239">
        <x:v>100</x:v>
      </x:c>
      <x:c r="AT13" s="158">
        <x:v>100</x:v>
      </x:c>
      <x:c r="AU13" s="158">
        <x:v>53.57</x:v>
      </x:c>
      <x:c r="AV13" s="600">
        <x:v>0</x:v>
      </x:c>
      <x:c r="AW13" s="600">
        <x:v>0</x:v>
      </x:c>
      <x:c r="AX13" s="585" t="s">
        <x:v>1102</x:v>
      </x:c>
      <x:c r="AY13" s="221"/>
      <x:c r="AZ13" s="185"/>
      <x:c r="BA13" s="185"/>
      <x:c r="BB13" s="185"/>
      <x:c r="BC13" s="185"/>
      <x:c r="BD13" s="36"/>
      <x:c r="BE13" s="221"/>
      <x:c r="BF13" s="185"/>
      <x:c r="BG13" s="185"/>
      <x:c r="BH13" s="185"/>
      <x:c r="BI13" s="185"/>
      <x:c r="BJ13" s="36"/>
      <x:c r="BK13" s="221"/>
      <x:c r="BL13" s="185"/>
      <x:c r="BM13" s="185"/>
      <x:c r="BN13" s="185"/>
      <x:c r="BO13" s="185"/>
      <x:c r="BP13" s="36"/>
      <x:c r="BQ13" s="221"/>
      <x:c r="BR13" s="185"/>
      <x:c r="BS13" s="185"/>
      <x:c r="BT13" s="185"/>
      <x:c r="BU13" s="185"/>
      <x:c r="BV13" s="36"/>
    </x:row>
    <x:row r="14" spans="1:74" ht="22.5" customHeight="1" x14ac:dyDescent="0.25">
      <x:c r="A14" s="97" t="s">
        <x:v>312</x:v>
      </x:c>
      <x:c r="B14" s="57" t="s">
        <x:v>183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221"/>
      <x:c r="P14" s="185"/>
      <x:c r="Q14" s="185"/>
      <x:c r="R14" s="185"/>
      <x:c r="S14" s="185"/>
      <x:c r="T14" s="36"/>
      <x:c r="U14" s="221"/>
      <x:c r="V14" s="185"/>
      <x:c r="W14" s="185"/>
      <x:c r="X14" s="185"/>
      <x:c r="Y14" s="185"/>
      <x:c r="Z14" s="36"/>
      <x:c r="AA14" s="221"/>
      <x:c r="AB14" s="185"/>
      <x:c r="AC14" s="185"/>
      <x:c r="AD14" s="185"/>
      <x:c r="AE14" s="185"/>
      <x:c r="AF14" s="36"/>
      <x:c r="AG14" s="221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589">
        <x:v>0</x:v>
      </x:c>
      <x:c r="AQ14" s="589">
        <x:v>0</x:v>
      </x:c>
      <x:c r="AR14" s="620" t="s">
        <x:v>1102</x:v>
      </x:c>
      <x:c r="AS14" s="239">
        <x:v>100</x:v>
      </x:c>
      <x:c r="AT14" s="158">
        <x:v>100</x:v>
      </x:c>
      <x:c r="AU14" s="158">
        <x:v>100</x:v>
      </x:c>
      <x:c r="AV14" s="600">
        <x:v>0</x:v>
      </x:c>
      <x:c r="AW14" s="600">
        <x:v>0</x:v>
      </x:c>
      <x:c r="AX14" s="585" t="s">
        <x:v>1102</x:v>
      </x:c>
      <x:c r="AY14" s="221"/>
      <x:c r="AZ14" s="185"/>
      <x:c r="BA14" s="185"/>
      <x:c r="BB14" s="185"/>
      <x:c r="BC14" s="185"/>
      <x:c r="BD14" s="36"/>
      <x:c r="BE14" s="221"/>
      <x:c r="BF14" s="185"/>
      <x:c r="BG14" s="185"/>
      <x:c r="BH14" s="185"/>
      <x:c r="BI14" s="185"/>
      <x:c r="BJ14" s="36"/>
      <x:c r="BK14" s="221"/>
      <x:c r="BL14" s="185"/>
      <x:c r="BM14" s="185"/>
      <x:c r="BN14" s="185"/>
      <x:c r="BO14" s="185"/>
      <x:c r="BP14" s="36"/>
      <x:c r="BQ14" s="221"/>
      <x:c r="BR14" s="185"/>
      <x:c r="BS14" s="185"/>
      <x:c r="BT14" s="185"/>
      <x:c r="BU14" s="185"/>
      <x:c r="BV14" s="36"/>
    </x:row>
    <x:row r="15" spans="1:74" ht="22.5" customHeight="1" x14ac:dyDescent="0.25">
      <x:c r="A15" s="619" t="s">
        <x:v>348</x:v>
      </x:c>
      <x:c r="B15" s="57" t="s">
        <x:v>23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221"/>
      <x:c r="P15" s="185"/>
      <x:c r="Q15" s="185"/>
      <x:c r="R15" s="185"/>
      <x:c r="S15" s="185"/>
      <x:c r="T15" s="36"/>
      <x:c r="U15" s="221"/>
      <x:c r="V15" s="185"/>
      <x:c r="W15" s="185"/>
      <x:c r="X15" s="185"/>
      <x:c r="Y15" s="185"/>
      <x:c r="Z15" s="36"/>
      <x:c r="AA15" s="221"/>
      <x:c r="AB15" s="185"/>
      <x:c r="AC15" s="185"/>
      <x:c r="AD15" s="185"/>
      <x:c r="AE15" s="185"/>
      <x:c r="AF15" s="36"/>
      <x:c r="AG15" s="221"/>
      <x:c r="AH15" s="185"/>
      <x:c r="AI15" s="185"/>
      <x:c r="AJ15" s="185"/>
      <x:c r="AK15" s="185"/>
      <x:c r="AL15" s="36"/>
      <x:c r="AM15" s="588">
        <x:v>0</x:v>
      </x:c>
      <x:c r="AN15" s="589">
        <x:v>0</x:v>
      </x:c>
      <x:c r="AO15" s="589">
        <x:v>0</x:v>
      </x:c>
      <x:c r="AP15" s="589">
        <x:v>0</x:v>
      </x:c>
      <x:c r="AQ15" s="589">
        <x:v>0</x:v>
      </x:c>
      <x:c r="AR15" s="591" t="s">
        <x:v>1103</x:v>
      </x:c>
      <x:c r="AS15" s="239">
        <x:v>100</x:v>
      </x:c>
      <x:c r="AT15" s="602">
        <x:v>0</x:v>
      </x:c>
      <x:c r="AU15" s="600">
        <x:v>0</x:v>
      </x:c>
      <x:c r="AV15" s="600">
        <x:v>0</x:v>
      </x:c>
      <x:c r="AW15" s="600">
        <x:v>0</x:v>
      </x:c>
      <x:c r="AX15" s="585" t="s">
        <x:v>1102</x:v>
      </x:c>
      <x:c r="AY15" s="221"/>
      <x:c r="AZ15" s="185"/>
      <x:c r="BA15" s="185"/>
      <x:c r="BB15" s="185"/>
      <x:c r="BC15" s="185"/>
      <x:c r="BD15" s="36"/>
      <x:c r="BE15" s="221"/>
      <x:c r="BF15" s="185"/>
      <x:c r="BG15" s="185"/>
      <x:c r="BH15" s="185"/>
      <x:c r="BI15" s="185"/>
      <x:c r="BJ15" s="36"/>
      <x:c r="BK15" s="221"/>
      <x:c r="BL15" s="185"/>
      <x:c r="BM15" s="185"/>
      <x:c r="BN15" s="185"/>
      <x:c r="BO15" s="185"/>
      <x:c r="BP15" s="36"/>
      <x:c r="BQ15" s="221"/>
      <x:c r="BR15" s="185"/>
      <x:c r="BS15" s="185"/>
      <x:c r="BT15" s="185"/>
      <x:c r="BU15" s="185"/>
      <x:c r="BV15" s="36"/>
    </x:row>
    <x:row r="16" spans="1:74" ht="22.5" customHeight="1" x14ac:dyDescent="0.25">
      <x:c r="A16" s="618" t="s">
        <x:v>370</x:v>
      </x:c>
      <x:c r="B16" s="57" t="s">
        <x:v>23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221"/>
      <x:c r="P16" s="185"/>
      <x:c r="Q16" s="185"/>
      <x:c r="R16" s="185"/>
      <x:c r="S16" s="185"/>
      <x:c r="T16" s="36"/>
      <x:c r="U16" s="221"/>
      <x:c r="V16" s="185"/>
      <x:c r="W16" s="185"/>
      <x:c r="X16" s="185"/>
      <x:c r="Y16" s="185"/>
      <x:c r="Z16" s="36"/>
      <x:c r="AA16" s="221"/>
      <x:c r="AB16" s="185"/>
      <x:c r="AC16" s="185"/>
      <x:c r="AD16" s="185"/>
      <x:c r="AE16" s="185"/>
      <x:c r="AF16" s="36"/>
      <x:c r="AG16" s="221"/>
      <x:c r="AH16" s="185"/>
      <x:c r="AI16" s="185"/>
      <x:c r="AJ16" s="185"/>
      <x:c r="AK16" s="185"/>
      <x:c r="AL16" s="36"/>
      <x:c r="AM16" s="588">
        <x:v>0</x:v>
      </x:c>
      <x:c r="AN16" s="589">
        <x:v>0</x:v>
      </x:c>
      <x:c r="AO16" s="589">
        <x:v>0</x:v>
      </x:c>
      <x:c r="AP16" s="589">
        <x:v>0</x:v>
      </x:c>
      <x:c r="AQ16" s="589">
        <x:v>0</x:v>
      </x:c>
      <x:c r="AR16" s="591" t="s">
        <x:v>1103</x:v>
      </x:c>
      <x:c r="AS16" s="648">
        <x:v>0</x:v>
      </x:c>
      <x:c r="AT16" s="589">
        <x:v>0</x:v>
      </x:c>
      <x:c r="AU16" s="589">
        <x:v>0</x:v>
      </x:c>
      <x:c r="AV16" s="589">
        <x:v>0</x:v>
      </x:c>
      <x:c r="AW16" s="589">
        <x:v>0</x:v>
      </x:c>
      <x:c r="AX16" s="591" t="s">
        <x:v>1103</x:v>
      </x:c>
      <x:c r="AY16" s="221"/>
      <x:c r="AZ16" s="185"/>
      <x:c r="BA16" s="185"/>
      <x:c r="BB16" s="185"/>
      <x:c r="BC16" s="185"/>
      <x:c r="BD16" s="36"/>
      <x:c r="BE16" s="221"/>
      <x:c r="BF16" s="185"/>
      <x:c r="BG16" s="185"/>
      <x:c r="BH16" s="185"/>
      <x:c r="BI16" s="185"/>
      <x:c r="BJ16" s="36"/>
      <x:c r="BK16" s="221"/>
      <x:c r="BL16" s="185"/>
      <x:c r="BM16" s="185"/>
      <x:c r="BN16" s="185"/>
      <x:c r="BO16" s="185"/>
      <x:c r="BP16" s="36"/>
      <x:c r="BQ16" s="221"/>
      <x:c r="BR16" s="185"/>
      <x:c r="BS16" s="185"/>
      <x:c r="BT16" s="185"/>
      <x:c r="BU16" s="185"/>
      <x:c r="BV16" s="36"/>
    </x:row>
    <x:row r="17" spans="1:74" ht="22.5" customHeight="1" x14ac:dyDescent="0.25">
      <x:c r="A17" s="619" t="s">
        <x:v>316</x:v>
      </x:c>
      <x:c r="B17" s="57" t="s">
        <x:v>191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221"/>
      <x:c r="P17" s="185"/>
      <x:c r="Q17" s="185"/>
      <x:c r="R17" s="185"/>
      <x:c r="S17" s="185"/>
      <x:c r="T17" s="36"/>
      <x:c r="U17" s="221"/>
      <x:c r="V17" s="185"/>
      <x:c r="W17" s="185"/>
      <x:c r="X17" s="185"/>
      <x:c r="Y17" s="185"/>
      <x:c r="Z17" s="36"/>
      <x:c r="AA17" s="221"/>
      <x:c r="AB17" s="185"/>
      <x:c r="AC17" s="185"/>
      <x:c r="AD17" s="185"/>
      <x:c r="AE17" s="185"/>
      <x:c r="AF17" s="36"/>
      <x:c r="AG17" s="221"/>
      <x:c r="AH17" s="185"/>
      <x:c r="AI17" s="185"/>
      <x:c r="AJ17" s="185"/>
      <x:c r="AK17" s="185"/>
      <x:c r="AL17" s="36"/>
      <x:c r="AM17" s="588">
        <x:v>0</x:v>
      </x:c>
      <x:c r="AN17" s="589">
        <x:v>0</x:v>
      </x:c>
      <x:c r="AO17" s="589">
        <x:v>0</x:v>
      </x:c>
      <x:c r="AP17" s="589">
        <x:v>0</x:v>
      </x:c>
      <x:c r="AQ17" s="589">
        <x:v>0</x:v>
      </x:c>
      <x:c r="AR17" s="591" t="s">
        <x:v>1103</x:v>
      </x:c>
      <x:c r="AS17" s="239">
        <x:v>100</x:v>
      </x:c>
      <x:c r="AT17" s="158">
        <x:v>100</x:v>
      </x:c>
      <x:c r="AU17" s="600">
        <x:v>0</x:v>
      </x:c>
      <x:c r="AV17" s="600">
        <x:v>0</x:v>
      </x:c>
      <x:c r="AW17" s="600">
        <x:v>0</x:v>
      </x:c>
      <x:c r="AX17" s="585" t="s">
        <x:v>1102</x:v>
      </x:c>
      <x:c r="AY17" s="221"/>
      <x:c r="AZ17" s="185"/>
      <x:c r="BA17" s="185"/>
      <x:c r="BB17" s="185"/>
      <x:c r="BC17" s="185"/>
      <x:c r="BD17" s="36"/>
      <x:c r="BE17" s="221"/>
      <x:c r="BF17" s="185"/>
      <x:c r="BG17" s="185"/>
      <x:c r="BH17" s="185"/>
      <x:c r="BI17" s="185"/>
      <x:c r="BJ17" s="36"/>
      <x:c r="BK17" s="221"/>
      <x:c r="BL17" s="185"/>
      <x:c r="BM17" s="185"/>
      <x:c r="BN17" s="185"/>
      <x:c r="BO17" s="185"/>
      <x:c r="BP17" s="36"/>
      <x:c r="BQ17" s="221"/>
      <x:c r="BR17" s="185"/>
      <x:c r="BS17" s="185"/>
      <x:c r="BT17" s="185"/>
      <x:c r="BU17" s="185"/>
      <x:c r="BV17" s="36"/>
    </x:row>
    <x:row r="18" spans="1:74" ht="22.5" customHeight="1" x14ac:dyDescent="0.25">
      <x:c r="A18" s="619" t="s">
        <x:v>378</x:v>
      </x:c>
      <x:c r="B18" s="57" t="s">
        <x:v>37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221"/>
      <x:c r="P18" s="185"/>
      <x:c r="Q18" s="185"/>
      <x:c r="R18" s="185"/>
      <x:c r="S18" s="185"/>
      <x:c r="T18" s="36"/>
      <x:c r="U18" s="221"/>
      <x:c r="V18" s="185"/>
      <x:c r="W18" s="185"/>
      <x:c r="X18" s="185"/>
      <x:c r="Y18" s="185"/>
      <x:c r="Z18" s="36"/>
      <x:c r="AA18" s="221"/>
      <x:c r="AB18" s="185"/>
      <x:c r="AC18" s="185"/>
      <x:c r="AD18" s="185"/>
      <x:c r="AE18" s="185"/>
      <x:c r="AF18" s="36"/>
      <x:c r="AG18" s="221"/>
      <x:c r="AH18" s="185"/>
      <x:c r="AI18" s="185"/>
      <x:c r="AJ18" s="185"/>
      <x:c r="AK18" s="185"/>
      <x:c r="AL18" s="36"/>
      <x:c r="AM18" s="588">
        <x:v>0</x:v>
      </x:c>
      <x:c r="AN18" s="589">
        <x:v>0</x:v>
      </x:c>
      <x:c r="AO18" s="589">
        <x:v>0</x:v>
      </x:c>
      <x:c r="AP18" s="589">
        <x:v>0</x:v>
      </x:c>
      <x:c r="AQ18" s="589">
        <x:v>0</x:v>
      </x:c>
      <x:c r="AR18" s="591" t="s">
        <x:v>1103</x:v>
      </x:c>
      <x:c r="AS18" s="239">
        <x:v>100</x:v>
      </x:c>
      <x:c r="AT18" s="158">
        <x:v>100</x:v>
      </x:c>
      <x:c r="AU18" s="600">
        <x:v>0</x:v>
      </x:c>
      <x:c r="AV18" s="600">
        <x:v>0</x:v>
      </x:c>
      <x:c r="AW18" s="600">
        <x:v>0</x:v>
      </x:c>
      <x:c r="AX18" s="585" t="s">
        <x:v>1102</x:v>
      </x:c>
      <x:c r="AY18" s="221"/>
      <x:c r="AZ18" s="185"/>
      <x:c r="BA18" s="185"/>
      <x:c r="BB18" s="185"/>
      <x:c r="BC18" s="185"/>
      <x:c r="BD18" s="36"/>
      <x:c r="BE18" s="221"/>
      <x:c r="BF18" s="185"/>
      <x:c r="BG18" s="185"/>
      <x:c r="BH18" s="185"/>
      <x:c r="BI18" s="185"/>
      <x:c r="BJ18" s="36"/>
      <x:c r="BK18" s="221"/>
      <x:c r="BL18" s="185"/>
      <x:c r="BM18" s="185"/>
      <x:c r="BN18" s="185"/>
      <x:c r="BO18" s="185"/>
      <x:c r="BP18" s="36"/>
      <x:c r="BQ18" s="221"/>
      <x:c r="BR18" s="185"/>
      <x:c r="BS18" s="185"/>
      <x:c r="BT18" s="185"/>
      <x:c r="BU18" s="185"/>
      <x:c r="BV18" s="36"/>
    </x:row>
    <x:row r="19" spans="1:74" ht="22.5" customHeight="1" x14ac:dyDescent="0.25">
      <x:c r="A19" s="618" t="s">
        <x:v>297</x:v>
      </x:c>
      <x:c r="B19" s="57" t="s">
        <x:v>43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221"/>
      <x:c r="P19" s="185"/>
      <x:c r="Q19" s="185"/>
      <x:c r="R19" s="185"/>
      <x:c r="S19" s="185"/>
      <x:c r="T19" s="36"/>
      <x:c r="U19" s="221"/>
      <x:c r="V19" s="185"/>
      <x:c r="W19" s="185"/>
      <x:c r="X19" s="185"/>
      <x:c r="Y19" s="185"/>
      <x:c r="Z19" s="36"/>
      <x:c r="AA19" s="221"/>
      <x:c r="AB19" s="185"/>
      <x:c r="AC19" s="185"/>
      <x:c r="AD19" s="185"/>
      <x:c r="AE19" s="185"/>
      <x:c r="AF19" s="36"/>
      <x:c r="AG19" s="221"/>
      <x:c r="AH19" s="185"/>
      <x:c r="AI19" s="185"/>
      <x:c r="AJ19" s="185"/>
      <x:c r="AK19" s="185"/>
      <x:c r="AL19" s="36"/>
      <x:c r="AM19" s="588">
        <x:v>0</x:v>
      </x:c>
      <x:c r="AN19" s="589">
        <x:v>0</x:v>
      </x:c>
      <x:c r="AO19" s="589">
        <x:v>0</x:v>
      </x:c>
      <x:c r="AP19" s="589">
        <x:v>0</x:v>
      </x:c>
      <x:c r="AQ19" s="589">
        <x:v>0</x:v>
      </x:c>
      <x:c r="AR19" s="591" t="s">
        <x:v>1103</x:v>
      </x:c>
      <x:c r="AS19" s="648">
        <x:v>0</x:v>
      </x:c>
      <x:c r="AT19" s="589">
        <x:v>0</x:v>
      </x:c>
      <x:c r="AU19" s="589">
        <x:v>0</x:v>
      </x:c>
      <x:c r="AV19" s="589">
        <x:v>0</x:v>
      </x:c>
      <x:c r="AW19" s="589">
        <x:v>0</x:v>
      </x:c>
      <x:c r="AX19" s="591" t="s">
        <x:v>1103</x:v>
      </x:c>
      <x:c r="AY19" s="221"/>
      <x:c r="AZ19" s="185"/>
      <x:c r="BA19" s="185"/>
      <x:c r="BB19" s="185"/>
      <x:c r="BC19" s="185"/>
      <x:c r="BD19" s="36"/>
      <x:c r="BE19" s="221"/>
      <x:c r="BF19" s="185"/>
      <x:c r="BG19" s="185"/>
      <x:c r="BH19" s="185"/>
      <x:c r="BI19" s="185"/>
      <x:c r="BJ19" s="36"/>
      <x:c r="BK19" s="221"/>
      <x:c r="BL19" s="185"/>
      <x:c r="BM19" s="185"/>
      <x:c r="BN19" s="185"/>
      <x:c r="BO19" s="185"/>
      <x:c r="BP19" s="36"/>
      <x:c r="BQ19" s="221"/>
      <x:c r="BR19" s="185"/>
      <x:c r="BS19" s="185"/>
      <x:c r="BT19" s="185"/>
      <x:c r="BU19" s="185"/>
      <x:c r="BV19" s="36"/>
    </x:row>
    <x:row r="20" spans="1:74" ht="22.5" customHeight="1" x14ac:dyDescent="0.25">
      <x:c r="A20" s="619" t="s">
        <x:v>354</x:v>
      </x:c>
      <x:c r="B20" s="57" t="s">
        <x:v>23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221"/>
      <x:c r="P20" s="185"/>
      <x:c r="Q20" s="185"/>
      <x:c r="R20" s="185"/>
      <x:c r="S20" s="185"/>
      <x:c r="T20" s="36"/>
      <x:c r="U20" s="221"/>
      <x:c r="V20" s="185"/>
      <x:c r="W20" s="185"/>
      <x:c r="X20" s="185"/>
      <x:c r="Y20" s="185"/>
      <x:c r="Z20" s="36"/>
      <x:c r="AA20" s="221"/>
      <x:c r="AB20" s="185"/>
      <x:c r="AC20" s="185"/>
      <x:c r="AD20" s="185"/>
      <x:c r="AE20" s="185"/>
      <x:c r="AF20" s="36"/>
      <x:c r="AG20" s="221"/>
      <x:c r="AH20" s="185"/>
      <x:c r="AI20" s="185"/>
      <x:c r="AJ20" s="185"/>
      <x:c r="AK20" s="185"/>
      <x:c r="AL20" s="36"/>
      <x:c r="AM20" s="588">
        <x:v>0</x:v>
      </x:c>
      <x:c r="AN20" s="589">
        <x:v>0</x:v>
      </x:c>
      <x:c r="AO20" s="589">
        <x:v>0</x:v>
      </x:c>
      <x:c r="AP20" s="589">
        <x:v>0</x:v>
      </x:c>
      <x:c r="AQ20" s="589">
        <x:v>0</x:v>
      </x:c>
      <x:c r="AR20" s="591" t="s">
        <x:v>1103</x:v>
      </x:c>
      <x:c r="AS20" s="239">
        <x:v>100</x:v>
      </x:c>
      <x:c r="AT20" s="158">
        <x:v>100</x:v>
      </x:c>
      <x:c r="AU20" s="600">
        <x:v>0</x:v>
      </x:c>
      <x:c r="AV20" s="600">
        <x:v>0</x:v>
      </x:c>
      <x:c r="AW20" s="600">
        <x:v>0</x:v>
      </x:c>
      <x:c r="AX20" s="585" t="s">
        <x:v>1102</x:v>
      </x:c>
      <x:c r="AY20" s="221"/>
      <x:c r="AZ20" s="185"/>
      <x:c r="BA20" s="185"/>
      <x:c r="BB20" s="185"/>
      <x:c r="BC20" s="185"/>
      <x:c r="BD20" s="36"/>
      <x:c r="BE20" s="221"/>
      <x:c r="BF20" s="185"/>
      <x:c r="BG20" s="185"/>
      <x:c r="BH20" s="185"/>
      <x:c r="BI20" s="185"/>
      <x:c r="BJ20" s="36"/>
      <x:c r="BK20" s="221"/>
      <x:c r="BL20" s="185"/>
      <x:c r="BM20" s="185"/>
      <x:c r="BN20" s="185"/>
      <x:c r="BO20" s="185"/>
      <x:c r="BP20" s="36"/>
      <x:c r="BQ20" s="221"/>
      <x:c r="BR20" s="185"/>
      <x:c r="BS20" s="185"/>
      <x:c r="BT20" s="185"/>
      <x:c r="BU20" s="185"/>
      <x:c r="BV20" s="36"/>
    </x:row>
    <x:row r="21" spans="1:74" ht="22.5" customHeight="1" x14ac:dyDescent="0.25">
      <x:c r="A21" s="619" t="s">
        <x:v>363</x:v>
      </x:c>
      <x:c r="B21" s="57" t="s">
        <x:v>23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221"/>
      <x:c r="P21" s="185"/>
      <x:c r="Q21" s="185"/>
      <x:c r="R21" s="185"/>
      <x:c r="S21" s="185"/>
      <x:c r="T21" s="36"/>
      <x:c r="U21" s="221"/>
      <x:c r="V21" s="185"/>
      <x:c r="W21" s="185"/>
      <x:c r="X21" s="185"/>
      <x:c r="Y21" s="185"/>
      <x:c r="Z21" s="36"/>
      <x:c r="AA21" s="221"/>
      <x:c r="AB21" s="185"/>
      <x:c r="AC21" s="185"/>
      <x:c r="AD21" s="185"/>
      <x:c r="AE21" s="185"/>
      <x:c r="AF21" s="36"/>
      <x:c r="AG21" s="221"/>
      <x:c r="AH21" s="185"/>
      <x:c r="AI21" s="185"/>
      <x:c r="AJ21" s="185"/>
      <x:c r="AK21" s="185"/>
      <x:c r="AL21" s="36"/>
      <x:c r="AM21" s="588">
        <x:v>0</x:v>
      </x:c>
      <x:c r="AN21" s="589">
        <x:v>0</x:v>
      </x:c>
      <x:c r="AO21" s="589">
        <x:v>0</x:v>
      </x:c>
      <x:c r="AP21" s="589">
        <x:v>0</x:v>
      </x:c>
      <x:c r="AQ21" s="589">
        <x:v>0</x:v>
      </x:c>
      <x:c r="AR21" s="591" t="s">
        <x:v>1103</x:v>
      </x:c>
      <x:c r="AS21" s="239">
        <x:v>100</x:v>
      </x:c>
      <x:c r="AT21" s="158">
        <x:v>100</x:v>
      </x:c>
      <x:c r="AU21" s="600">
        <x:v>0</x:v>
      </x:c>
      <x:c r="AV21" s="600">
        <x:v>0</x:v>
      </x:c>
      <x:c r="AW21" s="600">
        <x:v>0</x:v>
      </x:c>
      <x:c r="AX21" s="585" t="s">
        <x:v>1102</x:v>
      </x:c>
      <x:c r="AY21" s="221"/>
      <x:c r="AZ21" s="185"/>
      <x:c r="BA21" s="185"/>
      <x:c r="BB21" s="185"/>
      <x:c r="BC21" s="185"/>
      <x:c r="BD21" s="36"/>
      <x:c r="BE21" s="221"/>
      <x:c r="BF21" s="185"/>
      <x:c r="BG21" s="185"/>
      <x:c r="BH21" s="185"/>
      <x:c r="BI21" s="185"/>
      <x:c r="BJ21" s="36"/>
      <x:c r="BK21" s="221"/>
      <x:c r="BL21" s="185"/>
      <x:c r="BM21" s="185"/>
      <x:c r="BN21" s="185"/>
      <x:c r="BO21" s="185"/>
      <x:c r="BP21" s="36"/>
      <x:c r="BQ21" s="221"/>
      <x:c r="BR21" s="185"/>
      <x:c r="BS21" s="185"/>
      <x:c r="BT21" s="185"/>
      <x:c r="BU21" s="185"/>
      <x:c r="BV21" s="36"/>
    </x:row>
    <x:row r="22" spans="1:74" ht="22.5" customHeight="1" x14ac:dyDescent="0.25">
      <x:c r="A22" s="619" t="s">
        <x:v>369</x:v>
      </x:c>
      <x:c r="B22" s="57" t="s">
        <x:v>23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221"/>
      <x:c r="P22" s="185"/>
      <x:c r="Q22" s="185"/>
      <x:c r="R22" s="185"/>
      <x:c r="S22" s="185"/>
      <x:c r="T22" s="36"/>
      <x:c r="U22" s="221"/>
      <x:c r="V22" s="185"/>
      <x:c r="W22" s="185"/>
      <x:c r="X22" s="185"/>
      <x:c r="Y22" s="185"/>
      <x:c r="Z22" s="36"/>
      <x:c r="AA22" s="221"/>
      <x:c r="AB22" s="185"/>
      <x:c r="AC22" s="185"/>
      <x:c r="AD22" s="185"/>
      <x:c r="AE22" s="185"/>
      <x:c r="AF22" s="36"/>
      <x:c r="AG22" s="221"/>
      <x:c r="AH22" s="185"/>
      <x:c r="AI22" s="185"/>
      <x:c r="AJ22" s="185"/>
      <x:c r="AK22" s="185"/>
      <x:c r="AL22" s="36"/>
      <x:c r="AM22" s="588">
        <x:v>0</x:v>
      </x:c>
      <x:c r="AN22" s="589">
        <x:v>0</x:v>
      </x:c>
      <x:c r="AO22" s="589">
        <x:v>0</x:v>
      </x:c>
      <x:c r="AP22" s="589">
        <x:v>0</x:v>
      </x:c>
      <x:c r="AQ22" s="589">
        <x:v>0</x:v>
      </x:c>
      <x:c r="AR22" s="591" t="s">
        <x:v>1103</x:v>
      </x:c>
      <x:c r="AS22" s="239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221"/>
      <x:c r="AZ22" s="185"/>
      <x:c r="BA22" s="185"/>
      <x:c r="BB22" s="185"/>
      <x:c r="BC22" s="185"/>
      <x:c r="BD22" s="36"/>
      <x:c r="BE22" s="221"/>
      <x:c r="BF22" s="185"/>
      <x:c r="BG22" s="185"/>
      <x:c r="BH22" s="185"/>
      <x:c r="BI22" s="185"/>
      <x:c r="BJ22" s="36"/>
      <x:c r="BK22" s="221"/>
      <x:c r="BL22" s="185"/>
      <x:c r="BM22" s="185"/>
      <x:c r="BN22" s="185"/>
      <x:c r="BO22" s="185"/>
      <x:c r="BP22" s="36"/>
      <x:c r="BQ22" s="221"/>
      <x:c r="BR22" s="185"/>
      <x:c r="BS22" s="185"/>
      <x:c r="BT22" s="185"/>
      <x:c r="BU22" s="185"/>
      <x:c r="BV22" s="36"/>
    </x:row>
    <x:row r="23" spans="1:74" ht="22.5" customHeight="1" x14ac:dyDescent="0.25">
      <x:c r="A23" s="619" t="s">
        <x:v>381</x:v>
      </x:c>
      <x:c r="B23" s="57" t="s">
        <x:v>23</x:v>
      </x:c>
      <x:c r="C23" s="157"/>
      <x:c r="D23" s="158"/>
      <x:c r="E23" s="158"/>
      <x:c r="F23" s="158"/>
      <x:c r="G23" s="158"/>
      <x:c r="H23" s="197"/>
      <x:c r="I23" s="33"/>
      <x:c r="J23" s="185"/>
      <x:c r="K23" s="185"/>
      <x:c r="L23" s="185"/>
      <x:c r="M23" s="185"/>
      <x:c r="N23" s="36"/>
      <x:c r="O23" s="221"/>
      <x:c r="P23" s="185"/>
      <x:c r="Q23" s="185"/>
      <x:c r="R23" s="185"/>
      <x:c r="S23" s="185"/>
      <x:c r="T23" s="36"/>
      <x:c r="U23" s="221"/>
      <x:c r="V23" s="185"/>
      <x:c r="W23" s="185"/>
      <x:c r="X23" s="185"/>
      <x:c r="Y23" s="185"/>
      <x:c r="Z23" s="36"/>
      <x:c r="AA23" s="221"/>
      <x:c r="AB23" s="185"/>
      <x:c r="AC23" s="185"/>
      <x:c r="AD23" s="185"/>
      <x:c r="AE23" s="185"/>
      <x:c r="AF23" s="36"/>
      <x:c r="AG23" s="221"/>
      <x:c r="AH23" s="185"/>
      <x:c r="AI23" s="185"/>
      <x:c r="AJ23" s="185"/>
      <x:c r="AK23" s="185"/>
      <x:c r="AL23" s="36"/>
      <x:c r="AM23" s="588">
        <x:v>0</x:v>
      </x:c>
      <x:c r="AN23" s="589">
        <x:v>0</x:v>
      </x:c>
      <x:c r="AO23" s="589">
        <x:v>0</x:v>
      </x:c>
      <x:c r="AP23" s="589">
        <x:v>0</x:v>
      </x:c>
      <x:c r="AQ23" s="589">
        <x:v>0</x:v>
      </x:c>
      <x:c r="AR23" s="591" t="s">
        <x:v>1103</x:v>
      </x:c>
      <x:c r="AS23" s="239">
        <x:v>100</x:v>
      </x:c>
      <x:c r="AT23" s="158">
        <x:v>35.71</x:v>
      </x:c>
      <x:c r="AU23" s="600">
        <x:v>0</x:v>
      </x:c>
      <x:c r="AV23" s="600">
        <x:v>0</x:v>
      </x:c>
      <x:c r="AW23" s="600">
        <x:v>0</x:v>
      </x:c>
      <x:c r="AX23" s="585" t="s">
        <x:v>1102</x:v>
      </x:c>
      <x:c r="AY23" s="221"/>
      <x:c r="AZ23" s="185"/>
      <x:c r="BA23" s="185"/>
      <x:c r="BB23" s="185"/>
      <x:c r="BC23" s="185"/>
      <x:c r="BD23" s="36"/>
      <x:c r="BE23" s="221"/>
      <x:c r="BF23" s="185"/>
      <x:c r="BG23" s="185"/>
      <x:c r="BH23" s="185"/>
      <x:c r="BI23" s="185"/>
      <x:c r="BJ23" s="36"/>
      <x:c r="BK23" s="221"/>
      <x:c r="BL23" s="185"/>
      <x:c r="BM23" s="185"/>
      <x:c r="BN23" s="185"/>
      <x:c r="BO23" s="185"/>
      <x:c r="BP23" s="36"/>
      <x:c r="BQ23" s="221"/>
      <x:c r="BR23" s="185"/>
      <x:c r="BS23" s="185"/>
      <x:c r="BT23" s="185"/>
      <x:c r="BU23" s="185"/>
      <x:c r="BV23" s="36"/>
    </x:row>
    <x:row r="24" spans="1:74" ht="22.5" customHeight="1" x14ac:dyDescent="0.25">
      <x:c r="A24" s="97" t="s">
        <x:v>301</x:v>
      </x:c>
      <x:c r="B24" s="57" t="s">
        <x:v>183</x:v>
      </x:c>
      <x:c r="C24" s="157"/>
      <x:c r="D24" s="158"/>
      <x:c r="E24" s="158"/>
      <x:c r="F24" s="158"/>
      <x:c r="G24" s="158"/>
      <x:c r="H24" s="197"/>
      <x:c r="I24" s="33"/>
      <x:c r="J24" s="185"/>
      <x:c r="K24" s="185"/>
      <x:c r="L24" s="185"/>
      <x:c r="M24" s="185"/>
      <x:c r="N24" s="36"/>
      <x:c r="O24" s="221"/>
      <x:c r="P24" s="185"/>
      <x:c r="Q24" s="185"/>
      <x:c r="R24" s="185"/>
      <x:c r="S24" s="185"/>
      <x:c r="T24" s="36"/>
      <x:c r="U24" s="221"/>
      <x:c r="V24" s="185"/>
      <x:c r="W24" s="185"/>
      <x:c r="X24" s="185"/>
      <x:c r="Y24" s="185"/>
      <x:c r="Z24" s="36"/>
      <x:c r="AA24" s="221"/>
      <x:c r="AB24" s="185"/>
      <x:c r="AC24" s="185"/>
      <x:c r="AD24" s="185"/>
      <x:c r="AE24" s="185"/>
      <x:c r="AF24" s="36"/>
      <x:c r="AG24" s="221"/>
      <x:c r="AH24" s="185"/>
      <x:c r="AI24" s="185"/>
      <x:c r="AJ24" s="185"/>
      <x:c r="AK24" s="185"/>
      <x:c r="AL24" s="36"/>
      <x:c r="AM24" s="157">
        <x:v>100</x:v>
      </x:c>
      <x:c r="AN24" s="158">
        <x:v>100</x:v>
      </x:c>
      <x:c r="AO24" s="589">
        <x:v>0</x:v>
      </x:c>
      <x:c r="AP24" s="589">
        <x:v>0</x:v>
      </x:c>
      <x:c r="AQ24" s="589">
        <x:v>0</x:v>
      </x:c>
      <x:c r="AR24" s="620" t="s">
        <x:v>1102</x:v>
      </x:c>
      <x:c r="AS24" s="239">
        <x:v>100</x:v>
      </x:c>
      <x:c r="AT24" s="158">
        <x:v>100</x:v>
      </x:c>
      <x:c r="AU24" s="158">
        <x:v>32.14</x:v>
      </x:c>
      <x:c r="AV24" s="600">
        <x:v>0</x:v>
      </x:c>
      <x:c r="AW24" s="600">
        <x:v>0</x:v>
      </x:c>
      <x:c r="AX24" s="585" t="s">
        <x:v>1102</x:v>
      </x:c>
      <x:c r="AY24" s="221"/>
      <x:c r="AZ24" s="185"/>
      <x:c r="BA24" s="185"/>
      <x:c r="BB24" s="185"/>
      <x:c r="BC24" s="185"/>
      <x:c r="BD24" s="36"/>
      <x:c r="BE24" s="221"/>
      <x:c r="BF24" s="185"/>
      <x:c r="BG24" s="185"/>
      <x:c r="BH24" s="185"/>
      <x:c r="BI24" s="185"/>
      <x:c r="BJ24" s="36"/>
      <x:c r="BK24" s="221"/>
      <x:c r="BL24" s="185"/>
      <x:c r="BM24" s="185"/>
      <x:c r="BN24" s="185"/>
      <x:c r="BO24" s="185"/>
      <x:c r="BP24" s="36"/>
      <x:c r="BQ24" s="221"/>
      <x:c r="BR24" s="185"/>
      <x:c r="BS24" s="185"/>
      <x:c r="BT24" s="185"/>
      <x:c r="BU24" s="185"/>
      <x:c r="BV24" s="36"/>
    </x:row>
    <x:row r="25" spans="1:74" ht="22.5" customHeight="1" x14ac:dyDescent="0.25">
      <x:c r="A25" s="619" t="s">
        <x:v>384</x:v>
      </x:c>
      <x:c r="B25" s="57" t="s">
        <x:v>37</x:v>
      </x:c>
      <x:c r="C25" s="157"/>
      <x:c r="D25" s="158"/>
      <x:c r="E25" s="158"/>
      <x:c r="F25" s="158"/>
      <x:c r="G25" s="158"/>
      <x:c r="H25" s="197"/>
      <x:c r="I25" s="33"/>
      <x:c r="J25" s="185"/>
      <x:c r="K25" s="185"/>
      <x:c r="L25" s="185"/>
      <x:c r="M25" s="185"/>
      <x:c r="N25" s="36"/>
      <x:c r="O25" s="221"/>
      <x:c r="P25" s="185"/>
      <x:c r="Q25" s="185"/>
      <x:c r="R25" s="185"/>
      <x:c r="S25" s="185"/>
      <x:c r="T25" s="36"/>
      <x:c r="U25" s="221"/>
      <x:c r="V25" s="185"/>
      <x:c r="W25" s="185"/>
      <x:c r="X25" s="185"/>
      <x:c r="Y25" s="185"/>
      <x:c r="Z25" s="36"/>
      <x:c r="AA25" s="221"/>
      <x:c r="AB25" s="185"/>
      <x:c r="AC25" s="185"/>
      <x:c r="AD25" s="185"/>
      <x:c r="AE25" s="185"/>
      <x:c r="AF25" s="36"/>
      <x:c r="AG25" s="221"/>
      <x:c r="AH25" s="185"/>
      <x:c r="AI25" s="185"/>
      <x:c r="AJ25" s="185"/>
      <x:c r="AK25" s="185"/>
      <x:c r="AL25" s="36"/>
      <x:c r="AM25" s="588">
        <x:v>0</x:v>
      </x:c>
      <x:c r="AN25" s="589">
        <x:v>0</x:v>
      </x:c>
      <x:c r="AO25" s="589">
        <x:v>0</x:v>
      </x:c>
      <x:c r="AP25" s="589">
        <x:v>0</x:v>
      </x:c>
      <x:c r="AQ25" s="589">
        <x:v>0</x:v>
      </x:c>
      <x:c r="AR25" s="591" t="s">
        <x:v>1103</x:v>
      </x:c>
      <x:c r="AS25" s="239">
        <x:v>100</x:v>
      </x:c>
      <x:c r="AT25" s="600">
        <x:v>0</x:v>
      </x:c>
      <x:c r="AU25" s="600">
        <x:v>0</x:v>
      </x:c>
      <x:c r="AV25" s="600">
        <x:v>0</x:v>
      </x:c>
      <x:c r="AW25" s="600">
        <x:v>0</x:v>
      </x:c>
      <x:c r="AX25" s="585" t="s">
        <x:v>1102</x:v>
      </x:c>
      <x:c r="AY25" s="221"/>
      <x:c r="AZ25" s="185"/>
      <x:c r="BA25" s="185"/>
      <x:c r="BB25" s="185"/>
      <x:c r="BC25" s="185"/>
      <x:c r="BD25" s="36"/>
      <x:c r="BE25" s="221"/>
      <x:c r="BF25" s="185"/>
      <x:c r="BG25" s="185"/>
      <x:c r="BH25" s="185"/>
      <x:c r="BI25" s="185"/>
      <x:c r="BJ25" s="36"/>
      <x:c r="BK25" s="221"/>
      <x:c r="BL25" s="185"/>
      <x:c r="BM25" s="185"/>
      <x:c r="BN25" s="185"/>
      <x:c r="BO25" s="185"/>
      <x:c r="BP25" s="36"/>
      <x:c r="BQ25" s="221"/>
      <x:c r="BR25" s="185"/>
      <x:c r="BS25" s="185"/>
      <x:c r="BT25" s="185"/>
      <x:c r="BU25" s="185"/>
      <x:c r="BV25" s="36"/>
    </x:row>
    <x:row r="26" spans="1:74" ht="22.5" customHeight="1" x14ac:dyDescent="0.25">
      <x:c r="A26" s="619" t="s">
        <x:v>346</x:v>
      </x:c>
      <x:c r="B26" s="57" t="s">
        <x:v>23</x:v>
      </x:c>
      <x:c r="C26" s="157"/>
      <x:c r="D26" s="158"/>
      <x:c r="E26" s="158"/>
      <x:c r="F26" s="158"/>
      <x:c r="G26" s="158"/>
      <x:c r="H26" s="197"/>
      <x:c r="I26" s="33"/>
      <x:c r="J26" s="185"/>
      <x:c r="K26" s="185"/>
      <x:c r="L26" s="185"/>
      <x:c r="M26" s="185"/>
      <x:c r="N26" s="36"/>
      <x:c r="O26" s="221"/>
      <x:c r="P26" s="185"/>
      <x:c r="Q26" s="185"/>
      <x:c r="R26" s="185"/>
      <x:c r="S26" s="185"/>
      <x:c r="T26" s="36"/>
      <x:c r="U26" s="221"/>
      <x:c r="V26" s="185"/>
      <x:c r="W26" s="185"/>
      <x:c r="X26" s="185"/>
      <x:c r="Y26" s="185"/>
      <x:c r="Z26" s="36"/>
      <x:c r="AA26" s="221"/>
      <x:c r="AB26" s="185"/>
      <x:c r="AC26" s="185"/>
      <x:c r="AD26" s="185"/>
      <x:c r="AE26" s="185"/>
      <x:c r="AF26" s="36"/>
      <x:c r="AG26" s="221"/>
      <x:c r="AH26" s="185"/>
      <x:c r="AI26" s="185"/>
      <x:c r="AJ26" s="185"/>
      <x:c r="AK26" s="185"/>
      <x:c r="AL26" s="36"/>
      <x:c r="AM26" s="588">
        <x:v>0</x:v>
      </x:c>
      <x:c r="AN26" s="589">
        <x:v>0</x:v>
      </x:c>
      <x:c r="AO26" s="589">
        <x:v>0</x:v>
      </x:c>
      <x:c r="AP26" s="589">
        <x:v>0</x:v>
      </x:c>
      <x:c r="AQ26" s="589">
        <x:v>0</x:v>
      </x:c>
      <x:c r="AR26" s="591" t="s">
        <x:v>1103</x:v>
      </x:c>
      <x:c r="AS26" s="239">
        <x:v>100</x:v>
      </x:c>
      <x:c r="AT26" s="158">
        <x:v>100</x:v>
      </x:c>
      <x:c r="AU26" s="158">
        <x:v>100</x:v>
      </x:c>
      <x:c r="AV26" s="158">
        <x:v>32.14</x:v>
      </x:c>
      <x:c r="AW26" s="600">
        <x:v>0</x:v>
      </x:c>
      <x:c r="AX26" s="585" t="s">
        <x:v>1102</x:v>
      </x:c>
      <x:c r="AY26" s="221"/>
      <x:c r="AZ26" s="185"/>
      <x:c r="BA26" s="185"/>
      <x:c r="BB26" s="185"/>
      <x:c r="BC26" s="185"/>
      <x:c r="BD26" s="36"/>
      <x:c r="BE26" s="221"/>
      <x:c r="BF26" s="185"/>
      <x:c r="BG26" s="185"/>
      <x:c r="BH26" s="185"/>
      <x:c r="BI26" s="185"/>
      <x:c r="BJ26" s="36"/>
      <x:c r="BK26" s="221"/>
      <x:c r="BL26" s="185"/>
      <x:c r="BM26" s="185"/>
      <x:c r="BN26" s="185"/>
      <x:c r="BO26" s="185"/>
      <x:c r="BP26" s="36"/>
      <x:c r="BQ26" s="221"/>
      <x:c r="BR26" s="185"/>
      <x:c r="BS26" s="185"/>
      <x:c r="BT26" s="185"/>
      <x:c r="BU26" s="185"/>
      <x:c r="BV26" s="36"/>
    </x:row>
    <x:row r="27" spans="1:74" ht="22.5" customHeight="1" x14ac:dyDescent="0.25">
      <x:c r="A27" s="97" t="s">
        <x:v>342</x:v>
      </x:c>
      <x:c r="B27" s="57" t="s">
        <x:v>23</x:v>
      </x:c>
      <x:c r="C27" s="157"/>
      <x:c r="D27" s="158"/>
      <x:c r="E27" s="158"/>
      <x:c r="F27" s="158"/>
      <x:c r="G27" s="158"/>
      <x:c r="H27" s="197"/>
      <x:c r="I27" s="33"/>
      <x:c r="J27" s="185"/>
      <x:c r="K27" s="185"/>
      <x:c r="L27" s="185"/>
      <x:c r="M27" s="185"/>
      <x:c r="N27" s="36"/>
      <x:c r="O27" s="221"/>
      <x:c r="P27" s="185"/>
      <x:c r="Q27" s="185"/>
      <x:c r="R27" s="185"/>
      <x:c r="S27" s="185"/>
      <x:c r="T27" s="36"/>
      <x:c r="U27" s="221"/>
      <x:c r="V27" s="185"/>
      <x:c r="W27" s="185"/>
      <x:c r="X27" s="185"/>
      <x:c r="Y27" s="185"/>
      <x:c r="Z27" s="36"/>
      <x:c r="AA27" s="221"/>
      <x:c r="AB27" s="185"/>
      <x:c r="AC27" s="185"/>
      <x:c r="AD27" s="185"/>
      <x:c r="AE27" s="185"/>
      <x:c r="AF27" s="36"/>
      <x:c r="AG27" s="221"/>
      <x:c r="AH27" s="185"/>
      <x:c r="AI27" s="185"/>
      <x:c r="AJ27" s="185"/>
      <x:c r="AK27" s="185"/>
      <x:c r="AL27" s="36"/>
      <x:c r="AM27" s="157">
        <x:v>100</x:v>
      </x:c>
      <x:c r="AN27" s="158">
        <x:v>100</x:v>
      </x:c>
      <x:c r="AO27" s="589">
        <x:v>0</x:v>
      </x:c>
      <x:c r="AP27" s="589">
        <x:v>0</x:v>
      </x:c>
      <x:c r="AQ27" s="589">
        <x:v>0</x:v>
      </x:c>
      <x:c r="AR27" s="620" t="s">
        <x:v>1102</x:v>
      </x:c>
      <x:c r="AS27" s="239">
        <x:v>100</x:v>
      </x:c>
      <x:c r="AT27" s="158">
        <x:v>100</x:v>
      </x:c>
      <x:c r="AU27" s="158">
        <x:v>100</x:v>
      </x:c>
      <x:c r="AV27" s="158">
        <x:v>35.71</x:v>
      </x:c>
      <x:c r="AW27" s="600">
        <x:v>0</x:v>
      </x:c>
      <x:c r="AX27" s="585" t="s">
        <x:v>1102</x:v>
      </x:c>
      <x:c r="AY27" s="221"/>
      <x:c r="AZ27" s="185"/>
      <x:c r="BA27" s="185"/>
      <x:c r="BB27" s="185"/>
      <x:c r="BC27" s="185"/>
      <x:c r="BD27" s="36"/>
      <x:c r="BE27" s="221"/>
      <x:c r="BF27" s="185"/>
      <x:c r="BG27" s="185"/>
      <x:c r="BH27" s="185"/>
      <x:c r="BI27" s="185"/>
      <x:c r="BJ27" s="36"/>
      <x:c r="BK27" s="221"/>
      <x:c r="BL27" s="185"/>
      <x:c r="BM27" s="185"/>
      <x:c r="BN27" s="185"/>
      <x:c r="BO27" s="185"/>
      <x:c r="BP27" s="36"/>
      <x:c r="BQ27" s="221"/>
      <x:c r="BR27" s="185"/>
      <x:c r="BS27" s="185"/>
      <x:c r="BT27" s="185"/>
      <x:c r="BU27" s="185"/>
      <x:c r="BV27" s="36"/>
    </x:row>
    <x:row r="28" spans="1:74" ht="22.5" customHeight="1" x14ac:dyDescent="0.25">
      <x:c r="A28" s="619" t="s">
        <x:v>380</x:v>
      </x:c>
      <x:c r="B28" s="57" t="s">
        <x:v>23</x:v>
      </x:c>
      <x:c r="C28" s="157"/>
      <x:c r="D28" s="158"/>
      <x:c r="E28" s="158"/>
      <x:c r="F28" s="158"/>
      <x:c r="G28" s="158"/>
      <x:c r="H28" s="197"/>
      <x:c r="I28" s="33"/>
      <x:c r="J28" s="185"/>
      <x:c r="K28" s="185"/>
      <x:c r="L28" s="185"/>
      <x:c r="M28" s="185"/>
      <x:c r="N28" s="36"/>
      <x:c r="O28" s="221"/>
      <x:c r="P28" s="185"/>
      <x:c r="Q28" s="185"/>
      <x:c r="R28" s="185"/>
      <x:c r="S28" s="185"/>
      <x:c r="T28" s="36"/>
      <x:c r="U28" s="221"/>
      <x:c r="V28" s="185"/>
      <x:c r="W28" s="185"/>
      <x:c r="X28" s="185"/>
      <x:c r="Y28" s="185"/>
      <x:c r="Z28" s="36"/>
      <x:c r="AA28" s="221"/>
      <x:c r="AB28" s="185"/>
      <x:c r="AC28" s="185"/>
      <x:c r="AD28" s="185"/>
      <x:c r="AE28" s="185"/>
      <x:c r="AF28" s="36"/>
      <x:c r="AG28" s="221"/>
      <x:c r="AH28" s="185"/>
      <x:c r="AI28" s="185"/>
      <x:c r="AJ28" s="185"/>
      <x:c r="AK28" s="185"/>
      <x:c r="AL28" s="36"/>
      <x:c r="AM28" s="588">
        <x:v>0</x:v>
      </x:c>
      <x:c r="AN28" s="589">
        <x:v>0</x:v>
      </x:c>
      <x:c r="AO28" s="589">
        <x:v>0</x:v>
      </x:c>
      <x:c r="AP28" s="589">
        <x:v>0</x:v>
      </x:c>
      <x:c r="AQ28" s="589">
        <x:v>0</x:v>
      </x:c>
      <x:c r="AR28" s="591" t="s">
        <x:v>1103</x:v>
      </x:c>
      <x:c r="AS28" s="239">
        <x:v>100</x:v>
      </x:c>
      <x:c r="AT28" s="158">
        <x:v>50</x:v>
      </x:c>
      <x:c r="AU28" s="600">
        <x:v>0</x:v>
      </x:c>
      <x:c r="AV28" s="600">
        <x:v>0</x:v>
      </x:c>
      <x:c r="AW28" s="600">
        <x:v>0</x:v>
      </x:c>
      <x:c r="AX28" s="585" t="s">
        <x:v>1102</x:v>
      </x:c>
      <x:c r="AY28" s="221"/>
      <x:c r="AZ28" s="185"/>
      <x:c r="BA28" s="185"/>
      <x:c r="BB28" s="185"/>
      <x:c r="BC28" s="185"/>
      <x:c r="BD28" s="36"/>
      <x:c r="BE28" s="221"/>
      <x:c r="BF28" s="185"/>
      <x:c r="BG28" s="185"/>
      <x:c r="BH28" s="185"/>
      <x:c r="BI28" s="185"/>
      <x:c r="BJ28" s="36"/>
      <x:c r="BK28" s="221"/>
      <x:c r="BL28" s="185"/>
      <x:c r="BM28" s="185"/>
      <x:c r="BN28" s="185"/>
      <x:c r="BO28" s="185"/>
      <x:c r="BP28" s="36"/>
      <x:c r="BQ28" s="221"/>
      <x:c r="BR28" s="185"/>
      <x:c r="BS28" s="185"/>
      <x:c r="BT28" s="185"/>
      <x:c r="BU28" s="185"/>
      <x:c r="BV28" s="36"/>
    </x:row>
    <x:row r="29" spans="1:74" ht="22.5" customHeight="1" x14ac:dyDescent="0.25">
      <x:c r="A29" s="619" t="s">
        <x:v>345</x:v>
      </x:c>
      <x:c r="B29" s="57" t="s">
        <x:v>23</x:v>
      </x:c>
      <x:c r="C29" s="157"/>
      <x:c r="D29" s="158"/>
      <x:c r="E29" s="158"/>
      <x:c r="F29" s="158"/>
      <x:c r="G29" s="158"/>
      <x:c r="H29" s="197"/>
      <x:c r="I29" s="33"/>
      <x:c r="J29" s="185"/>
      <x:c r="K29" s="185"/>
      <x:c r="L29" s="185"/>
      <x:c r="M29" s="185"/>
      <x:c r="N29" s="36"/>
      <x:c r="O29" s="221"/>
      <x:c r="P29" s="185"/>
      <x:c r="Q29" s="185"/>
      <x:c r="R29" s="185"/>
      <x:c r="S29" s="185"/>
      <x:c r="T29" s="36"/>
      <x:c r="U29" s="221"/>
      <x:c r="V29" s="185"/>
      <x:c r="W29" s="185"/>
      <x:c r="X29" s="185"/>
      <x:c r="Y29" s="185"/>
      <x:c r="Z29" s="36"/>
      <x:c r="AA29" s="221"/>
      <x:c r="AB29" s="185"/>
      <x:c r="AC29" s="185"/>
      <x:c r="AD29" s="185"/>
      <x:c r="AE29" s="185"/>
      <x:c r="AF29" s="36"/>
      <x:c r="AG29" s="221"/>
      <x:c r="AH29" s="185"/>
      <x:c r="AI29" s="185"/>
      <x:c r="AJ29" s="185"/>
      <x:c r="AK29" s="185"/>
      <x:c r="AL29" s="36"/>
      <x:c r="AM29" s="588">
        <x:v>0</x:v>
      </x:c>
      <x:c r="AN29" s="589">
        <x:v>0</x:v>
      </x:c>
      <x:c r="AO29" s="589">
        <x:v>0</x:v>
      </x:c>
      <x:c r="AP29" s="589">
        <x:v>0</x:v>
      </x:c>
      <x:c r="AQ29" s="589">
        <x:v>0</x:v>
      </x:c>
      <x:c r="AR29" s="591" t="s">
        <x:v>1103</x:v>
      </x:c>
      <x:c r="AS29" s="239">
        <x:v>100</x:v>
      </x:c>
      <x:c r="AT29" s="158">
        <x:v>100</x:v>
      </x:c>
      <x:c r="AU29" s="600">
        <x:v>0</x:v>
      </x:c>
      <x:c r="AV29" s="600">
        <x:v>0</x:v>
      </x:c>
      <x:c r="AW29" s="600">
        <x:v>0</x:v>
      </x:c>
      <x:c r="AX29" s="585" t="s">
        <x:v>1102</x:v>
      </x:c>
      <x:c r="AY29" s="221"/>
      <x:c r="AZ29" s="185"/>
      <x:c r="BA29" s="185"/>
      <x:c r="BB29" s="185"/>
      <x:c r="BC29" s="185"/>
      <x:c r="BD29" s="36"/>
      <x:c r="BE29" s="221"/>
      <x:c r="BF29" s="185"/>
      <x:c r="BG29" s="185"/>
      <x:c r="BH29" s="185"/>
      <x:c r="BI29" s="185"/>
      <x:c r="BJ29" s="36"/>
      <x:c r="BK29" s="221"/>
      <x:c r="BL29" s="185"/>
      <x:c r="BM29" s="185"/>
      <x:c r="BN29" s="185"/>
      <x:c r="BO29" s="185"/>
      <x:c r="BP29" s="36"/>
      <x:c r="BQ29" s="221"/>
      <x:c r="BR29" s="185"/>
      <x:c r="BS29" s="185"/>
      <x:c r="BT29" s="185"/>
      <x:c r="BU29" s="185"/>
      <x:c r="BV29" s="36"/>
    </x:row>
    <x:row r="30" spans="1:74" ht="22.5" customHeight="1" x14ac:dyDescent="0.25">
      <x:c r="A30" s="97" t="s">
        <x:v>350</x:v>
      </x:c>
      <x:c r="B30" s="57" t="s">
        <x:v>23</x:v>
      </x:c>
      <x:c r="C30" s="157"/>
      <x:c r="D30" s="158"/>
      <x:c r="E30" s="158"/>
      <x:c r="F30" s="158"/>
      <x:c r="G30" s="158"/>
      <x:c r="H30" s="197"/>
      <x:c r="I30" s="33"/>
      <x:c r="J30" s="185"/>
      <x:c r="K30" s="185"/>
      <x:c r="L30" s="185"/>
      <x:c r="M30" s="185"/>
      <x:c r="N30" s="36"/>
      <x:c r="O30" s="221"/>
      <x:c r="P30" s="185"/>
      <x:c r="Q30" s="185"/>
      <x:c r="R30" s="185"/>
      <x:c r="S30" s="185"/>
      <x:c r="T30" s="36"/>
      <x:c r="U30" s="221"/>
      <x:c r="V30" s="185"/>
      <x:c r="W30" s="185"/>
      <x:c r="X30" s="185"/>
      <x:c r="Y30" s="185"/>
      <x:c r="Z30" s="36"/>
      <x:c r="AA30" s="221"/>
      <x:c r="AB30" s="185"/>
      <x:c r="AC30" s="185"/>
      <x:c r="AD30" s="185"/>
      <x:c r="AE30" s="185"/>
      <x:c r="AF30" s="36"/>
      <x:c r="AG30" s="221"/>
      <x:c r="AH30" s="185"/>
      <x:c r="AI30" s="185"/>
      <x:c r="AJ30" s="185"/>
      <x:c r="AK30" s="185"/>
      <x:c r="AL30" s="36"/>
      <x:c r="AM30" s="157">
        <x:v>100</x:v>
      </x:c>
      <x:c r="AN30" s="158">
        <x:v>100</x:v>
      </x:c>
      <x:c r="AO30" s="589">
        <x:v>0</x:v>
      </x:c>
      <x:c r="AP30" s="589">
        <x:v>0</x:v>
      </x:c>
      <x:c r="AQ30" s="589">
        <x:v>0</x:v>
      </x:c>
      <x:c r="AR30" s="620" t="s">
        <x:v>1102</x:v>
      </x:c>
      <x:c r="AS30" s="239">
        <x:v>100</x:v>
      </x:c>
      <x:c r="AT30" s="158">
        <x:v>64.29</x:v>
      </x:c>
      <x:c r="AU30" s="600">
        <x:v>0</x:v>
      </x:c>
      <x:c r="AV30" s="600">
        <x:v>0</x:v>
      </x:c>
      <x:c r="AW30" s="600">
        <x:v>0</x:v>
      </x:c>
      <x:c r="AX30" s="585" t="s">
        <x:v>1102</x:v>
      </x:c>
      <x:c r="AY30" s="221"/>
      <x:c r="AZ30" s="185"/>
      <x:c r="BA30" s="185"/>
      <x:c r="BB30" s="185"/>
      <x:c r="BC30" s="185"/>
      <x:c r="BD30" s="36"/>
      <x:c r="BE30" s="221"/>
      <x:c r="BF30" s="185"/>
      <x:c r="BG30" s="185"/>
      <x:c r="BH30" s="185"/>
      <x:c r="BI30" s="185"/>
      <x:c r="BJ30" s="36"/>
      <x:c r="BK30" s="221"/>
      <x:c r="BL30" s="185"/>
      <x:c r="BM30" s="185"/>
      <x:c r="BN30" s="185"/>
      <x:c r="BO30" s="185"/>
      <x:c r="BP30" s="36"/>
      <x:c r="BQ30" s="221"/>
      <x:c r="BR30" s="185"/>
      <x:c r="BS30" s="185"/>
      <x:c r="BT30" s="185"/>
      <x:c r="BU30" s="185"/>
      <x:c r="BV30" s="36"/>
    </x:row>
    <x:row r="31" spans="1:74" ht="22.5" customHeight="1" x14ac:dyDescent="0.25">
      <x:c r="A31" s="619" t="s">
        <x:v>340</x:v>
      </x:c>
      <x:c r="B31" s="57" t="s">
        <x:v>37</x:v>
      </x:c>
      <x:c r="C31" s="157"/>
      <x:c r="D31" s="158"/>
      <x:c r="E31" s="158"/>
      <x:c r="F31" s="158"/>
      <x:c r="G31" s="158"/>
      <x:c r="H31" s="197"/>
      <x:c r="I31" s="33"/>
      <x:c r="J31" s="185"/>
      <x:c r="K31" s="185"/>
      <x:c r="L31" s="185"/>
      <x:c r="M31" s="185"/>
      <x:c r="N31" s="36"/>
      <x:c r="O31" s="221"/>
      <x:c r="P31" s="185"/>
      <x:c r="Q31" s="185"/>
      <x:c r="R31" s="185"/>
      <x:c r="S31" s="185"/>
      <x:c r="T31" s="36"/>
      <x:c r="U31" s="221"/>
      <x:c r="V31" s="185"/>
      <x:c r="W31" s="185"/>
      <x:c r="X31" s="185"/>
      <x:c r="Y31" s="185"/>
      <x:c r="Z31" s="36"/>
      <x:c r="AA31" s="221"/>
      <x:c r="AB31" s="185"/>
      <x:c r="AC31" s="185"/>
      <x:c r="AD31" s="185"/>
      <x:c r="AE31" s="185"/>
      <x:c r="AF31" s="36"/>
      <x:c r="AG31" s="221"/>
      <x:c r="AH31" s="185"/>
      <x:c r="AI31" s="185"/>
      <x:c r="AJ31" s="185"/>
      <x:c r="AK31" s="185"/>
      <x:c r="AL31" s="36"/>
      <x:c r="AM31" s="588">
        <x:v>0</x:v>
      </x:c>
      <x:c r="AN31" s="589">
        <x:v>0</x:v>
      </x:c>
      <x:c r="AO31" s="589">
        <x:v>0</x:v>
      </x:c>
      <x:c r="AP31" s="589">
        <x:v>0</x:v>
      </x:c>
      <x:c r="AQ31" s="589">
        <x:v>0</x:v>
      </x:c>
      <x:c r="AR31" s="591" t="s">
        <x:v>1103</x:v>
      </x:c>
      <x:c r="AS31" s="239">
        <x:v>100</x:v>
      </x:c>
      <x:c r="AT31" s="158">
        <x:v>100</x:v>
      </x:c>
      <x:c r="AU31" s="600">
        <x:v>0</x:v>
      </x:c>
      <x:c r="AV31" s="600">
        <x:v>0</x:v>
      </x:c>
      <x:c r="AW31" s="600">
        <x:v>0</x:v>
      </x:c>
      <x:c r="AX31" s="585" t="s">
        <x:v>1102</x:v>
      </x:c>
      <x:c r="AY31" s="221"/>
      <x:c r="AZ31" s="185"/>
      <x:c r="BA31" s="185"/>
      <x:c r="BB31" s="185"/>
      <x:c r="BC31" s="185"/>
      <x:c r="BD31" s="36"/>
      <x:c r="BE31" s="221"/>
      <x:c r="BF31" s="185"/>
      <x:c r="BG31" s="185"/>
      <x:c r="BH31" s="185"/>
      <x:c r="BI31" s="185"/>
      <x:c r="BJ31" s="36"/>
      <x:c r="BK31" s="221"/>
      <x:c r="BL31" s="185"/>
      <x:c r="BM31" s="185"/>
      <x:c r="BN31" s="185"/>
      <x:c r="BO31" s="185"/>
      <x:c r="BP31" s="36"/>
      <x:c r="BQ31" s="221"/>
      <x:c r="BR31" s="185"/>
      <x:c r="BS31" s="185"/>
      <x:c r="BT31" s="185"/>
      <x:c r="BU31" s="185"/>
      <x:c r="BV31" s="36"/>
    </x:row>
    <x:row r="32" spans="1:74" ht="22.5" customHeight="1" x14ac:dyDescent="0.25">
      <x:c r="A32" s="619" t="s">
        <x:v>388</x:v>
      </x:c>
      <x:c r="B32" s="57" t="s">
        <x:v>23</x:v>
      </x:c>
      <x:c r="C32" s="157"/>
      <x:c r="D32" s="158"/>
      <x:c r="E32" s="158"/>
      <x:c r="F32" s="158"/>
      <x:c r="G32" s="158"/>
      <x:c r="H32" s="197"/>
      <x:c r="I32" s="33"/>
      <x:c r="J32" s="185"/>
      <x:c r="K32" s="185"/>
      <x:c r="L32" s="185"/>
      <x:c r="M32" s="185"/>
      <x:c r="N32" s="36"/>
      <x:c r="O32" s="221"/>
      <x:c r="P32" s="185"/>
      <x:c r="Q32" s="185"/>
      <x:c r="R32" s="185"/>
      <x:c r="S32" s="185"/>
      <x:c r="T32" s="36"/>
      <x:c r="U32" s="221"/>
      <x:c r="V32" s="185"/>
      <x:c r="W32" s="185"/>
      <x:c r="X32" s="185"/>
      <x:c r="Y32" s="185"/>
      <x:c r="Z32" s="36"/>
      <x:c r="AA32" s="221"/>
      <x:c r="AB32" s="185"/>
      <x:c r="AC32" s="185"/>
      <x:c r="AD32" s="185"/>
      <x:c r="AE32" s="185"/>
      <x:c r="AF32" s="36"/>
      <x:c r="AG32" s="221"/>
      <x:c r="AH32" s="185"/>
      <x:c r="AI32" s="185"/>
      <x:c r="AJ32" s="185"/>
      <x:c r="AK32" s="185"/>
      <x:c r="AL32" s="36"/>
      <x:c r="AM32" s="588">
        <x:v>0</x:v>
      </x:c>
      <x:c r="AN32" s="589">
        <x:v>0</x:v>
      </x:c>
      <x:c r="AO32" s="589">
        <x:v>0</x:v>
      </x:c>
      <x:c r="AP32" s="589">
        <x:v>0</x:v>
      </x:c>
      <x:c r="AQ32" s="589">
        <x:v>0</x:v>
      </x:c>
      <x:c r="AR32" s="591" t="s">
        <x:v>1103</x:v>
      </x:c>
      <x:c r="AS32" s="239">
        <x:v>100</x:v>
      </x:c>
      <x:c r="AT32" s="158">
        <x:v>32.14</x:v>
      </x:c>
      <x:c r="AU32" s="600">
        <x:v>0</x:v>
      </x:c>
      <x:c r="AV32" s="600">
        <x:v>0</x:v>
      </x:c>
      <x:c r="AW32" s="600">
        <x:v>0</x:v>
      </x:c>
      <x:c r="AX32" s="585" t="s">
        <x:v>1102</x:v>
      </x:c>
      <x:c r="AY32" s="221"/>
      <x:c r="AZ32" s="185"/>
      <x:c r="BA32" s="185"/>
      <x:c r="BB32" s="185"/>
      <x:c r="BC32" s="185"/>
      <x:c r="BD32" s="36"/>
      <x:c r="BE32" s="221"/>
      <x:c r="BF32" s="185"/>
      <x:c r="BG32" s="185"/>
      <x:c r="BH32" s="185"/>
      <x:c r="BI32" s="185"/>
      <x:c r="BJ32" s="36"/>
      <x:c r="BK32" s="221"/>
      <x:c r="BL32" s="185"/>
      <x:c r="BM32" s="185"/>
      <x:c r="BN32" s="185"/>
      <x:c r="BO32" s="185"/>
      <x:c r="BP32" s="36"/>
      <x:c r="BQ32" s="221"/>
      <x:c r="BR32" s="185"/>
      <x:c r="BS32" s="185"/>
      <x:c r="BT32" s="185"/>
      <x:c r="BU32" s="185"/>
      <x:c r="BV32" s="36"/>
    </x:row>
    <x:row r="33" spans="1:74" ht="22.5" customHeight="1" x14ac:dyDescent="0.25">
      <x:c r="A33" s="619" t="s">
        <x:v>308</x:v>
      </x:c>
      <x:c r="B33" s="57" t="s">
        <x:v>183</x:v>
      </x:c>
      <x:c r="C33" s="157"/>
      <x:c r="D33" s="158"/>
      <x:c r="E33" s="158"/>
      <x:c r="F33" s="158"/>
      <x:c r="G33" s="158"/>
      <x:c r="H33" s="197"/>
      <x:c r="I33" s="33"/>
      <x:c r="J33" s="185"/>
      <x:c r="K33" s="185"/>
      <x:c r="L33" s="185"/>
      <x:c r="M33" s="185"/>
      <x:c r="N33" s="36"/>
      <x:c r="O33" s="221"/>
      <x:c r="P33" s="185"/>
      <x:c r="Q33" s="185"/>
      <x:c r="R33" s="185"/>
      <x:c r="S33" s="185"/>
      <x:c r="T33" s="36"/>
      <x:c r="U33" s="221"/>
      <x:c r="V33" s="185"/>
      <x:c r="W33" s="185"/>
      <x:c r="X33" s="185"/>
      <x:c r="Y33" s="185"/>
      <x:c r="Z33" s="36"/>
      <x:c r="AA33" s="221"/>
      <x:c r="AB33" s="185"/>
      <x:c r="AC33" s="185"/>
      <x:c r="AD33" s="185"/>
      <x:c r="AE33" s="185"/>
      <x:c r="AF33" s="36"/>
      <x:c r="AG33" s="221"/>
      <x:c r="AH33" s="185"/>
      <x:c r="AI33" s="185"/>
      <x:c r="AJ33" s="185"/>
      <x:c r="AK33" s="185"/>
      <x:c r="AL33" s="36"/>
      <x:c r="AM33" s="588">
        <x:v>0</x:v>
      </x:c>
      <x:c r="AN33" s="589">
        <x:v>0</x:v>
      </x:c>
      <x:c r="AO33" s="589">
        <x:v>0</x:v>
      </x:c>
      <x:c r="AP33" s="589">
        <x:v>0</x:v>
      </x:c>
      <x:c r="AQ33" s="589">
        <x:v>0</x:v>
      </x:c>
      <x:c r="AR33" s="591" t="s">
        <x:v>1103</x:v>
      </x:c>
      <x:c r="AS33" s="239">
        <x:v>100</x:v>
      </x:c>
      <x:c r="AT33" s="158">
        <x:v>32.14</x:v>
      </x:c>
      <x:c r="AU33" s="600">
        <x:v>0</x:v>
      </x:c>
      <x:c r="AV33" s="600">
        <x:v>0</x:v>
      </x:c>
      <x:c r="AW33" s="600">
        <x:v>0</x:v>
      </x:c>
      <x:c r="AX33" s="585" t="s">
        <x:v>1102</x:v>
      </x:c>
      <x:c r="AY33" s="221"/>
      <x:c r="AZ33" s="185"/>
      <x:c r="BA33" s="185"/>
      <x:c r="BB33" s="185"/>
      <x:c r="BC33" s="185"/>
      <x:c r="BD33" s="36"/>
      <x:c r="BE33" s="221"/>
      <x:c r="BF33" s="185"/>
      <x:c r="BG33" s="185"/>
      <x:c r="BH33" s="185"/>
      <x:c r="BI33" s="185"/>
      <x:c r="BJ33" s="36"/>
      <x:c r="BK33" s="221"/>
      <x:c r="BL33" s="185"/>
      <x:c r="BM33" s="185"/>
      <x:c r="BN33" s="185"/>
      <x:c r="BO33" s="185"/>
      <x:c r="BP33" s="36"/>
      <x:c r="BQ33" s="221"/>
      <x:c r="BR33" s="185"/>
      <x:c r="BS33" s="185"/>
      <x:c r="BT33" s="185"/>
      <x:c r="BU33" s="185"/>
      <x:c r="BV33" s="36"/>
    </x:row>
    <x:row r="34" spans="1:74" ht="22.5" customHeight="1" x14ac:dyDescent="0.25">
      <x:c r="A34" s="619" t="s">
        <x:v>327</x:v>
      </x:c>
      <x:c r="B34" s="57" t="s">
        <x:v>23</x:v>
      </x:c>
      <x:c r="C34" s="157"/>
      <x:c r="D34" s="158"/>
      <x:c r="E34" s="158"/>
      <x:c r="F34" s="158"/>
      <x:c r="G34" s="158"/>
      <x:c r="H34" s="197"/>
      <x:c r="I34" s="33"/>
      <x:c r="J34" s="185"/>
      <x:c r="K34" s="185"/>
      <x:c r="L34" s="185"/>
      <x:c r="M34" s="185"/>
      <x:c r="N34" s="36"/>
      <x:c r="O34" s="221"/>
      <x:c r="P34" s="185"/>
      <x:c r="Q34" s="185"/>
      <x:c r="R34" s="185"/>
      <x:c r="S34" s="185"/>
      <x:c r="T34" s="36"/>
      <x:c r="U34" s="221"/>
      <x:c r="V34" s="185"/>
      <x:c r="W34" s="185"/>
      <x:c r="X34" s="185"/>
      <x:c r="Y34" s="185"/>
      <x:c r="Z34" s="36"/>
      <x:c r="AA34" s="221"/>
      <x:c r="AB34" s="185"/>
      <x:c r="AC34" s="185"/>
      <x:c r="AD34" s="185"/>
      <x:c r="AE34" s="185"/>
      <x:c r="AF34" s="36"/>
      <x:c r="AG34" s="221"/>
      <x:c r="AH34" s="185"/>
      <x:c r="AI34" s="185"/>
      <x:c r="AJ34" s="185"/>
      <x:c r="AK34" s="185"/>
      <x:c r="AL34" s="36"/>
      <x:c r="AM34" s="588">
        <x:v>0</x:v>
      </x:c>
      <x:c r="AN34" s="589">
        <x:v>0</x:v>
      </x:c>
      <x:c r="AO34" s="589">
        <x:v>0</x:v>
      </x:c>
      <x:c r="AP34" s="589">
        <x:v>0</x:v>
      </x:c>
      <x:c r="AQ34" s="589">
        <x:v>0</x:v>
      </x:c>
      <x:c r="AR34" s="591" t="s">
        <x:v>1103</x:v>
      </x:c>
      <x:c r="AS34" s="239">
        <x:v>100</x:v>
      </x:c>
      <x:c r="AT34" s="158">
        <x:v>100</x:v>
      </x:c>
      <x:c r="AU34" s="600">
        <x:v>0</x:v>
      </x:c>
      <x:c r="AV34" s="600">
        <x:v>0</x:v>
      </x:c>
      <x:c r="AW34" s="600">
        <x:v>0</x:v>
      </x:c>
      <x:c r="AX34" s="585" t="s">
        <x:v>1102</x:v>
      </x:c>
      <x:c r="AY34" s="221"/>
      <x:c r="AZ34" s="185"/>
      <x:c r="BA34" s="185"/>
      <x:c r="BB34" s="185"/>
      <x:c r="BC34" s="185"/>
      <x:c r="BD34" s="36"/>
      <x:c r="BE34" s="221"/>
      <x:c r="BF34" s="185"/>
      <x:c r="BG34" s="185"/>
      <x:c r="BH34" s="185"/>
      <x:c r="BI34" s="185"/>
      <x:c r="BJ34" s="36"/>
      <x:c r="BK34" s="221"/>
      <x:c r="BL34" s="185"/>
      <x:c r="BM34" s="185"/>
      <x:c r="BN34" s="185"/>
      <x:c r="BO34" s="185"/>
      <x:c r="BP34" s="36"/>
      <x:c r="BQ34" s="221"/>
      <x:c r="BR34" s="185"/>
      <x:c r="BS34" s="185"/>
      <x:c r="BT34" s="185"/>
      <x:c r="BU34" s="185"/>
      <x:c r="BV34" s="36"/>
    </x:row>
    <x:row r="35" spans="1:74" ht="22.5" customHeight="1" x14ac:dyDescent="0.25">
      <x:c r="A35" s="619" t="s">
        <x:v>328</x:v>
      </x:c>
      <x:c r="B35" s="57" t="s">
        <x:v>23</x:v>
      </x:c>
      <x:c r="C35" s="157"/>
      <x:c r="D35" s="158"/>
      <x:c r="E35" s="158"/>
      <x:c r="F35" s="158"/>
      <x:c r="G35" s="158"/>
      <x:c r="H35" s="197"/>
      <x:c r="I35" s="33"/>
      <x:c r="J35" s="185"/>
      <x:c r="K35" s="185"/>
      <x:c r="L35" s="185"/>
      <x:c r="M35" s="185"/>
      <x:c r="N35" s="36"/>
      <x:c r="O35" s="221"/>
      <x:c r="P35" s="185"/>
      <x:c r="Q35" s="185"/>
      <x:c r="R35" s="185"/>
      <x:c r="S35" s="185"/>
      <x:c r="T35" s="36"/>
      <x:c r="U35" s="221"/>
      <x:c r="V35" s="185"/>
      <x:c r="W35" s="185"/>
      <x:c r="X35" s="185"/>
      <x:c r="Y35" s="185"/>
      <x:c r="Z35" s="36"/>
      <x:c r="AA35" s="221"/>
      <x:c r="AB35" s="185"/>
      <x:c r="AC35" s="185"/>
      <x:c r="AD35" s="185"/>
      <x:c r="AE35" s="185"/>
      <x:c r="AF35" s="36"/>
      <x:c r="AG35" s="221"/>
      <x:c r="AH35" s="185"/>
      <x:c r="AI35" s="185"/>
      <x:c r="AJ35" s="185"/>
      <x:c r="AK35" s="185"/>
      <x:c r="AL35" s="36"/>
      <x:c r="AM35" s="588">
        <x:v>0</x:v>
      </x:c>
      <x:c r="AN35" s="589">
        <x:v>0</x:v>
      </x:c>
      <x:c r="AO35" s="589">
        <x:v>0</x:v>
      </x:c>
      <x:c r="AP35" s="589">
        <x:v>0</x:v>
      </x:c>
      <x:c r="AQ35" s="589">
        <x:v>0</x:v>
      </x:c>
      <x:c r="AR35" s="591" t="s">
        <x:v>1103</x:v>
      </x:c>
      <x:c r="AS35" s="239">
        <x:v>100</x:v>
      </x:c>
      <x:c r="AT35" s="158">
        <x:v>100</x:v>
      </x:c>
      <x:c r="AU35" s="600">
        <x:v>0</x:v>
      </x:c>
      <x:c r="AV35" s="600">
        <x:v>0</x:v>
      </x:c>
      <x:c r="AW35" s="600">
        <x:v>0</x:v>
      </x:c>
      <x:c r="AX35" s="585" t="s">
        <x:v>1102</x:v>
      </x:c>
      <x:c r="AY35" s="221"/>
      <x:c r="AZ35" s="185"/>
      <x:c r="BA35" s="185"/>
      <x:c r="BB35" s="185"/>
      <x:c r="BC35" s="185"/>
      <x:c r="BD35" s="36"/>
      <x:c r="BE35" s="221"/>
      <x:c r="BF35" s="185"/>
      <x:c r="BG35" s="185"/>
      <x:c r="BH35" s="185"/>
      <x:c r="BI35" s="185"/>
      <x:c r="BJ35" s="36"/>
      <x:c r="BK35" s="221"/>
      <x:c r="BL35" s="185"/>
      <x:c r="BM35" s="185"/>
      <x:c r="BN35" s="185"/>
      <x:c r="BO35" s="185"/>
      <x:c r="BP35" s="36"/>
      <x:c r="BQ35" s="221"/>
      <x:c r="BR35" s="185"/>
      <x:c r="BS35" s="185"/>
      <x:c r="BT35" s="185"/>
      <x:c r="BU35" s="185"/>
      <x:c r="BV35" s="36"/>
    </x:row>
    <x:row r="36" spans="1:74" ht="22.5" customHeight="1" x14ac:dyDescent="0.25">
      <x:c r="A36" s="97" t="s">
        <x:v>321</x:v>
      </x:c>
      <x:c r="B36" s="57" t="s">
        <x:v>23</x:v>
      </x:c>
      <x:c r="C36" s="157"/>
      <x:c r="D36" s="158"/>
      <x:c r="E36" s="158"/>
      <x:c r="F36" s="158"/>
      <x:c r="G36" s="158"/>
      <x:c r="H36" s="197"/>
      <x:c r="I36" s="33"/>
      <x:c r="J36" s="185"/>
      <x:c r="K36" s="185"/>
      <x:c r="L36" s="185"/>
      <x:c r="M36" s="185"/>
      <x:c r="N36" s="36"/>
      <x:c r="O36" s="221"/>
      <x:c r="P36" s="185"/>
      <x:c r="Q36" s="185"/>
      <x:c r="R36" s="185"/>
      <x:c r="S36" s="185"/>
      <x:c r="T36" s="36"/>
      <x:c r="U36" s="221"/>
      <x:c r="V36" s="185"/>
      <x:c r="W36" s="185"/>
      <x:c r="X36" s="185"/>
      <x:c r="Y36" s="185"/>
      <x:c r="Z36" s="36"/>
      <x:c r="AA36" s="221"/>
      <x:c r="AB36" s="185"/>
      <x:c r="AC36" s="185"/>
      <x:c r="AD36" s="185"/>
      <x:c r="AE36" s="185"/>
      <x:c r="AF36" s="36"/>
      <x:c r="AG36" s="221"/>
      <x:c r="AH36" s="185"/>
      <x:c r="AI36" s="185"/>
      <x:c r="AJ36" s="185"/>
      <x:c r="AK36" s="185"/>
      <x:c r="AL36" s="36"/>
      <x:c r="AM36" s="157">
        <x:v>100</x:v>
      </x:c>
      <x:c r="AN36" s="158">
        <x:v>100</x:v>
      </x:c>
      <x:c r="AO36" s="589">
        <x:v>0</x:v>
      </x:c>
      <x:c r="AP36" s="589">
        <x:v>0</x:v>
      </x:c>
      <x:c r="AQ36" s="589">
        <x:v>0</x:v>
      </x:c>
      <x:c r="AR36" s="620" t="s">
        <x:v>1102</x:v>
      </x:c>
      <x:c r="AS36" s="239">
        <x:v>100</x:v>
      </x:c>
      <x:c r="AT36" s="158">
        <x:v>100</x:v>
      </x:c>
      <x:c r="AU36" s="158">
        <x:v>100</x:v>
      </x:c>
      <x:c r="AV36" s="158">
        <x:v>100</x:v>
      </x:c>
      <x:c r="AW36" s="158">
        <x:v>100</x:v>
      </x:c>
      <x:c r="AX36" s="585" t="s">
        <x:v>1102</x:v>
      </x:c>
      <x:c r="AY36" s="221"/>
      <x:c r="AZ36" s="185"/>
      <x:c r="BA36" s="185"/>
      <x:c r="BB36" s="185"/>
      <x:c r="BC36" s="185"/>
      <x:c r="BD36" s="36"/>
      <x:c r="BE36" s="221"/>
      <x:c r="BF36" s="185"/>
      <x:c r="BG36" s="185"/>
      <x:c r="BH36" s="185"/>
      <x:c r="BI36" s="185"/>
      <x:c r="BJ36" s="36"/>
      <x:c r="BK36" s="221"/>
      <x:c r="BL36" s="185"/>
      <x:c r="BM36" s="185"/>
      <x:c r="BN36" s="185"/>
      <x:c r="BO36" s="185"/>
      <x:c r="BP36" s="36"/>
      <x:c r="BQ36" s="221"/>
      <x:c r="BR36" s="185"/>
      <x:c r="BS36" s="185"/>
      <x:c r="BT36" s="185"/>
      <x:c r="BU36" s="185"/>
      <x:c r="BV36" s="36"/>
    </x:row>
    <x:row r="37" spans="1:74" ht="22.5" customHeight="1" x14ac:dyDescent="0.25">
      <x:c r="A37" s="619" t="s">
        <x:v>387</x:v>
      </x:c>
      <x:c r="B37" s="57" t="s">
        <x:v>23</x:v>
      </x:c>
      <x:c r="C37" s="157"/>
      <x:c r="D37" s="158"/>
      <x:c r="E37" s="158"/>
      <x:c r="F37" s="158"/>
      <x:c r="G37" s="158"/>
      <x:c r="H37" s="197"/>
      <x:c r="I37" s="33"/>
      <x:c r="J37" s="185"/>
      <x:c r="K37" s="185"/>
      <x:c r="L37" s="185"/>
      <x:c r="M37" s="185"/>
      <x:c r="N37" s="36"/>
      <x:c r="O37" s="221"/>
      <x:c r="P37" s="185"/>
      <x:c r="Q37" s="185"/>
      <x:c r="R37" s="185"/>
      <x:c r="S37" s="185"/>
      <x:c r="T37" s="36"/>
      <x:c r="U37" s="221"/>
      <x:c r="V37" s="185"/>
      <x:c r="W37" s="185"/>
      <x:c r="X37" s="185"/>
      <x:c r="Y37" s="185"/>
      <x:c r="Z37" s="36"/>
      <x:c r="AA37" s="221"/>
      <x:c r="AB37" s="185"/>
      <x:c r="AC37" s="185"/>
      <x:c r="AD37" s="185"/>
      <x:c r="AE37" s="185"/>
      <x:c r="AF37" s="36"/>
      <x:c r="AG37" s="221"/>
      <x:c r="AH37" s="185"/>
      <x:c r="AI37" s="185"/>
      <x:c r="AJ37" s="185"/>
      <x:c r="AK37" s="185"/>
      <x:c r="AL37" s="36"/>
      <x:c r="AM37" s="588">
        <x:v>0</x:v>
      </x:c>
      <x:c r="AN37" s="589">
        <x:v>0</x:v>
      </x:c>
      <x:c r="AO37" s="589">
        <x:v>0</x:v>
      </x:c>
      <x:c r="AP37" s="589">
        <x:v>0</x:v>
      </x:c>
      <x:c r="AQ37" s="589">
        <x:v>0</x:v>
      </x:c>
      <x:c r="AR37" s="591" t="s">
        <x:v>1103</x:v>
      </x:c>
      <x:c r="AS37" s="239">
        <x:v>100</x:v>
      </x:c>
      <x:c r="AT37" s="158">
        <x:v>100</x:v>
      </x:c>
      <x:c r="AU37" s="158">
        <x:v>100</x:v>
      </x:c>
      <x:c r="AV37" s="158">
        <x:v>100</x:v>
      </x:c>
      <x:c r="AW37" s="158">
        <x:v>100</x:v>
      </x:c>
      <x:c r="AX37" s="585" t="s">
        <x:v>1102</x:v>
      </x:c>
      <x:c r="AY37" s="221"/>
      <x:c r="AZ37" s="185"/>
      <x:c r="BA37" s="185"/>
      <x:c r="BB37" s="185"/>
      <x:c r="BC37" s="185"/>
      <x:c r="BD37" s="36"/>
      <x:c r="BE37" s="221"/>
      <x:c r="BF37" s="185"/>
      <x:c r="BG37" s="185"/>
      <x:c r="BH37" s="185"/>
      <x:c r="BI37" s="185"/>
      <x:c r="BJ37" s="36"/>
      <x:c r="BK37" s="221"/>
      <x:c r="BL37" s="185"/>
      <x:c r="BM37" s="185"/>
      <x:c r="BN37" s="185"/>
      <x:c r="BO37" s="185"/>
      <x:c r="BP37" s="36"/>
      <x:c r="BQ37" s="221"/>
      <x:c r="BR37" s="185"/>
      <x:c r="BS37" s="185"/>
      <x:c r="BT37" s="185"/>
      <x:c r="BU37" s="185"/>
      <x:c r="BV37" s="36"/>
    </x:row>
    <x:row r="38" spans="1:74" ht="22.5" customHeight="1" x14ac:dyDescent="0.25">
      <x:c r="A38" s="619" t="s">
        <x:v>338</x:v>
      </x:c>
      <x:c r="B38" s="57" t="s">
        <x:v>37</x:v>
      </x:c>
      <x:c r="C38" s="157"/>
      <x:c r="D38" s="158"/>
      <x:c r="E38" s="158"/>
      <x:c r="F38" s="158"/>
      <x:c r="G38" s="158"/>
      <x:c r="H38" s="197"/>
      <x:c r="I38" s="33"/>
      <x:c r="J38" s="185"/>
      <x:c r="K38" s="185"/>
      <x:c r="L38" s="185"/>
      <x:c r="M38" s="185"/>
      <x:c r="N38" s="36"/>
      <x:c r="O38" s="221"/>
      <x:c r="P38" s="185"/>
      <x:c r="Q38" s="185"/>
      <x:c r="R38" s="185"/>
      <x:c r="S38" s="185"/>
      <x:c r="T38" s="36"/>
      <x:c r="U38" s="221"/>
      <x:c r="V38" s="185"/>
      <x:c r="W38" s="185"/>
      <x:c r="X38" s="185"/>
      <x:c r="Y38" s="185"/>
      <x:c r="Z38" s="36"/>
      <x:c r="AA38" s="221"/>
      <x:c r="AB38" s="185"/>
      <x:c r="AC38" s="185"/>
      <x:c r="AD38" s="185"/>
      <x:c r="AE38" s="185"/>
      <x:c r="AF38" s="36"/>
      <x:c r="AG38" s="221"/>
      <x:c r="AH38" s="185"/>
      <x:c r="AI38" s="185"/>
      <x:c r="AJ38" s="185"/>
      <x:c r="AK38" s="185"/>
      <x:c r="AL38" s="36"/>
      <x:c r="AM38" s="588">
        <x:v>0</x:v>
      </x:c>
      <x:c r="AN38" s="589">
        <x:v>0</x:v>
      </x:c>
      <x:c r="AO38" s="589">
        <x:v>0</x:v>
      </x:c>
      <x:c r="AP38" s="589">
        <x:v>0</x:v>
      </x:c>
      <x:c r="AQ38" s="589">
        <x:v>0</x:v>
      </x:c>
      <x:c r="AR38" s="591" t="s">
        <x:v>1103</x:v>
      </x:c>
      <x:c r="AS38" s="239">
        <x:v>100</x:v>
      </x:c>
      <x:c r="AT38" s="158">
        <x:v>50</x:v>
      </x:c>
      <x:c r="AU38" s="600">
        <x:v>0</x:v>
      </x:c>
      <x:c r="AV38" s="600">
        <x:v>0</x:v>
      </x:c>
      <x:c r="AW38" s="600">
        <x:v>0</x:v>
      </x:c>
      <x:c r="AX38" s="585" t="s">
        <x:v>1102</x:v>
      </x:c>
      <x:c r="AY38" s="221"/>
      <x:c r="AZ38" s="185"/>
      <x:c r="BA38" s="185"/>
      <x:c r="BB38" s="185"/>
      <x:c r="BC38" s="185"/>
      <x:c r="BD38" s="36"/>
      <x:c r="BE38" s="221"/>
      <x:c r="BF38" s="185"/>
      <x:c r="BG38" s="185"/>
      <x:c r="BH38" s="185"/>
      <x:c r="BI38" s="185"/>
      <x:c r="BJ38" s="36"/>
      <x:c r="BK38" s="221"/>
      <x:c r="BL38" s="185"/>
      <x:c r="BM38" s="185"/>
      <x:c r="BN38" s="185"/>
      <x:c r="BO38" s="185"/>
      <x:c r="BP38" s="36"/>
      <x:c r="BQ38" s="221"/>
      <x:c r="BR38" s="185"/>
      <x:c r="BS38" s="185"/>
      <x:c r="BT38" s="185"/>
      <x:c r="BU38" s="185"/>
      <x:c r="BV38" s="36"/>
    </x:row>
    <x:row r="39" spans="1:74" ht="22.5" customHeight="1" x14ac:dyDescent="0.25">
      <x:c r="A39" s="619" t="s">
        <x:v>376</x:v>
      </x:c>
      <x:c r="B39" s="57" t="s">
        <x:v>37</x:v>
      </x:c>
      <x:c r="C39" s="157"/>
      <x:c r="D39" s="158"/>
      <x:c r="E39" s="158"/>
      <x:c r="F39" s="158"/>
      <x:c r="G39" s="158"/>
      <x:c r="H39" s="197"/>
      <x:c r="I39" s="33"/>
      <x:c r="J39" s="185"/>
      <x:c r="K39" s="185"/>
      <x:c r="L39" s="185"/>
      <x:c r="M39" s="185"/>
      <x:c r="N39" s="36"/>
      <x:c r="O39" s="221"/>
      <x:c r="P39" s="185"/>
      <x:c r="Q39" s="185"/>
      <x:c r="R39" s="185"/>
      <x:c r="S39" s="185"/>
      <x:c r="T39" s="36"/>
      <x:c r="U39" s="221"/>
      <x:c r="V39" s="185"/>
      <x:c r="W39" s="185"/>
      <x:c r="X39" s="185"/>
      <x:c r="Y39" s="185"/>
      <x:c r="Z39" s="36"/>
      <x:c r="AA39" s="221"/>
      <x:c r="AB39" s="185"/>
      <x:c r="AC39" s="185"/>
      <x:c r="AD39" s="185"/>
      <x:c r="AE39" s="185"/>
      <x:c r="AF39" s="36"/>
      <x:c r="AG39" s="221"/>
      <x:c r="AH39" s="185"/>
      <x:c r="AI39" s="185"/>
      <x:c r="AJ39" s="185"/>
      <x:c r="AK39" s="185"/>
      <x:c r="AL39" s="36"/>
      <x:c r="AM39" s="588">
        <x:v>0</x:v>
      </x:c>
      <x:c r="AN39" s="589">
        <x:v>0</x:v>
      </x:c>
      <x:c r="AO39" s="589">
        <x:v>0</x:v>
      </x:c>
      <x:c r="AP39" s="589">
        <x:v>0</x:v>
      </x:c>
      <x:c r="AQ39" s="589">
        <x:v>0</x:v>
      </x:c>
      <x:c r="AR39" s="591" t="s">
        <x:v>1103</x:v>
      </x:c>
      <x:c r="AS39" s="239">
        <x:v>100</x:v>
      </x:c>
      <x:c r="AT39" s="158">
        <x:v>100</x:v>
      </x:c>
      <x:c r="AU39" s="158">
        <x:v>100</x:v>
      </x:c>
      <x:c r="AV39" s="602">
        <x:v>0</x:v>
      </x:c>
      <x:c r="AW39" s="600">
        <x:v>0</x:v>
      </x:c>
      <x:c r="AX39" s="585" t="s">
        <x:v>1102</x:v>
      </x:c>
      <x:c r="AY39" s="221"/>
      <x:c r="AZ39" s="185"/>
      <x:c r="BA39" s="185"/>
      <x:c r="BB39" s="185"/>
      <x:c r="BC39" s="185"/>
      <x:c r="BD39" s="36"/>
      <x:c r="BE39" s="221"/>
      <x:c r="BF39" s="185"/>
      <x:c r="BG39" s="185"/>
      <x:c r="BH39" s="185"/>
      <x:c r="BI39" s="185"/>
      <x:c r="BJ39" s="36"/>
      <x:c r="BK39" s="221"/>
      <x:c r="BL39" s="185"/>
      <x:c r="BM39" s="185"/>
      <x:c r="BN39" s="185"/>
      <x:c r="BO39" s="185"/>
      <x:c r="BP39" s="36"/>
      <x:c r="BQ39" s="221"/>
      <x:c r="BR39" s="185"/>
      <x:c r="BS39" s="185"/>
      <x:c r="BT39" s="185"/>
      <x:c r="BU39" s="185"/>
      <x:c r="BV39" s="36"/>
    </x:row>
    <x:row r="40" spans="1:74" ht="22.5" customHeight="1" x14ac:dyDescent="0.25">
      <x:c r="A40" s="618" t="s">
        <x:v>329</x:v>
      </x:c>
      <x:c r="B40" s="57" t="s">
        <x:v>23</x:v>
      </x:c>
      <x:c r="C40" s="157"/>
      <x:c r="D40" s="158"/>
      <x:c r="E40" s="158"/>
      <x:c r="F40" s="158"/>
      <x:c r="G40" s="158"/>
      <x:c r="H40" s="197"/>
      <x:c r="I40" s="33"/>
      <x:c r="J40" s="185"/>
      <x:c r="K40" s="185"/>
      <x:c r="L40" s="185"/>
      <x:c r="M40" s="185"/>
      <x:c r="N40" s="36"/>
      <x:c r="O40" s="221"/>
      <x:c r="P40" s="185"/>
      <x:c r="Q40" s="185"/>
      <x:c r="R40" s="185"/>
      <x:c r="S40" s="185"/>
      <x:c r="T40" s="36"/>
      <x:c r="U40" s="221"/>
      <x:c r="V40" s="185"/>
      <x:c r="W40" s="185"/>
      <x:c r="X40" s="185"/>
      <x:c r="Y40" s="185"/>
      <x:c r="Z40" s="36"/>
      <x:c r="AA40" s="221"/>
      <x:c r="AB40" s="185"/>
      <x:c r="AC40" s="185"/>
      <x:c r="AD40" s="185"/>
      <x:c r="AE40" s="185"/>
      <x:c r="AF40" s="36"/>
      <x:c r="AG40" s="221"/>
      <x:c r="AH40" s="185"/>
      <x:c r="AI40" s="185"/>
      <x:c r="AJ40" s="185"/>
      <x:c r="AK40" s="185"/>
      <x:c r="AL40" s="36"/>
      <x:c r="AM40" s="157">
        <x:v>100</x:v>
      </x:c>
      <x:c r="AN40" s="158">
        <x:v>100</x:v>
      </x:c>
      <x:c r="AO40" s="589">
        <x:v>0</x:v>
      </x:c>
      <x:c r="AP40" s="589">
        <x:v>0</x:v>
      </x:c>
      <x:c r="AQ40" s="589">
        <x:v>0</x:v>
      </x:c>
      <x:c r="AR40" s="620" t="s">
        <x:v>1102</x:v>
      </x:c>
      <x:c r="AS40" s="648">
        <x:v>0</x:v>
      </x:c>
      <x:c r="AT40" s="589">
        <x:v>0</x:v>
      </x:c>
      <x:c r="AU40" s="589">
        <x:v>0</x:v>
      </x:c>
      <x:c r="AV40" s="589">
        <x:v>0</x:v>
      </x:c>
      <x:c r="AW40" s="589">
        <x:v>0</x:v>
      </x:c>
      <x:c r="AX40" s="591" t="s">
        <x:v>1103</x:v>
      </x:c>
      <x:c r="AY40" s="221"/>
      <x:c r="AZ40" s="185"/>
      <x:c r="BA40" s="185"/>
      <x:c r="BB40" s="185"/>
      <x:c r="BC40" s="185"/>
      <x:c r="BD40" s="36"/>
      <x:c r="BE40" s="221"/>
      <x:c r="BF40" s="185"/>
      <x:c r="BG40" s="185"/>
      <x:c r="BH40" s="185"/>
      <x:c r="BI40" s="185"/>
      <x:c r="BJ40" s="36"/>
      <x:c r="BK40" s="221"/>
      <x:c r="BL40" s="185"/>
      <x:c r="BM40" s="185"/>
      <x:c r="BN40" s="185"/>
      <x:c r="BO40" s="185"/>
      <x:c r="BP40" s="36"/>
      <x:c r="BQ40" s="221"/>
      <x:c r="BR40" s="185"/>
      <x:c r="BS40" s="185"/>
      <x:c r="BT40" s="185"/>
      <x:c r="BU40" s="185"/>
      <x:c r="BV40" s="36"/>
    </x:row>
    <x:row r="41" spans="1:74" ht="22.5" customHeight="1" x14ac:dyDescent="0.25">
      <x:c r="A41" s="97" t="s">
        <x:v>372</x:v>
      </x:c>
      <x:c r="B41" s="57" t="s">
        <x:v>37</x:v>
      </x:c>
      <x:c r="C41" s="157"/>
      <x:c r="D41" s="158"/>
      <x:c r="E41" s="158"/>
      <x:c r="F41" s="158"/>
      <x:c r="G41" s="158"/>
      <x:c r="H41" s="197"/>
      <x:c r="I41" s="33"/>
      <x:c r="J41" s="185"/>
      <x:c r="K41" s="185"/>
      <x:c r="L41" s="185"/>
      <x:c r="M41" s="185"/>
      <x:c r="N41" s="36"/>
      <x:c r="O41" s="221"/>
      <x:c r="P41" s="185"/>
      <x:c r="Q41" s="185"/>
      <x:c r="R41" s="185"/>
      <x:c r="S41" s="185"/>
      <x:c r="T41" s="36"/>
      <x:c r="U41" s="221"/>
      <x:c r="V41" s="185"/>
      <x:c r="W41" s="185"/>
      <x:c r="X41" s="185"/>
      <x:c r="Y41" s="185"/>
      <x:c r="Z41" s="36"/>
      <x:c r="AA41" s="221"/>
      <x:c r="AB41" s="185"/>
      <x:c r="AC41" s="185"/>
      <x:c r="AD41" s="185"/>
      <x:c r="AE41" s="185"/>
      <x:c r="AF41" s="36"/>
      <x:c r="AG41" s="221"/>
      <x:c r="AH41" s="185"/>
      <x:c r="AI41" s="185"/>
      <x:c r="AJ41" s="185"/>
      <x:c r="AK41" s="185"/>
      <x:c r="AL41" s="36"/>
      <x:c r="AM41" s="157">
        <x:v>100</x:v>
      </x:c>
      <x:c r="AN41" s="158">
        <x:v>100</x:v>
      </x:c>
      <x:c r="AO41" s="589">
        <x:v>0</x:v>
      </x:c>
      <x:c r="AP41" s="589">
        <x:v>0</x:v>
      </x:c>
      <x:c r="AQ41" s="589">
        <x:v>0</x:v>
      </x:c>
      <x:c r="AR41" s="620" t="s">
        <x:v>1102</x:v>
      </x:c>
      <x:c r="AS41" s="239">
        <x:v>100</x:v>
      </x:c>
      <x:c r="AT41" s="158">
        <x:v>53.57</x:v>
      </x:c>
      <x:c r="AU41" s="600">
        <x:v>0</x:v>
      </x:c>
      <x:c r="AV41" s="600">
        <x:v>0</x:v>
      </x:c>
      <x:c r="AW41" s="600">
        <x:v>0</x:v>
      </x:c>
      <x:c r="AX41" s="585" t="s">
        <x:v>1102</x:v>
      </x:c>
      <x:c r="AY41" s="221"/>
      <x:c r="AZ41" s="185"/>
      <x:c r="BA41" s="185"/>
      <x:c r="BB41" s="185"/>
      <x:c r="BC41" s="185"/>
      <x:c r="BD41" s="36"/>
      <x:c r="BE41" s="221"/>
      <x:c r="BF41" s="185"/>
      <x:c r="BG41" s="185"/>
      <x:c r="BH41" s="185"/>
      <x:c r="BI41" s="185"/>
      <x:c r="BJ41" s="36"/>
      <x:c r="BK41" s="221"/>
      <x:c r="BL41" s="185"/>
      <x:c r="BM41" s="185"/>
      <x:c r="BN41" s="185"/>
      <x:c r="BO41" s="185"/>
      <x:c r="BP41" s="36"/>
      <x:c r="BQ41" s="221"/>
      <x:c r="BR41" s="185"/>
      <x:c r="BS41" s="185"/>
      <x:c r="BT41" s="185"/>
      <x:c r="BU41" s="185"/>
      <x:c r="BV41" s="36"/>
    </x:row>
    <x:row r="42" spans="1:74" ht="22.5" customHeight="1" x14ac:dyDescent="0.25">
      <x:c r="A42" s="618" t="s">
        <x:v>360</x:v>
      </x:c>
      <x:c r="B42" s="57" t="s">
        <x:v>23</x:v>
      </x:c>
      <x:c r="C42" s="157"/>
      <x:c r="D42" s="158"/>
      <x:c r="E42" s="158"/>
      <x:c r="F42" s="158"/>
      <x:c r="G42" s="158"/>
      <x:c r="H42" s="197"/>
      <x:c r="I42" s="33"/>
      <x:c r="J42" s="185"/>
      <x:c r="K42" s="185"/>
      <x:c r="L42" s="185"/>
      <x:c r="M42" s="185"/>
      <x:c r="N42" s="36"/>
      <x:c r="O42" s="221"/>
      <x:c r="P42" s="185"/>
      <x:c r="Q42" s="185"/>
      <x:c r="R42" s="185"/>
      <x:c r="S42" s="185"/>
      <x:c r="T42" s="36"/>
      <x:c r="U42" s="221"/>
      <x:c r="V42" s="185"/>
      <x:c r="W42" s="185"/>
      <x:c r="X42" s="185"/>
      <x:c r="Y42" s="185"/>
      <x:c r="Z42" s="36"/>
      <x:c r="AA42" s="221"/>
      <x:c r="AB42" s="185"/>
      <x:c r="AC42" s="185"/>
      <x:c r="AD42" s="185"/>
      <x:c r="AE42" s="185"/>
      <x:c r="AF42" s="36"/>
      <x:c r="AG42" s="221"/>
      <x:c r="AH42" s="185"/>
      <x:c r="AI42" s="185"/>
      <x:c r="AJ42" s="185"/>
      <x:c r="AK42" s="185"/>
      <x:c r="AL42" s="36"/>
      <x:c r="AM42" s="588">
        <x:v>0</x:v>
      </x:c>
      <x:c r="AN42" s="589">
        <x:v>0</x:v>
      </x:c>
      <x:c r="AO42" s="589">
        <x:v>0</x:v>
      </x:c>
      <x:c r="AP42" s="589">
        <x:v>0</x:v>
      </x:c>
      <x:c r="AQ42" s="589">
        <x:v>0</x:v>
      </x:c>
      <x:c r="AR42" s="591" t="s">
        <x:v>1103</x:v>
      </x:c>
      <x:c r="AS42" s="648">
        <x:v>0</x:v>
      </x:c>
      <x:c r="AT42" s="589">
        <x:v>0</x:v>
      </x:c>
      <x:c r="AU42" s="589">
        <x:v>0</x:v>
      </x:c>
      <x:c r="AV42" s="589">
        <x:v>0</x:v>
      </x:c>
      <x:c r="AW42" s="589">
        <x:v>0</x:v>
      </x:c>
      <x:c r="AX42" s="591" t="s">
        <x:v>1103</x:v>
      </x:c>
      <x:c r="AY42" s="221"/>
      <x:c r="AZ42" s="185"/>
      <x:c r="BA42" s="185"/>
      <x:c r="BB42" s="185"/>
      <x:c r="BC42" s="185"/>
      <x:c r="BD42" s="36"/>
      <x:c r="BE42" s="221"/>
      <x:c r="BF42" s="185"/>
      <x:c r="BG42" s="185"/>
      <x:c r="BH42" s="185"/>
      <x:c r="BI42" s="185"/>
      <x:c r="BJ42" s="36"/>
      <x:c r="BK42" s="221"/>
      <x:c r="BL42" s="185"/>
      <x:c r="BM42" s="185"/>
      <x:c r="BN42" s="185"/>
      <x:c r="BO42" s="185"/>
      <x:c r="BP42" s="36"/>
      <x:c r="BQ42" s="221"/>
      <x:c r="BR42" s="185"/>
      <x:c r="BS42" s="185"/>
      <x:c r="BT42" s="185"/>
      <x:c r="BU42" s="185"/>
      <x:c r="BV42" s="36"/>
    </x:row>
    <x:row r="43" spans="1:74" ht="22.5" customHeight="1" x14ac:dyDescent="0.25">
      <x:c r="A43" s="619" t="s">
        <x:v>359</x:v>
      </x:c>
      <x:c r="B43" s="57" t="s">
        <x:v>23</x:v>
      </x:c>
      <x:c r="C43" s="157"/>
      <x:c r="D43" s="158"/>
      <x:c r="E43" s="158"/>
      <x:c r="F43" s="158"/>
      <x:c r="G43" s="158"/>
      <x:c r="H43" s="197"/>
      <x:c r="I43" s="33"/>
      <x:c r="J43" s="185"/>
      <x:c r="K43" s="185"/>
      <x:c r="L43" s="185"/>
      <x:c r="M43" s="185"/>
      <x:c r="N43" s="36"/>
      <x:c r="O43" s="221"/>
      <x:c r="P43" s="185"/>
      <x:c r="Q43" s="185"/>
      <x:c r="R43" s="185"/>
      <x:c r="S43" s="185"/>
      <x:c r="T43" s="36"/>
      <x:c r="U43" s="221"/>
      <x:c r="V43" s="185"/>
      <x:c r="W43" s="185"/>
      <x:c r="X43" s="185"/>
      <x:c r="Y43" s="185"/>
      <x:c r="Z43" s="36"/>
      <x:c r="AA43" s="221"/>
      <x:c r="AB43" s="185"/>
      <x:c r="AC43" s="185"/>
      <x:c r="AD43" s="185"/>
      <x:c r="AE43" s="185"/>
      <x:c r="AF43" s="36"/>
      <x:c r="AG43" s="221"/>
      <x:c r="AH43" s="185"/>
      <x:c r="AI43" s="185"/>
      <x:c r="AJ43" s="185"/>
      <x:c r="AK43" s="185"/>
      <x:c r="AL43" s="36"/>
      <x:c r="AM43" s="588">
        <x:v>0</x:v>
      </x:c>
      <x:c r="AN43" s="589">
        <x:v>0</x:v>
      </x:c>
      <x:c r="AO43" s="589">
        <x:v>0</x:v>
      </x:c>
      <x:c r="AP43" s="589">
        <x:v>0</x:v>
      </x:c>
      <x:c r="AQ43" s="589">
        <x:v>0</x:v>
      </x:c>
      <x:c r="AR43" s="591" t="s">
        <x:v>1103</x:v>
      </x:c>
      <x:c r="AS43" s="239">
        <x:v>100</x:v>
      </x:c>
      <x:c r="AT43" s="158">
        <x:v>32.14</x:v>
      </x:c>
      <x:c r="AU43" s="600">
        <x:v>0</x:v>
      </x:c>
      <x:c r="AV43" s="600">
        <x:v>0</x:v>
      </x:c>
      <x:c r="AW43" s="600">
        <x:v>0</x:v>
      </x:c>
      <x:c r="AX43" s="585" t="s">
        <x:v>1102</x:v>
      </x:c>
      <x:c r="AY43" s="221"/>
      <x:c r="AZ43" s="185"/>
      <x:c r="BA43" s="185"/>
      <x:c r="BB43" s="185"/>
      <x:c r="BC43" s="185"/>
      <x:c r="BD43" s="36"/>
      <x:c r="BE43" s="221"/>
      <x:c r="BF43" s="185"/>
      <x:c r="BG43" s="185"/>
      <x:c r="BH43" s="185"/>
      <x:c r="BI43" s="185"/>
      <x:c r="BJ43" s="36"/>
      <x:c r="BK43" s="221"/>
      <x:c r="BL43" s="185"/>
      <x:c r="BM43" s="185"/>
      <x:c r="BN43" s="185"/>
      <x:c r="BO43" s="185"/>
      <x:c r="BP43" s="36"/>
      <x:c r="BQ43" s="221"/>
      <x:c r="BR43" s="185"/>
      <x:c r="BS43" s="185"/>
      <x:c r="BT43" s="185"/>
      <x:c r="BU43" s="185"/>
      <x:c r="BV43" s="36"/>
    </x:row>
    <x:row r="44" spans="1:74" ht="22.5" customHeight="1" x14ac:dyDescent="0.25">
      <x:c r="A44" s="97" t="s">
        <x:v>307</x:v>
      </x:c>
      <x:c r="B44" s="57" t="s">
        <x:v>183</x:v>
      </x:c>
      <x:c r="C44" s="157"/>
      <x:c r="D44" s="158"/>
      <x:c r="E44" s="158"/>
      <x:c r="F44" s="158"/>
      <x:c r="G44" s="158"/>
      <x:c r="H44" s="197"/>
      <x:c r="I44" s="33"/>
      <x:c r="J44" s="185"/>
      <x:c r="K44" s="185"/>
      <x:c r="L44" s="185"/>
      <x:c r="M44" s="185"/>
      <x:c r="N44" s="36"/>
      <x:c r="O44" s="221"/>
      <x:c r="P44" s="185"/>
      <x:c r="Q44" s="185"/>
      <x:c r="R44" s="185"/>
      <x:c r="S44" s="185"/>
      <x:c r="T44" s="36"/>
      <x:c r="U44" s="221"/>
      <x:c r="V44" s="185"/>
      <x:c r="W44" s="185"/>
      <x:c r="X44" s="185"/>
      <x:c r="Y44" s="185"/>
      <x:c r="Z44" s="36"/>
      <x:c r="AA44" s="221"/>
      <x:c r="AB44" s="185"/>
      <x:c r="AC44" s="185"/>
      <x:c r="AD44" s="185"/>
      <x:c r="AE44" s="185"/>
      <x:c r="AF44" s="36"/>
      <x:c r="AG44" s="221"/>
      <x:c r="AH44" s="185"/>
      <x:c r="AI44" s="185"/>
      <x:c r="AJ44" s="185"/>
      <x:c r="AK44" s="185"/>
      <x:c r="AL44" s="36"/>
      <x:c r="AM44" s="157">
        <x:v>100</x:v>
      </x:c>
      <x:c r="AN44" s="589">
        <x:v>0</x:v>
      </x:c>
      <x:c r="AO44" s="589">
        <x:v>0</x:v>
      </x:c>
      <x:c r="AP44" s="589">
        <x:v>0</x:v>
      </x:c>
      <x:c r="AQ44" s="589">
        <x:v>0</x:v>
      </x:c>
      <x:c r="AR44" s="620" t="s">
        <x:v>1102</x:v>
      </x:c>
      <x:c r="AS44" s="239">
        <x:v>100</x:v>
      </x:c>
      <x:c r="AT44" s="158">
        <x:v>64.29</x:v>
      </x:c>
      <x:c r="AU44" s="600">
        <x:v>0</x:v>
      </x:c>
      <x:c r="AV44" s="600">
        <x:v>0</x:v>
      </x:c>
      <x:c r="AW44" s="600">
        <x:v>0</x:v>
      </x:c>
      <x:c r="AX44" s="585" t="s">
        <x:v>1102</x:v>
      </x:c>
      <x:c r="AY44" s="221"/>
      <x:c r="AZ44" s="185"/>
      <x:c r="BA44" s="185"/>
      <x:c r="BB44" s="185"/>
      <x:c r="BC44" s="185"/>
      <x:c r="BD44" s="36"/>
      <x:c r="BE44" s="221"/>
      <x:c r="BF44" s="185"/>
      <x:c r="BG44" s="185"/>
      <x:c r="BH44" s="185"/>
      <x:c r="BI44" s="185"/>
      <x:c r="BJ44" s="36"/>
      <x:c r="BK44" s="221"/>
      <x:c r="BL44" s="185"/>
      <x:c r="BM44" s="185"/>
      <x:c r="BN44" s="185"/>
      <x:c r="BO44" s="185"/>
      <x:c r="BP44" s="36"/>
      <x:c r="BQ44" s="221"/>
      <x:c r="BR44" s="185"/>
      <x:c r="BS44" s="185"/>
      <x:c r="BT44" s="185"/>
      <x:c r="BU44" s="185"/>
      <x:c r="BV44" s="36"/>
    </x:row>
    <x:row r="45" spans="1:74" ht="22.5" customHeight="1" x14ac:dyDescent="0.25">
      <x:c r="A45" s="619" t="s">
        <x:v>319</x:v>
      </x:c>
      <x:c r="B45" s="57" t="s">
        <x:v>16</x:v>
      </x:c>
      <x:c r="C45" s="157"/>
      <x:c r="D45" s="158"/>
      <x:c r="E45" s="158"/>
      <x:c r="F45" s="158"/>
      <x:c r="G45" s="158"/>
      <x:c r="H45" s="197"/>
      <x:c r="I45" s="33"/>
      <x:c r="J45" s="185"/>
      <x:c r="K45" s="185"/>
      <x:c r="L45" s="185"/>
      <x:c r="M45" s="185"/>
      <x:c r="N45" s="36"/>
      <x:c r="O45" s="221"/>
      <x:c r="P45" s="185"/>
      <x:c r="Q45" s="185"/>
      <x:c r="R45" s="185"/>
      <x:c r="S45" s="185"/>
      <x:c r="T45" s="36"/>
      <x:c r="U45" s="221"/>
      <x:c r="V45" s="185"/>
      <x:c r="W45" s="185"/>
      <x:c r="X45" s="185"/>
      <x:c r="Y45" s="185"/>
      <x:c r="Z45" s="36"/>
      <x:c r="AA45" s="221"/>
      <x:c r="AB45" s="185"/>
      <x:c r="AC45" s="185"/>
      <x:c r="AD45" s="185"/>
      <x:c r="AE45" s="185"/>
      <x:c r="AF45" s="36"/>
      <x:c r="AG45" s="221"/>
      <x:c r="AH45" s="185"/>
      <x:c r="AI45" s="185"/>
      <x:c r="AJ45" s="185"/>
      <x:c r="AK45" s="185"/>
      <x:c r="AL45" s="36"/>
      <x:c r="AM45" s="588">
        <x:v>0</x:v>
      </x:c>
      <x:c r="AN45" s="589">
        <x:v>0</x:v>
      </x:c>
      <x:c r="AO45" s="589">
        <x:v>0</x:v>
      </x:c>
      <x:c r="AP45" s="589">
        <x:v>0</x:v>
      </x:c>
      <x:c r="AQ45" s="589">
        <x:v>0</x:v>
      </x:c>
      <x:c r="AR45" s="591" t="s">
        <x:v>1103</x:v>
      </x:c>
      <x:c r="AS45" s="239">
        <x:v>100</x:v>
      </x:c>
      <x:c r="AT45" s="158">
        <x:v>100</x:v>
      </x:c>
      <x:c r="AU45" s="158">
        <x:v>100</x:v>
      </x:c>
      <x:c r="AV45" s="158">
        <x:v>50</x:v>
      </x:c>
      <x:c r="AW45" s="600">
        <x:v>0</x:v>
      </x:c>
      <x:c r="AX45" s="585" t="s">
        <x:v>1102</x:v>
      </x:c>
      <x:c r="AY45" s="221"/>
      <x:c r="AZ45" s="185"/>
      <x:c r="BA45" s="185"/>
      <x:c r="BB45" s="185"/>
      <x:c r="BC45" s="185"/>
      <x:c r="BD45" s="36"/>
      <x:c r="BE45" s="221"/>
      <x:c r="BF45" s="185"/>
      <x:c r="BG45" s="185"/>
      <x:c r="BH45" s="185"/>
      <x:c r="BI45" s="185"/>
      <x:c r="BJ45" s="36"/>
      <x:c r="BK45" s="221"/>
      <x:c r="BL45" s="185"/>
      <x:c r="BM45" s="185"/>
      <x:c r="BN45" s="185"/>
      <x:c r="BO45" s="185"/>
      <x:c r="BP45" s="36"/>
      <x:c r="BQ45" s="221"/>
      <x:c r="BR45" s="185"/>
      <x:c r="BS45" s="185"/>
      <x:c r="BT45" s="185"/>
      <x:c r="BU45" s="185"/>
      <x:c r="BV45" s="36"/>
    </x:row>
    <x:row r="46" spans="1:74" ht="22.5" customHeight="1" x14ac:dyDescent="0.25">
      <x:c r="A46" s="618" t="s">
        <x:v>318</x:v>
      </x:c>
      <x:c r="B46" s="57" t="s">
        <x:v>23</x:v>
      </x:c>
      <x:c r="C46" s="157"/>
      <x:c r="D46" s="158"/>
      <x:c r="E46" s="158"/>
      <x:c r="F46" s="158"/>
      <x:c r="G46" s="158"/>
      <x:c r="H46" s="197"/>
      <x:c r="I46" s="33"/>
      <x:c r="J46" s="185"/>
      <x:c r="K46" s="185"/>
      <x:c r="L46" s="185"/>
      <x:c r="M46" s="185"/>
      <x:c r="N46" s="36"/>
      <x:c r="O46" s="221"/>
      <x:c r="P46" s="185"/>
      <x:c r="Q46" s="185"/>
      <x:c r="R46" s="185"/>
      <x:c r="S46" s="185"/>
      <x:c r="T46" s="36"/>
      <x:c r="U46" s="221"/>
      <x:c r="V46" s="185"/>
      <x:c r="W46" s="185"/>
      <x:c r="X46" s="185"/>
      <x:c r="Y46" s="185"/>
      <x:c r="Z46" s="36"/>
      <x:c r="AA46" s="221"/>
      <x:c r="AB46" s="185"/>
      <x:c r="AC46" s="185"/>
      <x:c r="AD46" s="185"/>
      <x:c r="AE46" s="185"/>
      <x:c r="AF46" s="36"/>
      <x:c r="AG46" s="221"/>
      <x:c r="AH46" s="185"/>
      <x:c r="AI46" s="185"/>
      <x:c r="AJ46" s="185"/>
      <x:c r="AK46" s="185"/>
      <x:c r="AL46" s="36"/>
      <x:c r="AM46" s="588">
        <x:v>0</x:v>
      </x:c>
      <x:c r="AN46" s="589">
        <x:v>0</x:v>
      </x:c>
      <x:c r="AO46" s="589">
        <x:v>0</x:v>
      </x:c>
      <x:c r="AP46" s="589">
        <x:v>0</x:v>
      </x:c>
      <x:c r="AQ46" s="589">
        <x:v>0</x:v>
      </x:c>
      <x:c r="AR46" s="591" t="s">
        <x:v>1103</x:v>
      </x:c>
      <x:c r="AS46" s="648">
        <x:v>0</x:v>
      </x:c>
      <x:c r="AT46" s="589">
        <x:v>0</x:v>
      </x:c>
      <x:c r="AU46" s="589">
        <x:v>0</x:v>
      </x:c>
      <x:c r="AV46" s="589">
        <x:v>0</x:v>
      </x:c>
      <x:c r="AW46" s="589">
        <x:v>0</x:v>
      </x:c>
      <x:c r="AX46" s="591" t="s">
        <x:v>1103</x:v>
      </x:c>
      <x:c r="AY46" s="221"/>
      <x:c r="AZ46" s="185"/>
      <x:c r="BA46" s="185"/>
      <x:c r="BB46" s="185"/>
      <x:c r="BC46" s="185"/>
      <x:c r="BD46" s="36"/>
      <x:c r="BE46" s="221"/>
      <x:c r="BF46" s="185"/>
      <x:c r="BG46" s="185"/>
      <x:c r="BH46" s="185"/>
      <x:c r="BI46" s="185"/>
      <x:c r="BJ46" s="36"/>
      <x:c r="BK46" s="221"/>
      <x:c r="BL46" s="185"/>
      <x:c r="BM46" s="185"/>
      <x:c r="BN46" s="185"/>
      <x:c r="BO46" s="185"/>
      <x:c r="BP46" s="36"/>
      <x:c r="BQ46" s="221"/>
      <x:c r="BR46" s="185"/>
      <x:c r="BS46" s="185"/>
      <x:c r="BT46" s="185"/>
      <x:c r="BU46" s="185"/>
      <x:c r="BV46" s="36"/>
    </x:row>
    <x:row r="47" spans="1:74" ht="22.5" customHeight="1" x14ac:dyDescent="0.25">
      <x:c r="A47" s="97" t="s">
        <x:v>341</x:v>
      </x:c>
      <x:c r="B47" s="57" t="s">
        <x:v>23</x:v>
      </x:c>
      <x:c r="C47" s="157"/>
      <x:c r="D47" s="158"/>
      <x:c r="E47" s="158"/>
      <x:c r="F47" s="158"/>
      <x:c r="G47" s="158"/>
      <x:c r="H47" s="197"/>
      <x:c r="I47" s="33"/>
      <x:c r="J47" s="185"/>
      <x:c r="K47" s="185"/>
      <x:c r="L47" s="185"/>
      <x:c r="M47" s="185"/>
      <x:c r="N47" s="36"/>
      <x:c r="O47" s="221"/>
      <x:c r="P47" s="185"/>
      <x:c r="Q47" s="185"/>
      <x:c r="R47" s="185"/>
      <x:c r="S47" s="185"/>
      <x:c r="T47" s="36"/>
      <x:c r="U47" s="221"/>
      <x:c r="V47" s="185"/>
      <x:c r="W47" s="185"/>
      <x:c r="X47" s="185"/>
      <x:c r="Y47" s="185"/>
      <x:c r="Z47" s="36"/>
      <x:c r="AA47" s="221"/>
      <x:c r="AB47" s="185"/>
      <x:c r="AC47" s="185"/>
      <x:c r="AD47" s="185"/>
      <x:c r="AE47" s="185"/>
      <x:c r="AF47" s="36"/>
      <x:c r="AG47" s="221"/>
      <x:c r="AH47" s="185"/>
      <x:c r="AI47" s="185"/>
      <x:c r="AJ47" s="185"/>
      <x:c r="AK47" s="185"/>
      <x:c r="AL47" s="36"/>
      <x:c r="AM47" s="157">
        <x:v>100</x:v>
      </x:c>
      <x:c r="AN47" s="158">
        <x:v>100</x:v>
      </x:c>
      <x:c r="AO47" s="589">
        <x:v>0</x:v>
      </x:c>
      <x:c r="AP47" s="589">
        <x:v>0</x:v>
      </x:c>
      <x:c r="AQ47" s="589">
        <x:v>0</x:v>
      </x:c>
      <x:c r="AR47" s="620" t="s">
        <x:v>1102</x:v>
      </x:c>
      <x:c r="AS47" s="239">
        <x:v>100</x:v>
      </x:c>
      <x:c r="AT47" s="158">
        <x:v>53.57</x:v>
      </x:c>
      <x:c r="AU47" s="600">
        <x:v>0</x:v>
      </x:c>
      <x:c r="AV47" s="600">
        <x:v>0</x:v>
      </x:c>
      <x:c r="AW47" s="600">
        <x:v>0</x:v>
      </x:c>
      <x:c r="AX47" s="585" t="s">
        <x:v>1102</x:v>
      </x:c>
      <x:c r="AY47" s="221"/>
      <x:c r="AZ47" s="185"/>
      <x:c r="BA47" s="185"/>
      <x:c r="BB47" s="185"/>
      <x:c r="BC47" s="185"/>
      <x:c r="BD47" s="36"/>
      <x:c r="BE47" s="221"/>
      <x:c r="BF47" s="185"/>
      <x:c r="BG47" s="185"/>
      <x:c r="BH47" s="185"/>
      <x:c r="BI47" s="185"/>
      <x:c r="BJ47" s="36"/>
      <x:c r="BK47" s="221"/>
      <x:c r="BL47" s="185"/>
      <x:c r="BM47" s="185"/>
      <x:c r="BN47" s="185"/>
      <x:c r="BO47" s="185"/>
      <x:c r="BP47" s="36"/>
      <x:c r="BQ47" s="221"/>
      <x:c r="BR47" s="185"/>
      <x:c r="BS47" s="185"/>
      <x:c r="BT47" s="185"/>
      <x:c r="BU47" s="185"/>
      <x:c r="BV47" s="36"/>
    </x:row>
    <x:row r="48" spans="1:74" ht="22.5" customHeight="1" x14ac:dyDescent="0.25">
      <x:c r="A48" s="618" t="s">
        <x:v>323</x:v>
      </x:c>
      <x:c r="B48" s="57" t="s">
        <x:v>16</x:v>
      </x:c>
      <x:c r="C48" s="157"/>
      <x:c r="D48" s="158"/>
      <x:c r="E48" s="158"/>
      <x:c r="F48" s="158"/>
      <x:c r="G48" s="158"/>
      <x:c r="H48" s="197"/>
      <x:c r="I48" s="33"/>
      <x:c r="J48" s="185"/>
      <x:c r="K48" s="185"/>
      <x:c r="L48" s="185"/>
      <x:c r="M48" s="185"/>
      <x:c r="N48" s="36"/>
      <x:c r="O48" s="221"/>
      <x:c r="P48" s="185"/>
      <x:c r="Q48" s="185"/>
      <x:c r="R48" s="185"/>
      <x:c r="S48" s="185"/>
      <x:c r="T48" s="36"/>
      <x:c r="U48" s="221"/>
      <x:c r="V48" s="185"/>
      <x:c r="W48" s="185"/>
      <x:c r="X48" s="185"/>
      <x:c r="Y48" s="185"/>
      <x:c r="Z48" s="36"/>
      <x:c r="AA48" s="221"/>
      <x:c r="AB48" s="185"/>
      <x:c r="AC48" s="185"/>
      <x:c r="AD48" s="185"/>
      <x:c r="AE48" s="185"/>
      <x:c r="AF48" s="36"/>
      <x:c r="AG48" s="221"/>
      <x:c r="AH48" s="185"/>
      <x:c r="AI48" s="185"/>
      <x:c r="AJ48" s="185"/>
      <x:c r="AK48" s="185"/>
      <x:c r="AL48" s="36"/>
      <x:c r="AM48" s="157">
        <x:v>100</x:v>
      </x:c>
      <x:c r="AN48" s="158">
        <x:v>100</x:v>
      </x:c>
      <x:c r="AO48" s="158">
        <x:v>100</x:v>
      </x:c>
      <x:c r="AP48" s="589">
        <x:v>0</x:v>
      </x:c>
      <x:c r="AQ48" s="589">
        <x:v>0</x:v>
      </x:c>
      <x:c r="AR48" s="620" t="s">
        <x:v>1102</x:v>
      </x:c>
      <x:c r="AS48" s="648">
        <x:v>0</x:v>
      </x:c>
      <x:c r="AT48" s="589">
        <x:v>0</x:v>
      </x:c>
      <x:c r="AU48" s="589">
        <x:v>0</x:v>
      </x:c>
      <x:c r="AV48" s="589">
        <x:v>0</x:v>
      </x:c>
      <x:c r="AW48" s="589">
        <x:v>0</x:v>
      </x:c>
      <x:c r="AX48" s="591" t="s">
        <x:v>1103</x:v>
      </x:c>
      <x:c r="AY48" s="221"/>
      <x:c r="AZ48" s="185"/>
      <x:c r="BA48" s="185"/>
      <x:c r="BB48" s="185"/>
      <x:c r="BC48" s="185"/>
      <x:c r="BD48" s="36"/>
      <x:c r="BE48" s="221"/>
      <x:c r="BF48" s="185"/>
      <x:c r="BG48" s="185"/>
      <x:c r="BH48" s="185"/>
      <x:c r="BI48" s="185"/>
      <x:c r="BJ48" s="36"/>
      <x:c r="BK48" s="221"/>
      <x:c r="BL48" s="185"/>
      <x:c r="BM48" s="185"/>
      <x:c r="BN48" s="185"/>
      <x:c r="BO48" s="185"/>
      <x:c r="BP48" s="36"/>
      <x:c r="BQ48" s="221"/>
      <x:c r="BR48" s="185"/>
      <x:c r="BS48" s="185"/>
      <x:c r="BT48" s="185"/>
      <x:c r="BU48" s="185"/>
      <x:c r="BV48" s="36"/>
    </x:row>
    <x:row r="49" spans="1:74" ht="22.5" customHeight="1" x14ac:dyDescent="0.25">
      <x:c r="A49" s="619" t="s">
        <x:v>336</x:v>
      </x:c>
      <x:c r="B49" s="57" t="s">
        <x:v>23</x:v>
      </x:c>
      <x:c r="C49" s="157"/>
      <x:c r="D49" s="158"/>
      <x:c r="E49" s="158"/>
      <x:c r="F49" s="158"/>
      <x:c r="G49" s="158"/>
      <x:c r="H49" s="197"/>
      <x:c r="I49" s="33"/>
      <x:c r="J49" s="185"/>
      <x:c r="K49" s="185"/>
      <x:c r="L49" s="185"/>
      <x:c r="M49" s="185"/>
      <x:c r="N49" s="36"/>
      <x:c r="O49" s="221"/>
      <x:c r="P49" s="185"/>
      <x:c r="Q49" s="185"/>
      <x:c r="R49" s="185"/>
      <x:c r="S49" s="185"/>
      <x:c r="T49" s="36"/>
      <x:c r="U49" s="221"/>
      <x:c r="V49" s="185"/>
      <x:c r="W49" s="185"/>
      <x:c r="X49" s="185"/>
      <x:c r="Y49" s="185"/>
      <x:c r="Z49" s="36"/>
      <x:c r="AA49" s="221"/>
      <x:c r="AB49" s="185"/>
      <x:c r="AC49" s="185"/>
      <x:c r="AD49" s="185"/>
      <x:c r="AE49" s="185"/>
      <x:c r="AF49" s="36"/>
      <x:c r="AG49" s="221"/>
      <x:c r="AH49" s="185"/>
      <x:c r="AI49" s="185"/>
      <x:c r="AJ49" s="185"/>
      <x:c r="AK49" s="185"/>
      <x:c r="AL49" s="36"/>
      <x:c r="AM49" s="588">
        <x:v>0</x:v>
      </x:c>
      <x:c r="AN49" s="589">
        <x:v>0</x:v>
      </x:c>
      <x:c r="AO49" s="589">
        <x:v>0</x:v>
      </x:c>
      <x:c r="AP49" s="589">
        <x:v>0</x:v>
      </x:c>
      <x:c r="AQ49" s="589">
        <x:v>0</x:v>
      </x:c>
      <x:c r="AR49" s="591" t="s">
        <x:v>1103</x:v>
      </x:c>
      <x:c r="AS49" s="239">
        <x:v>100</x:v>
      </x:c>
      <x:c r="AT49" s="158">
        <x:v>100</x:v>
      </x:c>
      <x:c r="AU49" s="600">
        <x:v>0</x:v>
      </x:c>
      <x:c r="AV49" s="600">
        <x:v>0</x:v>
      </x:c>
      <x:c r="AW49" s="600">
        <x:v>0</x:v>
      </x:c>
      <x:c r="AX49" s="585" t="s">
        <x:v>1102</x:v>
      </x:c>
      <x:c r="AY49" s="221"/>
      <x:c r="AZ49" s="185"/>
      <x:c r="BA49" s="185"/>
      <x:c r="BB49" s="185"/>
      <x:c r="BC49" s="185"/>
      <x:c r="BD49" s="36"/>
      <x:c r="BE49" s="221"/>
      <x:c r="BF49" s="185"/>
      <x:c r="BG49" s="185"/>
      <x:c r="BH49" s="185"/>
      <x:c r="BI49" s="185"/>
      <x:c r="BJ49" s="36"/>
      <x:c r="BK49" s="221"/>
      <x:c r="BL49" s="185"/>
      <x:c r="BM49" s="185"/>
      <x:c r="BN49" s="185"/>
      <x:c r="BO49" s="185"/>
      <x:c r="BP49" s="36"/>
      <x:c r="BQ49" s="221"/>
      <x:c r="BR49" s="185"/>
      <x:c r="BS49" s="185"/>
      <x:c r="BT49" s="185"/>
      <x:c r="BU49" s="185"/>
      <x:c r="BV49" s="36"/>
    </x:row>
    <x:row r="50" spans="1:74" ht="22.5" customHeight="1" x14ac:dyDescent="0.25">
      <x:c r="A50" s="619" t="s">
        <x:v>383</x:v>
      </x:c>
      <x:c r="B50" s="57" t="s">
        <x:v>23</x:v>
      </x:c>
      <x:c r="C50" s="157"/>
      <x:c r="D50" s="158"/>
      <x:c r="E50" s="158"/>
      <x:c r="F50" s="158"/>
      <x:c r="G50" s="158"/>
      <x:c r="H50" s="197"/>
      <x:c r="I50" s="33"/>
      <x:c r="J50" s="185"/>
      <x:c r="K50" s="185"/>
      <x:c r="L50" s="185"/>
      <x:c r="M50" s="185"/>
      <x:c r="N50" s="36"/>
      <x:c r="O50" s="221"/>
      <x:c r="P50" s="185"/>
      <x:c r="Q50" s="185"/>
      <x:c r="R50" s="185"/>
      <x:c r="S50" s="185"/>
      <x:c r="T50" s="36"/>
      <x:c r="U50" s="221"/>
      <x:c r="V50" s="185"/>
      <x:c r="W50" s="185"/>
      <x:c r="X50" s="185"/>
      <x:c r="Y50" s="185"/>
      <x:c r="Z50" s="36"/>
      <x:c r="AA50" s="221"/>
      <x:c r="AB50" s="185"/>
      <x:c r="AC50" s="185"/>
      <x:c r="AD50" s="185"/>
      <x:c r="AE50" s="185"/>
      <x:c r="AF50" s="36"/>
      <x:c r="AG50" s="221"/>
      <x:c r="AH50" s="185"/>
      <x:c r="AI50" s="185"/>
      <x:c r="AJ50" s="185"/>
      <x:c r="AK50" s="185"/>
      <x:c r="AL50" s="36"/>
      <x:c r="AM50" s="588">
        <x:v>0</x:v>
      </x:c>
      <x:c r="AN50" s="589">
        <x:v>0</x:v>
      </x:c>
      <x:c r="AO50" s="589">
        <x:v>0</x:v>
      </x:c>
      <x:c r="AP50" s="589">
        <x:v>0</x:v>
      </x:c>
      <x:c r="AQ50" s="589">
        <x:v>0</x:v>
      </x:c>
      <x:c r="AR50" s="591" t="s">
        <x:v>1103</x:v>
      </x:c>
      <x:c r="AS50" s="239">
        <x:v>100</x:v>
      </x:c>
      <x:c r="AT50" s="158">
        <x:v>35.71</x:v>
      </x:c>
      <x:c r="AU50" s="600">
        <x:v>0</x:v>
      </x:c>
      <x:c r="AV50" s="600">
        <x:v>0</x:v>
      </x:c>
      <x:c r="AW50" s="600">
        <x:v>0</x:v>
      </x:c>
      <x:c r="AX50" s="585" t="s">
        <x:v>1102</x:v>
      </x:c>
      <x:c r="AY50" s="221"/>
      <x:c r="AZ50" s="185"/>
      <x:c r="BA50" s="185"/>
      <x:c r="BB50" s="185"/>
      <x:c r="BC50" s="185"/>
      <x:c r="BD50" s="36"/>
      <x:c r="BE50" s="221"/>
      <x:c r="BF50" s="185"/>
      <x:c r="BG50" s="185"/>
      <x:c r="BH50" s="185"/>
      <x:c r="BI50" s="185"/>
      <x:c r="BJ50" s="36"/>
      <x:c r="BK50" s="221"/>
      <x:c r="BL50" s="185"/>
      <x:c r="BM50" s="185"/>
      <x:c r="BN50" s="185"/>
      <x:c r="BO50" s="185"/>
      <x:c r="BP50" s="36"/>
      <x:c r="BQ50" s="221"/>
      <x:c r="BR50" s="185"/>
      <x:c r="BS50" s="185"/>
      <x:c r="BT50" s="185"/>
      <x:c r="BU50" s="185"/>
      <x:c r="BV50" s="36"/>
    </x:row>
    <x:row r="51" spans="1:74" ht="22.5" customHeight="1" x14ac:dyDescent="0.25">
      <x:c r="A51" s="619" t="s">
        <x:v>362</x:v>
      </x:c>
      <x:c r="B51" s="57" t="s">
        <x:v>23</x:v>
      </x:c>
      <x:c r="C51" s="181"/>
      <x:c r="D51" s="182"/>
      <x:c r="E51" s="182"/>
      <x:c r="F51" s="182"/>
      <x:c r="G51" s="182"/>
      <x:c r="H51" s="206"/>
      <x:c r="I51" s="44"/>
      <x:c r="J51" s="45"/>
      <x:c r="K51" s="45"/>
      <x:c r="L51" s="45"/>
      <x:c r="M51" s="45"/>
      <x:c r="N51" s="48"/>
      <x:c r="O51" s="94"/>
      <x:c r="P51" s="45"/>
      <x:c r="Q51" s="45"/>
      <x:c r="R51" s="45"/>
      <x:c r="S51" s="45"/>
      <x:c r="T51" s="48"/>
      <x:c r="U51" s="94"/>
      <x:c r="V51" s="45"/>
      <x:c r="W51" s="45"/>
      <x:c r="X51" s="45"/>
      <x:c r="Y51" s="45"/>
      <x:c r="Z51" s="48"/>
      <x:c r="AA51" s="94"/>
      <x:c r="AB51" s="45"/>
      <x:c r="AC51" s="45"/>
      <x:c r="AD51" s="45"/>
      <x:c r="AE51" s="45"/>
      <x:c r="AF51" s="48"/>
      <x:c r="AG51" s="94"/>
      <x:c r="AH51" s="45"/>
      <x:c r="AI51" s="45"/>
      <x:c r="AJ51" s="45"/>
      <x:c r="AK51" s="45"/>
      <x:c r="AL51" s="48"/>
      <x:c r="AM51" s="609">
        <x:v>0</x:v>
      </x:c>
      <x:c r="AN51" s="649">
        <x:v>0</x:v>
      </x:c>
      <x:c r="AO51" s="649">
        <x:v>0</x:v>
      </x:c>
      <x:c r="AP51" s="649">
        <x:v>0</x:v>
      </x:c>
      <x:c r="AQ51" s="649">
        <x:v>0</x:v>
      </x:c>
      <x:c r="AR51" s="650" t="s">
        <x:v>1103</x:v>
      </x:c>
      <x:c r="AS51" s="260">
        <x:v>100</x:v>
      </x:c>
      <x:c r="AT51" s="182">
        <x:v>95.83</x:v>
      </x:c>
      <x:c r="AU51" s="651">
        <x:v>0</x:v>
      </x:c>
      <x:c r="AV51" s="651">
        <x:v>0</x:v>
      </x:c>
      <x:c r="AW51" s="651">
        <x:v>0</x:v>
      </x:c>
      <x:c r="AX51" s="608" t="s">
        <x:v>1102</x:v>
      </x:c>
      <x:c r="AY51" s="94"/>
      <x:c r="AZ51" s="45"/>
      <x:c r="BA51" s="45"/>
      <x:c r="BB51" s="45"/>
      <x:c r="BC51" s="45"/>
      <x:c r="BD51" s="48"/>
      <x:c r="BE51" s="94"/>
      <x:c r="BF51" s="45"/>
      <x:c r="BG51" s="45"/>
      <x:c r="BH51" s="45"/>
      <x:c r="BI51" s="45"/>
      <x:c r="BJ51" s="48"/>
      <x:c r="BK51" s="94"/>
      <x:c r="BL51" s="45"/>
      <x:c r="BM51" s="45"/>
      <x:c r="BN51" s="45"/>
      <x:c r="BO51" s="45"/>
      <x:c r="BP51" s="48"/>
      <x:c r="BQ51" s="94"/>
      <x:c r="BR51" s="45"/>
      <x:c r="BS51" s="45"/>
      <x:c r="BT51" s="45"/>
      <x:c r="BU51" s="45"/>
      <x:c r="BV51" s="48"/>
    </x:row>
    <x:row r="52" spans="1:74" ht="22.5" customHeight="1" x14ac:dyDescent="0.25">
      <x:c r="A52" s="619" t="s">
        <x:v>296</x:v>
      </x:c>
      <x:c r="B52" s="57" t="s">
        <x:v>43</x:v>
      </x:c>
      <x:c r="C52" s="209"/>
      <x:c r="D52" s="210"/>
      <x:c r="E52" s="210"/>
      <x:c r="F52" s="210"/>
      <x:c r="G52" s="210"/>
      <x:c r="H52" s="211"/>
      <x:c r="I52" s="108"/>
      <x:c r="J52" s="58"/>
      <x:c r="K52" s="58"/>
      <x:c r="L52" s="58"/>
      <x:c r="M52" s="58"/>
      <x:c r="N52" s="109"/>
      <x:c r="O52" s="101"/>
      <x:c r="P52" s="58"/>
      <x:c r="Q52" s="58"/>
      <x:c r="R52" s="58"/>
      <x:c r="S52" s="58"/>
      <x:c r="T52" s="109"/>
      <x:c r="U52" s="101"/>
      <x:c r="V52" s="58"/>
      <x:c r="W52" s="58"/>
      <x:c r="X52" s="58"/>
      <x:c r="Y52" s="58"/>
      <x:c r="Z52" s="109"/>
      <x:c r="AA52" s="101"/>
      <x:c r="AB52" s="58"/>
      <x:c r="AC52" s="58"/>
      <x:c r="AD52" s="58"/>
      <x:c r="AE52" s="58"/>
      <x:c r="AF52" s="109"/>
      <x:c r="AG52" s="101"/>
      <x:c r="AH52" s="58"/>
      <x:c r="AI52" s="58"/>
      <x:c r="AJ52" s="58"/>
      <x:c r="AK52" s="58"/>
      <x:c r="AL52" s="109"/>
      <x:c r="AM52" s="652">
        <x:v>0</x:v>
      </x:c>
      <x:c r="AN52" s="653">
        <x:v>0</x:v>
      </x:c>
      <x:c r="AO52" s="653">
        <x:v>0</x:v>
      </x:c>
      <x:c r="AP52" s="653">
        <x:v>0</x:v>
      </x:c>
      <x:c r="AQ52" s="653">
        <x:v>0</x:v>
      </x:c>
      <x:c r="AR52" s="654" t="s">
        <x:v>1103</x:v>
      </x:c>
      <x:c r="AS52" s="262">
        <x:v>100</x:v>
      </x:c>
      <x:c r="AT52" s="210">
        <x:v>100</x:v>
      </x:c>
      <x:c r="AU52" s="210">
        <x:v>100</x:v>
      </x:c>
      <x:c r="AV52" s="210">
        <x:v>50</x:v>
      </x:c>
      <x:c r="AW52" s="655">
        <x:v>0</x:v>
      </x:c>
      <x:c r="AX52" s="656" t="s">
        <x:v>1102</x:v>
      </x:c>
      <x:c r="AY52" s="101"/>
      <x:c r="AZ52" s="58"/>
      <x:c r="BA52" s="58"/>
      <x:c r="BB52" s="58"/>
      <x:c r="BC52" s="58"/>
      <x:c r="BD52" s="109"/>
      <x:c r="BE52" s="101"/>
      <x:c r="BF52" s="58"/>
      <x:c r="BG52" s="58"/>
      <x:c r="BH52" s="58"/>
      <x:c r="BI52" s="58"/>
      <x:c r="BJ52" s="109"/>
      <x:c r="BK52" s="101"/>
      <x:c r="BL52" s="58"/>
      <x:c r="BM52" s="58"/>
      <x:c r="BN52" s="58"/>
      <x:c r="BO52" s="58"/>
      <x:c r="BP52" s="109"/>
      <x:c r="BQ52" s="101"/>
      <x:c r="BR52" s="58"/>
      <x:c r="BS52" s="58"/>
      <x:c r="BT52" s="58"/>
      <x:c r="BU52" s="58"/>
      <x:c r="BV52" s="109"/>
    </x:row>
    <x:row r="53" spans="1:74" ht="22.5" customHeight="1" x14ac:dyDescent="0.25">
      <x:c r="A53" s="618" t="s">
        <x:v>311</x:v>
      </x:c>
      <x:c r="B53" s="57" t="s">
        <x:v>191</x:v>
      </x:c>
      <x:c r="C53" s="209"/>
      <x:c r="D53" s="210"/>
      <x:c r="E53" s="210"/>
      <x:c r="F53" s="210"/>
      <x:c r="G53" s="210"/>
      <x:c r="H53" s="211"/>
      <x:c r="I53" s="108"/>
      <x:c r="J53" s="58"/>
      <x:c r="K53" s="58"/>
      <x:c r="L53" s="58"/>
      <x:c r="M53" s="58"/>
      <x:c r="N53" s="109"/>
      <x:c r="O53" s="101"/>
      <x:c r="P53" s="58"/>
      <x:c r="Q53" s="58"/>
      <x:c r="R53" s="58"/>
      <x:c r="S53" s="58"/>
      <x:c r="T53" s="109"/>
      <x:c r="U53" s="101"/>
      <x:c r="V53" s="58"/>
      <x:c r="W53" s="58"/>
      <x:c r="X53" s="58"/>
      <x:c r="Y53" s="58"/>
      <x:c r="Z53" s="109"/>
      <x:c r="AA53" s="101"/>
      <x:c r="AB53" s="58"/>
      <x:c r="AC53" s="58"/>
      <x:c r="AD53" s="58"/>
      <x:c r="AE53" s="58"/>
      <x:c r="AF53" s="109"/>
      <x:c r="AG53" s="101"/>
      <x:c r="AH53" s="58"/>
      <x:c r="AI53" s="58"/>
      <x:c r="AJ53" s="58"/>
      <x:c r="AK53" s="58"/>
      <x:c r="AL53" s="109"/>
      <x:c r="AM53" s="652">
        <x:v>0</x:v>
      </x:c>
      <x:c r="AN53" s="653">
        <x:v>0</x:v>
      </x:c>
      <x:c r="AO53" s="653">
        <x:v>0</x:v>
      </x:c>
      <x:c r="AP53" s="653">
        <x:v>0</x:v>
      </x:c>
      <x:c r="AQ53" s="653">
        <x:v>0</x:v>
      </x:c>
      <x:c r="AR53" s="654" t="s">
        <x:v>1103</x:v>
      </x:c>
      <x:c r="AS53" s="657">
        <x:v>0</x:v>
      </x:c>
      <x:c r="AT53" s="653">
        <x:v>0</x:v>
      </x:c>
      <x:c r="AU53" s="653">
        <x:v>0</x:v>
      </x:c>
      <x:c r="AV53" s="653">
        <x:v>0</x:v>
      </x:c>
      <x:c r="AW53" s="653">
        <x:v>0</x:v>
      </x:c>
      <x:c r="AX53" s="654" t="s">
        <x:v>1103</x:v>
      </x:c>
      <x:c r="AY53" s="101"/>
      <x:c r="AZ53" s="58"/>
      <x:c r="BA53" s="58"/>
      <x:c r="BB53" s="58"/>
      <x:c r="BC53" s="58"/>
      <x:c r="BD53" s="109"/>
      <x:c r="BE53" s="101"/>
      <x:c r="BF53" s="58"/>
      <x:c r="BG53" s="58"/>
      <x:c r="BH53" s="58"/>
      <x:c r="BI53" s="58"/>
      <x:c r="BJ53" s="109"/>
      <x:c r="BK53" s="101"/>
      <x:c r="BL53" s="58"/>
      <x:c r="BM53" s="58"/>
      <x:c r="BN53" s="58"/>
      <x:c r="BO53" s="58"/>
      <x:c r="BP53" s="109"/>
      <x:c r="BQ53" s="101"/>
      <x:c r="BR53" s="58"/>
      <x:c r="BS53" s="58"/>
      <x:c r="BT53" s="58"/>
      <x:c r="BU53" s="58"/>
      <x:c r="BV53" s="109"/>
    </x:row>
    <x:row r="54" spans="1:74" ht="22.5" customHeight="1" x14ac:dyDescent="0.25">
      <x:c r="A54" s="97" t="s">
        <x:v>392</x:v>
      </x:c>
      <x:c r="B54" s="57" t="s">
        <x:v>23</x:v>
      </x:c>
      <x:c r="C54" s="209"/>
      <x:c r="D54" s="210"/>
      <x:c r="E54" s="210"/>
      <x:c r="F54" s="210"/>
      <x:c r="G54" s="210"/>
      <x:c r="H54" s="211"/>
      <x:c r="I54" s="108"/>
      <x:c r="J54" s="58"/>
      <x:c r="K54" s="58"/>
      <x:c r="L54" s="58"/>
      <x:c r="M54" s="58"/>
      <x:c r="N54" s="109"/>
      <x:c r="O54" s="101"/>
      <x:c r="P54" s="58"/>
      <x:c r="Q54" s="58"/>
      <x:c r="R54" s="58"/>
      <x:c r="S54" s="58"/>
      <x:c r="T54" s="109"/>
      <x:c r="U54" s="101"/>
      <x:c r="V54" s="58"/>
      <x:c r="W54" s="58"/>
      <x:c r="X54" s="58"/>
      <x:c r="Y54" s="58"/>
      <x:c r="Z54" s="109"/>
      <x:c r="AA54" s="101"/>
      <x:c r="AB54" s="58"/>
      <x:c r="AC54" s="58"/>
      <x:c r="AD54" s="58"/>
      <x:c r="AE54" s="58"/>
      <x:c r="AF54" s="109"/>
      <x:c r="AG54" s="101"/>
      <x:c r="AH54" s="58"/>
      <x:c r="AI54" s="58"/>
      <x:c r="AJ54" s="58"/>
      <x:c r="AK54" s="58"/>
      <x:c r="AL54" s="109"/>
      <x:c r="AM54" s="209">
        <x:v>100</x:v>
      </x:c>
      <x:c r="AN54" s="210">
        <x:v>100</x:v>
      </x:c>
      <x:c r="AO54" s="653">
        <x:v>0</x:v>
      </x:c>
      <x:c r="AP54" s="653">
        <x:v>0</x:v>
      </x:c>
      <x:c r="AQ54" s="653">
        <x:v>0</x:v>
      </x:c>
      <x:c r="AR54" s="658" t="s">
        <x:v>1102</x:v>
      </x:c>
      <x:c r="AS54" s="262">
        <x:v>100</x:v>
      </x:c>
      <x:c r="AT54" s="210">
        <x:v>32.14</x:v>
      </x:c>
      <x:c r="AU54" s="655">
        <x:v>0</x:v>
      </x:c>
      <x:c r="AV54" s="655">
        <x:v>0</x:v>
      </x:c>
      <x:c r="AW54" s="655">
        <x:v>0</x:v>
      </x:c>
      <x:c r="AX54" s="656" t="s">
        <x:v>1102</x:v>
      </x:c>
      <x:c r="AY54" s="101"/>
      <x:c r="AZ54" s="58"/>
      <x:c r="BA54" s="58"/>
      <x:c r="BB54" s="58"/>
      <x:c r="BC54" s="58"/>
      <x:c r="BD54" s="109"/>
      <x:c r="BE54" s="101"/>
      <x:c r="BF54" s="58"/>
      <x:c r="BG54" s="58"/>
      <x:c r="BH54" s="58"/>
      <x:c r="BI54" s="58"/>
      <x:c r="BJ54" s="109"/>
      <x:c r="BK54" s="101"/>
      <x:c r="BL54" s="58"/>
      <x:c r="BM54" s="58"/>
      <x:c r="BN54" s="58"/>
      <x:c r="BO54" s="58"/>
      <x:c r="BP54" s="109"/>
      <x:c r="BQ54" s="101"/>
      <x:c r="BR54" s="58"/>
      <x:c r="BS54" s="58"/>
      <x:c r="BT54" s="58"/>
      <x:c r="BU54" s="58"/>
      <x:c r="BV54" s="109"/>
    </x:row>
    <x:row r="55" spans="1:74" ht="22.5" customHeight="1" x14ac:dyDescent="0.25">
      <x:c r="A55" s="619" t="s">
        <x:v>324</x:v>
      </x:c>
      <x:c r="B55" s="57" t="s">
        <x:v>23</x:v>
      </x:c>
      <x:c r="C55" s="209"/>
      <x:c r="D55" s="210"/>
      <x:c r="E55" s="210"/>
      <x:c r="F55" s="210"/>
      <x:c r="G55" s="210"/>
      <x:c r="H55" s="211"/>
      <x:c r="I55" s="108"/>
      <x:c r="J55" s="58"/>
      <x:c r="K55" s="58"/>
      <x:c r="L55" s="58"/>
      <x:c r="M55" s="58"/>
      <x:c r="N55" s="109"/>
      <x:c r="O55" s="101"/>
      <x:c r="P55" s="58"/>
      <x:c r="Q55" s="58"/>
      <x:c r="R55" s="58"/>
      <x:c r="S55" s="58"/>
      <x:c r="T55" s="109"/>
      <x:c r="U55" s="101"/>
      <x:c r="V55" s="58"/>
      <x:c r="W55" s="58"/>
      <x:c r="X55" s="58"/>
      <x:c r="Y55" s="58"/>
      <x:c r="Z55" s="109"/>
      <x:c r="AA55" s="101"/>
      <x:c r="AB55" s="58"/>
      <x:c r="AC55" s="58"/>
      <x:c r="AD55" s="58"/>
      <x:c r="AE55" s="58"/>
      <x:c r="AF55" s="109"/>
      <x:c r="AG55" s="101"/>
      <x:c r="AH55" s="58"/>
      <x:c r="AI55" s="58"/>
      <x:c r="AJ55" s="58"/>
      <x:c r="AK55" s="58"/>
      <x:c r="AL55" s="109"/>
      <x:c r="AM55" s="652">
        <x:v>0</x:v>
      </x:c>
      <x:c r="AN55" s="653">
        <x:v>0</x:v>
      </x:c>
      <x:c r="AO55" s="653">
        <x:v>0</x:v>
      </x:c>
      <x:c r="AP55" s="653">
        <x:v>0</x:v>
      </x:c>
      <x:c r="AQ55" s="653">
        <x:v>0</x:v>
      </x:c>
      <x:c r="AR55" s="654" t="s">
        <x:v>1103</x:v>
      </x:c>
      <x:c r="AS55" s="262">
        <x:v>100</x:v>
      </x:c>
      <x:c r="AT55" s="210">
        <x:v>100</x:v>
      </x:c>
      <x:c r="AU55" s="655">
        <x:v>0</x:v>
      </x:c>
      <x:c r="AV55" s="655">
        <x:v>0</x:v>
      </x:c>
      <x:c r="AW55" s="655">
        <x:v>0</x:v>
      </x:c>
      <x:c r="AX55" s="656" t="s">
        <x:v>1102</x:v>
      </x:c>
      <x:c r="AY55" s="101"/>
      <x:c r="AZ55" s="58"/>
      <x:c r="BA55" s="58"/>
      <x:c r="BB55" s="58"/>
      <x:c r="BC55" s="58"/>
      <x:c r="BD55" s="109"/>
      <x:c r="BE55" s="101"/>
      <x:c r="BF55" s="58"/>
      <x:c r="BG55" s="58"/>
      <x:c r="BH55" s="58"/>
      <x:c r="BI55" s="58"/>
      <x:c r="BJ55" s="109"/>
      <x:c r="BK55" s="101"/>
      <x:c r="BL55" s="58"/>
      <x:c r="BM55" s="58"/>
      <x:c r="BN55" s="58"/>
      <x:c r="BO55" s="58"/>
      <x:c r="BP55" s="109"/>
      <x:c r="BQ55" s="101"/>
      <x:c r="BR55" s="58"/>
      <x:c r="BS55" s="58"/>
      <x:c r="BT55" s="58"/>
      <x:c r="BU55" s="58"/>
      <x:c r="BV55" s="109"/>
    </x:row>
    <x:row r="56" spans="1:74" ht="22.5" customHeight="1" x14ac:dyDescent="0.25">
      <x:c r="A56" s="619" t="s">
        <x:v>385</x:v>
      </x:c>
      <x:c r="B56" s="57" t="s">
        <x:v>23</x:v>
      </x:c>
      <x:c r="C56" s="209"/>
      <x:c r="D56" s="210"/>
      <x:c r="E56" s="210"/>
      <x:c r="F56" s="210"/>
      <x:c r="G56" s="210"/>
      <x:c r="H56" s="211"/>
      <x:c r="I56" s="108"/>
      <x:c r="J56" s="58"/>
      <x:c r="K56" s="58"/>
      <x:c r="L56" s="58"/>
      <x:c r="M56" s="58"/>
      <x:c r="N56" s="109"/>
      <x:c r="O56" s="101"/>
      <x:c r="P56" s="58"/>
      <x:c r="Q56" s="58"/>
      <x:c r="R56" s="58"/>
      <x:c r="S56" s="58"/>
      <x:c r="T56" s="109"/>
      <x:c r="U56" s="101"/>
      <x:c r="V56" s="58"/>
      <x:c r="W56" s="58"/>
      <x:c r="X56" s="58"/>
      <x:c r="Y56" s="58"/>
      <x:c r="Z56" s="109"/>
      <x:c r="AA56" s="101"/>
      <x:c r="AB56" s="58"/>
      <x:c r="AC56" s="58"/>
      <x:c r="AD56" s="58"/>
      <x:c r="AE56" s="58"/>
      <x:c r="AF56" s="109"/>
      <x:c r="AG56" s="101"/>
      <x:c r="AH56" s="58"/>
      <x:c r="AI56" s="58"/>
      <x:c r="AJ56" s="58"/>
      <x:c r="AK56" s="58"/>
      <x:c r="AL56" s="109"/>
      <x:c r="AM56" s="652">
        <x:v>0</x:v>
      </x:c>
      <x:c r="AN56" s="653">
        <x:v>0</x:v>
      </x:c>
      <x:c r="AO56" s="653">
        <x:v>0</x:v>
      </x:c>
      <x:c r="AP56" s="653">
        <x:v>0</x:v>
      </x:c>
      <x:c r="AQ56" s="653">
        <x:v>0</x:v>
      </x:c>
      <x:c r="AR56" s="654" t="s">
        <x:v>1103</x:v>
      </x:c>
      <x:c r="AS56" s="262">
        <x:v>100</x:v>
      </x:c>
      <x:c r="AT56" s="210">
        <x:v>100</x:v>
      </x:c>
      <x:c r="AU56" s="655">
        <x:v>0</x:v>
      </x:c>
      <x:c r="AV56" s="655">
        <x:v>0</x:v>
      </x:c>
      <x:c r="AW56" s="655">
        <x:v>0</x:v>
      </x:c>
      <x:c r="AX56" s="656" t="s">
        <x:v>1102</x:v>
      </x:c>
      <x:c r="AY56" s="101"/>
      <x:c r="AZ56" s="58"/>
      <x:c r="BA56" s="58"/>
      <x:c r="BB56" s="58"/>
      <x:c r="BC56" s="58"/>
      <x:c r="BD56" s="109"/>
      <x:c r="BE56" s="101"/>
      <x:c r="BF56" s="58"/>
      <x:c r="BG56" s="58"/>
      <x:c r="BH56" s="58"/>
      <x:c r="BI56" s="58"/>
      <x:c r="BJ56" s="109"/>
      <x:c r="BK56" s="101"/>
      <x:c r="BL56" s="58"/>
      <x:c r="BM56" s="58"/>
      <x:c r="BN56" s="58"/>
      <x:c r="BO56" s="58"/>
      <x:c r="BP56" s="109"/>
      <x:c r="BQ56" s="101"/>
      <x:c r="BR56" s="58"/>
      <x:c r="BS56" s="58"/>
      <x:c r="BT56" s="58"/>
      <x:c r="BU56" s="58"/>
      <x:c r="BV56" s="109"/>
    </x:row>
    <x:row r="57" spans="1:74" ht="22.5" customHeight="1" x14ac:dyDescent="0.25">
      <x:c r="A57" s="97" t="s">
        <x:v>355</x:v>
      </x:c>
      <x:c r="B57" s="57" t="s">
        <x:v>23</x:v>
      </x:c>
      <x:c r="C57" s="209"/>
      <x:c r="D57" s="210"/>
      <x:c r="E57" s="210"/>
      <x:c r="F57" s="210"/>
      <x:c r="G57" s="210"/>
      <x:c r="H57" s="211"/>
      <x:c r="I57" s="108"/>
      <x:c r="J57" s="58"/>
      <x:c r="K57" s="58"/>
      <x:c r="L57" s="58"/>
      <x:c r="M57" s="58"/>
      <x:c r="N57" s="109"/>
      <x:c r="O57" s="101"/>
      <x:c r="P57" s="58"/>
      <x:c r="Q57" s="58"/>
      <x:c r="R57" s="58"/>
      <x:c r="S57" s="58"/>
      <x:c r="T57" s="109"/>
      <x:c r="U57" s="101"/>
      <x:c r="V57" s="58"/>
      <x:c r="W57" s="58"/>
      <x:c r="X57" s="58"/>
      <x:c r="Y57" s="58"/>
      <x:c r="Z57" s="109"/>
      <x:c r="AA57" s="101"/>
      <x:c r="AB57" s="58"/>
      <x:c r="AC57" s="58"/>
      <x:c r="AD57" s="58"/>
      <x:c r="AE57" s="58"/>
      <x:c r="AF57" s="109"/>
      <x:c r="AG57" s="101"/>
      <x:c r="AH57" s="58"/>
      <x:c r="AI57" s="58"/>
      <x:c r="AJ57" s="58"/>
      <x:c r="AK57" s="58"/>
      <x:c r="AL57" s="109"/>
      <x:c r="AM57" s="209">
        <x:v>100</x:v>
      </x:c>
      <x:c r="AN57" s="210">
        <x:v>100</x:v>
      </x:c>
      <x:c r="AO57" s="653">
        <x:v>0</x:v>
      </x:c>
      <x:c r="AP57" s="653">
        <x:v>0</x:v>
      </x:c>
      <x:c r="AQ57" s="653">
        <x:v>0</x:v>
      </x:c>
      <x:c r="AR57" s="658" t="s">
        <x:v>1102</x:v>
      </x:c>
      <x:c r="AS57" s="262">
        <x:v>100</x:v>
      </x:c>
      <x:c r="AT57" s="659">
        <x:v>0</x:v>
      </x:c>
      <x:c r="AU57" s="655">
        <x:v>0</x:v>
      </x:c>
      <x:c r="AV57" s="655">
        <x:v>0</x:v>
      </x:c>
      <x:c r="AW57" s="655">
        <x:v>0</x:v>
      </x:c>
      <x:c r="AX57" s="656" t="s">
        <x:v>1102</x:v>
      </x:c>
      <x:c r="AY57" s="101"/>
      <x:c r="AZ57" s="58"/>
      <x:c r="BA57" s="58"/>
      <x:c r="BB57" s="58"/>
      <x:c r="BC57" s="58"/>
      <x:c r="BD57" s="109"/>
      <x:c r="BE57" s="101"/>
      <x:c r="BF57" s="58"/>
      <x:c r="BG57" s="58"/>
      <x:c r="BH57" s="58"/>
      <x:c r="BI57" s="58"/>
      <x:c r="BJ57" s="109"/>
      <x:c r="BK57" s="101"/>
      <x:c r="BL57" s="58"/>
      <x:c r="BM57" s="58"/>
      <x:c r="BN57" s="58"/>
      <x:c r="BO57" s="58"/>
      <x:c r="BP57" s="109"/>
      <x:c r="BQ57" s="101"/>
      <x:c r="BR57" s="58"/>
      <x:c r="BS57" s="58"/>
      <x:c r="BT57" s="58"/>
      <x:c r="BU57" s="58"/>
      <x:c r="BV57" s="109"/>
    </x:row>
    <x:row r="58" spans="1:74" ht="22.5" customHeight="1" x14ac:dyDescent="0.25">
      <x:c r="A58" s="97" t="s">
        <x:v>366</x:v>
      </x:c>
      <x:c r="B58" s="57" t="s">
        <x:v>23</x:v>
      </x:c>
      <x:c r="C58" s="209"/>
      <x:c r="D58" s="210"/>
      <x:c r="E58" s="210"/>
      <x:c r="F58" s="210"/>
      <x:c r="G58" s="210"/>
      <x:c r="H58" s="211"/>
      <x:c r="I58" s="108"/>
      <x:c r="J58" s="58"/>
      <x:c r="K58" s="58"/>
      <x:c r="L58" s="58"/>
      <x:c r="M58" s="58"/>
      <x:c r="N58" s="109"/>
      <x:c r="O58" s="101"/>
      <x:c r="P58" s="58"/>
      <x:c r="Q58" s="58"/>
      <x:c r="R58" s="58"/>
      <x:c r="S58" s="58"/>
      <x:c r="T58" s="109"/>
      <x:c r="U58" s="101"/>
      <x:c r="V58" s="58"/>
      <x:c r="W58" s="58"/>
      <x:c r="X58" s="58"/>
      <x:c r="Y58" s="58"/>
      <x:c r="Z58" s="109"/>
      <x:c r="AA58" s="101"/>
      <x:c r="AB58" s="58"/>
      <x:c r="AC58" s="58"/>
      <x:c r="AD58" s="58"/>
      <x:c r="AE58" s="58"/>
      <x:c r="AF58" s="109"/>
      <x:c r="AG58" s="101"/>
      <x:c r="AH58" s="58"/>
      <x:c r="AI58" s="58"/>
      <x:c r="AJ58" s="58"/>
      <x:c r="AK58" s="58"/>
      <x:c r="AL58" s="109"/>
      <x:c r="AM58" s="209">
        <x:v>100</x:v>
      </x:c>
      <x:c r="AN58" s="210">
        <x:v>100</x:v>
      </x:c>
      <x:c r="AO58" s="653">
        <x:v>0</x:v>
      </x:c>
      <x:c r="AP58" s="653">
        <x:v>0</x:v>
      </x:c>
      <x:c r="AQ58" s="653">
        <x:v>0</x:v>
      </x:c>
      <x:c r="AR58" s="658" t="s">
        <x:v>1102</x:v>
      </x:c>
      <x:c r="AS58" s="262">
        <x:v>100</x:v>
      </x:c>
      <x:c r="AT58" s="210">
        <x:v>100</x:v>
      </x:c>
      <x:c r="AU58" s="655">
        <x:v>0</x:v>
      </x:c>
      <x:c r="AV58" s="655">
        <x:v>0</x:v>
      </x:c>
      <x:c r="AW58" s="655">
        <x:v>0</x:v>
      </x:c>
      <x:c r="AX58" s="656" t="s">
        <x:v>1102</x:v>
      </x:c>
      <x:c r="AY58" s="101"/>
      <x:c r="AZ58" s="58"/>
      <x:c r="BA58" s="58"/>
      <x:c r="BB58" s="58"/>
      <x:c r="BC58" s="58"/>
      <x:c r="BD58" s="109"/>
      <x:c r="BE58" s="101"/>
      <x:c r="BF58" s="58"/>
      <x:c r="BG58" s="58"/>
      <x:c r="BH58" s="58"/>
      <x:c r="BI58" s="58"/>
      <x:c r="BJ58" s="109"/>
      <x:c r="BK58" s="101"/>
      <x:c r="BL58" s="58"/>
      <x:c r="BM58" s="58"/>
      <x:c r="BN58" s="58"/>
      <x:c r="BO58" s="58"/>
      <x:c r="BP58" s="109"/>
      <x:c r="BQ58" s="101"/>
      <x:c r="BR58" s="58"/>
      <x:c r="BS58" s="58"/>
      <x:c r="BT58" s="58"/>
      <x:c r="BU58" s="58"/>
      <x:c r="BV58" s="109"/>
    </x:row>
    <x:row r="59" spans="1:74" ht="22.5" customHeight="1" x14ac:dyDescent="0.25">
      <x:c r="A59" s="618" t="s">
        <x:v>320</x:v>
      </x:c>
      <x:c r="B59" s="57" t="s">
        <x:v>16</x:v>
      </x:c>
      <x:c r="C59" s="209"/>
      <x:c r="D59" s="210"/>
      <x:c r="E59" s="210"/>
      <x:c r="F59" s="210"/>
      <x:c r="G59" s="210"/>
      <x:c r="H59" s="211"/>
      <x:c r="I59" s="108"/>
      <x:c r="J59" s="58"/>
      <x:c r="K59" s="58"/>
      <x:c r="L59" s="58"/>
      <x:c r="M59" s="58"/>
      <x:c r="N59" s="109"/>
      <x:c r="O59" s="101"/>
      <x:c r="P59" s="58"/>
      <x:c r="Q59" s="58"/>
      <x:c r="R59" s="58"/>
      <x:c r="S59" s="58"/>
      <x:c r="T59" s="109"/>
      <x:c r="U59" s="101"/>
      <x:c r="V59" s="58"/>
      <x:c r="W59" s="58"/>
      <x:c r="X59" s="58"/>
      <x:c r="Y59" s="58"/>
      <x:c r="Z59" s="109"/>
      <x:c r="AA59" s="101"/>
      <x:c r="AB59" s="58"/>
      <x:c r="AC59" s="58"/>
      <x:c r="AD59" s="58"/>
      <x:c r="AE59" s="58"/>
      <x:c r="AF59" s="109"/>
      <x:c r="AG59" s="101"/>
      <x:c r="AH59" s="58"/>
      <x:c r="AI59" s="58"/>
      <x:c r="AJ59" s="58"/>
      <x:c r="AK59" s="58"/>
      <x:c r="AL59" s="109"/>
      <x:c r="AM59" s="652">
        <x:v>0</x:v>
      </x:c>
      <x:c r="AN59" s="653">
        <x:v>0</x:v>
      </x:c>
      <x:c r="AO59" s="653">
        <x:v>0</x:v>
      </x:c>
      <x:c r="AP59" s="653">
        <x:v>0</x:v>
      </x:c>
      <x:c r="AQ59" s="653">
        <x:v>0</x:v>
      </x:c>
      <x:c r="AR59" s="654" t="s">
        <x:v>1103</x:v>
      </x:c>
      <x:c r="AS59" s="657">
        <x:v>0</x:v>
      </x:c>
      <x:c r="AT59" s="653">
        <x:v>0</x:v>
      </x:c>
      <x:c r="AU59" s="653">
        <x:v>0</x:v>
      </x:c>
      <x:c r="AV59" s="653">
        <x:v>0</x:v>
      </x:c>
      <x:c r="AW59" s="653">
        <x:v>0</x:v>
      </x:c>
      <x:c r="AX59" s="654" t="s">
        <x:v>1103</x:v>
      </x:c>
      <x:c r="AY59" s="101"/>
      <x:c r="AZ59" s="58"/>
      <x:c r="BA59" s="58"/>
      <x:c r="BB59" s="58"/>
      <x:c r="BC59" s="58"/>
      <x:c r="BD59" s="109"/>
      <x:c r="BE59" s="101"/>
      <x:c r="BF59" s="58"/>
      <x:c r="BG59" s="58"/>
      <x:c r="BH59" s="58"/>
      <x:c r="BI59" s="58"/>
      <x:c r="BJ59" s="109"/>
      <x:c r="BK59" s="101"/>
      <x:c r="BL59" s="58"/>
      <x:c r="BM59" s="58"/>
      <x:c r="BN59" s="58"/>
      <x:c r="BO59" s="58"/>
      <x:c r="BP59" s="109"/>
      <x:c r="BQ59" s="101"/>
      <x:c r="BR59" s="58"/>
      <x:c r="BS59" s="58"/>
      <x:c r="BT59" s="58"/>
      <x:c r="BU59" s="58"/>
      <x:c r="BV59" s="109"/>
    </x:row>
    <x:row r="60" spans="1:74" ht="22.5" customHeight="1" x14ac:dyDescent="0.25">
      <x:c r="A60" s="619" t="s">
        <x:v>375</x:v>
      </x:c>
      <x:c r="B60" s="57" t="s">
        <x:v>37</x:v>
      </x:c>
      <x:c r="C60" s="209"/>
      <x:c r="D60" s="210"/>
      <x:c r="E60" s="210"/>
      <x:c r="F60" s="210"/>
      <x:c r="G60" s="210"/>
      <x:c r="H60" s="211"/>
      <x:c r="I60" s="108"/>
      <x:c r="J60" s="58"/>
      <x:c r="K60" s="58"/>
      <x:c r="L60" s="58"/>
      <x:c r="M60" s="58"/>
      <x:c r="N60" s="109"/>
      <x:c r="O60" s="101"/>
      <x:c r="P60" s="58"/>
      <x:c r="Q60" s="58"/>
      <x:c r="R60" s="58"/>
      <x:c r="S60" s="58"/>
      <x:c r="T60" s="109"/>
      <x:c r="U60" s="101"/>
      <x:c r="V60" s="58"/>
      <x:c r="W60" s="58"/>
      <x:c r="X60" s="58"/>
      <x:c r="Y60" s="58"/>
      <x:c r="Z60" s="109"/>
      <x:c r="AA60" s="101"/>
      <x:c r="AB60" s="58"/>
      <x:c r="AC60" s="58"/>
      <x:c r="AD60" s="58"/>
      <x:c r="AE60" s="58"/>
      <x:c r="AF60" s="109"/>
      <x:c r="AG60" s="101"/>
      <x:c r="AH60" s="58"/>
      <x:c r="AI60" s="58"/>
      <x:c r="AJ60" s="58"/>
      <x:c r="AK60" s="58"/>
      <x:c r="AL60" s="109"/>
      <x:c r="AM60" s="652">
        <x:v>0</x:v>
      </x:c>
      <x:c r="AN60" s="653">
        <x:v>0</x:v>
      </x:c>
      <x:c r="AO60" s="653">
        <x:v>0</x:v>
      </x:c>
      <x:c r="AP60" s="653">
        <x:v>0</x:v>
      </x:c>
      <x:c r="AQ60" s="653">
        <x:v>0</x:v>
      </x:c>
      <x:c r="AR60" s="654" t="s">
        <x:v>1103</x:v>
      </x:c>
      <x:c r="AS60" s="262">
        <x:v>100</x:v>
      </x:c>
      <x:c r="AT60" s="210">
        <x:v>100</x:v>
      </x:c>
      <x:c r="AU60" s="210">
        <x:v>100</x:v>
      </x:c>
      <x:c r="AV60" s="655">
        <x:v>0</x:v>
      </x:c>
      <x:c r="AW60" s="655">
        <x:v>0</x:v>
      </x:c>
      <x:c r="AX60" s="656" t="s">
        <x:v>1102</x:v>
      </x:c>
      <x:c r="AY60" s="101"/>
      <x:c r="AZ60" s="58"/>
      <x:c r="BA60" s="58"/>
      <x:c r="BB60" s="58"/>
      <x:c r="BC60" s="58"/>
      <x:c r="BD60" s="109"/>
      <x:c r="BE60" s="101"/>
      <x:c r="BF60" s="58"/>
      <x:c r="BG60" s="58"/>
      <x:c r="BH60" s="58"/>
      <x:c r="BI60" s="58"/>
      <x:c r="BJ60" s="109"/>
      <x:c r="BK60" s="101"/>
      <x:c r="BL60" s="58"/>
      <x:c r="BM60" s="58"/>
      <x:c r="BN60" s="58"/>
      <x:c r="BO60" s="58"/>
      <x:c r="BP60" s="109"/>
      <x:c r="BQ60" s="101"/>
      <x:c r="BR60" s="58"/>
      <x:c r="BS60" s="58"/>
      <x:c r="BT60" s="58"/>
      <x:c r="BU60" s="58"/>
      <x:c r="BV60" s="109"/>
    </x:row>
    <x:row r="61" spans="1:74" ht="22.5" customHeight="1" x14ac:dyDescent="0.25">
      <x:c r="A61" s="619" t="s">
        <x:v>347</x:v>
      </x:c>
      <x:c r="B61" s="57" t="s">
        <x:v>23</x:v>
      </x:c>
      <x:c r="C61" s="209"/>
      <x:c r="D61" s="210"/>
      <x:c r="E61" s="210"/>
      <x:c r="F61" s="210"/>
      <x:c r="G61" s="210"/>
      <x:c r="H61" s="211"/>
      <x:c r="I61" s="108"/>
      <x:c r="J61" s="58"/>
      <x:c r="K61" s="58"/>
      <x:c r="L61" s="58"/>
      <x:c r="M61" s="58"/>
      <x:c r="N61" s="109"/>
      <x:c r="O61" s="101"/>
      <x:c r="P61" s="58"/>
      <x:c r="Q61" s="58"/>
      <x:c r="R61" s="58"/>
      <x:c r="S61" s="58"/>
      <x:c r="T61" s="109"/>
      <x:c r="U61" s="101"/>
      <x:c r="V61" s="58"/>
      <x:c r="W61" s="58"/>
      <x:c r="X61" s="58"/>
      <x:c r="Y61" s="58"/>
      <x:c r="Z61" s="109"/>
      <x:c r="AA61" s="101"/>
      <x:c r="AB61" s="58"/>
      <x:c r="AC61" s="58"/>
      <x:c r="AD61" s="58"/>
      <x:c r="AE61" s="58"/>
      <x:c r="AF61" s="109"/>
      <x:c r="AG61" s="101"/>
      <x:c r="AH61" s="58"/>
      <x:c r="AI61" s="58"/>
      <x:c r="AJ61" s="58"/>
      <x:c r="AK61" s="58"/>
      <x:c r="AL61" s="109"/>
      <x:c r="AM61" s="652">
        <x:v>0</x:v>
      </x:c>
      <x:c r="AN61" s="653">
        <x:v>0</x:v>
      </x:c>
      <x:c r="AO61" s="653">
        <x:v>0</x:v>
      </x:c>
      <x:c r="AP61" s="653">
        <x:v>0</x:v>
      </x:c>
      <x:c r="AQ61" s="653">
        <x:v>0</x:v>
      </x:c>
      <x:c r="AR61" s="654" t="s">
        <x:v>1103</x:v>
      </x:c>
      <x:c r="AS61" s="262">
        <x:v>100</x:v>
      </x:c>
      <x:c r="AT61" s="210">
        <x:v>100</x:v>
      </x:c>
      <x:c r="AU61" s="210">
        <x:v>27.03</x:v>
      </x:c>
      <x:c r="AV61" s="655">
        <x:v>0</x:v>
      </x:c>
      <x:c r="AW61" s="655">
        <x:v>0</x:v>
      </x:c>
      <x:c r="AX61" s="656" t="s">
        <x:v>1102</x:v>
      </x:c>
      <x:c r="AY61" s="101"/>
      <x:c r="AZ61" s="58"/>
      <x:c r="BA61" s="58"/>
      <x:c r="BB61" s="58"/>
      <x:c r="BC61" s="58"/>
      <x:c r="BD61" s="109"/>
      <x:c r="BE61" s="101"/>
      <x:c r="BF61" s="58"/>
      <x:c r="BG61" s="58"/>
      <x:c r="BH61" s="58"/>
      <x:c r="BI61" s="58"/>
      <x:c r="BJ61" s="109"/>
      <x:c r="BK61" s="101"/>
      <x:c r="BL61" s="58"/>
      <x:c r="BM61" s="58"/>
      <x:c r="BN61" s="58"/>
      <x:c r="BO61" s="58"/>
      <x:c r="BP61" s="109"/>
      <x:c r="BQ61" s="101"/>
      <x:c r="BR61" s="58"/>
      <x:c r="BS61" s="58"/>
      <x:c r="BT61" s="58"/>
      <x:c r="BU61" s="58"/>
      <x:c r="BV61" s="109"/>
    </x:row>
    <x:row r="62" spans="1:74" ht="22.5" customHeight="1" x14ac:dyDescent="0.25">
      <x:c r="A62" s="619" t="s">
        <x:v>309</x:v>
      </x:c>
      <x:c r="B62" s="57" t="s">
        <x:v>183</x:v>
      </x:c>
      <x:c r="C62" s="209"/>
      <x:c r="D62" s="210"/>
      <x:c r="E62" s="210"/>
      <x:c r="F62" s="210"/>
      <x:c r="G62" s="210"/>
      <x:c r="H62" s="211"/>
      <x:c r="I62" s="108"/>
      <x:c r="J62" s="58"/>
      <x:c r="K62" s="58"/>
      <x:c r="L62" s="58"/>
      <x:c r="M62" s="58"/>
      <x:c r="N62" s="109"/>
      <x:c r="O62" s="101"/>
      <x:c r="P62" s="58"/>
      <x:c r="Q62" s="58"/>
      <x:c r="R62" s="58"/>
      <x:c r="S62" s="58"/>
      <x:c r="T62" s="109"/>
      <x:c r="U62" s="101"/>
      <x:c r="V62" s="58"/>
      <x:c r="W62" s="58"/>
      <x:c r="X62" s="58"/>
      <x:c r="Y62" s="58"/>
      <x:c r="Z62" s="109"/>
      <x:c r="AA62" s="101"/>
      <x:c r="AB62" s="58"/>
      <x:c r="AC62" s="58"/>
      <x:c r="AD62" s="58"/>
      <x:c r="AE62" s="58"/>
      <x:c r="AF62" s="109"/>
      <x:c r="AG62" s="101"/>
      <x:c r="AH62" s="58"/>
      <x:c r="AI62" s="58"/>
      <x:c r="AJ62" s="58"/>
      <x:c r="AK62" s="58"/>
      <x:c r="AL62" s="109"/>
      <x:c r="AM62" s="652">
        <x:v>0</x:v>
      </x:c>
      <x:c r="AN62" s="653">
        <x:v>0</x:v>
      </x:c>
      <x:c r="AO62" s="653">
        <x:v>0</x:v>
      </x:c>
      <x:c r="AP62" s="653">
        <x:v>0</x:v>
      </x:c>
      <x:c r="AQ62" s="653">
        <x:v>0</x:v>
      </x:c>
      <x:c r="AR62" s="654" t="s">
        <x:v>1103</x:v>
      </x:c>
      <x:c r="AS62" s="262">
        <x:v>100</x:v>
      </x:c>
      <x:c r="AT62" s="210">
        <x:v>100</x:v>
      </x:c>
      <x:c r="AU62" s="210">
        <x:v>100</x:v>
      </x:c>
      <x:c r="AV62" s="210">
        <x:v>95.83</x:v>
      </x:c>
      <x:c r="AW62" s="655">
        <x:v>0</x:v>
      </x:c>
      <x:c r="AX62" s="656" t="s">
        <x:v>1102</x:v>
      </x:c>
      <x:c r="AY62" s="101"/>
      <x:c r="AZ62" s="58"/>
      <x:c r="BA62" s="58"/>
      <x:c r="BB62" s="58"/>
      <x:c r="BC62" s="58"/>
      <x:c r="BD62" s="109"/>
      <x:c r="BE62" s="101"/>
      <x:c r="BF62" s="58"/>
      <x:c r="BG62" s="58"/>
      <x:c r="BH62" s="58"/>
      <x:c r="BI62" s="58"/>
      <x:c r="BJ62" s="109"/>
      <x:c r="BK62" s="101"/>
      <x:c r="BL62" s="58"/>
      <x:c r="BM62" s="58"/>
      <x:c r="BN62" s="58"/>
      <x:c r="BO62" s="58"/>
      <x:c r="BP62" s="109"/>
      <x:c r="BQ62" s="101"/>
      <x:c r="BR62" s="58"/>
      <x:c r="BS62" s="58"/>
      <x:c r="BT62" s="58"/>
      <x:c r="BU62" s="58"/>
      <x:c r="BV62" s="109"/>
    </x:row>
    <x:row r="63" spans="1:74" ht="22.5" customHeight="1" x14ac:dyDescent="0.25">
      <x:c r="A63" s="619" t="s">
        <x:v>322</x:v>
      </x:c>
      <x:c r="B63" s="57" t="s">
        <x:v>23</x:v>
      </x:c>
      <x:c r="C63" s="209"/>
      <x:c r="D63" s="210"/>
      <x:c r="E63" s="210"/>
      <x:c r="F63" s="210"/>
      <x:c r="G63" s="210"/>
      <x:c r="H63" s="211"/>
      <x:c r="I63" s="108"/>
      <x:c r="J63" s="58"/>
      <x:c r="K63" s="58"/>
      <x:c r="L63" s="58"/>
      <x:c r="M63" s="58"/>
      <x:c r="N63" s="109"/>
      <x:c r="O63" s="101"/>
      <x:c r="P63" s="58"/>
      <x:c r="Q63" s="58"/>
      <x:c r="R63" s="58"/>
      <x:c r="S63" s="58"/>
      <x:c r="T63" s="109"/>
      <x:c r="U63" s="101"/>
      <x:c r="V63" s="58"/>
      <x:c r="W63" s="58"/>
      <x:c r="X63" s="58"/>
      <x:c r="Y63" s="58"/>
      <x:c r="Z63" s="109"/>
      <x:c r="AA63" s="101"/>
      <x:c r="AB63" s="58"/>
      <x:c r="AC63" s="58"/>
      <x:c r="AD63" s="58"/>
      <x:c r="AE63" s="58"/>
      <x:c r="AF63" s="109"/>
      <x:c r="AG63" s="101"/>
      <x:c r="AH63" s="58"/>
      <x:c r="AI63" s="58"/>
      <x:c r="AJ63" s="58"/>
      <x:c r="AK63" s="58"/>
      <x:c r="AL63" s="109"/>
      <x:c r="AM63" s="652">
        <x:v>0</x:v>
      </x:c>
      <x:c r="AN63" s="653">
        <x:v>0</x:v>
      </x:c>
      <x:c r="AO63" s="653">
        <x:v>0</x:v>
      </x:c>
      <x:c r="AP63" s="653">
        <x:v>0</x:v>
      </x:c>
      <x:c r="AQ63" s="653">
        <x:v>0</x:v>
      </x:c>
      <x:c r="AR63" s="654" t="s">
        <x:v>1103</x:v>
      </x:c>
      <x:c r="AS63" s="262">
        <x:v>100</x:v>
      </x:c>
      <x:c r="AT63" s="210">
        <x:v>39.29</x:v>
      </x:c>
      <x:c r="AU63" s="655">
        <x:v>0</x:v>
      </x:c>
      <x:c r="AV63" s="655">
        <x:v>0</x:v>
      </x:c>
      <x:c r="AW63" s="655">
        <x:v>0</x:v>
      </x:c>
      <x:c r="AX63" s="656" t="s">
        <x:v>1102</x:v>
      </x:c>
      <x:c r="AY63" s="101"/>
      <x:c r="AZ63" s="58"/>
      <x:c r="BA63" s="58"/>
      <x:c r="BB63" s="58"/>
      <x:c r="BC63" s="58"/>
      <x:c r="BD63" s="109"/>
      <x:c r="BE63" s="101"/>
      <x:c r="BF63" s="58"/>
      <x:c r="BG63" s="58"/>
      <x:c r="BH63" s="58"/>
      <x:c r="BI63" s="58"/>
      <x:c r="BJ63" s="109"/>
      <x:c r="BK63" s="101"/>
      <x:c r="BL63" s="58"/>
      <x:c r="BM63" s="58"/>
      <x:c r="BN63" s="58"/>
      <x:c r="BO63" s="58"/>
      <x:c r="BP63" s="109"/>
      <x:c r="BQ63" s="101"/>
      <x:c r="BR63" s="58"/>
      <x:c r="BS63" s="58"/>
      <x:c r="BT63" s="58"/>
      <x:c r="BU63" s="58"/>
      <x:c r="BV63" s="109"/>
    </x:row>
    <x:row r="64" spans="1:74" ht="22.5" customHeight="1" x14ac:dyDescent="0.25">
      <x:c r="A64" s="619" t="s">
        <x:v>1133</x:v>
      </x:c>
      <x:c r="B64" s="57"/>
      <x:c r="C64" s="209"/>
      <x:c r="D64" s="210"/>
      <x:c r="E64" s="210"/>
      <x:c r="F64" s="210"/>
      <x:c r="G64" s="210"/>
      <x:c r="H64" s="211"/>
      <x:c r="I64" s="108"/>
      <x:c r="J64" s="58"/>
      <x:c r="K64" s="58"/>
      <x:c r="L64" s="58"/>
      <x:c r="M64" s="58"/>
      <x:c r="N64" s="109"/>
      <x:c r="O64" s="101"/>
      <x:c r="P64" s="58"/>
      <x:c r="Q64" s="58"/>
      <x:c r="R64" s="58"/>
      <x:c r="S64" s="58"/>
      <x:c r="T64" s="109"/>
      <x:c r="U64" s="101"/>
      <x:c r="V64" s="58"/>
      <x:c r="W64" s="58"/>
      <x:c r="X64" s="58"/>
      <x:c r="Y64" s="58"/>
      <x:c r="Z64" s="109"/>
      <x:c r="AA64" s="101"/>
      <x:c r="AB64" s="58"/>
      <x:c r="AC64" s="58"/>
      <x:c r="AD64" s="58"/>
      <x:c r="AE64" s="58"/>
      <x:c r="AF64" s="109"/>
      <x:c r="AG64" s="101"/>
      <x:c r="AH64" s="58"/>
      <x:c r="AI64" s="58"/>
      <x:c r="AJ64" s="58"/>
      <x:c r="AK64" s="58"/>
      <x:c r="AL64" s="109"/>
      <x:c r="AM64" s="652"/>
      <x:c r="AN64" s="653"/>
      <x:c r="AO64" s="653"/>
      <x:c r="AP64" s="653"/>
      <x:c r="AQ64" s="653"/>
      <x:c r="AR64" s="654"/>
      <x:c r="AS64" s="262">
        <x:v>100</x:v>
      </x:c>
      <x:c r="AT64" s="210">
        <x:v>100</x:v>
      </x:c>
      <x:c r="AU64" s="210">
        <x:v>100</x:v>
      </x:c>
      <x:c r="AV64" s="210">
        <x:v>32.14</x:v>
      </x:c>
      <x:c r="AW64" s="655">
        <x:v>0</x:v>
      </x:c>
      <x:c r="AX64" s="656" t="s">
        <x:v>1102</x:v>
      </x:c>
      <x:c r="AY64" s="101"/>
      <x:c r="AZ64" s="58"/>
      <x:c r="BA64" s="58"/>
      <x:c r="BB64" s="58"/>
      <x:c r="BC64" s="58"/>
      <x:c r="BD64" s="109"/>
      <x:c r="BE64" s="101"/>
      <x:c r="BF64" s="58"/>
      <x:c r="BG64" s="58"/>
      <x:c r="BH64" s="58"/>
      <x:c r="BI64" s="58"/>
      <x:c r="BJ64" s="109"/>
      <x:c r="BK64" s="101"/>
      <x:c r="BL64" s="58"/>
      <x:c r="BM64" s="58"/>
      <x:c r="BN64" s="58"/>
      <x:c r="BO64" s="58"/>
      <x:c r="BP64" s="109"/>
      <x:c r="BQ64" s="101"/>
      <x:c r="BR64" s="58"/>
      <x:c r="BS64" s="58"/>
      <x:c r="BT64" s="58"/>
      <x:c r="BU64" s="58"/>
      <x:c r="BV64" s="109"/>
    </x:row>
    <x:row r="65" spans="1:74" ht="22.5" customHeight="1" x14ac:dyDescent="0.25">
      <x:c r="A65" s="619" t="s">
        <x:v>1134</x:v>
      </x:c>
      <x:c r="B65" s="57"/>
      <x:c r="C65" s="209"/>
      <x:c r="D65" s="210"/>
      <x:c r="E65" s="210"/>
      <x:c r="F65" s="210"/>
      <x:c r="G65" s="210"/>
      <x:c r="H65" s="211"/>
      <x:c r="I65" s="108"/>
      <x:c r="J65" s="58"/>
      <x:c r="K65" s="58"/>
      <x:c r="L65" s="58"/>
      <x:c r="M65" s="58"/>
      <x:c r="N65" s="109"/>
      <x:c r="O65" s="101"/>
      <x:c r="P65" s="58"/>
      <x:c r="Q65" s="58"/>
      <x:c r="R65" s="58"/>
      <x:c r="S65" s="58"/>
      <x:c r="T65" s="109"/>
      <x:c r="U65" s="101"/>
      <x:c r="V65" s="58"/>
      <x:c r="W65" s="58"/>
      <x:c r="X65" s="58"/>
      <x:c r="Y65" s="58"/>
      <x:c r="Z65" s="109"/>
      <x:c r="AA65" s="101"/>
      <x:c r="AB65" s="58"/>
      <x:c r="AC65" s="58"/>
      <x:c r="AD65" s="58"/>
      <x:c r="AE65" s="58"/>
      <x:c r="AF65" s="109"/>
      <x:c r="AG65" s="101"/>
      <x:c r="AH65" s="58"/>
      <x:c r="AI65" s="58"/>
      <x:c r="AJ65" s="58"/>
      <x:c r="AK65" s="58"/>
      <x:c r="AL65" s="109"/>
      <x:c r="AM65" s="652"/>
      <x:c r="AN65" s="653"/>
      <x:c r="AO65" s="653"/>
      <x:c r="AP65" s="653"/>
      <x:c r="AQ65" s="653"/>
      <x:c r="AR65" s="654"/>
      <x:c r="AS65" s="262">
        <x:v>100</x:v>
      </x:c>
      <x:c r="AT65" s="210">
        <x:v>100</x:v>
      </x:c>
      <x:c r="AU65" s="210">
        <x:v>100</x:v>
      </x:c>
      <x:c r="AV65" s="210">
        <x:v>32.14</x:v>
      </x:c>
      <x:c r="AW65" s="655">
        <x:v>0</x:v>
      </x:c>
      <x:c r="AX65" s="656" t="s">
        <x:v>1102</x:v>
      </x:c>
      <x:c r="AY65" s="101"/>
      <x:c r="AZ65" s="58"/>
      <x:c r="BA65" s="58"/>
      <x:c r="BB65" s="58"/>
      <x:c r="BC65" s="58"/>
      <x:c r="BD65" s="109"/>
      <x:c r="BE65" s="101"/>
      <x:c r="BF65" s="58"/>
      <x:c r="BG65" s="58"/>
      <x:c r="BH65" s="58"/>
      <x:c r="BI65" s="58"/>
      <x:c r="BJ65" s="109"/>
      <x:c r="BK65" s="101"/>
      <x:c r="BL65" s="58"/>
      <x:c r="BM65" s="58"/>
      <x:c r="BN65" s="58"/>
      <x:c r="BO65" s="58"/>
      <x:c r="BP65" s="109"/>
      <x:c r="BQ65" s="101"/>
      <x:c r="BR65" s="58"/>
      <x:c r="BS65" s="58"/>
      <x:c r="BT65" s="58"/>
      <x:c r="BU65" s="58"/>
      <x:c r="BV65" s="109"/>
    </x:row>
    <x:row r="66" spans="1:74" ht="22.5" customHeight="1" x14ac:dyDescent="0.25">
      <x:c r="A66" s="619" t="s">
        <x:v>330</x:v>
      </x:c>
      <x:c r="B66" s="57" t="s">
        <x:v>23</x:v>
      </x:c>
      <x:c r="C66" s="209"/>
      <x:c r="D66" s="210"/>
      <x:c r="E66" s="210"/>
      <x:c r="F66" s="210"/>
      <x:c r="G66" s="210"/>
      <x:c r="H66" s="211"/>
      <x:c r="I66" s="108"/>
      <x:c r="J66" s="58"/>
      <x:c r="K66" s="58"/>
      <x:c r="L66" s="58"/>
      <x:c r="M66" s="58"/>
      <x:c r="N66" s="109"/>
      <x:c r="O66" s="101"/>
      <x:c r="P66" s="58"/>
      <x:c r="Q66" s="58"/>
      <x:c r="R66" s="58"/>
      <x:c r="S66" s="58"/>
      <x:c r="T66" s="109"/>
      <x:c r="U66" s="101"/>
      <x:c r="V66" s="58"/>
      <x:c r="W66" s="58"/>
      <x:c r="X66" s="58"/>
      <x:c r="Y66" s="58"/>
      <x:c r="Z66" s="109"/>
      <x:c r="AA66" s="101"/>
      <x:c r="AB66" s="58"/>
      <x:c r="AC66" s="58"/>
      <x:c r="AD66" s="58"/>
      <x:c r="AE66" s="58"/>
      <x:c r="AF66" s="109"/>
      <x:c r="AG66" s="101"/>
      <x:c r="AH66" s="58"/>
      <x:c r="AI66" s="58"/>
      <x:c r="AJ66" s="58"/>
      <x:c r="AK66" s="58"/>
      <x:c r="AL66" s="109"/>
      <x:c r="AM66" s="652">
        <x:v>0</x:v>
      </x:c>
      <x:c r="AN66" s="653">
        <x:v>0</x:v>
      </x:c>
      <x:c r="AO66" s="653">
        <x:v>0</x:v>
      </x:c>
      <x:c r="AP66" s="653">
        <x:v>0</x:v>
      </x:c>
      <x:c r="AQ66" s="653">
        <x:v>0</x:v>
      </x:c>
      <x:c r="AR66" s="654" t="s">
        <x:v>1103</x:v>
      </x:c>
      <x:c r="AS66" s="262">
        <x:v>100</x:v>
      </x:c>
      <x:c r="AT66" s="210">
        <x:v>100</x:v>
      </x:c>
      <x:c r="AU66" s="655">
        <x:v>0</x:v>
      </x:c>
      <x:c r="AV66" s="655">
        <x:v>0</x:v>
      </x:c>
      <x:c r="AW66" s="655">
        <x:v>0</x:v>
      </x:c>
      <x:c r="AX66" s="656" t="s">
        <x:v>1102</x:v>
      </x:c>
      <x:c r="AY66" s="101"/>
      <x:c r="AZ66" s="58"/>
      <x:c r="BA66" s="58"/>
      <x:c r="BB66" s="58"/>
      <x:c r="BC66" s="58"/>
      <x:c r="BD66" s="109"/>
      <x:c r="BE66" s="101"/>
      <x:c r="BF66" s="58"/>
      <x:c r="BG66" s="58"/>
      <x:c r="BH66" s="58"/>
      <x:c r="BI66" s="58"/>
      <x:c r="BJ66" s="109"/>
      <x:c r="BK66" s="101"/>
      <x:c r="BL66" s="58"/>
      <x:c r="BM66" s="58"/>
      <x:c r="BN66" s="58"/>
      <x:c r="BO66" s="58"/>
      <x:c r="BP66" s="109"/>
      <x:c r="BQ66" s="101"/>
      <x:c r="BR66" s="58"/>
      <x:c r="BS66" s="58"/>
      <x:c r="BT66" s="58"/>
      <x:c r="BU66" s="58"/>
      <x:c r="BV66" s="109"/>
    </x:row>
    <x:row r="67" spans="1:74" ht="22.5" customHeight="1" x14ac:dyDescent="0.25">
      <x:c r="A67" s="619" t="s">
        <x:v>300</x:v>
      </x:c>
      <x:c r="B67" s="57" t="s">
        <x:v>183</x:v>
      </x:c>
      <x:c r="C67" s="209"/>
      <x:c r="D67" s="210"/>
      <x:c r="E67" s="210"/>
      <x:c r="F67" s="210"/>
      <x:c r="G67" s="210"/>
      <x:c r="H67" s="211"/>
      <x:c r="I67" s="108"/>
      <x:c r="J67" s="58"/>
      <x:c r="K67" s="58"/>
      <x:c r="L67" s="58"/>
      <x:c r="M67" s="58"/>
      <x:c r="N67" s="109"/>
      <x:c r="O67" s="101"/>
      <x:c r="P67" s="58"/>
      <x:c r="Q67" s="58"/>
      <x:c r="R67" s="58"/>
      <x:c r="S67" s="58"/>
      <x:c r="T67" s="109"/>
      <x:c r="U67" s="101"/>
      <x:c r="V67" s="58"/>
      <x:c r="W67" s="58"/>
      <x:c r="X67" s="58"/>
      <x:c r="Y67" s="58"/>
      <x:c r="Z67" s="109"/>
      <x:c r="AA67" s="101"/>
      <x:c r="AB67" s="58"/>
      <x:c r="AC67" s="58"/>
      <x:c r="AD67" s="58"/>
      <x:c r="AE67" s="58"/>
      <x:c r="AF67" s="109"/>
      <x:c r="AG67" s="101"/>
      <x:c r="AH67" s="58"/>
      <x:c r="AI67" s="58"/>
      <x:c r="AJ67" s="58"/>
      <x:c r="AK67" s="58"/>
      <x:c r="AL67" s="109"/>
      <x:c r="AM67" s="652">
        <x:v>0</x:v>
      </x:c>
      <x:c r="AN67" s="653">
        <x:v>0</x:v>
      </x:c>
      <x:c r="AO67" s="653">
        <x:v>0</x:v>
      </x:c>
      <x:c r="AP67" s="653">
        <x:v>0</x:v>
      </x:c>
      <x:c r="AQ67" s="653">
        <x:v>0</x:v>
      </x:c>
      <x:c r="AR67" s="654" t="s">
        <x:v>1103</x:v>
      </x:c>
      <x:c r="AS67" s="262">
        <x:v>100</x:v>
      </x:c>
      <x:c r="AT67" s="655">
        <x:v>0</x:v>
      </x:c>
      <x:c r="AU67" s="655">
        <x:v>0</x:v>
      </x:c>
      <x:c r="AV67" s="655">
        <x:v>0</x:v>
      </x:c>
      <x:c r="AW67" s="655">
        <x:v>0</x:v>
      </x:c>
      <x:c r="AX67" s="656" t="s">
        <x:v>1102</x:v>
      </x:c>
      <x:c r="AY67" s="101"/>
      <x:c r="AZ67" s="58"/>
      <x:c r="BA67" s="58"/>
      <x:c r="BB67" s="58"/>
      <x:c r="BC67" s="58"/>
      <x:c r="BD67" s="109"/>
      <x:c r="BE67" s="101"/>
      <x:c r="BF67" s="58"/>
      <x:c r="BG67" s="58"/>
      <x:c r="BH67" s="58"/>
      <x:c r="BI67" s="58"/>
      <x:c r="BJ67" s="109"/>
      <x:c r="BK67" s="101"/>
      <x:c r="BL67" s="58"/>
      <x:c r="BM67" s="58"/>
      <x:c r="BN67" s="58"/>
      <x:c r="BO67" s="58"/>
      <x:c r="BP67" s="109"/>
      <x:c r="BQ67" s="101"/>
      <x:c r="BR67" s="58"/>
      <x:c r="BS67" s="58"/>
      <x:c r="BT67" s="58"/>
      <x:c r="BU67" s="58"/>
      <x:c r="BV67" s="109"/>
    </x:row>
    <x:row r="68" spans="1:74" ht="22.5" customHeight="1" x14ac:dyDescent="0.25">
      <x:c r="A68" s="619" t="s">
        <x:v>368</x:v>
      </x:c>
      <x:c r="B68" s="57" t="s">
        <x:v>23</x:v>
      </x:c>
      <x:c r="C68" s="209"/>
      <x:c r="D68" s="210"/>
      <x:c r="E68" s="210"/>
      <x:c r="F68" s="210"/>
      <x:c r="G68" s="210"/>
      <x:c r="H68" s="211"/>
      <x:c r="I68" s="108"/>
      <x:c r="J68" s="58"/>
      <x:c r="K68" s="58"/>
      <x:c r="L68" s="58"/>
      <x:c r="M68" s="58"/>
      <x:c r="N68" s="109"/>
      <x:c r="O68" s="101"/>
      <x:c r="P68" s="58"/>
      <x:c r="Q68" s="58"/>
      <x:c r="R68" s="58"/>
      <x:c r="S68" s="58"/>
      <x:c r="T68" s="109"/>
      <x:c r="U68" s="101"/>
      <x:c r="V68" s="58"/>
      <x:c r="W68" s="58"/>
      <x:c r="X68" s="58"/>
      <x:c r="Y68" s="58"/>
      <x:c r="Z68" s="109"/>
      <x:c r="AA68" s="101"/>
      <x:c r="AB68" s="58"/>
      <x:c r="AC68" s="58"/>
      <x:c r="AD68" s="58"/>
      <x:c r="AE68" s="58"/>
      <x:c r="AF68" s="109"/>
      <x:c r="AG68" s="101"/>
      <x:c r="AH68" s="58"/>
      <x:c r="AI68" s="58"/>
      <x:c r="AJ68" s="58"/>
      <x:c r="AK68" s="58"/>
      <x:c r="AL68" s="109"/>
      <x:c r="AM68" s="652">
        <x:v>0</x:v>
      </x:c>
      <x:c r="AN68" s="653">
        <x:v>0</x:v>
      </x:c>
      <x:c r="AO68" s="653">
        <x:v>0</x:v>
      </x:c>
      <x:c r="AP68" s="653">
        <x:v>0</x:v>
      </x:c>
      <x:c r="AQ68" s="653">
        <x:v>0</x:v>
      </x:c>
      <x:c r="AR68" s="654" t="s">
        <x:v>1103</x:v>
      </x:c>
      <x:c r="AS68" s="262">
        <x:v>100</x:v>
      </x:c>
      <x:c r="AT68" s="210">
        <x:v>100</x:v>
      </x:c>
      <x:c r="AU68" s="655">
        <x:v>0</x:v>
      </x:c>
      <x:c r="AV68" s="655">
        <x:v>0</x:v>
      </x:c>
      <x:c r="AW68" s="655">
        <x:v>0</x:v>
      </x:c>
      <x:c r="AX68" s="656" t="s">
        <x:v>1102</x:v>
      </x:c>
      <x:c r="AY68" s="101"/>
      <x:c r="AZ68" s="58"/>
      <x:c r="BA68" s="58"/>
      <x:c r="BB68" s="58"/>
      <x:c r="BC68" s="58"/>
      <x:c r="BD68" s="109"/>
      <x:c r="BE68" s="101"/>
      <x:c r="BF68" s="58"/>
      <x:c r="BG68" s="58"/>
      <x:c r="BH68" s="58"/>
      <x:c r="BI68" s="58"/>
      <x:c r="BJ68" s="109"/>
      <x:c r="BK68" s="101"/>
      <x:c r="BL68" s="58"/>
      <x:c r="BM68" s="58"/>
      <x:c r="BN68" s="58"/>
      <x:c r="BO68" s="58"/>
      <x:c r="BP68" s="109"/>
      <x:c r="BQ68" s="101"/>
      <x:c r="BR68" s="58"/>
      <x:c r="BS68" s="58"/>
      <x:c r="BT68" s="58"/>
      <x:c r="BU68" s="58"/>
      <x:c r="BV68" s="109"/>
    </x:row>
    <x:row r="69" spans="1:74" ht="22.5" customHeight="1" x14ac:dyDescent="0.25">
      <x:c r="A69" s="97" t="s">
        <x:v>379</x:v>
      </x:c>
      <x:c r="B69" s="57" t="s">
        <x:v>37</x:v>
      </x:c>
      <x:c r="C69" s="209"/>
      <x:c r="D69" s="210"/>
      <x:c r="E69" s="210"/>
      <x:c r="F69" s="210"/>
      <x:c r="G69" s="210"/>
      <x:c r="H69" s="211"/>
      <x:c r="I69" s="108"/>
      <x:c r="J69" s="58"/>
      <x:c r="K69" s="58"/>
      <x:c r="L69" s="58"/>
      <x:c r="M69" s="58"/>
      <x:c r="N69" s="109"/>
      <x:c r="O69" s="101"/>
      <x:c r="P69" s="58"/>
      <x:c r="Q69" s="58"/>
      <x:c r="R69" s="58"/>
      <x:c r="S69" s="58"/>
      <x:c r="T69" s="109"/>
      <x:c r="U69" s="101"/>
      <x:c r="V69" s="58"/>
      <x:c r="W69" s="58"/>
      <x:c r="X69" s="58"/>
      <x:c r="Y69" s="58"/>
      <x:c r="Z69" s="109"/>
      <x:c r="AA69" s="101"/>
      <x:c r="AB69" s="58"/>
      <x:c r="AC69" s="58"/>
      <x:c r="AD69" s="58"/>
      <x:c r="AE69" s="58"/>
      <x:c r="AF69" s="109"/>
      <x:c r="AG69" s="101"/>
      <x:c r="AH69" s="58"/>
      <x:c r="AI69" s="58"/>
      <x:c r="AJ69" s="58"/>
      <x:c r="AK69" s="58"/>
      <x:c r="AL69" s="109"/>
      <x:c r="AM69" s="209">
        <x:v>100</x:v>
      </x:c>
      <x:c r="AN69" s="210">
        <x:v>100</x:v>
      </x:c>
      <x:c r="AO69" s="210">
        <x:v>100</x:v>
      </x:c>
      <x:c r="AP69" s="653">
        <x:v>0</x:v>
      </x:c>
      <x:c r="AQ69" s="653">
        <x:v>0</x:v>
      </x:c>
      <x:c r="AR69" s="658" t="s">
        <x:v>1102</x:v>
      </x:c>
      <x:c r="AS69" s="262">
        <x:v>100</x:v>
      </x:c>
      <x:c r="AT69" s="210">
        <x:v>100</x:v>
      </x:c>
      <x:c r="AU69" s="655">
        <x:v>0</x:v>
      </x:c>
      <x:c r="AV69" s="655">
        <x:v>0</x:v>
      </x:c>
      <x:c r="AW69" s="655">
        <x:v>0</x:v>
      </x:c>
      <x:c r="AX69" s="656" t="s">
        <x:v>1102</x:v>
      </x:c>
      <x:c r="AY69" s="101"/>
      <x:c r="AZ69" s="58"/>
      <x:c r="BA69" s="58"/>
      <x:c r="BB69" s="58"/>
      <x:c r="BC69" s="58"/>
      <x:c r="BD69" s="109"/>
      <x:c r="BE69" s="101"/>
      <x:c r="BF69" s="58"/>
      <x:c r="BG69" s="58"/>
      <x:c r="BH69" s="58"/>
      <x:c r="BI69" s="58"/>
      <x:c r="BJ69" s="109"/>
      <x:c r="BK69" s="101"/>
      <x:c r="BL69" s="58"/>
      <x:c r="BM69" s="58"/>
      <x:c r="BN69" s="58"/>
      <x:c r="BO69" s="58"/>
      <x:c r="BP69" s="109"/>
      <x:c r="BQ69" s="101"/>
      <x:c r="BR69" s="58"/>
      <x:c r="BS69" s="58"/>
      <x:c r="BT69" s="58"/>
      <x:c r="BU69" s="58"/>
      <x:c r="BV69" s="109"/>
    </x:row>
    <x:row r="70" spans="1:74" ht="22.5" customHeight="1" x14ac:dyDescent="0.25">
      <x:c r="A70" s="618" t="s">
        <x:v>304</x:v>
      </x:c>
      <x:c r="B70" s="57" t="s">
        <x:v>191</x:v>
      </x:c>
      <x:c r="C70" s="209"/>
      <x:c r="D70" s="210"/>
      <x:c r="E70" s="210"/>
      <x:c r="F70" s="210"/>
      <x:c r="G70" s="210"/>
      <x:c r="H70" s="211"/>
      <x:c r="I70" s="108"/>
      <x:c r="J70" s="58"/>
      <x:c r="K70" s="58"/>
      <x:c r="L70" s="58"/>
      <x:c r="M70" s="58"/>
      <x:c r="N70" s="109"/>
      <x:c r="O70" s="101"/>
      <x:c r="P70" s="58"/>
      <x:c r="Q70" s="58"/>
      <x:c r="R70" s="58"/>
      <x:c r="S70" s="58"/>
      <x:c r="T70" s="109"/>
      <x:c r="U70" s="101"/>
      <x:c r="V70" s="58"/>
      <x:c r="W70" s="58"/>
      <x:c r="X70" s="58"/>
      <x:c r="Y70" s="58"/>
      <x:c r="Z70" s="109"/>
      <x:c r="AA70" s="101"/>
      <x:c r="AB70" s="58"/>
      <x:c r="AC70" s="58"/>
      <x:c r="AD70" s="58"/>
      <x:c r="AE70" s="58"/>
      <x:c r="AF70" s="109"/>
      <x:c r="AG70" s="101"/>
      <x:c r="AH70" s="58"/>
      <x:c r="AI70" s="58"/>
      <x:c r="AJ70" s="58"/>
      <x:c r="AK70" s="58"/>
      <x:c r="AL70" s="109"/>
      <x:c r="AM70" s="652">
        <x:v>0</x:v>
      </x:c>
      <x:c r="AN70" s="653">
        <x:v>0</x:v>
      </x:c>
      <x:c r="AO70" s="653">
        <x:v>0</x:v>
      </x:c>
      <x:c r="AP70" s="653">
        <x:v>0</x:v>
      </x:c>
      <x:c r="AQ70" s="653">
        <x:v>0</x:v>
      </x:c>
      <x:c r="AR70" s="654" t="s">
        <x:v>1103</x:v>
      </x:c>
      <x:c r="AS70" s="657">
        <x:v>0</x:v>
      </x:c>
      <x:c r="AT70" s="653">
        <x:v>0</x:v>
      </x:c>
      <x:c r="AU70" s="653">
        <x:v>0</x:v>
      </x:c>
      <x:c r="AV70" s="653">
        <x:v>0</x:v>
      </x:c>
      <x:c r="AW70" s="653">
        <x:v>0</x:v>
      </x:c>
      <x:c r="AX70" s="654" t="s">
        <x:v>1103</x:v>
      </x:c>
      <x:c r="AY70" s="101"/>
      <x:c r="AZ70" s="58"/>
      <x:c r="BA70" s="58"/>
      <x:c r="BB70" s="58"/>
      <x:c r="BC70" s="58"/>
      <x:c r="BD70" s="109"/>
      <x:c r="BE70" s="101"/>
      <x:c r="BF70" s="58"/>
      <x:c r="BG70" s="58"/>
      <x:c r="BH70" s="58"/>
      <x:c r="BI70" s="58"/>
      <x:c r="BJ70" s="109"/>
      <x:c r="BK70" s="101"/>
      <x:c r="BL70" s="58"/>
      <x:c r="BM70" s="58"/>
      <x:c r="BN70" s="58"/>
      <x:c r="BO70" s="58"/>
      <x:c r="BP70" s="109"/>
      <x:c r="BQ70" s="101"/>
      <x:c r="BR70" s="58"/>
      <x:c r="BS70" s="58"/>
      <x:c r="BT70" s="58"/>
      <x:c r="BU70" s="58"/>
      <x:c r="BV70" s="109"/>
    </x:row>
    <x:row r="71" spans="1:74" ht="22.5" customHeight="1" x14ac:dyDescent="0.25">
      <x:c r="A71" s="97" t="s">
        <x:v>332</x:v>
      </x:c>
      <x:c r="B71" s="57" t="s">
        <x:v>23</x:v>
      </x:c>
      <x:c r="C71" s="209"/>
      <x:c r="D71" s="210"/>
      <x:c r="E71" s="210"/>
      <x:c r="F71" s="210"/>
      <x:c r="G71" s="210"/>
      <x:c r="H71" s="211"/>
      <x:c r="I71" s="108"/>
      <x:c r="J71" s="58"/>
      <x:c r="K71" s="58"/>
      <x:c r="L71" s="58"/>
      <x:c r="M71" s="58"/>
      <x:c r="N71" s="109"/>
      <x:c r="O71" s="101"/>
      <x:c r="P71" s="58"/>
      <x:c r="Q71" s="58"/>
      <x:c r="R71" s="58"/>
      <x:c r="S71" s="58"/>
      <x:c r="T71" s="109"/>
      <x:c r="U71" s="101"/>
      <x:c r="V71" s="58"/>
      <x:c r="W71" s="58"/>
      <x:c r="X71" s="58"/>
      <x:c r="Y71" s="58"/>
      <x:c r="Z71" s="109"/>
      <x:c r="AA71" s="101"/>
      <x:c r="AB71" s="58"/>
      <x:c r="AC71" s="58"/>
      <x:c r="AD71" s="58"/>
      <x:c r="AE71" s="58"/>
      <x:c r="AF71" s="109"/>
      <x:c r="AG71" s="101"/>
      <x:c r="AH71" s="58"/>
      <x:c r="AI71" s="58"/>
      <x:c r="AJ71" s="58"/>
      <x:c r="AK71" s="58"/>
      <x:c r="AL71" s="109"/>
      <x:c r="AM71" s="209">
        <x:v>100</x:v>
      </x:c>
      <x:c r="AN71" s="210">
        <x:v>100</x:v>
      </x:c>
      <x:c r="AO71" s="653">
        <x:v>0</x:v>
      </x:c>
      <x:c r="AP71" s="653">
        <x:v>0</x:v>
      </x:c>
      <x:c r="AQ71" s="653">
        <x:v>0</x:v>
      </x:c>
      <x:c r="AR71" s="658" t="s">
        <x:v>1102</x:v>
      </x:c>
      <x:c r="AS71" s="262">
        <x:v>100</x:v>
      </x:c>
      <x:c r="AT71" s="210">
        <x:v>53.57</x:v>
      </x:c>
      <x:c r="AU71" s="655">
        <x:v>0</x:v>
      </x:c>
      <x:c r="AV71" s="655">
        <x:v>0</x:v>
      </x:c>
      <x:c r="AW71" s="655">
        <x:v>0</x:v>
      </x:c>
      <x:c r="AX71" s="656" t="s">
        <x:v>1102</x:v>
      </x:c>
      <x:c r="AY71" s="101"/>
      <x:c r="AZ71" s="58"/>
      <x:c r="BA71" s="58"/>
      <x:c r="BB71" s="58"/>
      <x:c r="BC71" s="58"/>
      <x:c r="BD71" s="109"/>
      <x:c r="BE71" s="101"/>
      <x:c r="BF71" s="58"/>
      <x:c r="BG71" s="58"/>
      <x:c r="BH71" s="58"/>
      <x:c r="BI71" s="58"/>
      <x:c r="BJ71" s="109"/>
      <x:c r="BK71" s="101"/>
      <x:c r="BL71" s="58"/>
      <x:c r="BM71" s="58"/>
      <x:c r="BN71" s="58"/>
      <x:c r="BO71" s="58"/>
      <x:c r="BP71" s="109"/>
      <x:c r="BQ71" s="101"/>
      <x:c r="BR71" s="58"/>
      <x:c r="BS71" s="58"/>
      <x:c r="BT71" s="58"/>
      <x:c r="BU71" s="58"/>
      <x:c r="BV71" s="109"/>
    </x:row>
    <x:row r="72" spans="1:74" ht="22.5" customHeight="1" x14ac:dyDescent="0.25">
      <x:c r="A72" s="619" t="s">
        <x:v>365</x:v>
      </x:c>
      <x:c r="B72" s="57" t="s">
        <x:v>23</x:v>
      </x:c>
      <x:c r="C72" s="209"/>
      <x:c r="D72" s="210"/>
      <x:c r="E72" s="210"/>
      <x:c r="F72" s="210"/>
      <x:c r="G72" s="210"/>
      <x:c r="H72" s="211"/>
      <x:c r="I72" s="108"/>
      <x:c r="J72" s="58"/>
      <x:c r="K72" s="58"/>
      <x:c r="L72" s="58"/>
      <x:c r="M72" s="58"/>
      <x:c r="N72" s="109"/>
      <x:c r="O72" s="101"/>
      <x:c r="P72" s="58"/>
      <x:c r="Q72" s="58"/>
      <x:c r="R72" s="58"/>
      <x:c r="S72" s="58"/>
      <x:c r="T72" s="109"/>
      <x:c r="U72" s="101"/>
      <x:c r="V72" s="58"/>
      <x:c r="W72" s="58"/>
      <x:c r="X72" s="58"/>
      <x:c r="Y72" s="58"/>
      <x:c r="Z72" s="109"/>
      <x:c r="AA72" s="101"/>
      <x:c r="AB72" s="58"/>
      <x:c r="AC72" s="58"/>
      <x:c r="AD72" s="58"/>
      <x:c r="AE72" s="58"/>
      <x:c r="AF72" s="109"/>
      <x:c r="AG72" s="101"/>
      <x:c r="AH72" s="58"/>
      <x:c r="AI72" s="58"/>
      <x:c r="AJ72" s="58"/>
      <x:c r="AK72" s="58"/>
      <x:c r="AL72" s="109"/>
      <x:c r="AM72" s="652">
        <x:v>0</x:v>
      </x:c>
      <x:c r="AN72" s="653">
        <x:v>0</x:v>
      </x:c>
      <x:c r="AO72" s="653">
        <x:v>0</x:v>
      </x:c>
      <x:c r="AP72" s="653">
        <x:v>0</x:v>
      </x:c>
      <x:c r="AQ72" s="653">
        <x:v>0</x:v>
      </x:c>
      <x:c r="AR72" s="654" t="s">
        <x:v>1103</x:v>
      </x:c>
      <x:c r="AS72" s="262">
        <x:v>100</x:v>
      </x:c>
      <x:c r="AT72" s="210">
        <x:v>100</x:v>
      </x:c>
      <x:c r="AU72" s="210">
        <x:v>100</x:v>
      </x:c>
      <x:c r="AV72" s="210">
        <x:v>35.71</x:v>
      </x:c>
      <x:c r="AW72" s="655">
        <x:v>0</x:v>
      </x:c>
      <x:c r="AX72" s="656" t="s">
        <x:v>1102</x:v>
      </x:c>
      <x:c r="AY72" s="101"/>
      <x:c r="AZ72" s="58"/>
      <x:c r="BA72" s="58"/>
      <x:c r="BB72" s="58"/>
      <x:c r="BC72" s="58"/>
      <x:c r="BD72" s="109"/>
      <x:c r="BE72" s="101"/>
      <x:c r="BF72" s="58"/>
      <x:c r="BG72" s="58"/>
      <x:c r="BH72" s="58"/>
      <x:c r="BI72" s="58"/>
      <x:c r="BJ72" s="109"/>
      <x:c r="BK72" s="101"/>
      <x:c r="BL72" s="58"/>
      <x:c r="BM72" s="58"/>
      <x:c r="BN72" s="58"/>
      <x:c r="BO72" s="58"/>
      <x:c r="BP72" s="109"/>
      <x:c r="BQ72" s="101"/>
      <x:c r="BR72" s="58"/>
      <x:c r="BS72" s="58"/>
      <x:c r="BT72" s="58"/>
      <x:c r="BU72" s="58"/>
      <x:c r="BV72" s="109"/>
    </x:row>
    <x:row r="73" spans="1:74" ht="22.5" customHeight="1" x14ac:dyDescent="0.25">
      <x:c r="A73" s="97" t="s">
        <x:v>349</x:v>
      </x:c>
      <x:c r="B73" s="57" t="s">
        <x:v>23</x:v>
      </x:c>
      <x:c r="C73" s="209"/>
      <x:c r="D73" s="210"/>
      <x:c r="E73" s="210"/>
      <x:c r="F73" s="210"/>
      <x:c r="G73" s="210"/>
      <x:c r="H73" s="211"/>
      <x:c r="I73" s="108"/>
      <x:c r="J73" s="58"/>
      <x:c r="K73" s="58"/>
      <x:c r="L73" s="58"/>
      <x:c r="M73" s="58"/>
      <x:c r="N73" s="109"/>
      <x:c r="O73" s="101"/>
      <x:c r="P73" s="58"/>
      <x:c r="Q73" s="58"/>
      <x:c r="R73" s="58"/>
      <x:c r="S73" s="58"/>
      <x:c r="T73" s="109"/>
      <x:c r="U73" s="101"/>
      <x:c r="V73" s="58"/>
      <x:c r="W73" s="58"/>
      <x:c r="X73" s="58"/>
      <x:c r="Y73" s="58"/>
      <x:c r="Z73" s="109"/>
      <x:c r="AA73" s="101"/>
      <x:c r="AB73" s="58"/>
      <x:c r="AC73" s="58"/>
      <x:c r="AD73" s="58"/>
      <x:c r="AE73" s="58"/>
      <x:c r="AF73" s="109"/>
      <x:c r="AG73" s="101"/>
      <x:c r="AH73" s="58"/>
      <x:c r="AI73" s="58"/>
      <x:c r="AJ73" s="58"/>
      <x:c r="AK73" s="58"/>
      <x:c r="AL73" s="109"/>
      <x:c r="AM73" s="209">
        <x:v>100</x:v>
      </x:c>
      <x:c r="AN73" s="210">
        <x:v>100</x:v>
      </x:c>
      <x:c r="AO73" s="653">
        <x:v>0</x:v>
      </x:c>
      <x:c r="AP73" s="653">
        <x:v>0</x:v>
      </x:c>
      <x:c r="AQ73" s="653">
        <x:v>0</x:v>
      </x:c>
      <x:c r="AR73" s="658" t="s">
        <x:v>1102</x:v>
      </x:c>
      <x:c r="AS73" s="262">
        <x:v>100</x:v>
      </x:c>
      <x:c r="AT73" s="659">
        <x:v>0</x:v>
      </x:c>
      <x:c r="AU73" s="655">
        <x:v>0</x:v>
      </x:c>
      <x:c r="AV73" s="655">
        <x:v>0</x:v>
      </x:c>
      <x:c r="AW73" s="655">
        <x:v>0</x:v>
      </x:c>
      <x:c r="AX73" s="656" t="s">
        <x:v>1102</x:v>
      </x:c>
      <x:c r="AY73" s="101"/>
      <x:c r="AZ73" s="58"/>
      <x:c r="BA73" s="58"/>
      <x:c r="BB73" s="58"/>
      <x:c r="BC73" s="58"/>
      <x:c r="BD73" s="109"/>
      <x:c r="BE73" s="101"/>
      <x:c r="BF73" s="58"/>
      <x:c r="BG73" s="58"/>
      <x:c r="BH73" s="58"/>
      <x:c r="BI73" s="58"/>
      <x:c r="BJ73" s="109"/>
      <x:c r="BK73" s="101"/>
      <x:c r="BL73" s="58"/>
      <x:c r="BM73" s="58"/>
      <x:c r="BN73" s="58"/>
      <x:c r="BO73" s="58"/>
      <x:c r="BP73" s="109"/>
      <x:c r="BQ73" s="101"/>
      <x:c r="BR73" s="58"/>
      <x:c r="BS73" s="58"/>
      <x:c r="BT73" s="58"/>
      <x:c r="BU73" s="58"/>
      <x:c r="BV73" s="109"/>
    </x:row>
    <x:row r="74" spans="1:74" ht="22.5" customHeight="1" x14ac:dyDescent="0.25">
      <x:c r="A74" s="619" t="s">
        <x:v>352</x:v>
      </x:c>
      <x:c r="B74" s="57" t="s">
        <x:v>23</x:v>
      </x:c>
      <x:c r="C74" s="209"/>
      <x:c r="D74" s="210"/>
      <x:c r="E74" s="210"/>
      <x:c r="F74" s="210"/>
      <x:c r="G74" s="210"/>
      <x:c r="H74" s="211"/>
      <x:c r="I74" s="108"/>
      <x:c r="J74" s="58"/>
      <x:c r="K74" s="58"/>
      <x:c r="L74" s="58"/>
      <x:c r="M74" s="58"/>
      <x:c r="N74" s="109"/>
      <x:c r="O74" s="101"/>
      <x:c r="P74" s="58"/>
      <x:c r="Q74" s="58"/>
      <x:c r="R74" s="58"/>
      <x:c r="S74" s="58"/>
      <x:c r="T74" s="109"/>
      <x:c r="U74" s="101"/>
      <x:c r="V74" s="58"/>
      <x:c r="W74" s="58"/>
      <x:c r="X74" s="58"/>
      <x:c r="Y74" s="58"/>
      <x:c r="Z74" s="109"/>
      <x:c r="AA74" s="101"/>
      <x:c r="AB74" s="58"/>
      <x:c r="AC74" s="58"/>
      <x:c r="AD74" s="58"/>
      <x:c r="AE74" s="58"/>
      <x:c r="AF74" s="109"/>
      <x:c r="AG74" s="101"/>
      <x:c r="AH74" s="58"/>
      <x:c r="AI74" s="58"/>
      <x:c r="AJ74" s="58"/>
      <x:c r="AK74" s="58"/>
      <x:c r="AL74" s="109"/>
      <x:c r="AM74" s="652">
        <x:v>0</x:v>
      </x:c>
      <x:c r="AN74" s="653">
        <x:v>0</x:v>
      </x:c>
      <x:c r="AO74" s="653">
        <x:v>0</x:v>
      </x:c>
      <x:c r="AP74" s="653">
        <x:v>0</x:v>
      </x:c>
      <x:c r="AQ74" s="653">
        <x:v>0</x:v>
      </x:c>
      <x:c r="AR74" s="654" t="s">
        <x:v>1103</x:v>
      </x:c>
      <x:c r="AS74" s="262">
        <x:v>100</x:v>
      </x:c>
      <x:c r="AT74" s="210">
        <x:v>100</x:v>
      </x:c>
      <x:c r="AU74" s="655">
        <x:v>0</x:v>
      </x:c>
      <x:c r="AV74" s="655">
        <x:v>0</x:v>
      </x:c>
      <x:c r="AW74" s="655">
        <x:v>0</x:v>
      </x:c>
      <x:c r="AX74" s="656" t="s">
        <x:v>1102</x:v>
      </x:c>
      <x:c r="AY74" s="101"/>
      <x:c r="AZ74" s="58"/>
      <x:c r="BA74" s="58"/>
      <x:c r="BB74" s="58"/>
      <x:c r="BC74" s="58"/>
      <x:c r="BD74" s="109"/>
      <x:c r="BE74" s="101"/>
      <x:c r="BF74" s="58"/>
      <x:c r="BG74" s="58"/>
      <x:c r="BH74" s="58"/>
      <x:c r="BI74" s="58"/>
      <x:c r="BJ74" s="109"/>
      <x:c r="BK74" s="101"/>
      <x:c r="BL74" s="58"/>
      <x:c r="BM74" s="58"/>
      <x:c r="BN74" s="58"/>
      <x:c r="BO74" s="58"/>
      <x:c r="BP74" s="109"/>
      <x:c r="BQ74" s="101"/>
      <x:c r="BR74" s="58"/>
      <x:c r="BS74" s="58"/>
      <x:c r="BT74" s="58"/>
      <x:c r="BU74" s="58"/>
      <x:c r="BV74" s="109"/>
    </x:row>
    <x:row r="75" spans="1:74" ht="22.5" customHeight="1" x14ac:dyDescent="0.25">
      <x:c r="A75" s="97" t="s">
        <x:v>337</x:v>
      </x:c>
      <x:c r="B75" s="57" t="s">
        <x:v>37</x:v>
      </x:c>
      <x:c r="C75" s="209"/>
      <x:c r="D75" s="210"/>
      <x:c r="E75" s="210"/>
      <x:c r="F75" s="210"/>
      <x:c r="G75" s="210"/>
      <x:c r="H75" s="211"/>
      <x:c r="I75" s="108"/>
      <x:c r="J75" s="58"/>
      <x:c r="K75" s="58"/>
      <x:c r="L75" s="58"/>
      <x:c r="M75" s="58"/>
      <x:c r="N75" s="109"/>
      <x:c r="O75" s="101"/>
      <x:c r="P75" s="58"/>
      <x:c r="Q75" s="58"/>
      <x:c r="R75" s="58"/>
      <x:c r="S75" s="58"/>
      <x:c r="T75" s="109"/>
      <x:c r="U75" s="101"/>
      <x:c r="V75" s="58"/>
      <x:c r="W75" s="58"/>
      <x:c r="X75" s="58"/>
      <x:c r="Y75" s="58"/>
      <x:c r="Z75" s="109"/>
      <x:c r="AA75" s="101"/>
      <x:c r="AB75" s="58"/>
      <x:c r="AC75" s="58"/>
      <x:c r="AD75" s="58"/>
      <x:c r="AE75" s="58"/>
      <x:c r="AF75" s="109"/>
      <x:c r="AG75" s="101"/>
      <x:c r="AH75" s="58"/>
      <x:c r="AI75" s="58"/>
      <x:c r="AJ75" s="58"/>
      <x:c r="AK75" s="58"/>
      <x:c r="AL75" s="109"/>
      <x:c r="AM75" s="209">
        <x:v>100</x:v>
      </x:c>
      <x:c r="AN75" s="210">
        <x:v>100</x:v>
      </x:c>
      <x:c r="AO75" s="653">
        <x:v>0</x:v>
      </x:c>
      <x:c r="AP75" s="653">
        <x:v>0</x:v>
      </x:c>
      <x:c r="AQ75" s="653">
        <x:v>0</x:v>
      </x:c>
      <x:c r="AR75" s="658" t="s">
        <x:v>1102</x:v>
      </x:c>
      <x:c r="AS75" s="262">
        <x:v>100</x:v>
      </x:c>
      <x:c r="AT75" s="210">
        <x:v>35.71</x:v>
      </x:c>
      <x:c r="AU75" s="655">
        <x:v>0</x:v>
      </x:c>
      <x:c r="AV75" s="655">
        <x:v>0</x:v>
      </x:c>
      <x:c r="AW75" s="655">
        <x:v>0</x:v>
      </x:c>
      <x:c r="AX75" s="656" t="s">
        <x:v>1102</x:v>
      </x:c>
      <x:c r="AY75" s="101"/>
      <x:c r="AZ75" s="58"/>
      <x:c r="BA75" s="58"/>
      <x:c r="BB75" s="58"/>
      <x:c r="BC75" s="58"/>
      <x:c r="BD75" s="109"/>
      <x:c r="BE75" s="101"/>
      <x:c r="BF75" s="58"/>
      <x:c r="BG75" s="58"/>
      <x:c r="BH75" s="58"/>
      <x:c r="BI75" s="58"/>
      <x:c r="BJ75" s="109"/>
      <x:c r="BK75" s="101"/>
      <x:c r="BL75" s="58"/>
      <x:c r="BM75" s="58"/>
      <x:c r="BN75" s="58"/>
      <x:c r="BO75" s="58"/>
      <x:c r="BP75" s="109"/>
      <x:c r="BQ75" s="101"/>
      <x:c r="BR75" s="58"/>
      <x:c r="BS75" s="58"/>
      <x:c r="BT75" s="58"/>
      <x:c r="BU75" s="58"/>
      <x:c r="BV75" s="109"/>
    </x:row>
    <x:row r="76" spans="1:74" ht="22.5" customHeight="1" x14ac:dyDescent="0.25">
      <x:c r="A76" s="619" t="s">
        <x:v>310</x:v>
      </x:c>
      <x:c r="B76" s="57" t="s">
        <x:v>183</x:v>
      </x:c>
      <x:c r="C76" s="209"/>
      <x:c r="D76" s="210"/>
      <x:c r="E76" s="210"/>
      <x:c r="F76" s="210"/>
      <x:c r="G76" s="210"/>
      <x:c r="H76" s="211"/>
      <x:c r="I76" s="108"/>
      <x:c r="J76" s="58"/>
      <x:c r="K76" s="58"/>
      <x:c r="L76" s="58"/>
      <x:c r="M76" s="58"/>
      <x:c r="N76" s="109"/>
      <x:c r="O76" s="101"/>
      <x:c r="P76" s="58"/>
      <x:c r="Q76" s="58"/>
      <x:c r="R76" s="58"/>
      <x:c r="S76" s="58"/>
      <x:c r="T76" s="109"/>
      <x:c r="U76" s="101"/>
      <x:c r="V76" s="58"/>
      <x:c r="W76" s="58"/>
      <x:c r="X76" s="58"/>
      <x:c r="Y76" s="58"/>
      <x:c r="Z76" s="109"/>
      <x:c r="AA76" s="101"/>
      <x:c r="AB76" s="58"/>
      <x:c r="AC76" s="58"/>
      <x:c r="AD76" s="58"/>
      <x:c r="AE76" s="58"/>
      <x:c r="AF76" s="109"/>
      <x:c r="AG76" s="101"/>
      <x:c r="AH76" s="58"/>
      <x:c r="AI76" s="58"/>
      <x:c r="AJ76" s="58"/>
      <x:c r="AK76" s="58"/>
      <x:c r="AL76" s="109"/>
      <x:c r="AM76" s="652">
        <x:v>0</x:v>
      </x:c>
      <x:c r="AN76" s="653">
        <x:v>0</x:v>
      </x:c>
      <x:c r="AO76" s="653">
        <x:v>0</x:v>
      </x:c>
      <x:c r="AP76" s="653">
        <x:v>0</x:v>
      </x:c>
      <x:c r="AQ76" s="653">
        <x:v>0</x:v>
      </x:c>
      <x:c r="AR76" s="654" t="s">
        <x:v>1103</x:v>
      </x:c>
      <x:c r="AS76" s="262">
        <x:v>100</x:v>
      </x:c>
      <x:c r="AT76" s="655">
        <x:v>0</x:v>
      </x:c>
      <x:c r="AU76" s="655">
        <x:v>0</x:v>
      </x:c>
      <x:c r="AV76" s="655">
        <x:v>0</x:v>
      </x:c>
      <x:c r="AW76" s="655">
        <x:v>0</x:v>
      </x:c>
      <x:c r="AX76" s="656" t="s">
        <x:v>1102</x:v>
      </x:c>
      <x:c r="AY76" s="101"/>
      <x:c r="AZ76" s="58"/>
      <x:c r="BA76" s="58"/>
      <x:c r="BB76" s="58"/>
      <x:c r="BC76" s="58"/>
      <x:c r="BD76" s="109"/>
      <x:c r="BE76" s="101"/>
      <x:c r="BF76" s="58"/>
      <x:c r="BG76" s="58"/>
      <x:c r="BH76" s="58"/>
      <x:c r="BI76" s="58"/>
      <x:c r="BJ76" s="109"/>
      <x:c r="BK76" s="101"/>
      <x:c r="BL76" s="58"/>
      <x:c r="BM76" s="58"/>
      <x:c r="BN76" s="58"/>
      <x:c r="BO76" s="58"/>
      <x:c r="BP76" s="109"/>
      <x:c r="BQ76" s="101"/>
      <x:c r="BR76" s="58"/>
      <x:c r="BS76" s="58"/>
      <x:c r="BT76" s="58"/>
      <x:c r="BU76" s="58"/>
      <x:c r="BV76" s="109"/>
    </x:row>
    <x:row r="77" spans="1:74" ht="22.5" customHeight="1" x14ac:dyDescent="0.25">
      <x:c r="A77" s="619" t="s">
        <x:v>371</x:v>
      </x:c>
      <x:c r="B77" s="57" t="s">
        <x:v>37</x:v>
      </x:c>
      <x:c r="C77" s="209"/>
      <x:c r="D77" s="210"/>
      <x:c r="E77" s="210"/>
      <x:c r="F77" s="210"/>
      <x:c r="G77" s="210"/>
      <x:c r="H77" s="211"/>
      <x:c r="I77" s="108"/>
      <x:c r="J77" s="58"/>
      <x:c r="K77" s="58"/>
      <x:c r="L77" s="58"/>
      <x:c r="M77" s="58"/>
      <x:c r="N77" s="109"/>
      <x:c r="O77" s="101"/>
      <x:c r="P77" s="58"/>
      <x:c r="Q77" s="58"/>
      <x:c r="R77" s="58"/>
      <x:c r="S77" s="58"/>
      <x:c r="T77" s="109"/>
      <x:c r="U77" s="101"/>
      <x:c r="V77" s="58"/>
      <x:c r="W77" s="58"/>
      <x:c r="X77" s="58"/>
      <x:c r="Y77" s="58"/>
      <x:c r="Z77" s="109"/>
      <x:c r="AA77" s="101"/>
      <x:c r="AB77" s="58"/>
      <x:c r="AC77" s="58"/>
      <x:c r="AD77" s="58"/>
      <x:c r="AE77" s="58"/>
      <x:c r="AF77" s="109"/>
      <x:c r="AG77" s="101"/>
      <x:c r="AH77" s="58"/>
      <x:c r="AI77" s="58"/>
      <x:c r="AJ77" s="58"/>
      <x:c r="AK77" s="58"/>
      <x:c r="AL77" s="109"/>
      <x:c r="AM77" s="652">
        <x:v>0</x:v>
      </x:c>
      <x:c r="AN77" s="653">
        <x:v>0</x:v>
      </x:c>
      <x:c r="AO77" s="653">
        <x:v>0</x:v>
      </x:c>
      <x:c r="AP77" s="653">
        <x:v>0</x:v>
      </x:c>
      <x:c r="AQ77" s="653">
        <x:v>0</x:v>
      </x:c>
      <x:c r="AR77" s="654" t="s">
        <x:v>1103</x:v>
      </x:c>
      <x:c r="AS77" s="262">
        <x:v>100</x:v>
      </x:c>
      <x:c r="AT77" s="210">
        <x:v>100</x:v>
      </x:c>
      <x:c r="AU77" s="655">
        <x:v>0</x:v>
      </x:c>
      <x:c r="AV77" s="655">
        <x:v>0</x:v>
      </x:c>
      <x:c r="AW77" s="655">
        <x:v>0</x:v>
      </x:c>
      <x:c r="AX77" s="656" t="s">
        <x:v>1102</x:v>
      </x:c>
      <x:c r="AY77" s="101"/>
      <x:c r="AZ77" s="58"/>
      <x:c r="BA77" s="58"/>
      <x:c r="BB77" s="58"/>
      <x:c r="BC77" s="58"/>
      <x:c r="BD77" s="109"/>
      <x:c r="BE77" s="101"/>
      <x:c r="BF77" s="58"/>
      <x:c r="BG77" s="58"/>
      <x:c r="BH77" s="58"/>
      <x:c r="BI77" s="58"/>
      <x:c r="BJ77" s="109"/>
      <x:c r="BK77" s="101"/>
      <x:c r="BL77" s="58"/>
      <x:c r="BM77" s="58"/>
      <x:c r="BN77" s="58"/>
      <x:c r="BO77" s="58"/>
      <x:c r="BP77" s="109"/>
      <x:c r="BQ77" s="101"/>
      <x:c r="BR77" s="58"/>
      <x:c r="BS77" s="58"/>
      <x:c r="BT77" s="58"/>
      <x:c r="BU77" s="58"/>
      <x:c r="BV77" s="109"/>
    </x:row>
    <x:row r="78" spans="1:74" ht="22.5" customHeight="1" x14ac:dyDescent="0.25">
      <x:c r="A78" s="97" t="s">
        <x:v>389</x:v>
      </x:c>
      <x:c r="B78" s="57" t="s">
        <x:v>23</x:v>
      </x:c>
      <x:c r="C78" s="209"/>
      <x:c r="D78" s="210"/>
      <x:c r="E78" s="210"/>
      <x:c r="F78" s="210"/>
      <x:c r="G78" s="210"/>
      <x:c r="H78" s="211"/>
      <x:c r="I78" s="108"/>
      <x:c r="J78" s="58"/>
      <x:c r="K78" s="58"/>
      <x:c r="L78" s="58"/>
      <x:c r="M78" s="58"/>
      <x:c r="N78" s="109"/>
      <x:c r="O78" s="101"/>
      <x:c r="P78" s="58"/>
      <x:c r="Q78" s="58"/>
      <x:c r="R78" s="58"/>
      <x:c r="S78" s="58"/>
      <x:c r="T78" s="109"/>
      <x:c r="U78" s="101"/>
      <x:c r="V78" s="58"/>
      <x:c r="W78" s="58"/>
      <x:c r="X78" s="58"/>
      <x:c r="Y78" s="58"/>
      <x:c r="Z78" s="109"/>
      <x:c r="AA78" s="101"/>
      <x:c r="AB78" s="58"/>
      <x:c r="AC78" s="58"/>
      <x:c r="AD78" s="58"/>
      <x:c r="AE78" s="58"/>
      <x:c r="AF78" s="109"/>
      <x:c r="AG78" s="101"/>
      <x:c r="AH78" s="58"/>
      <x:c r="AI78" s="58"/>
      <x:c r="AJ78" s="58"/>
      <x:c r="AK78" s="58"/>
      <x:c r="AL78" s="109"/>
      <x:c r="AM78" s="209">
        <x:v>100</x:v>
      </x:c>
      <x:c r="AN78" s="210">
        <x:v>100</x:v>
      </x:c>
      <x:c r="AO78" s="653">
        <x:v>0</x:v>
      </x:c>
      <x:c r="AP78" s="653">
        <x:v>0</x:v>
      </x:c>
      <x:c r="AQ78" s="653">
        <x:v>0</x:v>
      </x:c>
      <x:c r="AR78" s="658" t="s">
        <x:v>1102</x:v>
      </x:c>
      <x:c r="AS78" s="262">
        <x:v>100</x:v>
      </x:c>
      <x:c r="AT78" s="659">
        <x:v>0</x:v>
      </x:c>
      <x:c r="AU78" s="655">
        <x:v>0</x:v>
      </x:c>
      <x:c r="AV78" s="655">
        <x:v>0</x:v>
      </x:c>
      <x:c r="AW78" s="655">
        <x:v>0</x:v>
      </x:c>
      <x:c r="AX78" s="656" t="s">
        <x:v>1102</x:v>
      </x:c>
      <x:c r="AY78" s="101"/>
      <x:c r="AZ78" s="58"/>
      <x:c r="BA78" s="58"/>
      <x:c r="BB78" s="58"/>
      <x:c r="BC78" s="58"/>
      <x:c r="BD78" s="109"/>
      <x:c r="BE78" s="101"/>
      <x:c r="BF78" s="58"/>
      <x:c r="BG78" s="58"/>
      <x:c r="BH78" s="58"/>
      <x:c r="BI78" s="58"/>
      <x:c r="BJ78" s="109"/>
      <x:c r="BK78" s="101"/>
      <x:c r="BL78" s="58"/>
      <x:c r="BM78" s="58"/>
      <x:c r="BN78" s="58"/>
      <x:c r="BO78" s="58"/>
      <x:c r="BP78" s="109"/>
      <x:c r="BQ78" s="101"/>
      <x:c r="BR78" s="58"/>
      <x:c r="BS78" s="58"/>
      <x:c r="BT78" s="58"/>
      <x:c r="BU78" s="58"/>
      <x:c r="BV78" s="109"/>
    </x:row>
    <x:row r="79" spans="1:74" ht="22.5" customHeight="1" x14ac:dyDescent="0.25">
      <x:c r="A79" s="619" t="s">
        <x:v>302</x:v>
      </x:c>
      <x:c r="B79" s="57" t="s">
        <x:v>183</x:v>
      </x:c>
      <x:c r="C79" s="209"/>
      <x:c r="D79" s="210"/>
      <x:c r="E79" s="210"/>
      <x:c r="F79" s="210"/>
      <x:c r="G79" s="210"/>
      <x:c r="H79" s="211"/>
      <x:c r="I79" s="108"/>
      <x:c r="J79" s="58"/>
      <x:c r="K79" s="58"/>
      <x:c r="L79" s="58"/>
      <x:c r="M79" s="58"/>
      <x:c r="N79" s="109"/>
      <x:c r="O79" s="101"/>
      <x:c r="P79" s="58"/>
      <x:c r="Q79" s="58"/>
      <x:c r="R79" s="58"/>
      <x:c r="S79" s="58"/>
      <x:c r="T79" s="109"/>
      <x:c r="U79" s="101"/>
      <x:c r="V79" s="58"/>
      <x:c r="W79" s="58"/>
      <x:c r="X79" s="58"/>
      <x:c r="Y79" s="58"/>
      <x:c r="Z79" s="109"/>
      <x:c r="AA79" s="101"/>
      <x:c r="AB79" s="58"/>
      <x:c r="AC79" s="58"/>
      <x:c r="AD79" s="58"/>
      <x:c r="AE79" s="58"/>
      <x:c r="AF79" s="109"/>
      <x:c r="AG79" s="101"/>
      <x:c r="AH79" s="58"/>
      <x:c r="AI79" s="58"/>
      <x:c r="AJ79" s="58"/>
      <x:c r="AK79" s="58"/>
      <x:c r="AL79" s="109"/>
      <x:c r="AM79" s="652">
        <x:v>0</x:v>
      </x:c>
      <x:c r="AN79" s="653">
        <x:v>0</x:v>
      </x:c>
      <x:c r="AO79" s="653">
        <x:v>0</x:v>
      </x:c>
      <x:c r="AP79" s="653">
        <x:v>0</x:v>
      </x:c>
      <x:c r="AQ79" s="653">
        <x:v>0</x:v>
      </x:c>
      <x:c r="AR79" s="654" t="s">
        <x:v>1103</x:v>
      </x:c>
      <x:c r="AS79" s="262">
        <x:v>100</x:v>
      </x:c>
      <x:c r="AT79" s="210">
        <x:v>100</x:v>
      </x:c>
      <x:c r="AU79" s="210">
        <x:v>100</x:v>
      </x:c>
      <x:c r="AV79" s="655">
        <x:v>0</x:v>
      </x:c>
      <x:c r="AW79" s="655">
        <x:v>0</x:v>
      </x:c>
      <x:c r="AX79" s="656" t="s">
        <x:v>1102</x:v>
      </x:c>
      <x:c r="AY79" s="101"/>
      <x:c r="AZ79" s="58"/>
      <x:c r="BA79" s="58"/>
      <x:c r="BB79" s="58"/>
      <x:c r="BC79" s="58"/>
      <x:c r="BD79" s="109"/>
      <x:c r="BE79" s="101"/>
      <x:c r="BF79" s="58"/>
      <x:c r="BG79" s="58"/>
      <x:c r="BH79" s="58"/>
      <x:c r="BI79" s="58"/>
      <x:c r="BJ79" s="109"/>
      <x:c r="BK79" s="101"/>
      <x:c r="BL79" s="58"/>
      <x:c r="BM79" s="58"/>
      <x:c r="BN79" s="58"/>
      <x:c r="BO79" s="58"/>
      <x:c r="BP79" s="109"/>
      <x:c r="BQ79" s="101"/>
      <x:c r="BR79" s="58"/>
      <x:c r="BS79" s="58"/>
      <x:c r="BT79" s="58"/>
      <x:c r="BU79" s="58"/>
      <x:c r="BV79" s="109"/>
    </x:row>
    <x:row r="80" spans="1:74" ht="22.5" customHeight="1" x14ac:dyDescent="0.25">
      <x:c r="A80" s="619" t="s">
        <x:v>391</x:v>
      </x:c>
      <x:c r="B80" s="57" t="s">
        <x:v>23</x:v>
      </x:c>
      <x:c r="C80" s="209"/>
      <x:c r="D80" s="210"/>
      <x:c r="E80" s="210"/>
      <x:c r="F80" s="210"/>
      <x:c r="G80" s="210"/>
      <x:c r="H80" s="211"/>
      <x:c r="I80" s="108"/>
      <x:c r="J80" s="58"/>
      <x:c r="K80" s="58"/>
      <x:c r="L80" s="58"/>
      <x:c r="M80" s="58"/>
      <x:c r="N80" s="109"/>
      <x:c r="O80" s="101"/>
      <x:c r="P80" s="58"/>
      <x:c r="Q80" s="58"/>
      <x:c r="R80" s="58"/>
      <x:c r="S80" s="58"/>
      <x:c r="T80" s="109"/>
      <x:c r="U80" s="101"/>
      <x:c r="V80" s="58"/>
      <x:c r="W80" s="58"/>
      <x:c r="X80" s="58"/>
      <x:c r="Y80" s="58"/>
      <x:c r="Z80" s="109"/>
      <x:c r="AA80" s="101"/>
      <x:c r="AB80" s="58"/>
      <x:c r="AC80" s="58"/>
      <x:c r="AD80" s="58"/>
      <x:c r="AE80" s="58"/>
      <x:c r="AF80" s="109"/>
      <x:c r="AG80" s="101"/>
      <x:c r="AH80" s="58"/>
      <x:c r="AI80" s="58"/>
      <x:c r="AJ80" s="58"/>
      <x:c r="AK80" s="58"/>
      <x:c r="AL80" s="109"/>
      <x:c r="AM80" s="652">
        <x:v>0</x:v>
      </x:c>
      <x:c r="AN80" s="653">
        <x:v>0</x:v>
      </x:c>
      <x:c r="AO80" s="653">
        <x:v>0</x:v>
      </x:c>
      <x:c r="AP80" s="653">
        <x:v>0</x:v>
      </x:c>
      <x:c r="AQ80" s="653">
        <x:v>0</x:v>
      </x:c>
      <x:c r="AR80" s="654" t="s">
        <x:v>1103</x:v>
      </x:c>
      <x:c r="AS80" s="262">
        <x:v>100</x:v>
      </x:c>
      <x:c r="AT80" s="210">
        <x:v>100</x:v>
      </x:c>
      <x:c r="AU80" s="655">
        <x:v>0</x:v>
      </x:c>
      <x:c r="AV80" s="655">
        <x:v>0</x:v>
      </x:c>
      <x:c r="AW80" s="655">
        <x:v>0</x:v>
      </x:c>
      <x:c r="AX80" s="656" t="s">
        <x:v>1102</x:v>
      </x:c>
      <x:c r="AY80" s="101"/>
      <x:c r="AZ80" s="58"/>
      <x:c r="BA80" s="58"/>
      <x:c r="BB80" s="58"/>
      <x:c r="BC80" s="58"/>
      <x:c r="BD80" s="109"/>
      <x:c r="BE80" s="101"/>
      <x:c r="BF80" s="58"/>
      <x:c r="BG80" s="58"/>
      <x:c r="BH80" s="58"/>
      <x:c r="BI80" s="58"/>
      <x:c r="BJ80" s="109"/>
      <x:c r="BK80" s="101"/>
      <x:c r="BL80" s="58"/>
      <x:c r="BM80" s="58"/>
      <x:c r="BN80" s="58"/>
      <x:c r="BO80" s="58"/>
      <x:c r="BP80" s="109"/>
      <x:c r="BQ80" s="101"/>
      <x:c r="BR80" s="58"/>
      <x:c r="BS80" s="58"/>
      <x:c r="BT80" s="58"/>
      <x:c r="BU80" s="58"/>
      <x:c r="BV80" s="109"/>
    </x:row>
    <x:row r="81" spans="1:74" ht="22.5" customHeight="1" x14ac:dyDescent="0.25">
      <x:c r="A81" s="619" t="s">
        <x:v>364</x:v>
      </x:c>
      <x:c r="B81" s="57" t="s">
        <x:v>23</x:v>
      </x:c>
      <x:c r="C81" s="209"/>
      <x:c r="D81" s="210"/>
      <x:c r="E81" s="210"/>
      <x:c r="F81" s="210"/>
      <x:c r="G81" s="210"/>
      <x:c r="H81" s="211"/>
      <x:c r="I81" s="108"/>
      <x:c r="J81" s="58"/>
      <x:c r="K81" s="58"/>
      <x:c r="L81" s="58"/>
      <x:c r="M81" s="58"/>
      <x:c r="N81" s="109"/>
      <x:c r="O81" s="101"/>
      <x:c r="P81" s="58"/>
      <x:c r="Q81" s="58"/>
      <x:c r="R81" s="58"/>
      <x:c r="S81" s="58"/>
      <x:c r="T81" s="109"/>
      <x:c r="U81" s="101"/>
      <x:c r="V81" s="58"/>
      <x:c r="W81" s="58"/>
      <x:c r="X81" s="58"/>
      <x:c r="Y81" s="58"/>
      <x:c r="Z81" s="109"/>
      <x:c r="AA81" s="101"/>
      <x:c r="AB81" s="58"/>
      <x:c r="AC81" s="58"/>
      <x:c r="AD81" s="58"/>
      <x:c r="AE81" s="58"/>
      <x:c r="AF81" s="109"/>
      <x:c r="AG81" s="101"/>
      <x:c r="AH81" s="58"/>
      <x:c r="AI81" s="58"/>
      <x:c r="AJ81" s="58"/>
      <x:c r="AK81" s="58"/>
      <x:c r="AL81" s="109"/>
      <x:c r="AM81" s="652">
        <x:v>0</x:v>
      </x:c>
      <x:c r="AN81" s="653">
        <x:v>0</x:v>
      </x:c>
      <x:c r="AO81" s="653">
        <x:v>0</x:v>
      </x:c>
      <x:c r="AP81" s="653">
        <x:v>0</x:v>
      </x:c>
      <x:c r="AQ81" s="653">
        <x:v>0</x:v>
      </x:c>
      <x:c r="AR81" s="654" t="s">
        <x:v>1103</x:v>
      </x:c>
      <x:c r="AS81" s="262">
        <x:v>100</x:v>
      </x:c>
      <x:c r="AT81" s="210">
        <x:v>32.14</x:v>
      </x:c>
      <x:c r="AU81" s="655">
        <x:v>0</x:v>
      </x:c>
      <x:c r="AV81" s="655">
        <x:v>0</x:v>
      </x:c>
      <x:c r="AW81" s="655">
        <x:v>0</x:v>
      </x:c>
      <x:c r="AX81" s="656" t="s">
        <x:v>1102</x:v>
      </x:c>
      <x:c r="AY81" s="101"/>
      <x:c r="AZ81" s="58"/>
      <x:c r="BA81" s="58"/>
      <x:c r="BB81" s="58"/>
      <x:c r="BC81" s="58"/>
      <x:c r="BD81" s="109"/>
      <x:c r="BE81" s="101"/>
      <x:c r="BF81" s="58"/>
      <x:c r="BG81" s="58"/>
      <x:c r="BH81" s="58"/>
      <x:c r="BI81" s="58"/>
      <x:c r="BJ81" s="109"/>
      <x:c r="BK81" s="101"/>
      <x:c r="BL81" s="58"/>
      <x:c r="BM81" s="58"/>
      <x:c r="BN81" s="58"/>
      <x:c r="BO81" s="58"/>
      <x:c r="BP81" s="109"/>
      <x:c r="BQ81" s="101"/>
      <x:c r="BR81" s="58"/>
      <x:c r="BS81" s="58"/>
      <x:c r="BT81" s="58"/>
      <x:c r="BU81" s="58"/>
      <x:c r="BV81" s="109"/>
    </x:row>
    <x:row r="82" spans="1:74" ht="22.5" customHeight="1" x14ac:dyDescent="0.25">
      <x:c r="A82" s="619" t="s">
        <x:v>325</x:v>
      </x:c>
      <x:c r="B82" s="57" t="s">
        <x:v>23</x:v>
      </x:c>
      <x:c r="C82" s="209"/>
      <x:c r="D82" s="210"/>
      <x:c r="E82" s="210"/>
      <x:c r="F82" s="210"/>
      <x:c r="G82" s="210"/>
      <x:c r="H82" s="211"/>
      <x:c r="I82" s="108"/>
      <x:c r="J82" s="58"/>
      <x:c r="K82" s="58"/>
      <x:c r="L82" s="58"/>
      <x:c r="M82" s="58"/>
      <x:c r="N82" s="109"/>
      <x:c r="O82" s="101"/>
      <x:c r="P82" s="58"/>
      <x:c r="Q82" s="58"/>
      <x:c r="R82" s="58"/>
      <x:c r="S82" s="58"/>
      <x:c r="T82" s="109"/>
      <x:c r="U82" s="101"/>
      <x:c r="V82" s="58"/>
      <x:c r="W82" s="58"/>
      <x:c r="X82" s="58"/>
      <x:c r="Y82" s="58"/>
      <x:c r="Z82" s="109"/>
      <x:c r="AA82" s="101"/>
      <x:c r="AB82" s="58"/>
      <x:c r="AC82" s="58"/>
      <x:c r="AD82" s="58"/>
      <x:c r="AE82" s="58"/>
      <x:c r="AF82" s="109"/>
      <x:c r="AG82" s="101"/>
      <x:c r="AH82" s="58"/>
      <x:c r="AI82" s="58"/>
      <x:c r="AJ82" s="58"/>
      <x:c r="AK82" s="58"/>
      <x:c r="AL82" s="109"/>
      <x:c r="AM82" s="652">
        <x:v>0</x:v>
      </x:c>
      <x:c r="AN82" s="653">
        <x:v>0</x:v>
      </x:c>
      <x:c r="AO82" s="653">
        <x:v>0</x:v>
      </x:c>
      <x:c r="AP82" s="653">
        <x:v>0</x:v>
      </x:c>
      <x:c r="AQ82" s="653">
        <x:v>0</x:v>
      </x:c>
      <x:c r="AR82" s="654" t="s">
        <x:v>1103</x:v>
      </x:c>
      <x:c r="AS82" s="262">
        <x:v>100</x:v>
      </x:c>
      <x:c r="AT82" s="210">
        <x:v>39.29</x:v>
      </x:c>
      <x:c r="AU82" s="655">
        <x:v>0</x:v>
      </x:c>
      <x:c r="AV82" s="655">
        <x:v>0</x:v>
      </x:c>
      <x:c r="AW82" s="655">
        <x:v>0</x:v>
      </x:c>
      <x:c r="AX82" s="656" t="s">
        <x:v>1102</x:v>
      </x:c>
      <x:c r="AY82" s="101"/>
      <x:c r="AZ82" s="58"/>
      <x:c r="BA82" s="58"/>
      <x:c r="BB82" s="58"/>
      <x:c r="BC82" s="58"/>
      <x:c r="BD82" s="109"/>
      <x:c r="BE82" s="101"/>
      <x:c r="BF82" s="58"/>
      <x:c r="BG82" s="58"/>
      <x:c r="BH82" s="58"/>
      <x:c r="BI82" s="58"/>
      <x:c r="BJ82" s="109"/>
      <x:c r="BK82" s="101"/>
      <x:c r="BL82" s="58"/>
      <x:c r="BM82" s="58"/>
      <x:c r="BN82" s="58"/>
      <x:c r="BO82" s="58"/>
      <x:c r="BP82" s="109"/>
      <x:c r="BQ82" s="101"/>
      <x:c r="BR82" s="58"/>
      <x:c r="BS82" s="58"/>
      <x:c r="BT82" s="58"/>
      <x:c r="BU82" s="58"/>
      <x:c r="BV82" s="109"/>
    </x:row>
    <x:row r="83" spans="1:74" ht="22.5" customHeight="1" x14ac:dyDescent="0.25">
      <x:c r="A83" s="619" t="s">
        <x:v>353</x:v>
      </x:c>
      <x:c r="B83" s="57" t="s">
        <x:v>23</x:v>
      </x:c>
      <x:c r="C83" s="209"/>
      <x:c r="D83" s="210"/>
      <x:c r="E83" s="210"/>
      <x:c r="F83" s="210"/>
      <x:c r="G83" s="210"/>
      <x:c r="H83" s="211"/>
      <x:c r="I83" s="108"/>
      <x:c r="J83" s="58"/>
      <x:c r="K83" s="58"/>
      <x:c r="L83" s="58"/>
      <x:c r="M83" s="58"/>
      <x:c r="N83" s="109"/>
      <x:c r="O83" s="101"/>
      <x:c r="P83" s="58"/>
      <x:c r="Q83" s="58"/>
      <x:c r="R83" s="58"/>
      <x:c r="S83" s="58"/>
      <x:c r="T83" s="109"/>
      <x:c r="U83" s="101"/>
      <x:c r="V83" s="58"/>
      <x:c r="W83" s="58"/>
      <x:c r="X83" s="58"/>
      <x:c r="Y83" s="58"/>
      <x:c r="Z83" s="109"/>
      <x:c r="AA83" s="101"/>
      <x:c r="AB83" s="58"/>
      <x:c r="AC83" s="58"/>
      <x:c r="AD83" s="58"/>
      <x:c r="AE83" s="58"/>
      <x:c r="AF83" s="109"/>
      <x:c r="AG83" s="101"/>
      <x:c r="AH83" s="58"/>
      <x:c r="AI83" s="58"/>
      <x:c r="AJ83" s="58"/>
      <x:c r="AK83" s="58"/>
      <x:c r="AL83" s="109"/>
      <x:c r="AM83" s="652">
        <x:v>0</x:v>
      </x:c>
      <x:c r="AN83" s="653">
        <x:v>0</x:v>
      </x:c>
      <x:c r="AO83" s="653">
        <x:v>0</x:v>
      </x:c>
      <x:c r="AP83" s="653">
        <x:v>0</x:v>
      </x:c>
      <x:c r="AQ83" s="653">
        <x:v>0</x:v>
      </x:c>
      <x:c r="AR83" s="654" t="s">
        <x:v>1103</x:v>
      </x:c>
      <x:c r="AS83" s="262">
        <x:v>100</x:v>
      </x:c>
      <x:c r="AT83" s="210">
        <x:v>50</x:v>
      </x:c>
      <x:c r="AU83" s="655">
        <x:v>0</x:v>
      </x:c>
      <x:c r="AV83" s="655">
        <x:v>0</x:v>
      </x:c>
      <x:c r="AW83" s="655">
        <x:v>0</x:v>
      </x:c>
      <x:c r="AX83" s="656" t="s">
        <x:v>1102</x:v>
      </x:c>
      <x:c r="AY83" s="101"/>
      <x:c r="AZ83" s="58"/>
      <x:c r="BA83" s="58"/>
      <x:c r="BB83" s="58"/>
      <x:c r="BC83" s="58"/>
      <x:c r="BD83" s="109"/>
      <x:c r="BE83" s="101"/>
      <x:c r="BF83" s="58"/>
      <x:c r="BG83" s="58"/>
      <x:c r="BH83" s="58"/>
      <x:c r="BI83" s="58"/>
      <x:c r="BJ83" s="109"/>
      <x:c r="BK83" s="101"/>
      <x:c r="BL83" s="58"/>
      <x:c r="BM83" s="58"/>
      <x:c r="BN83" s="58"/>
      <x:c r="BO83" s="58"/>
      <x:c r="BP83" s="109"/>
      <x:c r="BQ83" s="101"/>
      <x:c r="BR83" s="58"/>
      <x:c r="BS83" s="58"/>
      <x:c r="BT83" s="58"/>
      <x:c r="BU83" s="58"/>
      <x:c r="BV83" s="109"/>
    </x:row>
    <x:row r="84" spans="1:74" ht="22.5" customHeight="1" x14ac:dyDescent="0.25">
      <x:c r="A84" s="619" t="s">
        <x:v>293</x:v>
      </x:c>
      <x:c r="B84" s="57" t="s">
        <x:v>295</x:v>
      </x:c>
      <x:c r="C84" s="209"/>
      <x:c r="D84" s="210"/>
      <x:c r="E84" s="210"/>
      <x:c r="F84" s="210"/>
      <x:c r="G84" s="210"/>
      <x:c r="H84" s="211"/>
      <x:c r="I84" s="108"/>
      <x:c r="J84" s="58"/>
      <x:c r="K84" s="58"/>
      <x:c r="L84" s="58"/>
      <x:c r="M84" s="58"/>
      <x:c r="N84" s="109"/>
      <x:c r="O84" s="101"/>
      <x:c r="P84" s="58"/>
      <x:c r="Q84" s="58"/>
      <x:c r="R84" s="58"/>
      <x:c r="S84" s="58"/>
      <x:c r="T84" s="109"/>
      <x:c r="U84" s="101"/>
      <x:c r="V84" s="58"/>
      <x:c r="W84" s="58"/>
      <x:c r="X84" s="58"/>
      <x:c r="Y84" s="58"/>
      <x:c r="Z84" s="109"/>
      <x:c r="AA84" s="101"/>
      <x:c r="AB84" s="58"/>
      <x:c r="AC84" s="58"/>
      <x:c r="AD84" s="58"/>
      <x:c r="AE84" s="58"/>
      <x:c r="AF84" s="109"/>
      <x:c r="AG84" s="101"/>
      <x:c r="AH84" s="58"/>
      <x:c r="AI84" s="58"/>
      <x:c r="AJ84" s="58"/>
      <x:c r="AK84" s="58"/>
      <x:c r="AL84" s="109"/>
      <x:c r="AM84" s="652">
        <x:v>0</x:v>
      </x:c>
      <x:c r="AN84" s="653">
        <x:v>0</x:v>
      </x:c>
      <x:c r="AO84" s="653">
        <x:v>0</x:v>
      </x:c>
      <x:c r="AP84" s="653">
        <x:v>0</x:v>
      </x:c>
      <x:c r="AQ84" s="653">
        <x:v>0</x:v>
      </x:c>
      <x:c r="AR84" s="654" t="s">
        <x:v>1103</x:v>
      </x:c>
      <x:c r="AS84" s="262">
        <x:v>100</x:v>
      </x:c>
      <x:c r="AT84" s="210">
        <x:v>100</x:v>
      </x:c>
      <x:c r="AU84" s="210">
        <x:v>100</x:v>
      </x:c>
      <x:c r="AV84" s="210">
        <x:v>100</x:v>
      </x:c>
      <x:c r="AW84" s="210">
        <x:v>100</x:v>
      </x:c>
      <x:c r="AX84" s="656" t="s">
        <x:v>1102</x:v>
      </x:c>
      <x:c r="AY84" s="101"/>
      <x:c r="AZ84" s="58"/>
      <x:c r="BA84" s="58"/>
      <x:c r="BB84" s="58"/>
      <x:c r="BC84" s="58"/>
      <x:c r="BD84" s="109"/>
      <x:c r="BE84" s="101"/>
      <x:c r="BF84" s="58"/>
      <x:c r="BG84" s="58"/>
      <x:c r="BH84" s="58"/>
      <x:c r="BI84" s="58"/>
      <x:c r="BJ84" s="109"/>
      <x:c r="BK84" s="101"/>
      <x:c r="BL84" s="58"/>
      <x:c r="BM84" s="58"/>
      <x:c r="BN84" s="58"/>
      <x:c r="BO84" s="58"/>
      <x:c r="BP84" s="109"/>
      <x:c r="BQ84" s="101"/>
      <x:c r="BR84" s="58"/>
      <x:c r="BS84" s="58"/>
      <x:c r="BT84" s="58"/>
      <x:c r="BU84" s="58"/>
      <x:c r="BV84" s="109"/>
    </x:row>
    <x:row r="85" spans="1:74" ht="22.5" customHeight="1" x14ac:dyDescent="0.25">
      <x:c r="A85" s="619" t="s">
        <x:v>394</x:v>
      </x:c>
      <x:c r="B85" s="57" t="s">
        <x:v>37</x:v>
      </x:c>
      <x:c r="C85" s="209"/>
      <x:c r="D85" s="210"/>
      <x:c r="E85" s="210"/>
      <x:c r="F85" s="210"/>
      <x:c r="G85" s="210"/>
      <x:c r="H85" s="211"/>
      <x:c r="I85" s="108"/>
      <x:c r="J85" s="58"/>
      <x:c r="K85" s="58"/>
      <x:c r="L85" s="58"/>
      <x:c r="M85" s="58"/>
      <x:c r="N85" s="109"/>
      <x:c r="O85" s="101"/>
      <x:c r="P85" s="58"/>
      <x:c r="Q85" s="58"/>
      <x:c r="R85" s="58"/>
      <x:c r="S85" s="58"/>
      <x:c r="T85" s="109"/>
      <x:c r="U85" s="101"/>
      <x:c r="V85" s="58"/>
      <x:c r="W85" s="58"/>
      <x:c r="X85" s="58"/>
      <x:c r="Y85" s="58"/>
      <x:c r="Z85" s="109"/>
      <x:c r="AA85" s="101"/>
      <x:c r="AB85" s="58"/>
      <x:c r="AC85" s="58"/>
      <x:c r="AD85" s="58"/>
      <x:c r="AE85" s="58"/>
      <x:c r="AF85" s="109"/>
      <x:c r="AG85" s="101"/>
      <x:c r="AH85" s="58"/>
      <x:c r="AI85" s="58"/>
      <x:c r="AJ85" s="58"/>
      <x:c r="AK85" s="58"/>
      <x:c r="AL85" s="109"/>
      <x:c r="AM85" s="652">
        <x:v>0</x:v>
      </x:c>
      <x:c r="AN85" s="653">
        <x:v>0</x:v>
      </x:c>
      <x:c r="AO85" s="653">
        <x:v>0</x:v>
      </x:c>
      <x:c r="AP85" s="653">
        <x:v>0</x:v>
      </x:c>
      <x:c r="AQ85" s="653">
        <x:v>0</x:v>
      </x:c>
      <x:c r="AR85" s="654" t="s">
        <x:v>1103</x:v>
      </x:c>
      <x:c r="AS85" s="262">
        <x:v>100</x:v>
      </x:c>
      <x:c r="AT85" s="210">
        <x:v>100</x:v>
      </x:c>
      <x:c r="AU85" s="655">
        <x:v>0</x:v>
      </x:c>
      <x:c r="AV85" s="655">
        <x:v>0</x:v>
      </x:c>
      <x:c r="AW85" s="655">
        <x:v>0</x:v>
      </x:c>
      <x:c r="AX85" s="656" t="s">
        <x:v>1102</x:v>
      </x:c>
      <x:c r="AY85" s="101"/>
      <x:c r="AZ85" s="58"/>
      <x:c r="BA85" s="58"/>
      <x:c r="BB85" s="58"/>
      <x:c r="BC85" s="58"/>
      <x:c r="BD85" s="109"/>
      <x:c r="BE85" s="101"/>
      <x:c r="BF85" s="58"/>
      <x:c r="BG85" s="58"/>
      <x:c r="BH85" s="58"/>
      <x:c r="BI85" s="58"/>
      <x:c r="BJ85" s="109"/>
      <x:c r="BK85" s="101"/>
      <x:c r="BL85" s="58"/>
      <x:c r="BM85" s="58"/>
      <x:c r="BN85" s="58"/>
      <x:c r="BO85" s="58"/>
      <x:c r="BP85" s="109"/>
      <x:c r="BQ85" s="101"/>
      <x:c r="BR85" s="58"/>
      <x:c r="BS85" s="58"/>
      <x:c r="BT85" s="58"/>
      <x:c r="BU85" s="58"/>
      <x:c r="BV85" s="109"/>
    </x:row>
    <x:row r="86" spans="1:74" ht="22.5" customHeight="1" x14ac:dyDescent="0.25">
      <x:c r="A86" s="619" t="s">
        <x:v>361</x:v>
      </x:c>
      <x:c r="B86" s="57" t="s">
        <x:v>23</x:v>
      </x:c>
      <x:c r="C86" s="209"/>
      <x:c r="D86" s="210"/>
      <x:c r="E86" s="210"/>
      <x:c r="F86" s="210"/>
      <x:c r="G86" s="210"/>
      <x:c r="H86" s="211"/>
      <x:c r="I86" s="108"/>
      <x:c r="J86" s="58"/>
      <x:c r="K86" s="58"/>
      <x:c r="L86" s="58"/>
      <x:c r="M86" s="58"/>
      <x:c r="N86" s="109"/>
      <x:c r="O86" s="101"/>
      <x:c r="P86" s="58"/>
      <x:c r="Q86" s="58"/>
      <x:c r="R86" s="58"/>
      <x:c r="S86" s="58"/>
      <x:c r="T86" s="109"/>
      <x:c r="U86" s="101"/>
      <x:c r="V86" s="58"/>
      <x:c r="W86" s="58"/>
      <x:c r="X86" s="58"/>
      <x:c r="Y86" s="58"/>
      <x:c r="Z86" s="109"/>
      <x:c r="AA86" s="101"/>
      <x:c r="AB86" s="58"/>
      <x:c r="AC86" s="58"/>
      <x:c r="AD86" s="58"/>
      <x:c r="AE86" s="58"/>
      <x:c r="AF86" s="109"/>
      <x:c r="AG86" s="101"/>
      <x:c r="AH86" s="58"/>
      <x:c r="AI86" s="58"/>
      <x:c r="AJ86" s="58"/>
      <x:c r="AK86" s="58"/>
      <x:c r="AL86" s="109"/>
      <x:c r="AM86" s="652">
        <x:v>0</x:v>
      </x:c>
      <x:c r="AN86" s="653">
        <x:v>0</x:v>
      </x:c>
      <x:c r="AO86" s="653">
        <x:v>0</x:v>
      </x:c>
      <x:c r="AP86" s="653">
        <x:v>0</x:v>
      </x:c>
      <x:c r="AQ86" s="653">
        <x:v>0</x:v>
      </x:c>
      <x:c r="AR86" s="654" t="s">
        <x:v>1103</x:v>
      </x:c>
      <x:c r="AS86" s="262">
        <x:v>100</x:v>
      </x:c>
      <x:c r="AT86" s="210">
        <x:v>100</x:v>
      </x:c>
      <x:c r="AU86" s="655">
        <x:v>0</x:v>
      </x:c>
      <x:c r="AV86" s="655">
        <x:v>0</x:v>
      </x:c>
      <x:c r="AW86" s="655">
        <x:v>0</x:v>
      </x:c>
      <x:c r="AX86" s="656" t="s">
        <x:v>1102</x:v>
      </x:c>
      <x:c r="AY86" s="101"/>
      <x:c r="AZ86" s="58"/>
      <x:c r="BA86" s="58"/>
      <x:c r="BB86" s="58"/>
      <x:c r="BC86" s="58"/>
      <x:c r="BD86" s="109"/>
      <x:c r="BE86" s="101"/>
      <x:c r="BF86" s="58"/>
      <x:c r="BG86" s="58"/>
      <x:c r="BH86" s="58"/>
      <x:c r="BI86" s="58"/>
      <x:c r="BJ86" s="109"/>
      <x:c r="BK86" s="101"/>
      <x:c r="BL86" s="58"/>
      <x:c r="BM86" s="58"/>
      <x:c r="BN86" s="58"/>
      <x:c r="BO86" s="58"/>
      <x:c r="BP86" s="109"/>
      <x:c r="BQ86" s="101"/>
      <x:c r="BR86" s="58"/>
      <x:c r="BS86" s="58"/>
      <x:c r="BT86" s="58"/>
      <x:c r="BU86" s="58"/>
      <x:c r="BV86" s="109"/>
    </x:row>
    <x:row r="87" spans="1:74" ht="22.5" customHeight="1" x14ac:dyDescent="0.25">
      <x:c r="A87" s="619" t="s">
        <x:v>339</x:v>
      </x:c>
      <x:c r="B87" s="57" t="s">
        <x:v>37</x:v>
      </x:c>
      <x:c r="C87" s="209"/>
      <x:c r="D87" s="210"/>
      <x:c r="E87" s="210"/>
      <x:c r="F87" s="210"/>
      <x:c r="G87" s="210"/>
      <x:c r="H87" s="211"/>
      <x:c r="I87" s="108"/>
      <x:c r="J87" s="58"/>
      <x:c r="K87" s="58"/>
      <x:c r="L87" s="58"/>
      <x:c r="M87" s="58"/>
      <x:c r="N87" s="109"/>
      <x:c r="O87" s="101"/>
      <x:c r="P87" s="58"/>
      <x:c r="Q87" s="58"/>
      <x:c r="R87" s="58"/>
      <x:c r="S87" s="58"/>
      <x:c r="T87" s="109"/>
      <x:c r="U87" s="101"/>
      <x:c r="V87" s="58"/>
      <x:c r="W87" s="58"/>
      <x:c r="X87" s="58"/>
      <x:c r="Y87" s="58"/>
      <x:c r="Z87" s="109"/>
      <x:c r="AA87" s="101"/>
      <x:c r="AB87" s="58"/>
      <x:c r="AC87" s="58"/>
      <x:c r="AD87" s="58"/>
      <x:c r="AE87" s="58"/>
      <x:c r="AF87" s="109"/>
      <x:c r="AG87" s="101"/>
      <x:c r="AH87" s="58"/>
      <x:c r="AI87" s="58"/>
      <x:c r="AJ87" s="58"/>
      <x:c r="AK87" s="58"/>
      <x:c r="AL87" s="109"/>
      <x:c r="AM87" s="652">
        <x:v>0</x:v>
      </x:c>
      <x:c r="AN87" s="653">
        <x:v>0</x:v>
      </x:c>
      <x:c r="AO87" s="653">
        <x:v>0</x:v>
      </x:c>
      <x:c r="AP87" s="653">
        <x:v>0</x:v>
      </x:c>
      <x:c r="AQ87" s="653">
        <x:v>0</x:v>
      </x:c>
      <x:c r="AR87" s="654" t="s">
        <x:v>1103</x:v>
      </x:c>
      <x:c r="AS87" s="262">
        <x:v>100</x:v>
      </x:c>
      <x:c r="AT87" s="210">
        <x:v>100</x:v>
      </x:c>
      <x:c r="AU87" s="655">
        <x:v>0</x:v>
      </x:c>
      <x:c r="AV87" s="655">
        <x:v>0</x:v>
      </x:c>
      <x:c r="AW87" s="655">
        <x:v>0</x:v>
      </x:c>
      <x:c r="AX87" s="656" t="s">
        <x:v>1102</x:v>
      </x:c>
      <x:c r="AY87" s="101"/>
      <x:c r="AZ87" s="58"/>
      <x:c r="BA87" s="58"/>
      <x:c r="BB87" s="58"/>
      <x:c r="BC87" s="58"/>
      <x:c r="BD87" s="109"/>
      <x:c r="BE87" s="101"/>
      <x:c r="BF87" s="58"/>
      <x:c r="BG87" s="58"/>
      <x:c r="BH87" s="58"/>
      <x:c r="BI87" s="58"/>
      <x:c r="BJ87" s="109"/>
      <x:c r="BK87" s="101"/>
      <x:c r="BL87" s="58"/>
      <x:c r="BM87" s="58"/>
      <x:c r="BN87" s="58"/>
      <x:c r="BO87" s="58"/>
      <x:c r="BP87" s="109"/>
      <x:c r="BQ87" s="101"/>
      <x:c r="BR87" s="58"/>
      <x:c r="BS87" s="58"/>
      <x:c r="BT87" s="58"/>
      <x:c r="BU87" s="58"/>
      <x:c r="BV87" s="109"/>
    </x:row>
    <x:row r="88" spans="1:74" ht="22.5" customHeight="1" x14ac:dyDescent="0.25">
      <x:c r="A88" s="619" t="s">
        <x:v>377</x:v>
      </x:c>
      <x:c r="B88" s="57" t="s">
        <x:v>37</x:v>
      </x:c>
      <x:c r="C88" s="209"/>
      <x:c r="D88" s="210"/>
      <x:c r="E88" s="210"/>
      <x:c r="F88" s="210"/>
      <x:c r="G88" s="210"/>
      <x:c r="H88" s="211"/>
      <x:c r="I88" s="108"/>
      <x:c r="J88" s="58"/>
      <x:c r="K88" s="58"/>
      <x:c r="L88" s="58"/>
      <x:c r="M88" s="58"/>
      <x:c r="N88" s="109"/>
      <x:c r="O88" s="101"/>
      <x:c r="P88" s="58"/>
      <x:c r="Q88" s="58"/>
      <x:c r="R88" s="58"/>
      <x:c r="S88" s="58"/>
      <x:c r="T88" s="109"/>
      <x:c r="U88" s="101"/>
      <x:c r="V88" s="58"/>
      <x:c r="W88" s="58"/>
      <x:c r="X88" s="58"/>
      <x:c r="Y88" s="58"/>
      <x:c r="Z88" s="109"/>
      <x:c r="AA88" s="101"/>
      <x:c r="AB88" s="58"/>
      <x:c r="AC88" s="58"/>
      <x:c r="AD88" s="58"/>
      <x:c r="AE88" s="58"/>
      <x:c r="AF88" s="109"/>
      <x:c r="AG88" s="101"/>
      <x:c r="AH88" s="58"/>
      <x:c r="AI88" s="58"/>
      <x:c r="AJ88" s="58"/>
      <x:c r="AK88" s="58"/>
      <x:c r="AL88" s="109"/>
      <x:c r="AM88" s="652">
        <x:v>0</x:v>
      </x:c>
      <x:c r="AN88" s="653">
        <x:v>0</x:v>
      </x:c>
      <x:c r="AO88" s="653">
        <x:v>0</x:v>
      </x:c>
      <x:c r="AP88" s="653">
        <x:v>0</x:v>
      </x:c>
      <x:c r="AQ88" s="653">
        <x:v>0</x:v>
      </x:c>
      <x:c r="AR88" s="654" t="s">
        <x:v>1103</x:v>
      </x:c>
      <x:c r="AS88" s="262">
        <x:v>100</x:v>
      </x:c>
      <x:c r="AT88" s="210">
        <x:v>100</x:v>
      </x:c>
      <x:c r="AU88" s="210">
        <x:v>95.83</x:v>
      </x:c>
      <x:c r="AV88" s="210">
        <x:v>35.71</x:v>
      </x:c>
      <x:c r="AW88" s="655">
        <x:v>0</x:v>
      </x:c>
      <x:c r="AX88" s="656" t="s">
        <x:v>1102</x:v>
      </x:c>
      <x:c r="AY88" s="101"/>
      <x:c r="AZ88" s="58"/>
      <x:c r="BA88" s="58"/>
      <x:c r="BB88" s="58"/>
      <x:c r="BC88" s="58"/>
      <x:c r="BD88" s="109"/>
      <x:c r="BE88" s="101"/>
      <x:c r="BF88" s="58"/>
      <x:c r="BG88" s="58"/>
      <x:c r="BH88" s="58"/>
      <x:c r="BI88" s="58"/>
      <x:c r="BJ88" s="109"/>
      <x:c r="BK88" s="101"/>
      <x:c r="BL88" s="58"/>
      <x:c r="BM88" s="58"/>
      <x:c r="BN88" s="58"/>
      <x:c r="BO88" s="58"/>
      <x:c r="BP88" s="109"/>
      <x:c r="BQ88" s="101"/>
      <x:c r="BR88" s="58"/>
      <x:c r="BS88" s="58"/>
      <x:c r="BT88" s="58"/>
      <x:c r="BU88" s="58"/>
      <x:c r="BV88" s="109"/>
    </x:row>
    <x:row r="89" spans="1:74" ht="22.5" customHeight="1" x14ac:dyDescent="0.25">
      <x:c r="A89" s="618" t="s">
        <x:v>314</x:v>
      </x:c>
      <x:c r="B89" s="57" t="s">
        <x:v>183</x:v>
      </x:c>
      <x:c r="C89" s="209"/>
      <x:c r="D89" s="210"/>
      <x:c r="E89" s="210"/>
      <x:c r="F89" s="210"/>
      <x:c r="G89" s="210"/>
      <x:c r="H89" s="211"/>
      <x:c r="I89" s="108"/>
      <x:c r="J89" s="58"/>
      <x:c r="K89" s="58"/>
      <x:c r="L89" s="58"/>
      <x:c r="M89" s="58"/>
      <x:c r="N89" s="109"/>
      <x:c r="O89" s="101"/>
      <x:c r="P89" s="58"/>
      <x:c r="Q89" s="58"/>
      <x:c r="R89" s="58"/>
      <x:c r="S89" s="58"/>
      <x:c r="T89" s="109"/>
      <x:c r="U89" s="101"/>
      <x:c r="V89" s="58"/>
      <x:c r="W89" s="58"/>
      <x:c r="X89" s="58"/>
      <x:c r="Y89" s="58"/>
      <x:c r="Z89" s="109"/>
      <x:c r="AA89" s="101"/>
      <x:c r="AB89" s="58"/>
      <x:c r="AC89" s="58"/>
      <x:c r="AD89" s="58"/>
      <x:c r="AE89" s="58"/>
      <x:c r="AF89" s="109"/>
      <x:c r="AG89" s="101"/>
      <x:c r="AH89" s="58"/>
      <x:c r="AI89" s="58"/>
      <x:c r="AJ89" s="58"/>
      <x:c r="AK89" s="58"/>
      <x:c r="AL89" s="109"/>
      <x:c r="AM89" s="652">
        <x:v>0</x:v>
      </x:c>
      <x:c r="AN89" s="653">
        <x:v>0</x:v>
      </x:c>
      <x:c r="AO89" s="653">
        <x:v>0</x:v>
      </x:c>
      <x:c r="AP89" s="653">
        <x:v>0</x:v>
      </x:c>
      <x:c r="AQ89" s="653">
        <x:v>0</x:v>
      </x:c>
      <x:c r="AR89" s="654" t="s">
        <x:v>1103</x:v>
      </x:c>
      <x:c r="AS89" s="657">
        <x:v>0</x:v>
      </x:c>
      <x:c r="AT89" s="653">
        <x:v>0</x:v>
      </x:c>
      <x:c r="AU89" s="653">
        <x:v>0</x:v>
      </x:c>
      <x:c r="AV89" s="653">
        <x:v>0</x:v>
      </x:c>
      <x:c r="AW89" s="653">
        <x:v>0</x:v>
      </x:c>
      <x:c r="AX89" s="654" t="s">
        <x:v>1103</x:v>
      </x:c>
      <x:c r="AY89" s="101"/>
      <x:c r="AZ89" s="58"/>
      <x:c r="BA89" s="58"/>
      <x:c r="BB89" s="58"/>
      <x:c r="BC89" s="58"/>
      <x:c r="BD89" s="109"/>
      <x:c r="BE89" s="101"/>
      <x:c r="BF89" s="58"/>
      <x:c r="BG89" s="58"/>
      <x:c r="BH89" s="58"/>
      <x:c r="BI89" s="58"/>
      <x:c r="BJ89" s="109"/>
      <x:c r="BK89" s="101"/>
      <x:c r="BL89" s="58"/>
      <x:c r="BM89" s="58"/>
      <x:c r="BN89" s="58"/>
      <x:c r="BO89" s="58"/>
      <x:c r="BP89" s="109"/>
      <x:c r="BQ89" s="101"/>
      <x:c r="BR89" s="58"/>
      <x:c r="BS89" s="58"/>
      <x:c r="BT89" s="58"/>
      <x:c r="BU89" s="58"/>
      <x:c r="BV89" s="109"/>
    </x:row>
    <x:row r="90" spans="1:74" ht="22.5" customHeight="1" x14ac:dyDescent="0.25">
      <x:c r="A90" s="619" t="s">
        <x:v>306</x:v>
      </x:c>
      <x:c r="B90" s="57" t="s">
        <x:v>191</x:v>
      </x:c>
      <x:c r="C90" s="209"/>
      <x:c r="D90" s="210"/>
      <x:c r="E90" s="210"/>
      <x:c r="F90" s="210"/>
      <x:c r="G90" s="210"/>
      <x:c r="H90" s="211"/>
      <x:c r="I90" s="108"/>
      <x:c r="J90" s="58"/>
      <x:c r="K90" s="58"/>
      <x:c r="L90" s="58"/>
      <x:c r="M90" s="58"/>
      <x:c r="N90" s="109"/>
      <x:c r="O90" s="101"/>
      <x:c r="P90" s="58"/>
      <x:c r="Q90" s="58"/>
      <x:c r="R90" s="58"/>
      <x:c r="S90" s="58"/>
      <x:c r="T90" s="109"/>
      <x:c r="U90" s="101"/>
      <x:c r="V90" s="58"/>
      <x:c r="W90" s="58"/>
      <x:c r="X90" s="58"/>
      <x:c r="Y90" s="58"/>
      <x:c r="Z90" s="109"/>
      <x:c r="AA90" s="101"/>
      <x:c r="AB90" s="58"/>
      <x:c r="AC90" s="58"/>
      <x:c r="AD90" s="58"/>
      <x:c r="AE90" s="58"/>
      <x:c r="AF90" s="109"/>
      <x:c r="AG90" s="101"/>
      <x:c r="AH90" s="58"/>
      <x:c r="AI90" s="58"/>
      <x:c r="AJ90" s="58"/>
      <x:c r="AK90" s="58"/>
      <x:c r="AL90" s="109"/>
      <x:c r="AM90" s="652">
        <x:v>0</x:v>
      </x:c>
      <x:c r="AN90" s="653">
        <x:v>0</x:v>
      </x:c>
      <x:c r="AO90" s="653">
        <x:v>0</x:v>
      </x:c>
      <x:c r="AP90" s="653">
        <x:v>0</x:v>
      </x:c>
      <x:c r="AQ90" s="653">
        <x:v>0</x:v>
      </x:c>
      <x:c r="AR90" s="654" t="s">
        <x:v>1103</x:v>
      </x:c>
      <x:c r="AS90" s="262">
        <x:v>100</x:v>
      </x:c>
      <x:c r="AT90" s="210">
        <x:v>55.56</x:v>
      </x:c>
      <x:c r="AU90" s="655">
        <x:v>0</x:v>
      </x:c>
      <x:c r="AV90" s="655">
        <x:v>0</x:v>
      </x:c>
      <x:c r="AW90" s="655">
        <x:v>0</x:v>
      </x:c>
      <x:c r="AX90" s="656" t="s">
        <x:v>1102</x:v>
      </x:c>
      <x:c r="AY90" s="101"/>
      <x:c r="AZ90" s="58"/>
      <x:c r="BA90" s="58"/>
      <x:c r="BB90" s="58"/>
      <x:c r="BC90" s="58"/>
      <x:c r="BD90" s="109"/>
      <x:c r="BE90" s="101"/>
      <x:c r="BF90" s="58"/>
      <x:c r="BG90" s="58"/>
      <x:c r="BH90" s="58"/>
      <x:c r="BI90" s="58"/>
      <x:c r="BJ90" s="109"/>
      <x:c r="BK90" s="101"/>
      <x:c r="BL90" s="58"/>
      <x:c r="BM90" s="58"/>
      <x:c r="BN90" s="58"/>
      <x:c r="BO90" s="58"/>
      <x:c r="BP90" s="109"/>
      <x:c r="BQ90" s="101"/>
      <x:c r="BR90" s="58"/>
      <x:c r="BS90" s="58"/>
      <x:c r="BT90" s="58"/>
      <x:c r="BU90" s="58"/>
      <x:c r="BV90" s="109"/>
    </x:row>
    <x:row r="91" spans="1:74" ht="22.5" customHeight="1" x14ac:dyDescent="0.25">
      <x:c r="A91" s="97" t="s">
        <x:v>390</x:v>
      </x:c>
      <x:c r="B91" s="57" t="s">
        <x:v>23</x:v>
      </x:c>
      <x:c r="C91" s="209"/>
      <x:c r="D91" s="210"/>
      <x:c r="E91" s="210"/>
      <x:c r="F91" s="210"/>
      <x:c r="G91" s="210"/>
      <x:c r="H91" s="211"/>
      <x:c r="I91" s="108"/>
      <x:c r="J91" s="58"/>
      <x:c r="K91" s="58"/>
      <x:c r="L91" s="58"/>
      <x:c r="M91" s="58"/>
      <x:c r="N91" s="109"/>
      <x:c r="O91" s="101"/>
      <x:c r="P91" s="58"/>
      <x:c r="Q91" s="58"/>
      <x:c r="R91" s="58"/>
      <x:c r="S91" s="58"/>
      <x:c r="T91" s="109"/>
      <x:c r="U91" s="101"/>
      <x:c r="V91" s="58"/>
      <x:c r="W91" s="58"/>
      <x:c r="X91" s="58"/>
      <x:c r="Y91" s="58"/>
      <x:c r="Z91" s="109"/>
      <x:c r="AA91" s="101"/>
      <x:c r="AB91" s="58"/>
      <x:c r="AC91" s="58"/>
      <x:c r="AD91" s="58"/>
      <x:c r="AE91" s="58"/>
      <x:c r="AF91" s="109"/>
      <x:c r="AG91" s="101"/>
      <x:c r="AH91" s="58"/>
      <x:c r="AI91" s="58"/>
      <x:c r="AJ91" s="58"/>
      <x:c r="AK91" s="58"/>
      <x:c r="AL91" s="109"/>
      <x:c r="AM91" s="209">
        <x:v>100</x:v>
      </x:c>
      <x:c r="AN91" s="210">
        <x:v>100</x:v>
      </x:c>
      <x:c r="AO91" s="653">
        <x:v>0</x:v>
      </x:c>
      <x:c r="AP91" s="653">
        <x:v>0</x:v>
      </x:c>
      <x:c r="AQ91" s="653">
        <x:v>0</x:v>
      </x:c>
      <x:c r="AR91" s="658" t="s">
        <x:v>1102</x:v>
      </x:c>
      <x:c r="AS91" s="262">
        <x:v>100</x:v>
      </x:c>
      <x:c r="AT91" s="210">
        <x:v>100</x:v>
      </x:c>
      <x:c r="AU91" s="655">
        <x:v>0</x:v>
      </x:c>
      <x:c r="AV91" s="655">
        <x:v>0</x:v>
      </x:c>
      <x:c r="AW91" s="655">
        <x:v>0</x:v>
      </x:c>
      <x:c r="AX91" s="656" t="s">
        <x:v>1102</x:v>
      </x:c>
      <x:c r="AY91" s="101"/>
      <x:c r="AZ91" s="58"/>
      <x:c r="BA91" s="58"/>
      <x:c r="BB91" s="58"/>
      <x:c r="BC91" s="58"/>
      <x:c r="BD91" s="109"/>
      <x:c r="BE91" s="101"/>
      <x:c r="BF91" s="58"/>
      <x:c r="BG91" s="58"/>
      <x:c r="BH91" s="58"/>
      <x:c r="BI91" s="58"/>
      <x:c r="BJ91" s="109"/>
      <x:c r="BK91" s="101"/>
      <x:c r="BL91" s="58"/>
      <x:c r="BM91" s="58"/>
      <x:c r="BN91" s="58"/>
      <x:c r="BO91" s="58"/>
      <x:c r="BP91" s="109"/>
      <x:c r="BQ91" s="101"/>
      <x:c r="BR91" s="58"/>
      <x:c r="BS91" s="58"/>
      <x:c r="BT91" s="58"/>
      <x:c r="BU91" s="58"/>
      <x:c r="BV91" s="109"/>
    </x:row>
    <x:row r="92" spans="1:74" ht="22.5" customHeight="1" x14ac:dyDescent="0.25">
      <x:c r="A92" s="619" t="s">
        <x:v>344</x:v>
      </x:c>
      <x:c r="B92" s="57" t="s">
        <x:v>23</x:v>
      </x:c>
      <x:c r="C92" s="209"/>
      <x:c r="D92" s="210"/>
      <x:c r="E92" s="210"/>
      <x:c r="F92" s="210"/>
      <x:c r="G92" s="210"/>
      <x:c r="H92" s="211"/>
      <x:c r="I92" s="108"/>
      <x:c r="J92" s="58"/>
      <x:c r="K92" s="58"/>
      <x:c r="L92" s="58"/>
      <x:c r="M92" s="58"/>
      <x:c r="N92" s="109"/>
      <x:c r="O92" s="101"/>
      <x:c r="P92" s="58"/>
      <x:c r="Q92" s="58"/>
      <x:c r="R92" s="58"/>
      <x:c r="S92" s="58"/>
      <x:c r="T92" s="109"/>
      <x:c r="U92" s="101"/>
      <x:c r="V92" s="58"/>
      <x:c r="W92" s="58"/>
      <x:c r="X92" s="58"/>
      <x:c r="Y92" s="58"/>
      <x:c r="Z92" s="109"/>
      <x:c r="AA92" s="101"/>
      <x:c r="AB92" s="58"/>
      <x:c r="AC92" s="58"/>
      <x:c r="AD92" s="58"/>
      <x:c r="AE92" s="58"/>
      <x:c r="AF92" s="109"/>
      <x:c r="AG92" s="101"/>
      <x:c r="AH92" s="58"/>
      <x:c r="AI92" s="58"/>
      <x:c r="AJ92" s="58"/>
      <x:c r="AK92" s="58"/>
      <x:c r="AL92" s="109"/>
      <x:c r="AM92" s="652">
        <x:v>0</x:v>
      </x:c>
      <x:c r="AN92" s="653">
        <x:v>0</x:v>
      </x:c>
      <x:c r="AO92" s="653">
        <x:v>0</x:v>
      </x:c>
      <x:c r="AP92" s="653">
        <x:v>0</x:v>
      </x:c>
      <x:c r="AQ92" s="653">
        <x:v>0</x:v>
      </x:c>
      <x:c r="AR92" s="654" t="s">
        <x:v>1103</x:v>
      </x:c>
      <x:c r="AS92" s="262">
        <x:v>100</x:v>
      </x:c>
      <x:c r="AT92" s="210">
        <x:v>100</x:v>
      </x:c>
      <x:c r="AU92" s="655">
        <x:v>0</x:v>
      </x:c>
      <x:c r="AV92" s="655">
        <x:v>0</x:v>
      </x:c>
      <x:c r="AW92" s="655">
        <x:v>0</x:v>
      </x:c>
      <x:c r="AX92" s="656" t="s">
        <x:v>1102</x:v>
      </x:c>
      <x:c r="AY92" s="101"/>
      <x:c r="AZ92" s="58"/>
      <x:c r="BA92" s="58"/>
      <x:c r="BB92" s="58"/>
      <x:c r="BC92" s="58"/>
      <x:c r="BD92" s="109"/>
      <x:c r="BE92" s="101"/>
      <x:c r="BF92" s="58"/>
      <x:c r="BG92" s="58"/>
      <x:c r="BH92" s="58"/>
      <x:c r="BI92" s="58"/>
      <x:c r="BJ92" s="109"/>
      <x:c r="BK92" s="101"/>
      <x:c r="BL92" s="58"/>
      <x:c r="BM92" s="58"/>
      <x:c r="BN92" s="58"/>
      <x:c r="BO92" s="58"/>
      <x:c r="BP92" s="109"/>
      <x:c r="BQ92" s="101"/>
      <x:c r="BR92" s="58"/>
      <x:c r="BS92" s="58"/>
      <x:c r="BT92" s="58"/>
      <x:c r="BU92" s="58"/>
      <x:c r="BV92" s="109"/>
    </x:row>
    <x:row r="93" spans="1:74" ht="22.5" customHeight="1" x14ac:dyDescent="0.25">
      <x:c r="A93" s="619" t="s">
        <x:v>373</x:v>
      </x:c>
      <x:c r="B93" s="57" t="s">
        <x:v>37</x:v>
      </x:c>
      <x:c r="C93" s="209"/>
      <x:c r="D93" s="210"/>
      <x:c r="E93" s="210"/>
      <x:c r="F93" s="210"/>
      <x:c r="G93" s="210"/>
      <x:c r="H93" s="211"/>
      <x:c r="I93" s="108"/>
      <x:c r="J93" s="58"/>
      <x:c r="K93" s="58"/>
      <x:c r="L93" s="58"/>
      <x:c r="M93" s="58"/>
      <x:c r="N93" s="109"/>
      <x:c r="O93" s="101"/>
      <x:c r="P93" s="58"/>
      <x:c r="Q93" s="58"/>
      <x:c r="R93" s="58"/>
      <x:c r="S93" s="58"/>
      <x:c r="T93" s="109"/>
      <x:c r="U93" s="101"/>
      <x:c r="V93" s="58"/>
      <x:c r="W93" s="58"/>
      <x:c r="X93" s="58"/>
      <x:c r="Y93" s="58"/>
      <x:c r="Z93" s="109"/>
      <x:c r="AA93" s="101"/>
      <x:c r="AB93" s="58"/>
      <x:c r="AC93" s="58"/>
      <x:c r="AD93" s="58"/>
      <x:c r="AE93" s="58"/>
      <x:c r="AF93" s="109"/>
      <x:c r="AG93" s="101"/>
      <x:c r="AH93" s="58"/>
      <x:c r="AI93" s="58"/>
      <x:c r="AJ93" s="58"/>
      <x:c r="AK93" s="58"/>
      <x:c r="AL93" s="109"/>
      <x:c r="AM93" s="652">
        <x:v>0</x:v>
      </x:c>
      <x:c r="AN93" s="653">
        <x:v>0</x:v>
      </x:c>
      <x:c r="AO93" s="653">
        <x:v>0</x:v>
      </x:c>
      <x:c r="AP93" s="653">
        <x:v>0</x:v>
      </x:c>
      <x:c r="AQ93" s="653">
        <x:v>0</x:v>
      </x:c>
      <x:c r="AR93" s="654" t="s">
        <x:v>1103</x:v>
      </x:c>
      <x:c r="AS93" s="262">
        <x:v>100</x:v>
      </x:c>
      <x:c r="AT93" s="210">
        <x:v>100</x:v>
      </x:c>
      <x:c r="AU93" s="655">
        <x:v>0</x:v>
      </x:c>
      <x:c r="AV93" s="655">
        <x:v>0</x:v>
      </x:c>
      <x:c r="AW93" s="655">
        <x:v>0</x:v>
      </x:c>
      <x:c r="AX93" s="656" t="s">
        <x:v>1102</x:v>
      </x:c>
      <x:c r="AY93" s="101"/>
      <x:c r="AZ93" s="58"/>
      <x:c r="BA93" s="58"/>
      <x:c r="BB93" s="58"/>
      <x:c r="BC93" s="58"/>
      <x:c r="BD93" s="109"/>
      <x:c r="BE93" s="101"/>
      <x:c r="BF93" s="58"/>
      <x:c r="BG93" s="58"/>
      <x:c r="BH93" s="58"/>
      <x:c r="BI93" s="58"/>
      <x:c r="BJ93" s="109"/>
      <x:c r="BK93" s="101"/>
      <x:c r="BL93" s="58"/>
      <x:c r="BM93" s="58"/>
      <x:c r="BN93" s="58"/>
      <x:c r="BO93" s="58"/>
      <x:c r="BP93" s="109"/>
      <x:c r="BQ93" s="101"/>
      <x:c r="BR93" s="58"/>
      <x:c r="BS93" s="58"/>
      <x:c r="BT93" s="58"/>
      <x:c r="BU93" s="58"/>
      <x:c r="BV93" s="109"/>
    </x:row>
    <x:row r="94" spans="1:74" ht="22.5" customHeight="1" x14ac:dyDescent="0.25">
      <x:c r="A94" s="619" t="s">
        <x:v>298</x:v>
      </x:c>
      <x:c r="B94" s="57" t="s">
        <x:v>183</x:v>
      </x:c>
      <x:c r="C94" s="209"/>
      <x:c r="D94" s="210"/>
      <x:c r="E94" s="210"/>
      <x:c r="F94" s="210"/>
      <x:c r="G94" s="210"/>
      <x:c r="H94" s="211"/>
      <x:c r="I94" s="108"/>
      <x:c r="J94" s="58"/>
      <x:c r="K94" s="58"/>
      <x:c r="L94" s="58"/>
      <x:c r="M94" s="58"/>
      <x:c r="N94" s="109"/>
      <x:c r="O94" s="101"/>
      <x:c r="P94" s="58"/>
      <x:c r="Q94" s="58"/>
      <x:c r="R94" s="58"/>
      <x:c r="S94" s="58"/>
      <x:c r="T94" s="109"/>
      <x:c r="U94" s="101"/>
      <x:c r="V94" s="58"/>
      <x:c r="W94" s="58"/>
      <x:c r="X94" s="58"/>
      <x:c r="Y94" s="58"/>
      <x:c r="Z94" s="109"/>
      <x:c r="AA94" s="101"/>
      <x:c r="AB94" s="58"/>
      <x:c r="AC94" s="58"/>
      <x:c r="AD94" s="58"/>
      <x:c r="AE94" s="58"/>
      <x:c r="AF94" s="109"/>
      <x:c r="AG94" s="101"/>
      <x:c r="AH94" s="58"/>
      <x:c r="AI94" s="58"/>
      <x:c r="AJ94" s="58"/>
      <x:c r="AK94" s="58"/>
      <x:c r="AL94" s="109"/>
      <x:c r="AM94" s="652">
        <x:v>0</x:v>
      </x:c>
      <x:c r="AN94" s="653">
        <x:v>0</x:v>
      </x:c>
      <x:c r="AO94" s="653">
        <x:v>0</x:v>
      </x:c>
      <x:c r="AP94" s="653">
        <x:v>0</x:v>
      </x:c>
      <x:c r="AQ94" s="653">
        <x:v>0</x:v>
      </x:c>
      <x:c r="AR94" s="654" t="s">
        <x:v>1103</x:v>
      </x:c>
      <x:c r="AS94" s="262">
        <x:v>100</x:v>
      </x:c>
      <x:c r="AT94" s="210">
        <x:v>53.57</x:v>
      </x:c>
      <x:c r="AU94" s="655">
        <x:v>0</x:v>
      </x:c>
      <x:c r="AV94" s="655">
        <x:v>0</x:v>
      </x:c>
      <x:c r="AW94" s="655">
        <x:v>0</x:v>
      </x:c>
      <x:c r="AX94" s="656" t="s">
        <x:v>1102</x:v>
      </x:c>
      <x:c r="AY94" s="101"/>
      <x:c r="AZ94" s="58"/>
      <x:c r="BA94" s="58"/>
      <x:c r="BB94" s="58"/>
      <x:c r="BC94" s="58"/>
      <x:c r="BD94" s="109"/>
      <x:c r="BE94" s="101"/>
      <x:c r="BF94" s="58"/>
      <x:c r="BG94" s="58"/>
      <x:c r="BH94" s="58"/>
      <x:c r="BI94" s="58"/>
      <x:c r="BJ94" s="109"/>
      <x:c r="BK94" s="101"/>
      <x:c r="BL94" s="58"/>
      <x:c r="BM94" s="58"/>
      <x:c r="BN94" s="58"/>
      <x:c r="BO94" s="58"/>
      <x:c r="BP94" s="109"/>
      <x:c r="BQ94" s="101"/>
      <x:c r="BR94" s="58"/>
      <x:c r="BS94" s="58"/>
      <x:c r="BT94" s="58"/>
      <x:c r="BU94" s="58"/>
      <x:c r="BV94" s="109"/>
    </x:row>
    <x:row r="95" spans="1:74" ht="22.5" customHeight="1" x14ac:dyDescent="0.25">
      <x:c r="A95" s="97" t="s">
        <x:v>356</x:v>
      </x:c>
      <x:c r="B95" s="57" t="s">
        <x:v>23</x:v>
      </x:c>
      <x:c r="C95" s="209"/>
      <x:c r="D95" s="210"/>
      <x:c r="E95" s="210"/>
      <x:c r="F95" s="210"/>
      <x:c r="G95" s="210"/>
      <x:c r="H95" s="211"/>
      <x:c r="I95" s="108"/>
      <x:c r="J95" s="58"/>
      <x:c r="K95" s="58"/>
      <x:c r="L95" s="58"/>
      <x:c r="M95" s="58"/>
      <x:c r="N95" s="109"/>
      <x:c r="O95" s="101"/>
      <x:c r="P95" s="58"/>
      <x:c r="Q95" s="58"/>
      <x:c r="R95" s="58"/>
      <x:c r="S95" s="58"/>
      <x:c r="T95" s="109"/>
      <x:c r="U95" s="101"/>
      <x:c r="V95" s="58"/>
      <x:c r="W95" s="58"/>
      <x:c r="X95" s="58"/>
      <x:c r="Y95" s="58"/>
      <x:c r="Z95" s="109"/>
      <x:c r="AA95" s="101"/>
      <x:c r="AB95" s="58"/>
      <x:c r="AC95" s="58"/>
      <x:c r="AD95" s="58"/>
      <x:c r="AE95" s="58"/>
      <x:c r="AF95" s="109"/>
      <x:c r="AG95" s="101"/>
      <x:c r="AH95" s="58"/>
      <x:c r="AI95" s="58"/>
      <x:c r="AJ95" s="58"/>
      <x:c r="AK95" s="58"/>
      <x:c r="AL95" s="109"/>
      <x:c r="AM95" s="209">
        <x:v>100</x:v>
      </x:c>
      <x:c r="AN95" s="210">
        <x:v>100</x:v>
      </x:c>
      <x:c r="AO95" s="210">
        <x:v>100</x:v>
      </x:c>
      <x:c r="AP95" s="653">
        <x:v>0</x:v>
      </x:c>
      <x:c r="AQ95" s="653">
        <x:v>0</x:v>
      </x:c>
      <x:c r="AR95" s="658" t="s">
        <x:v>1102</x:v>
      </x:c>
      <x:c r="AS95" s="262">
        <x:v>100</x:v>
      </x:c>
      <x:c r="AT95" s="210">
        <x:v>100</x:v>
      </x:c>
      <x:c r="AU95" s="655">
        <x:v>0</x:v>
      </x:c>
      <x:c r="AV95" s="655">
        <x:v>0</x:v>
      </x:c>
      <x:c r="AW95" s="655">
        <x:v>0</x:v>
      </x:c>
      <x:c r="AX95" s="656" t="s">
        <x:v>1102</x:v>
      </x:c>
      <x:c r="AY95" s="101"/>
      <x:c r="AZ95" s="58"/>
      <x:c r="BA95" s="58"/>
      <x:c r="BB95" s="58"/>
      <x:c r="BC95" s="58"/>
      <x:c r="BD95" s="109"/>
      <x:c r="BE95" s="101"/>
      <x:c r="BF95" s="58"/>
      <x:c r="BG95" s="58"/>
      <x:c r="BH95" s="58"/>
      <x:c r="BI95" s="58"/>
      <x:c r="BJ95" s="109"/>
      <x:c r="BK95" s="101"/>
      <x:c r="BL95" s="58"/>
      <x:c r="BM95" s="58"/>
      <x:c r="BN95" s="58"/>
      <x:c r="BO95" s="58"/>
      <x:c r="BP95" s="109"/>
      <x:c r="BQ95" s="101"/>
      <x:c r="BR95" s="58"/>
      <x:c r="BS95" s="58"/>
      <x:c r="BT95" s="58"/>
      <x:c r="BU95" s="58"/>
      <x:c r="BV95" s="109"/>
    </x:row>
    <x:row r="96" spans="1:74" ht="22.5" customHeight="1" x14ac:dyDescent="0.25">
      <x:c r="A96" s="270" t="s">
        <x:v>741</x:v>
      </x:c>
      <x:c r="B96" s="57"/>
      <x:c r="C96" s="209"/>
      <x:c r="D96" s="210"/>
      <x:c r="E96" s="210"/>
      <x:c r="F96" s="210"/>
      <x:c r="G96" s="210"/>
      <x:c r="H96" s="211"/>
      <x:c r="I96" s="108"/>
      <x:c r="J96" s="58"/>
      <x:c r="K96" s="58"/>
      <x:c r="L96" s="58"/>
      <x:c r="M96" s="58"/>
      <x:c r="N96" s="109"/>
      <x:c r="O96" s="101"/>
      <x:c r="P96" s="58"/>
      <x:c r="Q96" s="58"/>
      <x:c r="R96" s="58"/>
      <x:c r="S96" s="58"/>
      <x:c r="T96" s="109"/>
      <x:c r="U96" s="101"/>
      <x:c r="V96" s="58"/>
      <x:c r="W96" s="58"/>
      <x:c r="X96" s="58"/>
      <x:c r="Y96" s="58"/>
      <x:c r="Z96" s="109"/>
      <x:c r="AA96" s="101"/>
      <x:c r="AB96" s="58"/>
      <x:c r="AC96" s="58"/>
      <x:c r="AD96" s="58"/>
      <x:c r="AE96" s="58"/>
      <x:c r="AF96" s="109"/>
      <x:c r="AG96" s="101"/>
      <x:c r="AH96" s="58"/>
      <x:c r="AI96" s="58"/>
      <x:c r="AJ96" s="58"/>
      <x:c r="AK96" s="58"/>
      <x:c r="AL96" s="109"/>
      <x:c r="AM96" s="209"/>
      <x:c r="AN96" s="210"/>
      <x:c r="AO96" s="210"/>
      <x:c r="AP96" s="210"/>
      <x:c r="AQ96" s="210"/>
      <x:c r="AR96" s="211"/>
      <x:c r="AS96" s="262">
        <x:v>100</x:v>
      </x:c>
      <x:c r="AT96" s="210">
        <x:v>100</x:v>
      </x:c>
      <x:c r="AU96" s="655">
        <x:v>0</x:v>
      </x:c>
      <x:c r="AV96" s="655">
        <x:v>0</x:v>
      </x:c>
      <x:c r="AW96" s="655">
        <x:v>0</x:v>
      </x:c>
      <x:c r="AX96" s="656" t="s">
        <x:v>1102</x:v>
      </x:c>
      <x:c r="AY96" s="101"/>
      <x:c r="AZ96" s="58"/>
      <x:c r="BA96" s="58"/>
      <x:c r="BB96" s="58"/>
      <x:c r="BC96" s="58"/>
      <x:c r="BD96" s="109"/>
      <x:c r="BE96" s="101"/>
      <x:c r="BF96" s="58"/>
      <x:c r="BG96" s="58"/>
      <x:c r="BH96" s="58"/>
      <x:c r="BI96" s="58"/>
      <x:c r="BJ96" s="109"/>
      <x:c r="BK96" s="101"/>
      <x:c r="BL96" s="58"/>
      <x:c r="BM96" s="58"/>
      <x:c r="BN96" s="58"/>
      <x:c r="BO96" s="58"/>
      <x:c r="BP96" s="109"/>
      <x:c r="BQ96" s="101"/>
      <x:c r="BR96" s="58"/>
      <x:c r="BS96" s="58"/>
      <x:c r="BT96" s="58"/>
      <x:c r="BU96" s="58"/>
      <x:c r="BV96" s="109"/>
    </x:row>
    <x:row r="97" spans="1:74" ht="22.5" customHeight="1" x14ac:dyDescent="0.25">
      <x:c r="A97" s="270" t="s">
        <x:v>1135</x:v>
      </x:c>
      <x:c r="B97" s="57"/>
      <x:c r="C97" s="209"/>
      <x:c r="D97" s="210"/>
      <x:c r="E97" s="210"/>
      <x:c r="F97" s="210"/>
      <x:c r="G97" s="210"/>
      <x:c r="H97" s="211"/>
      <x:c r="I97" s="108"/>
      <x:c r="J97" s="58"/>
      <x:c r="K97" s="58"/>
      <x:c r="L97" s="58"/>
      <x:c r="M97" s="58"/>
      <x:c r="N97" s="109"/>
      <x:c r="O97" s="101"/>
      <x:c r="P97" s="58"/>
      <x:c r="Q97" s="58"/>
      <x:c r="R97" s="58"/>
      <x:c r="S97" s="58"/>
      <x:c r="T97" s="109"/>
      <x:c r="U97" s="101"/>
      <x:c r="V97" s="58"/>
      <x:c r="W97" s="58"/>
      <x:c r="X97" s="58"/>
      <x:c r="Y97" s="58"/>
      <x:c r="Z97" s="109"/>
      <x:c r="AA97" s="101"/>
      <x:c r="AB97" s="58"/>
      <x:c r="AC97" s="58"/>
      <x:c r="AD97" s="58"/>
      <x:c r="AE97" s="58"/>
      <x:c r="AF97" s="109"/>
      <x:c r="AG97" s="101"/>
      <x:c r="AH97" s="58"/>
      <x:c r="AI97" s="58"/>
      <x:c r="AJ97" s="58"/>
      <x:c r="AK97" s="58"/>
      <x:c r="AL97" s="109"/>
      <x:c r="AM97" s="209"/>
      <x:c r="AN97" s="210"/>
      <x:c r="AO97" s="210"/>
      <x:c r="AP97" s="210"/>
      <x:c r="AQ97" s="210"/>
      <x:c r="AR97" s="211"/>
      <x:c r="AS97" s="262">
        <x:v>100</x:v>
      </x:c>
      <x:c r="AT97" s="210">
        <x:v>100</x:v>
      </x:c>
      <x:c r="AU97" s="210">
        <x:v>100</x:v>
      </x:c>
      <x:c r="AV97" s="210">
        <x:v>32.14</x:v>
      </x:c>
      <x:c r="AW97" s="655">
        <x:v>0</x:v>
      </x:c>
      <x:c r="AX97" s="656" t="s">
        <x:v>1102</x:v>
      </x:c>
      <x:c r="AY97" s="101"/>
      <x:c r="AZ97" s="58"/>
      <x:c r="BA97" s="58"/>
      <x:c r="BB97" s="58"/>
      <x:c r="BC97" s="58"/>
      <x:c r="BD97" s="109"/>
      <x:c r="BE97" s="101"/>
      <x:c r="BF97" s="58"/>
      <x:c r="BG97" s="58"/>
      <x:c r="BH97" s="58"/>
      <x:c r="BI97" s="58"/>
      <x:c r="BJ97" s="109"/>
      <x:c r="BK97" s="101"/>
      <x:c r="BL97" s="58"/>
      <x:c r="BM97" s="58"/>
      <x:c r="BN97" s="58"/>
      <x:c r="BO97" s="58"/>
      <x:c r="BP97" s="109"/>
      <x:c r="BQ97" s="101"/>
      <x:c r="BR97" s="58"/>
      <x:c r="BS97" s="58"/>
      <x:c r="BT97" s="58"/>
      <x:c r="BU97" s="58"/>
      <x:c r="BV97" s="109"/>
    </x:row>
    <x:row r="98" spans="1:74" ht="22.5" customHeight="1" x14ac:dyDescent="0.25">
      <x:c r="A98" s="97" t="s">
        <x:v>357</x:v>
      </x:c>
      <x:c r="B98" s="57" t="s">
        <x:v>23</x:v>
      </x:c>
      <x:c r="C98" s="209"/>
      <x:c r="D98" s="210"/>
      <x:c r="E98" s="210"/>
      <x:c r="F98" s="210"/>
      <x:c r="G98" s="210"/>
      <x:c r="H98" s="211"/>
      <x:c r="I98" s="108"/>
      <x:c r="J98" s="58"/>
      <x:c r="K98" s="58"/>
      <x:c r="L98" s="58"/>
      <x:c r="M98" s="58"/>
      <x:c r="N98" s="109"/>
      <x:c r="O98" s="101"/>
      <x:c r="P98" s="58"/>
      <x:c r="Q98" s="58"/>
      <x:c r="R98" s="58"/>
      <x:c r="S98" s="58"/>
      <x:c r="T98" s="109"/>
      <x:c r="U98" s="101"/>
      <x:c r="V98" s="58"/>
      <x:c r="W98" s="58"/>
      <x:c r="X98" s="58"/>
      <x:c r="Y98" s="58"/>
      <x:c r="Z98" s="109"/>
      <x:c r="AA98" s="101"/>
      <x:c r="AB98" s="58"/>
      <x:c r="AC98" s="58"/>
      <x:c r="AD98" s="58"/>
      <x:c r="AE98" s="58"/>
      <x:c r="AF98" s="109"/>
      <x:c r="AG98" s="101"/>
      <x:c r="AH98" s="58"/>
      <x:c r="AI98" s="58"/>
      <x:c r="AJ98" s="58"/>
      <x:c r="AK98" s="58"/>
      <x:c r="AL98" s="109"/>
      <x:c r="AM98" s="209">
        <x:v>100</x:v>
      </x:c>
      <x:c r="AN98" s="210">
        <x:v>100</x:v>
      </x:c>
      <x:c r="AO98" s="653">
        <x:v>0</x:v>
      </x:c>
      <x:c r="AP98" s="653">
        <x:v>0</x:v>
      </x:c>
      <x:c r="AQ98" s="653">
        <x:v>0</x:v>
      </x:c>
      <x:c r="AR98" s="658" t="s">
        <x:v>1102</x:v>
      </x:c>
      <x:c r="AS98" s="262">
        <x:v>100</x:v>
      </x:c>
      <x:c r="AT98" s="210">
        <x:v>64.29</x:v>
      </x:c>
      <x:c r="AU98" s="655">
        <x:v>0</x:v>
      </x:c>
      <x:c r="AV98" s="655">
        <x:v>0</x:v>
      </x:c>
      <x:c r="AW98" s="655">
        <x:v>0</x:v>
      </x:c>
      <x:c r="AX98" s="656" t="s">
        <x:v>1102</x:v>
      </x:c>
      <x:c r="AY98" s="101"/>
      <x:c r="AZ98" s="58"/>
      <x:c r="BA98" s="58"/>
      <x:c r="BB98" s="58"/>
      <x:c r="BC98" s="58"/>
      <x:c r="BD98" s="109"/>
      <x:c r="BE98" s="101"/>
      <x:c r="BF98" s="58"/>
      <x:c r="BG98" s="58"/>
      <x:c r="BH98" s="58"/>
      <x:c r="BI98" s="58"/>
      <x:c r="BJ98" s="109"/>
      <x:c r="BK98" s="101"/>
      <x:c r="BL98" s="58"/>
      <x:c r="BM98" s="58"/>
      <x:c r="BN98" s="58"/>
      <x:c r="BO98" s="58"/>
      <x:c r="BP98" s="109"/>
      <x:c r="BQ98" s="101"/>
      <x:c r="BR98" s="58"/>
      <x:c r="BS98" s="58"/>
      <x:c r="BT98" s="58"/>
      <x:c r="BU98" s="58"/>
      <x:c r="BV98" s="109"/>
    </x:row>
    <x:row r="99" spans="1:74" ht="22.5" customHeight="1" x14ac:dyDescent="0.25">
      <x:c r="A99" s="619" t="s">
        <x:v>351</x:v>
      </x:c>
      <x:c r="B99" s="57" t="s">
        <x:v>23</x:v>
      </x:c>
      <x:c r="C99" s="209"/>
      <x:c r="D99" s="210"/>
      <x:c r="E99" s="210"/>
      <x:c r="F99" s="210"/>
      <x:c r="G99" s="210"/>
      <x:c r="H99" s="211"/>
      <x:c r="I99" s="108"/>
      <x:c r="J99" s="58"/>
      <x:c r="K99" s="58"/>
      <x:c r="L99" s="58"/>
      <x:c r="M99" s="58"/>
      <x:c r="N99" s="109"/>
      <x:c r="O99" s="101"/>
      <x:c r="P99" s="58"/>
      <x:c r="Q99" s="58"/>
      <x:c r="R99" s="58"/>
      <x:c r="S99" s="58"/>
      <x:c r="T99" s="109"/>
      <x:c r="U99" s="101"/>
      <x:c r="V99" s="58"/>
      <x:c r="W99" s="58"/>
      <x:c r="X99" s="58"/>
      <x:c r="Y99" s="58"/>
      <x:c r="Z99" s="109"/>
      <x:c r="AA99" s="101"/>
      <x:c r="AB99" s="58"/>
      <x:c r="AC99" s="58"/>
      <x:c r="AD99" s="58"/>
      <x:c r="AE99" s="58"/>
      <x:c r="AF99" s="109"/>
      <x:c r="AG99" s="101"/>
      <x:c r="AH99" s="58"/>
      <x:c r="AI99" s="58"/>
      <x:c r="AJ99" s="58"/>
      <x:c r="AK99" s="58"/>
      <x:c r="AL99" s="109"/>
      <x:c r="AM99" s="652">
        <x:v>0</x:v>
      </x:c>
      <x:c r="AN99" s="653">
        <x:v>0</x:v>
      </x:c>
      <x:c r="AO99" s="653">
        <x:v>0</x:v>
      </x:c>
      <x:c r="AP99" s="653">
        <x:v>0</x:v>
      </x:c>
      <x:c r="AQ99" s="653">
        <x:v>0</x:v>
      </x:c>
      <x:c r="AR99" s="654" t="s">
        <x:v>1103</x:v>
      </x:c>
      <x:c r="AS99" s="262">
        <x:v>100</x:v>
      </x:c>
      <x:c r="AT99" s="210">
        <x:v>100</x:v>
      </x:c>
      <x:c r="AU99" s="655">
        <x:v>0</x:v>
      </x:c>
      <x:c r="AV99" s="655">
        <x:v>0</x:v>
      </x:c>
      <x:c r="AW99" s="655">
        <x:v>0</x:v>
      </x:c>
      <x:c r="AX99" s="656" t="s">
        <x:v>1102</x:v>
      </x:c>
      <x:c r="AY99" s="101"/>
      <x:c r="AZ99" s="58"/>
      <x:c r="BA99" s="58"/>
      <x:c r="BB99" s="58"/>
      <x:c r="BC99" s="58"/>
      <x:c r="BD99" s="109"/>
      <x:c r="BE99" s="101"/>
      <x:c r="BF99" s="58"/>
      <x:c r="BG99" s="58"/>
      <x:c r="BH99" s="58"/>
      <x:c r="BI99" s="58"/>
      <x:c r="BJ99" s="109"/>
      <x:c r="BK99" s="101"/>
      <x:c r="BL99" s="58"/>
      <x:c r="BM99" s="58"/>
      <x:c r="BN99" s="58"/>
      <x:c r="BO99" s="58"/>
      <x:c r="BP99" s="109"/>
      <x:c r="BQ99" s="101"/>
      <x:c r="BR99" s="58"/>
      <x:c r="BS99" s="58"/>
      <x:c r="BT99" s="58"/>
      <x:c r="BU99" s="58"/>
      <x:c r="BV99" s="109"/>
    </x:row>
    <x:row r="100" spans="1:74" ht="22.5" customHeight="1" x14ac:dyDescent="0.25">
      <x:c r="A100" s="619" t="s">
        <x:v>374</x:v>
      </x:c>
      <x:c r="B100" s="57" t="s">
        <x:v>37</x:v>
      </x:c>
      <x:c r="C100" s="209"/>
      <x:c r="D100" s="210"/>
      <x:c r="E100" s="210"/>
      <x:c r="F100" s="210"/>
      <x:c r="G100" s="210"/>
      <x:c r="H100" s="211"/>
      <x:c r="I100" s="108"/>
      <x:c r="J100" s="58"/>
      <x:c r="K100" s="58"/>
      <x:c r="L100" s="58"/>
      <x:c r="M100" s="58"/>
      <x:c r="N100" s="109"/>
      <x:c r="O100" s="101"/>
      <x:c r="P100" s="58"/>
      <x:c r="Q100" s="58"/>
      <x:c r="R100" s="58"/>
      <x:c r="S100" s="58"/>
      <x:c r="T100" s="109"/>
      <x:c r="U100" s="101"/>
      <x:c r="V100" s="58"/>
      <x:c r="W100" s="58"/>
      <x:c r="X100" s="58"/>
      <x:c r="Y100" s="58"/>
      <x:c r="Z100" s="109"/>
      <x:c r="AA100" s="101"/>
      <x:c r="AB100" s="58"/>
      <x:c r="AC100" s="58"/>
      <x:c r="AD100" s="58"/>
      <x:c r="AE100" s="58"/>
      <x:c r="AF100" s="109"/>
      <x:c r="AG100" s="101"/>
      <x:c r="AH100" s="58"/>
      <x:c r="AI100" s="58"/>
      <x:c r="AJ100" s="58"/>
      <x:c r="AK100" s="58"/>
      <x:c r="AL100" s="109"/>
      <x:c r="AM100" s="652">
        <x:v>0</x:v>
      </x:c>
      <x:c r="AN100" s="653">
        <x:v>0</x:v>
      </x:c>
      <x:c r="AO100" s="653">
        <x:v>0</x:v>
      </x:c>
      <x:c r="AP100" s="653">
        <x:v>0</x:v>
      </x:c>
      <x:c r="AQ100" s="653">
        <x:v>0</x:v>
      </x:c>
      <x:c r="AR100" s="654" t="s">
        <x:v>1103</x:v>
      </x:c>
      <x:c r="AS100" s="262">
        <x:v>100</x:v>
      </x:c>
      <x:c r="AT100" s="210">
        <x:v>100</x:v>
      </x:c>
      <x:c r="AU100" s="655">
        <x:v>0</x:v>
      </x:c>
      <x:c r="AV100" s="655">
        <x:v>0</x:v>
      </x:c>
      <x:c r="AW100" s="655">
        <x:v>0</x:v>
      </x:c>
      <x:c r="AX100" s="656" t="s">
        <x:v>1102</x:v>
      </x:c>
      <x:c r="AY100" s="101"/>
      <x:c r="AZ100" s="58"/>
      <x:c r="BA100" s="58"/>
      <x:c r="BB100" s="58"/>
      <x:c r="BC100" s="58"/>
      <x:c r="BD100" s="109"/>
      <x:c r="BE100" s="101"/>
      <x:c r="BF100" s="58"/>
      <x:c r="BG100" s="58"/>
      <x:c r="BH100" s="58"/>
      <x:c r="BI100" s="58"/>
      <x:c r="BJ100" s="109"/>
      <x:c r="BK100" s="101"/>
      <x:c r="BL100" s="58"/>
      <x:c r="BM100" s="58"/>
      <x:c r="BN100" s="58"/>
      <x:c r="BO100" s="58"/>
      <x:c r="BP100" s="109"/>
      <x:c r="BQ100" s="101"/>
      <x:c r="BR100" s="58"/>
      <x:c r="BS100" s="58"/>
      <x:c r="BT100" s="58"/>
      <x:c r="BU100" s="58"/>
      <x:c r="BV100" s="109"/>
    </x:row>
    <x:row r="101" spans="1:74" ht="22.5" customHeight="1" x14ac:dyDescent="0.25">
      <x:c r="A101" s="619" t="s">
        <x:v>358</x:v>
      </x:c>
      <x:c r="B101" s="57" t="s">
        <x:v>23</x:v>
      </x:c>
      <x:c r="C101" s="209"/>
      <x:c r="D101" s="210"/>
      <x:c r="E101" s="210"/>
      <x:c r="F101" s="210"/>
      <x:c r="G101" s="210"/>
      <x:c r="H101" s="211"/>
      <x:c r="I101" s="108"/>
      <x:c r="J101" s="58"/>
      <x:c r="K101" s="58"/>
      <x:c r="L101" s="58"/>
      <x:c r="M101" s="58"/>
      <x:c r="N101" s="109"/>
      <x:c r="O101" s="101"/>
      <x:c r="P101" s="58"/>
      <x:c r="Q101" s="58"/>
      <x:c r="R101" s="58"/>
      <x:c r="S101" s="58"/>
      <x:c r="T101" s="109"/>
      <x:c r="U101" s="101"/>
      <x:c r="V101" s="58"/>
      <x:c r="W101" s="58"/>
      <x:c r="X101" s="58"/>
      <x:c r="Y101" s="58"/>
      <x:c r="Z101" s="109"/>
      <x:c r="AA101" s="101"/>
      <x:c r="AB101" s="58"/>
      <x:c r="AC101" s="58"/>
      <x:c r="AD101" s="58"/>
      <x:c r="AE101" s="58"/>
      <x:c r="AF101" s="109"/>
      <x:c r="AG101" s="101"/>
      <x:c r="AH101" s="58"/>
      <x:c r="AI101" s="58"/>
      <x:c r="AJ101" s="58"/>
      <x:c r="AK101" s="58"/>
      <x:c r="AL101" s="109"/>
      <x:c r="AM101" s="652">
        <x:v>0</x:v>
      </x:c>
      <x:c r="AN101" s="653">
        <x:v>0</x:v>
      </x:c>
      <x:c r="AO101" s="653">
        <x:v>0</x:v>
      </x:c>
      <x:c r="AP101" s="653">
        <x:v>0</x:v>
      </x:c>
      <x:c r="AQ101" s="653">
        <x:v>0</x:v>
      </x:c>
      <x:c r="AR101" s="654" t="s">
        <x:v>1103</x:v>
      </x:c>
      <x:c r="AS101" s="262">
        <x:v>100</x:v>
      </x:c>
      <x:c r="AT101" s="210">
        <x:v>50</x:v>
      </x:c>
      <x:c r="AU101" s="655">
        <x:v>0</x:v>
      </x:c>
      <x:c r="AV101" s="655">
        <x:v>0</x:v>
      </x:c>
      <x:c r="AW101" s="655">
        <x:v>0</x:v>
      </x:c>
      <x:c r="AX101" s="656" t="s">
        <x:v>1102</x:v>
      </x:c>
      <x:c r="AY101" s="101"/>
      <x:c r="AZ101" s="58"/>
      <x:c r="BA101" s="58"/>
      <x:c r="BB101" s="58"/>
      <x:c r="BC101" s="58"/>
      <x:c r="BD101" s="109"/>
      <x:c r="BE101" s="101"/>
      <x:c r="BF101" s="58"/>
      <x:c r="BG101" s="58"/>
      <x:c r="BH101" s="58"/>
      <x:c r="BI101" s="58"/>
      <x:c r="BJ101" s="109"/>
      <x:c r="BK101" s="101"/>
      <x:c r="BL101" s="58"/>
      <x:c r="BM101" s="58"/>
      <x:c r="BN101" s="58"/>
      <x:c r="BO101" s="58"/>
      <x:c r="BP101" s="109"/>
      <x:c r="BQ101" s="101"/>
      <x:c r="BR101" s="58"/>
      <x:c r="BS101" s="58"/>
      <x:c r="BT101" s="58"/>
      <x:c r="BU101" s="58"/>
      <x:c r="BV101" s="109"/>
    </x:row>
    <x:row r="102" spans="1:74" ht="22.5" customHeight="1" x14ac:dyDescent="0.3">
      <x:c r="A102" s="619" t="s">
        <x:v>382</x:v>
      </x:c>
      <x:c r="B102" s="57" t="s">
        <x:v>23</x:v>
      </x:c>
      <x:c r="C102" s="209"/>
      <x:c r="D102" s="210"/>
      <x:c r="E102" s="210"/>
      <x:c r="F102" s="210"/>
      <x:c r="G102" s="210"/>
      <x:c r="H102" s="211"/>
      <x:c r="I102" s="108"/>
      <x:c r="J102" s="58"/>
      <x:c r="K102" s="58"/>
      <x:c r="L102" s="58"/>
      <x:c r="M102" s="58"/>
      <x:c r="N102" s="109"/>
      <x:c r="O102" s="101"/>
      <x:c r="P102" s="58"/>
      <x:c r="Q102" s="58"/>
      <x:c r="R102" s="58"/>
      <x:c r="S102" s="58"/>
      <x:c r="T102" s="109"/>
      <x:c r="U102" s="101"/>
      <x:c r="V102" s="58"/>
      <x:c r="W102" s="58"/>
      <x:c r="X102" s="58"/>
      <x:c r="Y102" s="58"/>
      <x:c r="Z102" s="109"/>
      <x:c r="AA102" s="101"/>
      <x:c r="AB102" s="58"/>
      <x:c r="AC102" s="58"/>
      <x:c r="AD102" s="58"/>
      <x:c r="AE102" s="58"/>
      <x:c r="AF102" s="109"/>
      <x:c r="AG102" s="101"/>
      <x:c r="AH102" s="58"/>
      <x:c r="AI102" s="58"/>
      <x:c r="AJ102" s="58"/>
      <x:c r="AK102" s="58"/>
      <x:c r="AL102" s="109"/>
      <x:c r="AM102" s="652">
        <x:v>0</x:v>
      </x:c>
      <x:c r="AN102" s="653">
        <x:v>0</x:v>
      </x:c>
      <x:c r="AO102" s="653">
        <x:v>0</x:v>
      </x:c>
      <x:c r="AP102" s="653">
        <x:v>0</x:v>
      </x:c>
      <x:c r="AQ102" s="653">
        <x:v>0</x:v>
      </x:c>
      <x:c r="AR102" s="654" t="s">
        <x:v>1103</x:v>
      </x:c>
      <x:c r="AS102" s="262">
        <x:v>100</x:v>
      </x:c>
      <x:c r="AT102" s="210">
        <x:v>100</x:v>
      </x:c>
      <x:c r="AU102" s="655">
        <x:v>0</x:v>
      </x:c>
      <x:c r="AV102" s="655">
        <x:v>0</x:v>
      </x:c>
      <x:c r="AW102" s="655">
        <x:v>0</x:v>
      </x:c>
      <x:c r="AX102" s="656" t="s">
        <x:v>1102</x:v>
      </x:c>
      <x:c r="AY102" s="101"/>
      <x:c r="AZ102" s="58"/>
      <x:c r="BA102" s="58"/>
      <x:c r="BB102" s="58"/>
      <x:c r="BC102" s="58"/>
      <x:c r="BD102" s="109"/>
      <x:c r="BE102" s="101"/>
      <x:c r="BF102" s="58"/>
      <x:c r="BG102" s="58"/>
      <x:c r="BH102" s="58"/>
      <x:c r="BI102" s="58"/>
      <x:c r="BJ102" s="109"/>
      <x:c r="BK102" s="101"/>
      <x:c r="BL102" s="58"/>
      <x:c r="BM102" s="58"/>
      <x:c r="BN102" s="58"/>
      <x:c r="BO102" s="58"/>
      <x:c r="BP102" s="109"/>
      <x:c r="BQ102" s="101"/>
      <x:c r="BR102" s="58"/>
      <x:c r="BS102" s="58"/>
      <x:c r="BT102" s="58"/>
      <x:c r="BU102" s="58"/>
      <x:c r="BV102" s="109"/>
    </x:row>
    <x:row r="103" spans="1:74" ht="22.5" customHeight="1" x14ac:dyDescent="0.25">
      <x:c r="A103" s="619" t="s">
        <x:v>393</x:v>
      </x:c>
      <x:c r="B103" s="57" t="s">
        <x:v>37</x:v>
      </x:c>
      <x:c r="C103" s="209"/>
      <x:c r="D103" s="210"/>
      <x:c r="E103" s="210"/>
      <x:c r="F103" s="210"/>
      <x:c r="G103" s="210"/>
      <x:c r="H103" s="211"/>
      <x:c r="I103" s="108"/>
      <x:c r="J103" s="58"/>
      <x:c r="K103" s="58"/>
      <x:c r="L103" s="58"/>
      <x:c r="M103" s="58"/>
      <x:c r="N103" s="109"/>
      <x:c r="O103" s="101"/>
      <x:c r="P103" s="58"/>
      <x:c r="Q103" s="58"/>
      <x:c r="R103" s="58"/>
      <x:c r="S103" s="58"/>
      <x:c r="T103" s="109"/>
      <x:c r="U103" s="101"/>
      <x:c r="V103" s="58"/>
      <x:c r="W103" s="58"/>
      <x:c r="X103" s="58"/>
      <x:c r="Y103" s="58"/>
      <x:c r="Z103" s="109"/>
      <x:c r="AA103" s="101"/>
      <x:c r="AB103" s="58"/>
      <x:c r="AC103" s="58"/>
      <x:c r="AD103" s="58"/>
      <x:c r="AE103" s="58"/>
      <x:c r="AF103" s="109"/>
      <x:c r="AG103" s="101"/>
      <x:c r="AH103" s="58"/>
      <x:c r="AI103" s="58"/>
      <x:c r="AJ103" s="58"/>
      <x:c r="AK103" s="58"/>
      <x:c r="AL103" s="109"/>
      <x:c r="AM103" s="652">
        <x:v>0</x:v>
      </x:c>
      <x:c r="AN103" s="653">
        <x:v>0</x:v>
      </x:c>
      <x:c r="AO103" s="653">
        <x:v>0</x:v>
      </x:c>
      <x:c r="AP103" s="653">
        <x:v>0</x:v>
      </x:c>
      <x:c r="AQ103" s="653">
        <x:v>0</x:v>
      </x:c>
      <x:c r="AR103" s="654" t="s">
        <x:v>1103</x:v>
      </x:c>
      <x:c r="AS103" s="262">
        <x:v>100</x:v>
      </x:c>
      <x:c r="AT103" s="655">
        <x:v>0</x:v>
      </x:c>
      <x:c r="AU103" s="655">
        <x:v>0</x:v>
      </x:c>
      <x:c r="AV103" s="655">
        <x:v>0</x:v>
      </x:c>
      <x:c r="AW103" s="655">
        <x:v>0</x:v>
      </x:c>
      <x:c r="AX103" s="656" t="s">
        <x:v>1102</x:v>
      </x:c>
      <x:c r="AY103" s="101"/>
      <x:c r="AZ103" s="58"/>
      <x:c r="BA103" s="58"/>
      <x:c r="BB103" s="58"/>
      <x:c r="BC103" s="58"/>
      <x:c r="BD103" s="109"/>
      <x:c r="BE103" s="101"/>
      <x:c r="BF103" s="58"/>
      <x:c r="BG103" s="58"/>
      <x:c r="BH103" s="58"/>
      <x:c r="BI103" s="58"/>
      <x:c r="BJ103" s="109"/>
      <x:c r="BK103" s="101"/>
      <x:c r="BL103" s="58"/>
      <x:c r="BM103" s="58"/>
      <x:c r="BN103" s="58"/>
      <x:c r="BO103" s="58"/>
      <x:c r="BP103" s="109"/>
      <x:c r="BQ103" s="101"/>
      <x:c r="BR103" s="58"/>
      <x:c r="BS103" s="58"/>
      <x:c r="BT103" s="58"/>
      <x:c r="BU103" s="58"/>
      <x:c r="BV103" s="109"/>
    </x:row>
    <x:row r="104" spans="1:74" ht="22.5" customHeight="1" x14ac:dyDescent="0.25">
      <x:c r="A104" s="619" t="s">
        <x:v>331</x:v>
      </x:c>
      <x:c r="B104" s="57" t="s">
        <x:v>23</x:v>
      </x:c>
      <x:c r="C104" s="209"/>
      <x:c r="D104" s="210"/>
      <x:c r="E104" s="210"/>
      <x:c r="F104" s="210"/>
      <x:c r="G104" s="210"/>
      <x:c r="H104" s="211"/>
      <x:c r="I104" s="108"/>
      <x:c r="J104" s="58"/>
      <x:c r="K104" s="58"/>
      <x:c r="L104" s="58"/>
      <x:c r="M104" s="58"/>
      <x:c r="N104" s="109"/>
      <x:c r="O104" s="101"/>
      <x:c r="P104" s="58"/>
      <x:c r="Q104" s="58"/>
      <x:c r="R104" s="58"/>
      <x:c r="S104" s="58"/>
      <x:c r="T104" s="109"/>
      <x:c r="U104" s="101"/>
      <x:c r="V104" s="58"/>
      <x:c r="W104" s="58"/>
      <x:c r="X104" s="58"/>
      <x:c r="Y104" s="58"/>
      <x:c r="Z104" s="109"/>
      <x:c r="AA104" s="101"/>
      <x:c r="AB104" s="58"/>
      <x:c r="AC104" s="58"/>
      <x:c r="AD104" s="58"/>
      <x:c r="AE104" s="58"/>
      <x:c r="AF104" s="109"/>
      <x:c r="AG104" s="101"/>
      <x:c r="AH104" s="58"/>
      <x:c r="AI104" s="58"/>
      <x:c r="AJ104" s="58"/>
      <x:c r="AK104" s="58"/>
      <x:c r="AL104" s="109"/>
      <x:c r="AM104" s="652">
        <x:v>0</x:v>
      </x:c>
      <x:c r="AN104" s="653">
        <x:v>0</x:v>
      </x:c>
      <x:c r="AO104" s="653">
        <x:v>0</x:v>
      </x:c>
      <x:c r="AP104" s="653">
        <x:v>0</x:v>
      </x:c>
      <x:c r="AQ104" s="653">
        <x:v>0</x:v>
      </x:c>
      <x:c r="AR104" s="654" t="s">
        <x:v>1103</x:v>
      </x:c>
      <x:c r="AS104" s="262">
        <x:v>100</x:v>
      </x:c>
      <x:c r="AT104" s="210">
        <x:v>100</x:v>
      </x:c>
      <x:c r="AU104" s="210">
        <x:v>100</x:v>
      </x:c>
      <x:c r="AV104" s="210">
        <x:v>67.86</x:v>
      </x:c>
      <x:c r="AW104" s="655">
        <x:v>0</x:v>
      </x:c>
      <x:c r="AX104" s="656" t="s">
        <x:v>1102</x:v>
      </x:c>
      <x:c r="AY104" s="101"/>
      <x:c r="AZ104" s="58"/>
      <x:c r="BA104" s="58"/>
      <x:c r="BB104" s="58"/>
      <x:c r="BC104" s="58"/>
      <x:c r="BD104" s="109"/>
      <x:c r="BE104" s="101"/>
      <x:c r="BF104" s="58"/>
      <x:c r="BG104" s="58"/>
      <x:c r="BH104" s="58"/>
      <x:c r="BI104" s="58"/>
      <x:c r="BJ104" s="109"/>
      <x:c r="BK104" s="101"/>
      <x:c r="BL104" s="58"/>
      <x:c r="BM104" s="58"/>
      <x:c r="BN104" s="58"/>
      <x:c r="BO104" s="58"/>
      <x:c r="BP104" s="109"/>
      <x:c r="BQ104" s="101"/>
      <x:c r="BR104" s="58"/>
      <x:c r="BS104" s="58"/>
      <x:c r="BT104" s="58"/>
      <x:c r="BU104" s="58"/>
      <x:c r="BV104" s="109"/>
    </x:row>
    <x:row r="105" spans="1:74" ht="22.5" customHeight="1" x14ac:dyDescent="0.25">
      <x:c r="A105" s="619" t="s">
        <x:v>305</x:v>
      </x:c>
      <x:c r="B105" s="57" t="s">
        <x:v>191</x:v>
      </x:c>
      <x:c r="C105" s="209"/>
      <x:c r="D105" s="210"/>
      <x:c r="E105" s="210"/>
      <x:c r="F105" s="210"/>
      <x:c r="G105" s="210"/>
      <x:c r="H105" s="211"/>
      <x:c r="I105" s="108"/>
      <x:c r="J105" s="58"/>
      <x:c r="K105" s="58"/>
      <x:c r="L105" s="58"/>
      <x:c r="M105" s="58"/>
      <x:c r="N105" s="109"/>
      <x:c r="O105" s="101"/>
      <x:c r="P105" s="58"/>
      <x:c r="Q105" s="58"/>
      <x:c r="R105" s="58"/>
      <x:c r="S105" s="58"/>
      <x:c r="T105" s="109"/>
      <x:c r="U105" s="101"/>
      <x:c r="V105" s="58"/>
      <x:c r="W105" s="58"/>
      <x:c r="X105" s="58"/>
      <x:c r="Y105" s="58"/>
      <x:c r="Z105" s="109"/>
      <x:c r="AA105" s="101"/>
      <x:c r="AB105" s="58"/>
      <x:c r="AC105" s="58"/>
      <x:c r="AD105" s="58"/>
      <x:c r="AE105" s="58"/>
      <x:c r="AF105" s="109"/>
      <x:c r="AG105" s="101"/>
      <x:c r="AH105" s="58"/>
      <x:c r="AI105" s="58"/>
      <x:c r="AJ105" s="58"/>
      <x:c r="AK105" s="58"/>
      <x:c r="AL105" s="109"/>
      <x:c r="AM105" s="652">
        <x:v>0</x:v>
      </x:c>
      <x:c r="AN105" s="653">
        <x:v>0</x:v>
      </x:c>
      <x:c r="AO105" s="653">
        <x:v>0</x:v>
      </x:c>
      <x:c r="AP105" s="653">
        <x:v>0</x:v>
      </x:c>
      <x:c r="AQ105" s="653">
        <x:v>0</x:v>
      </x:c>
      <x:c r="AR105" s="654" t="s">
        <x:v>1103</x:v>
      </x:c>
      <x:c r="AS105" s="262">
        <x:v>100</x:v>
      </x:c>
      <x:c r="AT105" s="210">
        <x:v>100</x:v>
      </x:c>
      <x:c r="AU105" s="655">
        <x:v>0</x:v>
      </x:c>
      <x:c r="AV105" s="655">
        <x:v>0</x:v>
      </x:c>
      <x:c r="AW105" s="655">
        <x:v>0</x:v>
      </x:c>
      <x:c r="AX105" s="656" t="s">
        <x:v>1102</x:v>
      </x:c>
      <x:c r="AY105" s="101"/>
      <x:c r="AZ105" s="58"/>
      <x:c r="BA105" s="58"/>
      <x:c r="BB105" s="58"/>
      <x:c r="BC105" s="58"/>
      <x:c r="BD105" s="109"/>
      <x:c r="BE105" s="101"/>
      <x:c r="BF105" s="58"/>
      <x:c r="BG105" s="58"/>
      <x:c r="BH105" s="58"/>
      <x:c r="BI105" s="58"/>
      <x:c r="BJ105" s="109"/>
      <x:c r="BK105" s="101"/>
      <x:c r="BL105" s="58"/>
      <x:c r="BM105" s="58"/>
      <x:c r="BN105" s="58"/>
      <x:c r="BO105" s="58"/>
      <x:c r="BP105" s="109"/>
      <x:c r="BQ105" s="101"/>
      <x:c r="BR105" s="58"/>
      <x:c r="BS105" s="58"/>
      <x:c r="BT105" s="58"/>
      <x:c r="BU105" s="58"/>
      <x:c r="BV105" s="109"/>
    </x:row>
    <x:row r="106" spans="1:74" ht="22.5" customHeight="1" x14ac:dyDescent="0.25">
      <x:c r="A106" s="618" t="s">
        <x:v>343</x:v>
      </x:c>
      <x:c r="B106" s="57" t="s">
        <x:v>23</x:v>
      </x:c>
      <x:c r="C106" s="209"/>
      <x:c r="D106" s="210"/>
      <x:c r="E106" s="210"/>
      <x:c r="F106" s="210"/>
      <x:c r="G106" s="210"/>
      <x:c r="H106" s="211"/>
      <x:c r="I106" s="108"/>
      <x:c r="J106" s="58"/>
      <x:c r="K106" s="58"/>
      <x:c r="L106" s="58"/>
      <x:c r="M106" s="58"/>
      <x:c r="N106" s="109"/>
      <x:c r="O106" s="101"/>
      <x:c r="P106" s="58"/>
      <x:c r="Q106" s="58"/>
      <x:c r="R106" s="58"/>
      <x:c r="S106" s="58"/>
      <x:c r="T106" s="109"/>
      <x:c r="U106" s="101"/>
      <x:c r="V106" s="58"/>
      <x:c r="W106" s="58"/>
      <x:c r="X106" s="58"/>
      <x:c r="Y106" s="58"/>
      <x:c r="Z106" s="109"/>
      <x:c r="AA106" s="101"/>
      <x:c r="AB106" s="58"/>
      <x:c r="AC106" s="58"/>
      <x:c r="AD106" s="58"/>
      <x:c r="AE106" s="58"/>
      <x:c r="AF106" s="109"/>
      <x:c r="AG106" s="101"/>
      <x:c r="AH106" s="58"/>
      <x:c r="AI106" s="58"/>
      <x:c r="AJ106" s="58"/>
      <x:c r="AK106" s="58"/>
      <x:c r="AL106" s="109"/>
      <x:c r="AM106" s="652">
        <x:v>0</x:v>
      </x:c>
      <x:c r="AN106" s="653">
        <x:v>0</x:v>
      </x:c>
      <x:c r="AO106" s="653">
        <x:v>0</x:v>
      </x:c>
      <x:c r="AP106" s="653">
        <x:v>0</x:v>
      </x:c>
      <x:c r="AQ106" s="653">
        <x:v>0</x:v>
      </x:c>
      <x:c r="AR106" s="654" t="s">
        <x:v>1103</x:v>
      </x:c>
      <x:c r="AS106" s="657">
        <x:v>0</x:v>
      </x:c>
      <x:c r="AT106" s="653">
        <x:v>0</x:v>
      </x:c>
      <x:c r="AU106" s="653">
        <x:v>0</x:v>
      </x:c>
      <x:c r="AV106" s="653">
        <x:v>0</x:v>
      </x:c>
      <x:c r="AW106" s="653">
        <x:v>0</x:v>
      </x:c>
      <x:c r="AX106" s="654" t="s">
        <x:v>1103</x:v>
      </x:c>
      <x:c r="AY106" s="101"/>
      <x:c r="AZ106" s="58"/>
      <x:c r="BA106" s="58"/>
      <x:c r="BB106" s="58"/>
      <x:c r="BC106" s="58"/>
      <x:c r="BD106" s="109"/>
      <x:c r="BE106" s="101"/>
      <x:c r="BF106" s="58"/>
      <x:c r="BG106" s="58"/>
      <x:c r="BH106" s="58"/>
      <x:c r="BI106" s="58"/>
      <x:c r="BJ106" s="109"/>
      <x:c r="BK106" s="101"/>
      <x:c r="BL106" s="58"/>
      <x:c r="BM106" s="58"/>
      <x:c r="BN106" s="58"/>
      <x:c r="BO106" s="58"/>
      <x:c r="BP106" s="109"/>
      <x:c r="BQ106" s="101"/>
      <x:c r="BR106" s="58"/>
      <x:c r="BS106" s="58"/>
      <x:c r="BT106" s="58"/>
      <x:c r="BU106" s="58"/>
      <x:c r="BV106" s="109"/>
    </x:row>
    <x:row r="107" spans="1:74" ht="22.5" customHeight="1" x14ac:dyDescent="0.25">
      <x:c r="A107" s="97" t="s">
        <x:v>303</x:v>
      </x:c>
      <x:c r="B107" s="57" t="s">
        <x:v>183</x:v>
      </x:c>
      <x:c r="C107" s="209"/>
      <x:c r="D107" s="210"/>
      <x:c r="E107" s="210"/>
      <x:c r="F107" s="210"/>
      <x:c r="G107" s="210"/>
      <x:c r="H107" s="211"/>
      <x:c r="I107" s="108"/>
      <x:c r="J107" s="58"/>
      <x:c r="K107" s="58"/>
      <x:c r="L107" s="58"/>
      <x:c r="M107" s="58"/>
      <x:c r="N107" s="109"/>
      <x:c r="O107" s="101"/>
      <x:c r="P107" s="58"/>
      <x:c r="Q107" s="58"/>
      <x:c r="R107" s="58"/>
      <x:c r="S107" s="58"/>
      <x:c r="T107" s="109"/>
      <x:c r="U107" s="101"/>
      <x:c r="V107" s="58"/>
      <x:c r="W107" s="58"/>
      <x:c r="X107" s="58"/>
      <x:c r="Y107" s="58"/>
      <x:c r="Z107" s="109"/>
      <x:c r="AA107" s="101"/>
      <x:c r="AB107" s="58"/>
      <x:c r="AC107" s="58"/>
      <x:c r="AD107" s="58"/>
      <x:c r="AE107" s="58"/>
      <x:c r="AF107" s="109"/>
      <x:c r="AG107" s="101"/>
      <x:c r="AH107" s="58"/>
      <x:c r="AI107" s="58"/>
      <x:c r="AJ107" s="58"/>
      <x:c r="AK107" s="58"/>
      <x:c r="AL107" s="109"/>
      <x:c r="AM107" s="209">
        <x:v>100</x:v>
      </x:c>
      <x:c r="AN107" s="210">
        <x:v>100</x:v>
      </x:c>
      <x:c r="AO107" s="653">
        <x:v>0</x:v>
      </x:c>
      <x:c r="AP107" s="653">
        <x:v>0</x:v>
      </x:c>
      <x:c r="AQ107" s="653">
        <x:v>0</x:v>
      </x:c>
      <x:c r="AR107" s="658" t="s">
        <x:v>1102</x:v>
      </x:c>
      <x:c r="AS107" s="262">
        <x:v>100</x:v>
      </x:c>
      <x:c r="AT107" s="210">
        <x:v>100</x:v>
      </x:c>
      <x:c r="AU107" s="210">
        <x:v>64.29</x:v>
      </x:c>
      <x:c r="AV107" s="655">
        <x:v>0</x:v>
      </x:c>
      <x:c r="AW107" s="655">
        <x:v>0</x:v>
      </x:c>
      <x:c r="AX107" s="656" t="s">
        <x:v>1102</x:v>
      </x:c>
      <x:c r="AY107" s="101"/>
      <x:c r="AZ107" s="58"/>
      <x:c r="BA107" s="58"/>
      <x:c r="BB107" s="58"/>
      <x:c r="BC107" s="58"/>
      <x:c r="BD107" s="109"/>
      <x:c r="BE107" s="101"/>
      <x:c r="BF107" s="58"/>
      <x:c r="BG107" s="58"/>
      <x:c r="BH107" s="58"/>
      <x:c r="BI107" s="58"/>
      <x:c r="BJ107" s="109"/>
      <x:c r="BK107" s="101"/>
      <x:c r="BL107" s="58"/>
      <x:c r="BM107" s="58"/>
      <x:c r="BN107" s="58"/>
      <x:c r="BO107" s="58"/>
      <x:c r="BP107" s="109"/>
      <x:c r="BQ107" s="101"/>
      <x:c r="BR107" s="58"/>
      <x:c r="BS107" s="58"/>
      <x:c r="BT107" s="58"/>
      <x:c r="BU107" s="58"/>
      <x:c r="BV107" s="109"/>
    </x:row>
    <x:row r="108" spans="1:74" ht="22.5" customHeight="1" x14ac:dyDescent="0.25">
      <x:c r="A108" s="644" t="s">
        <x:v>367</x:v>
      </x:c>
      <x:c r="B108" s="107" t="s">
        <x:v>23</x:v>
      </x:c>
      <x:c r="C108" s="212"/>
      <x:c r="D108" s="213"/>
      <x:c r="E108" s="213"/>
      <x:c r="F108" s="213"/>
      <x:c r="G108" s="213"/>
      <x:c r="H108" s="214"/>
      <x:c r="I108" s="110"/>
      <x:c r="J108" s="111"/>
      <x:c r="K108" s="111"/>
      <x:c r="L108" s="111"/>
      <x:c r="M108" s="111"/>
      <x:c r="N108" s="112"/>
      <x:c r="O108" s="113"/>
      <x:c r="P108" s="111"/>
      <x:c r="Q108" s="111"/>
      <x:c r="R108" s="111"/>
      <x:c r="S108" s="111"/>
      <x:c r="T108" s="112"/>
      <x:c r="U108" s="113"/>
      <x:c r="V108" s="111"/>
      <x:c r="W108" s="111"/>
      <x:c r="X108" s="111"/>
      <x:c r="Y108" s="111"/>
      <x:c r="Z108" s="112"/>
      <x:c r="AA108" s="113"/>
      <x:c r="AB108" s="111"/>
      <x:c r="AC108" s="111"/>
      <x:c r="AD108" s="111"/>
      <x:c r="AE108" s="111"/>
      <x:c r="AF108" s="112"/>
      <x:c r="AG108" s="113"/>
      <x:c r="AH108" s="111"/>
      <x:c r="AI108" s="111"/>
      <x:c r="AJ108" s="111"/>
      <x:c r="AK108" s="111"/>
      <x:c r="AL108" s="112"/>
      <x:c r="AM108" s="660">
        <x:v>0</x:v>
      </x:c>
      <x:c r="AN108" s="661">
        <x:v>0</x:v>
      </x:c>
      <x:c r="AO108" s="661">
        <x:v>0</x:v>
      </x:c>
      <x:c r="AP108" s="661">
        <x:v>0</x:v>
      </x:c>
      <x:c r="AQ108" s="661">
        <x:v>0</x:v>
      </x:c>
      <x:c r="AR108" s="662" t="s">
        <x:v>1103</x:v>
      </x:c>
      <x:c r="AS108" s="663">
        <x:v>0</x:v>
      </x:c>
      <x:c r="AT108" s="661">
        <x:v>0</x:v>
      </x:c>
      <x:c r="AU108" s="661">
        <x:v>0</x:v>
      </x:c>
      <x:c r="AV108" s="661">
        <x:v>0</x:v>
      </x:c>
      <x:c r="AW108" s="661">
        <x:v>0</x:v>
      </x:c>
      <x:c r="AX108" s="662" t="s">
        <x:v>1103</x:v>
      </x:c>
      <x:c r="AY108" s="113"/>
      <x:c r="AZ108" s="111"/>
      <x:c r="BA108" s="111"/>
      <x:c r="BB108" s="111"/>
      <x:c r="BC108" s="111"/>
      <x:c r="BD108" s="112"/>
      <x:c r="BE108" s="113"/>
      <x:c r="BF108" s="111"/>
      <x:c r="BG108" s="111"/>
      <x:c r="BH108" s="111"/>
      <x:c r="BI108" s="111"/>
      <x:c r="BJ108" s="112"/>
      <x:c r="BK108" s="113"/>
      <x:c r="BL108" s="111"/>
      <x:c r="BM108" s="111"/>
      <x:c r="BN108" s="111"/>
      <x:c r="BO108" s="111"/>
      <x:c r="BP108" s="112"/>
      <x:c r="BQ108" s="113"/>
      <x:c r="BR108" s="111"/>
      <x:c r="BS108" s="111"/>
      <x:c r="BT108" s="111"/>
      <x:c r="BU108" s="111"/>
      <x:c r="BV108" s="112"/>
    </x:row>
    <x:row r="109" spans="1:74" x14ac:dyDescent="0.25">
      <x:c r="C109" s="512">
        <x:f>SUMPRODUCT((C3:C108&gt;=10)*(D3:D108&gt;=10)*(E3:E108&gt;=10)*(F3:F108&gt;=10)*(G3:G108&gt;=10))</x:f>
      </x:c>
      <x:c r="H109" s="120">
        <x:f>COUNTIF(H3:H108,"Да")</x:f>
      </x:c>
      <x:c r="I109" s="512">
        <x:f>SUMPRODUCT((I3:I108&gt;=10)*(J3:J108&gt;=10)*(K3:K108&gt;=10)*(L3:L108&gt;=10)*(M3:M108&gt;=10))</x:f>
      </x:c>
      <x:c r="N109" s="120">
        <x:f>COUNTIF(N3:N108,"Да")</x:f>
      </x:c>
      <x:c r="O109" s="512">
        <x:f>SUMPRODUCT((O3:O108&gt;=10)*(P3:P108&gt;=10)*(Q3:Q108&gt;=10)*(R3:R108&gt;=10)*(S3:S108&gt;=10))</x:f>
      </x:c>
      <x:c r="T109" s="120">
        <x:f>COUNTIF(T3:T108,"Да")</x:f>
      </x:c>
      <x:c r="U109" s="512">
        <x:f>SUMPRODUCT((U3:U108&gt;=10)*(V3:V108&gt;=10)*(W3:W108&gt;=10)*(X3:X108&gt;=10)*(Y3:Y108&gt;=10))</x:f>
      </x:c>
      <x:c r="Z109" s="120">
        <x:f>COUNTIF(Z3:Z108,"Да")</x:f>
      </x:c>
      <x:c r="AA109" s="512">
        <x:f>SUMPRODUCT((AA3:AA108&gt;=10)*(AB3:AB108&gt;=10)*(AC3:AC108&gt;=10)*(AD3:AD108&gt;=10)*(AE3:AE108&gt;=10))</x:f>
      </x:c>
      <x:c r="AF109" s="120">
        <x:f>COUNTIF(AF3:AF108,"Да")</x:f>
      </x:c>
      <x:c r="AG109" s="512">
        <x:f>SUMPRODUCT((AG3:AG108&gt;=10)*(AH3:AH108&gt;=10)*(AI3:AI108&gt;=10)*(AJ3:AJ108&gt;=10)*(AK3:AK108&gt;=10))</x:f>
      </x:c>
      <x:c r="AL109" s="120">
        <x:f>COUNTIF(AL3:AL108,"Да")</x:f>
      </x:c>
      <x:c r="AM109" s="512">
        <x:f>SUMPRODUCT((AM3:AM108&gt;=10)*(AN3:AN108&gt;=10)*(AO3:AO108&gt;=10)*(AP3:AP108&gt;=10)*(AQ3:AQ108&gt;=10))</x:f>
      </x:c>
      <x:c r="AR109" s="120">
        <x:f>COUNTIF(AR3:AR108,"Да")</x:f>
      </x:c>
      <x:c r="AS109" s="512">
        <x:f>SUMPRODUCT((AS3:AS108&gt;=10)*(AT3:AT108&gt;=10)*(AU3:AU108&gt;=10)*(AV3:AV108&gt;=10)*(AW3:AW108&gt;=10))</x:f>
      </x:c>
      <x:c r="AX109" s="120">
        <x:f>COUNTIF(AX3:AX108,"Да")</x:f>
      </x:c>
      <x:c r="AY109" s="512">
        <x:f>SUMPRODUCT((AY3:AY108&gt;=10)*(AZ3:AZ108&gt;=10)*(BA3:BA108&gt;=10)*(BB3:BB108&gt;=10)*(BC3:BC108&gt;=10))</x:f>
      </x:c>
      <x:c r="BD109" s="120">
        <x:f>COUNTIF(BD3:BD108,"Да")</x:f>
      </x:c>
      <x:c r="BE109" s="512">
        <x:f>SUMPRODUCT((BE3:BE108&gt;=10)*(BF3:BF108&gt;=10)*(BG3:BG108&gt;=10)*(BH3:BH108&gt;=10)*(BI3:BI108&gt;=10))</x:f>
      </x:c>
      <x:c r="BJ109" s="120">
        <x:f>COUNTIF(BJ3:BJ108,"Да")</x:f>
      </x:c>
      <x:c r="BK109" s="512">
        <x:f>SUMPRODUCT((BK3:BK108&gt;=10)*(BL3:BL108&gt;=10)*(BM3:BM108&gt;=10)*(BN3:BN108&gt;=10)*(BO3:BO108&gt;=10))</x:f>
      </x:c>
      <x:c r="BP109" s="120">
        <x:f>COUNTIF(BP3:BP108,"Да")</x:f>
      </x:c>
      <x:c r="BQ109" s="512">
        <x:f>SUMPRODUCT((BQ3:BQ108&gt;=10)*(BR3:BR108&gt;=10)*(BS3:BS108&gt;=10)*(BT3:BT108&gt;=10)*(BU3:BU108&gt;=10))</x:f>
      </x:c>
      <x:c r="BV109" s="120">
        <x:f>COUNTIF(BV3:BV108,"Да")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109:G109"/>
    <x:mergeCell ref="I109:M109"/>
    <x:mergeCell ref="O109:S109"/>
    <x:mergeCell ref="U109:Y109"/>
    <x:mergeCell ref="AA109:AE109"/>
    <x:mergeCell ref="AG109:AK109"/>
    <x:mergeCell ref="AM109:AQ109"/>
    <x:mergeCell ref="AS109:AW109"/>
    <x:mergeCell ref="AY109:BC109"/>
    <x:mergeCell ref="BE109:BI109"/>
    <x:mergeCell ref="BK109:BO109"/>
    <x:mergeCell ref="BQ109:BU109"/>
  </x:mergeCells>
  <x:conditionalFormatting sqref="C3:BV108">
    <x:cfRule type="containsBlanks" dxfId="8" priority="1">
      <x:formula>LEN(TRIM(C3))=0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C3:U108 X3:X108">
    <x:cfRule type="expression" priority="6" stopIfTrue="1" operator="equal">
      <x:formula>LEN(TRIM(C3&amp;""))=0</x:formula>
    </x:cfRule>
  </x:conditionalFormatting>
  <x:conditionalFormatting sqref="A1:A1">
    <x:cfRule type="duplicateValues" dxfId="0" priority="7"/>
  </x:conditionalFormatting>
  <x:conditionalFormatting sqref="A3:A102">
    <x:cfRule type="duplicateValues" dxfId="0" priority="8"/>
    <x:cfRule type="duplicateValues" dxfId="0" priority="9"/>
  </x:conditionalFormatting>
  <x:conditionalFormatting sqref="V3:W108 Y3:BV108">
    <x:cfRule type="expression" priority="10" stopIfTrue="1" operator="equal">
      <x:formula>LEN(TRIM(V3&amp;""))=0</x:formula>
    </x:cfRule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V14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7.570312" style="0" customWidth="1"/>
    <x:col min="2" max="2" width="21.570312" style="0" customWidth="1"/>
    <x:col min="3" max="7" width="9.140625" style="0" customWidth="1"/>
    <x:col min="8" max="8" width="10" style="0" customWidth="1"/>
    <x:col min="9" max="13" width="9.140625" style="0" customWidth="1"/>
    <x:col min="14" max="14" width="10.140625" style="0" customWidth="1"/>
    <x:col min="15" max="19" width="9.140625" style="0" customWidth="1"/>
    <x:col min="20" max="20" width="10" style="0" customWidth="1"/>
    <x:col min="21" max="25" width="9.140625" style="0" customWidth="1"/>
    <x:col min="26" max="26" width="9.570312" style="0" customWidth="1"/>
    <x:col min="27" max="31" width="9.140625" style="0" customWidth="1"/>
    <x:col min="32" max="32" width="9.570312" style="0" customWidth="1"/>
    <x:col min="33" max="37" width="9.140625" style="0" customWidth="1"/>
    <x:col min="38" max="38" width="9.855469" style="0" customWidth="1"/>
    <x:col min="39" max="43" width="9.140625" style="0" customWidth="1"/>
    <x:col min="44" max="44" width="10.140625" style="0" customWidth="1"/>
    <x:col min="45" max="49" width="9.140625" style="0" customWidth="1"/>
    <x:col min="50" max="50" width="10" style="0" customWidth="1"/>
    <x:col min="51" max="55" width="9.140625" style="0" customWidth="1"/>
    <x:col min="56" max="56" width="10.855469" style="0" customWidth="1"/>
    <x:col min="57" max="61" width="9.140625" style="0" customWidth="1"/>
    <x:col min="62" max="62" width="9.570312" style="0" customWidth="1"/>
    <x:col min="63" max="67" width="9.140625" style="0" customWidth="1"/>
    <x:col min="68" max="68" width="9.710938" style="0" customWidth="1"/>
    <x:col min="69" max="73" width="9.140625" style="0" customWidth="1"/>
    <x:col min="74" max="74" width="9.570312" style="0" customWidth="1"/>
  </x:cols>
  <x:sheetData>
    <x:row r="1" spans="1:74" ht="28.5" customHeight="1" x14ac:dyDescent="0.3">
      <x:c r="A1" s="22" t="s">
        <x:v>1083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5" t="s">
        <x:v>958</x:v>
      </x:c>
      <x:c r="B3" s="96" t="s">
        <x:v>21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52.17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270" t="s">
        <x:v>1136</x:v>
      </x:c>
      <x:c r="B4" s="122"/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57"/>
      <x:c r="AN4" s="158"/>
      <x:c r="AO4" s="158"/>
      <x:c r="AP4" s="158"/>
      <x:c r="AQ4" s="158"/>
      <x:c r="AR4" s="197"/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91.67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97" t="s">
        <x:v>962</x:v>
      </x:c>
      <x:c r="B5" s="122" t="s">
        <x:v>23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589">
        <x:v>0</x:v>
      </x:c>
      <x:c r="AR5" s="620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158">
        <x:v>92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97" t="s">
        <x:v>955</x:v>
      </x:c>
      <x:c r="B6" s="122" t="s">
        <x:v>16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33.75" customHeight="1" x14ac:dyDescent="0.25">
      <x:c r="A7" s="618" t="s">
        <x:v>956</x:v>
      </x:c>
      <x:c r="B7" s="122" t="s">
        <x:v>16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588">
        <x:v>0</x:v>
      </x:c>
      <x:c r="AN7" s="589">
        <x:v>0</x:v>
      </x:c>
      <x:c r="AO7" s="589">
        <x:v>0</x:v>
      </x:c>
      <x:c r="AP7" s="589">
        <x:v>0</x:v>
      </x:c>
      <x:c r="AQ7" s="589">
        <x:v>0</x:v>
      </x:c>
      <x:c r="AR7" s="591" t="s">
        <x:v>1103</x:v>
      </x:c>
      <x:c r="AS7" s="617">
        <x:v>0</x:v>
      </x:c>
      <x:c r="AT7" s="589">
        <x:v>0</x:v>
      </x:c>
      <x:c r="AU7" s="589">
        <x:v>0</x:v>
      </x:c>
      <x:c r="AV7" s="589">
        <x:v>0</x:v>
      </x:c>
      <x:c r="AW7" s="589">
        <x:v>0</x:v>
      </x:c>
      <x:c r="AX7" s="591" t="s">
        <x:v>1103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97" t="s">
        <x:v>959</x:v>
      </x:c>
      <x:c r="B8" s="122" t="s">
        <x:v>23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92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97" t="s">
        <x:v>953</x:v>
      </x:c>
      <x:c r="B9" s="122" t="s">
        <x:v>16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97" t="s">
        <x:v>960</x:v>
      </x:c>
      <x:c r="B10" s="122" t="s">
        <x:v>23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589">
        <x:v>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97" t="s">
        <x:v>957</x:v>
      </x:c>
      <x:c r="B11" s="122" t="s">
        <x:v>16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3">
      <x:c r="A12" s="97" t="s">
        <x:v>963</x:v>
      </x:c>
      <x:c r="B12" s="122" t="s">
        <x:v>37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589">
        <x:v>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96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51" t="s">
        <x:v>961</x:v>
      </x:c>
      <x:c r="B13" s="100" t="s">
        <x:v>23</x:v>
      </x:c>
      <x:c r="C13" s="160"/>
      <x:c r="D13" s="161"/>
      <x:c r="E13" s="161"/>
      <x:c r="F13" s="161"/>
      <x:c r="G13" s="161"/>
      <x:c r="H13" s="204"/>
      <x:c r="I13" s="38"/>
      <x:c r="J13" s="39"/>
      <x:c r="K13" s="39"/>
      <x:c r="L13" s="39"/>
      <x:c r="M13" s="39"/>
      <x:c r="N13" s="42"/>
      <x:c r="O13" s="38"/>
      <x:c r="P13" s="39"/>
      <x:c r="Q13" s="39"/>
      <x:c r="R13" s="39"/>
      <x:c r="S13" s="39"/>
      <x:c r="T13" s="42"/>
      <x:c r="U13" s="38"/>
      <x:c r="V13" s="39"/>
      <x:c r="W13" s="39"/>
      <x:c r="X13" s="39"/>
      <x:c r="Y13" s="39"/>
      <x:c r="Z13" s="42"/>
      <x:c r="AA13" s="38"/>
      <x:c r="AB13" s="39"/>
      <x:c r="AC13" s="39"/>
      <x:c r="AD13" s="39"/>
      <x:c r="AE13" s="39"/>
      <x:c r="AF13" s="42"/>
      <x:c r="AG13" s="38"/>
      <x:c r="AH13" s="39"/>
      <x:c r="AI13" s="39"/>
      <x:c r="AJ13" s="39"/>
      <x:c r="AK13" s="39"/>
      <x:c r="AL13" s="42"/>
      <x:c r="AM13" s="160">
        <x:v>100</x:v>
      </x:c>
      <x:c r="AN13" s="161">
        <x:v>100</x:v>
      </x:c>
      <x:c r="AO13" s="161">
        <x:v>100</x:v>
      </x:c>
      <x:c r="AP13" s="161">
        <x:v>100</x:v>
      </x:c>
      <x:c r="AQ13" s="161">
        <x:v>100</x:v>
      </x:c>
      <x:c r="AR13" s="631" t="s">
        <x:v>1102</x:v>
      </x:c>
      <x:c r="AS13" s="160">
        <x:v>100</x:v>
      </x:c>
      <x:c r="AT13" s="161">
        <x:v>100</x:v>
      </x:c>
      <x:c r="AU13" s="161">
        <x:v>100</x:v>
      </x:c>
      <x:c r="AV13" s="161">
        <x:v>100</x:v>
      </x:c>
      <x:c r="AW13" s="161">
        <x:v>100</x:v>
      </x:c>
      <x:c r="AX13" s="594" t="s">
        <x:v>1102</x:v>
      </x:c>
      <x:c r="AY13" s="38"/>
      <x:c r="AZ13" s="39"/>
      <x:c r="BA13" s="39"/>
      <x:c r="BB13" s="39"/>
      <x:c r="BC13" s="39"/>
      <x:c r="BD13" s="42"/>
      <x:c r="BE13" s="38"/>
      <x:c r="BF13" s="39"/>
      <x:c r="BG13" s="39"/>
      <x:c r="BH13" s="39"/>
      <x:c r="BI13" s="39"/>
      <x:c r="BJ13" s="42"/>
      <x:c r="BK13" s="38"/>
      <x:c r="BL13" s="39"/>
      <x:c r="BM13" s="39"/>
      <x:c r="BN13" s="39"/>
      <x:c r="BO13" s="39"/>
      <x:c r="BP13" s="42"/>
      <x:c r="BQ13" s="38"/>
      <x:c r="BR13" s="39"/>
      <x:c r="BS13" s="39"/>
      <x:c r="BT13" s="39"/>
      <x:c r="BU13" s="39"/>
      <x:c r="BV13" s="42"/>
    </x:row>
    <x:row r="14" spans="1:74" x14ac:dyDescent="0.25">
      <x:c r="C14" s="498">
        <x:f>SUMPRODUCT((C3:C13&gt;=10)*(D3:D13&gt;=10)*(E3:E13&gt;=10)*(F3:F13&gt;=10)*(G3:G13&gt;=10))</x:f>
      </x:c>
      <x:c r="H14" s="227">
        <x:f>COUNTIF(H3:H13,"Да")</x:f>
      </x:c>
      <x:c r="I14" s="498">
        <x:f>SUMPRODUCT((I3:I13&gt;=10)*(J3:J13&gt;=10)*(K3:K13&gt;=10)*(L3:L13&gt;=10)*(M3:M13&gt;=10))</x:f>
      </x:c>
      <x:c r="N14" s="227">
        <x:f>COUNTIF(N3:N13,"Да")</x:f>
      </x:c>
      <x:c r="O14" s="498">
        <x:f>SUMPRODUCT((O3:O13&gt;=10)*(P3:P13&gt;=10)*(Q3:Q13&gt;=10)*(R3:R13&gt;=10)*(S3:S13&gt;=10))</x:f>
      </x:c>
      <x:c r="T14" s="227">
        <x:f>COUNTIF(T3:T13,"Да")</x:f>
      </x:c>
      <x:c r="U14" s="498">
        <x:f>SUMPRODUCT((U3:U13&gt;=10)*(V3:V13&gt;=10)*(W3:W13&gt;=10)*(X3:X13&gt;=10)*(Y3:Y13&gt;=10))</x:f>
      </x:c>
      <x:c r="Z14" s="227">
        <x:f>COUNTIF(Z3:Z13,"Да")</x:f>
      </x:c>
      <x:c r="AA14" s="498">
        <x:f>SUMPRODUCT((AA3:AA13&gt;=10)*(AB3:AB13&gt;=10)*(AC3:AC13&gt;=10)*(AD3:AD13&gt;=10)*(AE3:AE13&gt;=10))</x:f>
      </x:c>
      <x:c r="AF14" s="227">
        <x:f>COUNTIF(AF3:AF13,"Да")</x:f>
      </x:c>
      <x:c r="AG14" s="498">
        <x:f>SUMPRODUCT((AG3:AG13&gt;=10)*(AH3:AH13&gt;=10)*(AI3:AI13&gt;=10)*(AJ3:AJ13&gt;=10)*(AK3:AK13&gt;=10))</x:f>
      </x:c>
      <x:c r="AL14" s="227">
        <x:f>COUNTIF(AL3:AL13,"Да")</x:f>
      </x:c>
      <x:c r="AM14" s="498">
        <x:f>SUMPRODUCT((AM3:AM13&gt;=10)*(AN3:AN13&gt;=10)*(AO3:AO13&gt;=10)*(AP3:AP13&gt;=10)*(AQ3:AQ13&gt;=10))</x:f>
      </x:c>
      <x:c r="AR14" s="227">
        <x:f>COUNTIF(AR3:AR13,"Да")</x:f>
      </x:c>
      <x:c r="AS14" s="498">
        <x:f>SUMPRODUCT((AS3:AS13&gt;=10)*(AT3:AT13&gt;=10)*(AU3:AU13&gt;=10)*(AV3:AV13&gt;=10)*(AW3:AW13&gt;=10))</x:f>
      </x:c>
      <x:c r="AX14" s="227">
        <x:f>COUNTIF(AX3:AX13,"Да")</x:f>
      </x:c>
      <x:c r="AY14" s="498">
        <x:f>SUMPRODUCT((AY3:AY13&gt;=10)*(AZ3:AZ13&gt;=10)*(BA3:BA13&gt;=10)*(BB3:BB13&gt;=10)*(BC3:BC13&gt;=10))</x:f>
      </x:c>
      <x:c r="BD14" s="227">
        <x:f>COUNTIF(BD3:BD13,"Да")</x:f>
      </x:c>
      <x:c r="BE14" s="498">
        <x:f>SUMPRODUCT((BE3:BE13&gt;=10)*(BF3:BF13&gt;=10)*(BG3:BG13&gt;=10)*(BH3:BH13&gt;=10)*(BI3:BI13&gt;=10))</x:f>
      </x:c>
      <x:c r="BJ14" s="227">
        <x:f>COUNTIF(BJ3:BJ13,"Да")</x:f>
      </x:c>
      <x:c r="BK14" s="498">
        <x:f>SUMPRODUCT((BK3:BK13&gt;=10)*(BL3:BL13&gt;=10)*(BM3:BM13&gt;=10)*(BN3:BN13&gt;=10)*(BO3:BO13&gt;=10))</x:f>
      </x:c>
      <x:c r="BP14" s="227">
        <x:f>COUNTIF(BP3:BP13,"Да")</x:f>
      </x:c>
      <x:c r="BQ14" s="498">
        <x:f>SUMPRODUCT((BQ3:BQ13&gt;=10)*(BR3:BR13&gt;=10)*(BS3:BS13&gt;=10)*(BT3:BT13&gt;=10)*(BU3:BU13&gt;=10))</x:f>
      </x:c>
      <x:c r="BV14" s="227">
        <x:f>COUNTIF(BV3:BV13,"Да")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14:G14"/>
    <x:mergeCell ref="I14:M14"/>
    <x:mergeCell ref="O14:S14"/>
    <x:mergeCell ref="U14:Y14"/>
    <x:mergeCell ref="AA14:AE14"/>
    <x:mergeCell ref="AG14:AK14"/>
    <x:mergeCell ref="AM14:AQ14"/>
    <x:mergeCell ref="AS14:AW14"/>
    <x:mergeCell ref="AY14:BC14"/>
    <x:mergeCell ref="BE14:BI14"/>
    <x:mergeCell ref="BK14:BO14"/>
    <x:mergeCell ref="BQ14:BU14"/>
  </x:mergeCells>
  <x:conditionalFormatting sqref="C3:BV13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12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BV30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7.140625" style="0" customWidth="1"/>
    <x:col min="2" max="2" width="23.285156" style="0" customWidth="1"/>
    <x:col min="3" max="43" width="9.140625" style="0" customWidth="1"/>
    <x:col min="44" max="44" width="9.710938" style="0" customWidth="1"/>
    <x:col min="45" max="49" width="9.140625" style="0" customWidth="1"/>
    <x:col min="50" max="50" width="10.140625" style="0" customWidth="1"/>
    <x:col min="51" max="55" width="9.140625" style="0" customWidth="1"/>
    <x:col min="56" max="56" width="9.570312" style="0" customWidth="1"/>
    <x:col min="57" max="67" width="9.140625" style="0" customWidth="1"/>
    <x:col min="68" max="68" width="10" style="0" customWidth="1"/>
    <x:col min="69" max="74" width="9.140625" style="0" customWidth="1"/>
  </x:cols>
  <x:sheetData>
    <x:row r="1" spans="1:74" ht="28.5" customHeight="1" x14ac:dyDescent="0.3">
      <x:c r="A1" s="22" t="s">
        <x:v>1084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186">
        <x:v>1</x:v>
      </x:c>
      <x:c r="D2" s="187">
        <x:v>2</x:v>
      </x:c>
      <x:c r="E2" s="187">
        <x:v>3</x:v>
      </x:c>
      <x:c r="F2" s="187">
        <x:v>4</x:v>
      </x:c>
      <x:c r="G2" s="187">
        <x:v>5</x:v>
      </x:c>
      <x:c r="H2" s="205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948</x:v>
      </x:c>
      <x:c r="B3" s="53" t="s">
        <x:v>929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3" t="s">
        <x:v>941</x:v>
      </x:c>
      <x:c r="B4" s="57" t="s">
        <x:v>924</x:v>
      </x:c>
      <x:c r="C4" s="175"/>
      <x:c r="D4" s="158"/>
      <x:c r="E4" s="158"/>
      <x:c r="F4" s="158"/>
      <x:c r="G4" s="158"/>
      <x:c r="H4" s="197"/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75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944</x:v>
      </x:c>
      <x:c r="B5" s="57" t="s">
        <x:v>929</x:v>
      </x:c>
      <x:c r="C5" s="175"/>
      <x:c r="D5" s="158"/>
      <x:c r="E5" s="158"/>
      <x:c r="F5" s="158"/>
      <x:c r="G5" s="158"/>
      <x:c r="H5" s="197"/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75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3" t="s">
        <x:v>926</x:v>
      </x:c>
      <x:c r="B6" s="57" t="s">
        <x:v>924</x:v>
      </x:c>
      <x:c r="C6" s="175"/>
      <x:c r="D6" s="158"/>
      <x:c r="E6" s="158"/>
      <x:c r="F6" s="158"/>
      <x:c r="G6" s="158"/>
      <x:c r="H6" s="197"/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75">
        <x:v>100</x:v>
      </x:c>
      <x:c r="AN6" s="158">
        <x:v>85.71</x:v>
      </x:c>
      <x:c r="AO6" s="158">
        <x:v>81.82</x:v>
      </x:c>
      <x:c r="AP6" s="158">
        <x:v>72.22</x:v>
      </x:c>
      <x:c r="AQ6" s="158">
        <x:v>45.45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3" t="s">
        <x:v>937</x:v>
      </x:c>
      <x:c r="B7" s="57" t="s">
        <x:v>924</x:v>
      </x:c>
      <x:c r="C7" s="175"/>
      <x:c r="D7" s="158"/>
      <x:c r="E7" s="158"/>
      <x:c r="F7" s="345"/>
      <x:c r="G7" s="158"/>
      <x:c r="H7" s="197"/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75">
        <x:v>100</x:v>
      </x:c>
      <x:c r="AN7" s="158">
        <x:v>100</x:v>
      </x:c>
      <x:c r="AO7" s="158">
        <x:v>100</x:v>
      </x:c>
      <x:c r="AP7" s="345">
        <x:v>100</x:v>
      </x:c>
      <x:c r="AQ7" s="158">
        <x:v>100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664" t="s">
        <x:v>914</x:v>
      </x:c>
      <x:c r="B8" s="89" t="s">
        <x:v>399</x:v>
      </x:c>
      <x:c r="C8" s="175"/>
      <x:c r="D8" s="158"/>
      <x:c r="E8" s="158"/>
      <x:c r="F8" s="158"/>
      <x:c r="G8" s="158"/>
      <x:c r="H8" s="197"/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75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3" t="s">
        <x:v>949</x:v>
      </x:c>
      <x:c r="B9" s="57" t="s">
        <x:v>929</x:v>
      </x:c>
      <x:c r="C9" s="175"/>
      <x:c r="D9" s="158"/>
      <x:c r="E9" s="158"/>
      <x:c r="F9" s="158"/>
      <x:c r="G9" s="158"/>
      <x:c r="H9" s="197"/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75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x14ac:dyDescent="0.25">
      <x:c r="A10" s="3" t="s">
        <x:v>946</x:v>
      </x:c>
      <x:c r="B10" s="57" t="s">
        <x:v>929</x:v>
      </x:c>
      <x:c r="C10" s="175"/>
      <x:c r="D10" s="158"/>
      <x:c r="E10" s="158"/>
      <x:c r="F10" s="158"/>
      <x:c r="G10" s="158"/>
      <x:c r="H10" s="197"/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75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3" t="s">
        <x:v>942</x:v>
      </x:c>
      <x:c r="B11" s="57" t="s">
        <x:v>936</x:v>
      </x:c>
      <x:c r="C11" s="175"/>
      <x:c r="D11" s="158"/>
      <x:c r="E11" s="158"/>
      <x:c r="F11" s="158"/>
      <x:c r="G11" s="158"/>
      <x:c r="H11" s="197"/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75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3" t="s">
        <x:v>939</x:v>
      </x:c>
      <x:c r="B12" s="57" t="s">
        <x:v>924</x:v>
      </x:c>
      <x:c r="C12" s="175"/>
      <x:c r="D12" s="158"/>
      <x:c r="E12" s="158"/>
      <x:c r="F12" s="158"/>
      <x:c r="G12" s="158"/>
      <x:c r="H12" s="197"/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75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3" t="s">
        <x:v>950</x:v>
      </x:c>
      <x:c r="B13" s="57" t="s">
        <x:v>929</x:v>
      </x:c>
      <x:c r="C13" s="175"/>
      <x:c r="D13" s="158"/>
      <x:c r="E13" s="158"/>
      <x:c r="F13" s="158"/>
      <x:c r="G13" s="158"/>
      <x:c r="H13" s="197"/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75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3" t="s">
        <x:v>935</x:v>
      </x:c>
      <x:c r="B14" s="57" t="s">
        <x:v>936</x:v>
      </x:c>
      <x:c r="C14" s="175"/>
      <x:c r="D14" s="158"/>
      <x:c r="E14" s="158"/>
      <x:c r="F14" s="158"/>
      <x:c r="G14" s="158"/>
      <x:c r="H14" s="197"/>
      <x:c r="I14" s="167"/>
      <x:c r="J14" s="185"/>
      <x:c r="K14" s="185"/>
      <x:c r="L14" s="185"/>
      <x:c r="M14" s="185"/>
      <x:c r="N14" s="36"/>
      <x:c r="O14" s="167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75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620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3" t="s">
        <x:v>928</x:v>
      </x:c>
      <x:c r="B15" s="57" t="s">
        <x:v>929</x:v>
      </x:c>
      <x:c r="C15" s="175"/>
      <x:c r="D15" s="158"/>
      <x:c r="E15" s="158"/>
      <x:c r="F15" s="158"/>
      <x:c r="G15" s="158"/>
      <x:c r="H15" s="197"/>
      <x:c r="I15" s="167"/>
      <x:c r="J15" s="185"/>
      <x:c r="K15" s="185"/>
      <x:c r="L15" s="185"/>
      <x:c r="M15" s="185"/>
      <x:c r="N15" s="36"/>
      <x:c r="O15" s="167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75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87.5</x:v>
      </x:c>
      <x:c r="AW15" s="158">
        <x:v>80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3" t="s">
        <x:v>927</x:v>
      </x:c>
      <x:c r="B16" s="57" t="s">
        <x:v>924</x:v>
      </x:c>
      <x:c r="C16" s="175"/>
      <x:c r="D16" s="182"/>
      <x:c r="E16" s="182"/>
      <x:c r="F16" s="182"/>
      <x:c r="G16" s="158"/>
      <x:c r="H16" s="197"/>
      <x:c r="I16" s="167"/>
      <x:c r="J16" s="185"/>
      <x:c r="K16" s="185"/>
      <x:c r="L16" s="185"/>
      <x:c r="M16" s="185"/>
      <x:c r="N16" s="36"/>
      <x:c r="O16" s="167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75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22.5" customHeight="1" x14ac:dyDescent="0.25">
      <x:c r="A17" s="605" t="s">
        <x:v>932</x:v>
      </x:c>
      <x:c r="B17" s="57" t="s">
        <x:v>929</x:v>
      </x:c>
      <x:c r="C17" s="216"/>
      <x:c r="D17" s="185"/>
      <x:c r="E17" s="185"/>
      <x:c r="F17" s="185"/>
      <x:c r="G17" s="221"/>
      <x:c r="H17" s="197"/>
      <x:c r="I17" s="167"/>
      <x:c r="J17" s="185"/>
      <x:c r="K17" s="185"/>
      <x:c r="L17" s="185"/>
      <x:c r="M17" s="185"/>
      <x:c r="N17" s="36"/>
      <x:c r="O17" s="167"/>
      <x:c r="P17" s="185"/>
      <x:c r="Q17" s="185"/>
      <x:c r="R17" s="185"/>
      <x:c r="S17" s="185"/>
      <x:c r="T17" s="36"/>
      <x:c r="U17" s="167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616" t="s">
        <x:v>1137</x:v>
      </x:c>
      <x:c r="AN17" s="478"/>
      <x:c r="AO17" s="478"/>
      <x:c r="AP17" s="478"/>
      <x:c r="AQ17" s="221"/>
      <x:c r="AR17" s="591" t="s">
        <x:v>1103</x:v>
      </x:c>
      <x:c r="AS17" s="617">
        <x:v>0</x:v>
      </x:c>
      <x:c r="AT17" s="589">
        <x:v>0</x:v>
      </x:c>
      <x:c r="AU17" s="589">
        <x:v>0</x:v>
      </x:c>
      <x:c r="AV17" s="589">
        <x:v>0</x:v>
      </x:c>
      <x:c r="AW17" s="589">
        <x:v>0</x:v>
      </x:c>
      <x:c r="AX17" s="591" t="s">
        <x:v>1103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22.5" customHeight="1" x14ac:dyDescent="0.25">
      <x:c r="A18" s="3" t="s">
        <x:v>922</x:v>
      </x:c>
      <x:c r="B18" s="57" t="s">
        <x:v>924</x:v>
      </x:c>
      <x:c r="C18" s="175"/>
      <x:c r="D18" s="155"/>
      <x:c r="E18" s="155"/>
      <x:c r="F18" s="155"/>
      <x:c r="G18" s="158"/>
      <x:c r="H18" s="197"/>
      <x:c r="I18" s="167"/>
      <x:c r="J18" s="185"/>
      <x:c r="K18" s="185"/>
      <x:c r="L18" s="185"/>
      <x:c r="M18" s="185"/>
      <x:c r="N18" s="36"/>
      <x:c r="O18" s="167"/>
      <x:c r="P18" s="185"/>
      <x:c r="Q18" s="185"/>
      <x:c r="R18" s="185"/>
      <x:c r="S18" s="185"/>
      <x:c r="T18" s="36"/>
      <x:c r="U18" s="167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175">
        <x:v>100</x:v>
      </x:c>
      <x:c r="AN18" s="158">
        <x:v>100</x:v>
      </x:c>
      <x:c r="AO18" s="158">
        <x:v>100</x:v>
      </x:c>
      <x:c r="AP18" s="158">
        <x:v>100</x:v>
      </x:c>
      <x:c r="AQ18" s="158">
        <x:v>92.86</x:v>
      </x:c>
      <x:c r="AR18" s="620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158">
        <x:v>100</x:v>
      </x:c>
      <x:c r="AX18" s="585" t="s">
        <x:v>1102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ht="22.5" customHeight="1" x14ac:dyDescent="0.25">
      <x:c r="A19" s="3" t="s">
        <x:v>952</x:v>
      </x:c>
      <x:c r="B19" s="57" t="s">
        <x:v>934</x:v>
      </x:c>
      <x:c r="C19" s="175"/>
      <x:c r="D19" s="158"/>
      <x:c r="E19" s="158"/>
      <x:c r="F19" s="158"/>
      <x:c r="G19" s="158"/>
      <x:c r="H19" s="197"/>
      <x:c r="I19" s="167"/>
      <x:c r="J19" s="185"/>
      <x:c r="K19" s="185"/>
      <x:c r="L19" s="185"/>
      <x:c r="M19" s="185"/>
      <x:c r="N19" s="36"/>
      <x:c r="O19" s="167"/>
      <x:c r="P19" s="185"/>
      <x:c r="Q19" s="185"/>
      <x:c r="R19" s="185"/>
      <x:c r="S19" s="185"/>
      <x:c r="T19" s="36"/>
      <x:c r="U19" s="167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75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x14ac:dyDescent="0.25">
      <x:c r="A20" s="3" t="s">
        <x:v>931</x:v>
      </x:c>
      <x:c r="B20" s="57" t="s">
        <x:v>929</x:v>
      </x:c>
      <x:c r="C20" s="175"/>
      <x:c r="D20" s="158"/>
      <x:c r="E20" s="158"/>
      <x:c r="F20" s="158"/>
      <x:c r="G20" s="158"/>
      <x:c r="H20" s="197"/>
      <x:c r="I20" s="167"/>
      <x:c r="J20" s="185"/>
      <x:c r="K20" s="185"/>
      <x:c r="L20" s="185"/>
      <x:c r="M20" s="185"/>
      <x:c r="N20" s="36"/>
      <x:c r="O20" s="167"/>
      <x:c r="P20" s="185"/>
      <x:c r="Q20" s="185"/>
      <x:c r="R20" s="185"/>
      <x:c r="S20" s="185"/>
      <x:c r="T20" s="36"/>
      <x:c r="U20" s="167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175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620" t="s">
        <x:v>1102</x:v>
      </x:c>
      <x:c r="AS20" s="175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ht="22.5" customHeight="1" x14ac:dyDescent="0.25">
      <x:c r="A21" s="3" t="s">
        <x:v>933</x:v>
      </x:c>
      <x:c r="B21" s="57" t="s">
        <x:v>934</x:v>
      </x:c>
      <x:c r="C21" s="175"/>
      <x:c r="D21" s="158"/>
      <x:c r="E21" s="158"/>
      <x:c r="F21" s="158"/>
      <x:c r="G21" s="158"/>
      <x:c r="H21" s="197"/>
      <x:c r="I21" s="167"/>
      <x:c r="J21" s="185"/>
      <x:c r="K21" s="185"/>
      <x:c r="L21" s="185"/>
      <x:c r="M21" s="185"/>
      <x:c r="N21" s="36"/>
      <x:c r="O21" s="167"/>
      <x:c r="P21" s="185"/>
      <x:c r="Q21" s="185"/>
      <x:c r="R21" s="185"/>
      <x:c r="S21" s="185"/>
      <x:c r="T21" s="36"/>
      <x:c r="U21" s="167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175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75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x14ac:dyDescent="0.25">
      <x:c r="A22" s="84" t="s">
        <x:v>1138</x:v>
      </x:c>
      <x:c r="B22" s="57" t="s">
        <x:v>929</x:v>
      </x:c>
      <x:c r="C22" s="175"/>
      <x:c r="D22" s="158"/>
      <x:c r="E22" s="158"/>
      <x:c r="F22" s="158"/>
      <x:c r="G22" s="158"/>
      <x:c r="H22" s="197"/>
      <x:c r="I22" s="167"/>
      <x:c r="J22" s="185"/>
      <x:c r="K22" s="185"/>
      <x:c r="L22" s="185"/>
      <x:c r="M22" s="185"/>
      <x:c r="N22" s="36"/>
      <x:c r="O22" s="167"/>
      <x:c r="P22" s="185"/>
      <x:c r="Q22" s="185"/>
      <x:c r="R22" s="185"/>
      <x:c r="S22" s="185"/>
      <x:c r="T22" s="36"/>
      <x:c r="U22" s="167"/>
      <x:c r="V22" s="185"/>
      <x:c r="W22" s="185"/>
      <x:c r="X22" s="185"/>
      <x:c r="Y22" s="185"/>
      <x:c r="Z22" s="36"/>
      <x:c r="AA22" s="167"/>
      <x:c r="AB22" s="185"/>
      <x:c r="AC22" s="185"/>
      <x:c r="AD22" s="185"/>
      <x:c r="AE22" s="185"/>
      <x:c r="AF22" s="36"/>
      <x:c r="AG22" s="167"/>
      <x:c r="AH22" s="185"/>
      <x:c r="AI22" s="185"/>
      <x:c r="AJ22" s="185"/>
      <x:c r="AK22" s="185"/>
      <x:c r="AL22" s="36"/>
      <x:c r="AM22" s="175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175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167"/>
      <x:c r="AZ22" s="185"/>
      <x:c r="BA22" s="185"/>
      <x:c r="BB22" s="185"/>
      <x:c r="BC22" s="185"/>
      <x:c r="BD22" s="36"/>
      <x:c r="BE22" s="167"/>
      <x:c r="BF22" s="185"/>
      <x:c r="BG22" s="185"/>
      <x:c r="BH22" s="185"/>
      <x:c r="BI22" s="185"/>
      <x:c r="BJ22" s="36"/>
      <x:c r="BK22" s="167"/>
      <x:c r="BL22" s="185"/>
      <x:c r="BM22" s="185"/>
      <x:c r="BN22" s="185"/>
      <x:c r="BO22" s="185"/>
      <x:c r="BP22" s="36"/>
      <x:c r="BQ22" s="167"/>
      <x:c r="BR22" s="185"/>
      <x:c r="BS22" s="185"/>
      <x:c r="BT22" s="185"/>
      <x:c r="BU22" s="185"/>
      <x:c r="BV22" s="36"/>
    </x:row>
    <x:row r="23" spans="1:74" ht="22.5" customHeight="1" x14ac:dyDescent="0.25">
      <x:c r="A23" s="3" t="s">
        <x:v>940</x:v>
      </x:c>
      <x:c r="B23" s="57" t="s">
        <x:v>924</x:v>
      </x:c>
      <x:c r="C23" s="175"/>
      <x:c r="D23" s="158"/>
      <x:c r="E23" s="158"/>
      <x:c r="F23" s="158"/>
      <x:c r="G23" s="158"/>
      <x:c r="H23" s="197"/>
      <x:c r="I23" s="167"/>
      <x:c r="J23" s="185"/>
      <x:c r="K23" s="185"/>
      <x:c r="L23" s="185"/>
      <x:c r="M23" s="185"/>
      <x:c r="N23" s="36"/>
      <x:c r="O23" s="167"/>
      <x:c r="P23" s="185"/>
      <x:c r="Q23" s="185"/>
      <x:c r="R23" s="185"/>
      <x:c r="S23" s="185"/>
      <x:c r="T23" s="36"/>
      <x:c r="U23" s="167"/>
      <x:c r="V23" s="185"/>
      <x:c r="W23" s="185"/>
      <x:c r="X23" s="185"/>
      <x:c r="Y23" s="185"/>
      <x:c r="Z23" s="36"/>
      <x:c r="AA23" s="167"/>
      <x:c r="AB23" s="185"/>
      <x:c r="AC23" s="185"/>
      <x:c r="AD23" s="185"/>
      <x:c r="AE23" s="185"/>
      <x:c r="AF23" s="36"/>
      <x:c r="AG23" s="167"/>
      <x:c r="AH23" s="185"/>
      <x:c r="AI23" s="185"/>
      <x:c r="AJ23" s="185"/>
      <x:c r="AK23" s="185"/>
      <x:c r="AL23" s="36"/>
      <x:c r="AM23" s="175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620" t="s">
        <x:v>1102</x:v>
      </x:c>
      <x:c r="AS23" s="175">
        <x:v>100</x:v>
      </x:c>
      <x:c r="AT23" s="158">
        <x:v>100</x:v>
      </x:c>
      <x:c r="AU23" s="158">
        <x:v>100</x:v>
      </x:c>
      <x:c r="AV23" s="158">
        <x:v>100</x:v>
      </x:c>
      <x:c r="AW23" s="158">
        <x:v>100</x:v>
      </x:c>
      <x:c r="AX23" s="585" t="s">
        <x:v>1102</x:v>
      </x:c>
      <x:c r="AY23" s="167"/>
      <x:c r="AZ23" s="185"/>
      <x:c r="BA23" s="185"/>
      <x:c r="BB23" s="185"/>
      <x:c r="BC23" s="185"/>
      <x:c r="BD23" s="36"/>
      <x:c r="BE23" s="167"/>
      <x:c r="BF23" s="185"/>
      <x:c r="BG23" s="185"/>
      <x:c r="BH23" s="185"/>
      <x:c r="BI23" s="185"/>
      <x:c r="BJ23" s="36"/>
      <x:c r="BK23" s="167"/>
      <x:c r="BL23" s="185"/>
      <x:c r="BM23" s="185"/>
      <x:c r="BN23" s="185"/>
      <x:c r="BO23" s="185"/>
      <x:c r="BP23" s="36"/>
      <x:c r="BQ23" s="167"/>
      <x:c r="BR23" s="185"/>
      <x:c r="BS23" s="185"/>
      <x:c r="BT23" s="185"/>
      <x:c r="BU23" s="185"/>
      <x:c r="BV23" s="36"/>
    </x:row>
    <x:row r="24" spans="1:74" x14ac:dyDescent="0.25">
      <x:c r="A24" s="3" t="s">
        <x:v>947</x:v>
      </x:c>
      <x:c r="B24" s="57" t="s">
        <x:v>929</x:v>
      </x:c>
      <x:c r="C24" s="175"/>
      <x:c r="D24" s="158"/>
      <x:c r="E24" s="158"/>
      <x:c r="F24" s="158"/>
      <x:c r="G24" s="158"/>
      <x:c r="H24" s="197"/>
      <x:c r="I24" s="167"/>
      <x:c r="J24" s="185"/>
      <x:c r="K24" s="185"/>
      <x:c r="L24" s="185"/>
      <x:c r="M24" s="185"/>
      <x:c r="N24" s="36"/>
      <x:c r="O24" s="167"/>
      <x:c r="P24" s="185"/>
      <x:c r="Q24" s="185"/>
      <x:c r="R24" s="185"/>
      <x:c r="S24" s="185"/>
      <x:c r="T24" s="36"/>
      <x:c r="U24" s="167"/>
      <x:c r="V24" s="185"/>
      <x:c r="W24" s="185"/>
      <x:c r="X24" s="185"/>
      <x:c r="Y24" s="185"/>
      <x:c r="Z24" s="36"/>
      <x:c r="AA24" s="167"/>
      <x:c r="AB24" s="185"/>
      <x:c r="AC24" s="185"/>
      <x:c r="AD24" s="185"/>
      <x:c r="AE24" s="185"/>
      <x:c r="AF24" s="36"/>
      <x:c r="AG24" s="167"/>
      <x:c r="AH24" s="185"/>
      <x:c r="AI24" s="185"/>
      <x:c r="AJ24" s="185"/>
      <x:c r="AK24" s="185"/>
      <x:c r="AL24" s="36"/>
      <x:c r="AM24" s="175">
        <x:v>100</x:v>
      </x:c>
      <x:c r="AN24" s="158">
        <x:v>100</x:v>
      </x:c>
      <x:c r="AO24" s="158">
        <x:v>100</x:v>
      </x:c>
      <x:c r="AP24" s="158">
        <x:v>100</x:v>
      </x:c>
      <x:c r="AQ24" s="158">
        <x:v>100</x:v>
      </x:c>
      <x:c r="AR24" s="620" t="s">
        <x:v>1102</x:v>
      </x:c>
      <x:c r="AS24" s="175">
        <x:v>100</x:v>
      </x:c>
      <x:c r="AT24" s="158">
        <x:v>100</x:v>
      </x:c>
      <x:c r="AU24" s="158">
        <x:v>100</x:v>
      </x:c>
      <x:c r="AV24" s="158">
        <x:v>100</x:v>
      </x:c>
      <x:c r="AW24" s="158">
        <x:v>100</x:v>
      </x:c>
      <x:c r="AX24" s="585" t="s">
        <x:v>1102</x:v>
      </x:c>
      <x:c r="AY24" s="167"/>
      <x:c r="AZ24" s="185"/>
      <x:c r="BA24" s="185"/>
      <x:c r="BB24" s="185"/>
      <x:c r="BC24" s="185"/>
      <x:c r="BD24" s="36"/>
      <x:c r="BE24" s="167"/>
      <x:c r="BF24" s="185"/>
      <x:c r="BG24" s="185"/>
      <x:c r="BH24" s="185"/>
      <x:c r="BI24" s="185"/>
      <x:c r="BJ24" s="36"/>
      <x:c r="BK24" s="167"/>
      <x:c r="BL24" s="185"/>
      <x:c r="BM24" s="185"/>
      <x:c r="BN24" s="185"/>
      <x:c r="BO24" s="185"/>
      <x:c r="BP24" s="36"/>
      <x:c r="BQ24" s="167"/>
      <x:c r="BR24" s="185"/>
      <x:c r="BS24" s="185"/>
      <x:c r="BT24" s="185"/>
      <x:c r="BU24" s="185"/>
      <x:c r="BV24" s="36"/>
    </x:row>
    <x:row r="25" spans="1:74" ht="22.5" customHeight="1" x14ac:dyDescent="0.25">
      <x:c r="A25" s="3" t="s">
        <x:v>951</x:v>
      </x:c>
      <x:c r="B25" s="57" t="s">
        <x:v>934</x:v>
      </x:c>
      <x:c r="C25" s="175"/>
      <x:c r="D25" s="158"/>
      <x:c r="E25" s="158"/>
      <x:c r="F25" s="158"/>
      <x:c r="G25" s="158"/>
      <x:c r="H25" s="197"/>
      <x:c r="I25" s="167"/>
      <x:c r="J25" s="185"/>
      <x:c r="K25" s="185"/>
      <x:c r="L25" s="185"/>
      <x:c r="M25" s="185"/>
      <x:c r="N25" s="36"/>
      <x:c r="O25" s="167"/>
      <x:c r="P25" s="185"/>
      <x:c r="Q25" s="185"/>
      <x:c r="R25" s="185"/>
      <x:c r="S25" s="185"/>
      <x:c r="T25" s="36"/>
      <x:c r="U25" s="167"/>
      <x:c r="V25" s="185"/>
      <x:c r="W25" s="185"/>
      <x:c r="X25" s="185"/>
      <x:c r="Y25" s="185"/>
      <x:c r="Z25" s="36"/>
      <x:c r="AA25" s="167"/>
      <x:c r="AB25" s="185"/>
      <x:c r="AC25" s="185"/>
      <x:c r="AD25" s="185"/>
      <x:c r="AE25" s="185"/>
      <x:c r="AF25" s="36"/>
      <x:c r="AG25" s="167"/>
      <x:c r="AH25" s="185"/>
      <x:c r="AI25" s="185"/>
      <x:c r="AJ25" s="185"/>
      <x:c r="AK25" s="185"/>
      <x:c r="AL25" s="36"/>
      <x:c r="AM25" s="175">
        <x:v>100</x:v>
      </x:c>
      <x:c r="AN25" s="158">
        <x:v>100</x:v>
      </x:c>
      <x:c r="AO25" s="158">
        <x:v>100</x:v>
      </x:c>
      <x:c r="AP25" s="158">
        <x:v>100</x:v>
      </x:c>
      <x:c r="AQ25" s="158">
        <x:v>100</x:v>
      </x:c>
      <x:c r="AR25" s="620" t="s">
        <x:v>1102</x:v>
      </x:c>
      <x:c r="AS25" s="175">
        <x:v>100</x:v>
      </x:c>
      <x:c r="AT25" s="158">
        <x:v>100</x:v>
      </x:c>
      <x:c r="AU25" s="158">
        <x:v>100</x:v>
      </x:c>
      <x:c r="AV25" s="158">
        <x:v>100</x:v>
      </x:c>
      <x:c r="AW25" s="158">
        <x:v>100</x:v>
      </x:c>
      <x:c r="AX25" s="585" t="s">
        <x:v>1102</x:v>
      </x:c>
      <x:c r="AY25" s="167"/>
      <x:c r="AZ25" s="185"/>
      <x:c r="BA25" s="185"/>
      <x:c r="BB25" s="185"/>
      <x:c r="BC25" s="185"/>
      <x:c r="BD25" s="36"/>
      <x:c r="BE25" s="167"/>
      <x:c r="BF25" s="185"/>
      <x:c r="BG25" s="185"/>
      <x:c r="BH25" s="185"/>
      <x:c r="BI25" s="185"/>
      <x:c r="BJ25" s="36"/>
      <x:c r="BK25" s="167"/>
      <x:c r="BL25" s="185"/>
      <x:c r="BM25" s="185"/>
      <x:c r="BN25" s="185"/>
      <x:c r="BO25" s="185"/>
      <x:c r="BP25" s="36"/>
      <x:c r="BQ25" s="167"/>
      <x:c r="BR25" s="185"/>
      <x:c r="BS25" s="185"/>
      <x:c r="BT25" s="185"/>
      <x:c r="BU25" s="185"/>
      <x:c r="BV25" s="36"/>
    </x:row>
    <x:row r="26" spans="1:74" ht="22.5" customHeight="1" x14ac:dyDescent="0.25">
      <x:c r="A26" s="3" t="s">
        <x:v>925</x:v>
      </x:c>
      <x:c r="B26" s="57" t="s">
        <x:v>924</x:v>
      </x:c>
      <x:c r="C26" s="175"/>
      <x:c r="D26" s="158"/>
      <x:c r="E26" s="158"/>
      <x:c r="F26" s="158"/>
      <x:c r="G26" s="158"/>
      <x:c r="H26" s="197"/>
      <x:c r="I26" s="167"/>
      <x:c r="J26" s="185"/>
      <x:c r="K26" s="185"/>
      <x:c r="L26" s="185"/>
      <x:c r="M26" s="185"/>
      <x:c r="N26" s="36"/>
      <x:c r="O26" s="167"/>
      <x:c r="P26" s="185"/>
      <x:c r="Q26" s="185"/>
      <x:c r="R26" s="185"/>
      <x:c r="S26" s="185"/>
      <x:c r="T26" s="36"/>
      <x:c r="U26" s="167"/>
      <x:c r="V26" s="185"/>
      <x:c r="W26" s="185"/>
      <x:c r="X26" s="185"/>
      <x:c r="Y26" s="185"/>
      <x:c r="Z26" s="36"/>
      <x:c r="AA26" s="167"/>
      <x:c r="AB26" s="185"/>
      <x:c r="AC26" s="185"/>
      <x:c r="AD26" s="185"/>
      <x:c r="AE26" s="185"/>
      <x:c r="AF26" s="36"/>
      <x:c r="AG26" s="167"/>
      <x:c r="AH26" s="185"/>
      <x:c r="AI26" s="185"/>
      <x:c r="AJ26" s="185"/>
      <x:c r="AK26" s="185"/>
      <x:c r="AL26" s="36"/>
      <x:c r="AM26" s="175">
        <x:v>100</x:v>
      </x:c>
      <x:c r="AN26" s="158">
        <x:v>100</x:v>
      </x:c>
      <x:c r="AO26" s="158">
        <x:v>100</x:v>
      </x:c>
      <x:c r="AP26" s="158">
        <x:v>100</x:v>
      </x:c>
      <x:c r="AQ26" s="158">
        <x:v>71.43</x:v>
      </x:c>
      <x:c r="AR26" s="620" t="s">
        <x:v>1102</x:v>
      </x:c>
      <x:c r="AS26" s="175">
        <x:v>100</x:v>
      </x:c>
      <x:c r="AT26" s="158">
        <x:v>100</x:v>
      </x:c>
      <x:c r="AU26" s="158">
        <x:v>100</x:v>
      </x:c>
      <x:c r="AV26" s="158">
        <x:v>100</x:v>
      </x:c>
      <x:c r="AW26" s="158">
        <x:v>100</x:v>
      </x:c>
      <x:c r="AX26" s="585" t="s">
        <x:v>1102</x:v>
      </x:c>
      <x:c r="AY26" s="167"/>
      <x:c r="AZ26" s="185"/>
      <x:c r="BA26" s="185"/>
      <x:c r="BB26" s="185"/>
      <x:c r="BC26" s="185"/>
      <x:c r="BD26" s="36"/>
      <x:c r="BE26" s="167"/>
      <x:c r="BF26" s="185"/>
      <x:c r="BG26" s="185"/>
      <x:c r="BH26" s="185"/>
      <x:c r="BI26" s="185"/>
      <x:c r="BJ26" s="36"/>
      <x:c r="BK26" s="167"/>
      <x:c r="BL26" s="185"/>
      <x:c r="BM26" s="185"/>
      <x:c r="BN26" s="185"/>
      <x:c r="BO26" s="185"/>
      <x:c r="BP26" s="36"/>
      <x:c r="BQ26" s="167"/>
      <x:c r="BR26" s="185"/>
      <x:c r="BS26" s="185"/>
      <x:c r="BT26" s="185"/>
      <x:c r="BU26" s="185"/>
      <x:c r="BV26" s="36"/>
    </x:row>
    <x:row r="27" spans="1:74" x14ac:dyDescent="0.25">
      <x:c r="A27" s="3" t="s">
        <x:v>930</x:v>
      </x:c>
      <x:c r="B27" s="57" t="s">
        <x:v>929</x:v>
      </x:c>
      <x:c r="C27" s="175"/>
      <x:c r="D27" s="158"/>
      <x:c r="E27" s="158"/>
      <x:c r="F27" s="158"/>
      <x:c r="G27" s="158"/>
      <x:c r="H27" s="197"/>
      <x:c r="I27" s="167"/>
      <x:c r="J27" s="185"/>
      <x:c r="K27" s="185"/>
      <x:c r="L27" s="185"/>
      <x:c r="M27" s="185"/>
      <x:c r="N27" s="36"/>
      <x:c r="O27" s="167"/>
      <x:c r="P27" s="185"/>
      <x:c r="Q27" s="185"/>
      <x:c r="R27" s="185"/>
      <x:c r="S27" s="185"/>
      <x:c r="T27" s="36"/>
      <x:c r="U27" s="167"/>
      <x:c r="V27" s="185"/>
      <x:c r="W27" s="185"/>
      <x:c r="X27" s="185"/>
      <x:c r="Y27" s="185"/>
      <x:c r="Z27" s="36"/>
      <x:c r="AA27" s="167"/>
      <x:c r="AB27" s="185"/>
      <x:c r="AC27" s="185"/>
      <x:c r="AD27" s="185"/>
      <x:c r="AE27" s="185"/>
      <x:c r="AF27" s="36"/>
      <x:c r="AG27" s="167"/>
      <x:c r="AH27" s="185"/>
      <x:c r="AI27" s="185"/>
      <x:c r="AJ27" s="185"/>
      <x:c r="AK27" s="185"/>
      <x:c r="AL27" s="36"/>
      <x:c r="AM27" s="175">
        <x:v>100</x:v>
      </x:c>
      <x:c r="AN27" s="158">
        <x:v>100</x:v>
      </x:c>
      <x:c r="AO27" s="158">
        <x:v>73.53</x:v>
      </x:c>
      <x:c r="AP27" s="589">
        <x:v>0</x:v>
      </x:c>
      <x:c r="AQ27" s="589">
        <x:v>0</x:v>
      </x:c>
      <x:c r="AR27" s="620" t="s">
        <x:v>1102</x:v>
      </x:c>
      <x:c r="AS27" s="175">
        <x:v>100</x:v>
      </x:c>
      <x:c r="AT27" s="158">
        <x:v>100</x:v>
      </x:c>
      <x:c r="AU27" s="158">
        <x:v>100</x:v>
      </x:c>
      <x:c r="AV27" s="158">
        <x:v>100</x:v>
      </x:c>
      <x:c r="AW27" s="158">
        <x:v>90.91</x:v>
      </x:c>
      <x:c r="AX27" s="585" t="s">
        <x:v>1102</x:v>
      </x:c>
      <x:c r="AY27" s="167"/>
      <x:c r="AZ27" s="185"/>
      <x:c r="BA27" s="185"/>
      <x:c r="BB27" s="185"/>
      <x:c r="BC27" s="185"/>
      <x:c r="BD27" s="36"/>
      <x:c r="BE27" s="167"/>
      <x:c r="BF27" s="185"/>
      <x:c r="BG27" s="185"/>
      <x:c r="BH27" s="185"/>
      <x:c r="BI27" s="185"/>
      <x:c r="BJ27" s="36"/>
      <x:c r="BK27" s="167"/>
      <x:c r="BL27" s="185"/>
      <x:c r="BM27" s="185"/>
      <x:c r="BN27" s="185"/>
      <x:c r="BO27" s="185"/>
      <x:c r="BP27" s="36"/>
      <x:c r="BQ27" s="167"/>
      <x:c r="BR27" s="185"/>
      <x:c r="BS27" s="185"/>
      <x:c r="BT27" s="185"/>
      <x:c r="BU27" s="185"/>
      <x:c r="BV27" s="36"/>
    </x:row>
    <x:row r="28" spans="1:74" ht="22.5" customHeight="1" x14ac:dyDescent="0.25">
      <x:c r="A28" s="3" t="s">
        <x:v>945</x:v>
      </x:c>
      <x:c r="B28" s="57" t="s">
        <x:v>929</x:v>
      </x:c>
      <x:c r="C28" s="175"/>
      <x:c r="D28" s="158"/>
      <x:c r="E28" s="158"/>
      <x:c r="F28" s="158"/>
      <x:c r="G28" s="158"/>
      <x:c r="H28" s="197"/>
      <x:c r="I28" s="167"/>
      <x:c r="J28" s="185"/>
      <x:c r="K28" s="185"/>
      <x:c r="L28" s="185"/>
      <x:c r="M28" s="185"/>
      <x:c r="N28" s="36"/>
      <x:c r="O28" s="167"/>
      <x:c r="P28" s="185"/>
      <x:c r="Q28" s="185"/>
      <x:c r="R28" s="185"/>
      <x:c r="S28" s="185"/>
      <x:c r="T28" s="36"/>
      <x:c r="U28" s="167"/>
      <x:c r="V28" s="185"/>
      <x:c r="W28" s="185"/>
      <x:c r="X28" s="185"/>
      <x:c r="Y28" s="185"/>
      <x:c r="Z28" s="36"/>
      <x:c r="AA28" s="167"/>
      <x:c r="AB28" s="185"/>
      <x:c r="AC28" s="185"/>
      <x:c r="AD28" s="185"/>
      <x:c r="AE28" s="185"/>
      <x:c r="AF28" s="36"/>
      <x:c r="AG28" s="167"/>
      <x:c r="AH28" s="185"/>
      <x:c r="AI28" s="185"/>
      <x:c r="AJ28" s="185"/>
      <x:c r="AK28" s="185"/>
      <x:c r="AL28" s="36"/>
      <x:c r="AM28" s="175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620" t="s">
        <x:v>1102</x:v>
      </x:c>
      <x:c r="AS28" s="175">
        <x:v>100</x:v>
      </x:c>
      <x:c r="AT28" s="158">
        <x:v>100</x:v>
      </x:c>
      <x:c r="AU28" s="158">
        <x:v>100</x:v>
      </x:c>
      <x:c r="AV28" s="158">
        <x:v>100</x:v>
      </x:c>
      <x:c r="AW28" s="158">
        <x:v>100</x:v>
      </x:c>
      <x:c r="AX28" s="585" t="s">
        <x:v>1102</x:v>
      </x:c>
      <x:c r="AY28" s="167"/>
      <x:c r="AZ28" s="185"/>
      <x:c r="BA28" s="185"/>
      <x:c r="BB28" s="185"/>
      <x:c r="BC28" s="185"/>
      <x:c r="BD28" s="36"/>
      <x:c r="BE28" s="167"/>
      <x:c r="BF28" s="185"/>
      <x:c r="BG28" s="185"/>
      <x:c r="BH28" s="185"/>
      <x:c r="BI28" s="185"/>
      <x:c r="BJ28" s="36"/>
      <x:c r="BK28" s="167"/>
      <x:c r="BL28" s="185"/>
      <x:c r="BM28" s="185"/>
      <x:c r="BN28" s="185"/>
      <x:c r="BO28" s="185"/>
      <x:c r="BP28" s="36"/>
      <x:c r="BQ28" s="167"/>
      <x:c r="BR28" s="185"/>
      <x:c r="BS28" s="185"/>
      <x:c r="BT28" s="185"/>
      <x:c r="BU28" s="185"/>
      <x:c r="BV28" s="36"/>
    </x:row>
    <x:row r="29" spans="1:74" ht="22.5" customHeight="1" x14ac:dyDescent="0.3">
      <x:c r="A29" s="3" t="s">
        <x:v>943</x:v>
      </x:c>
      <x:c r="B29" s="57" t="s">
        <x:v>929</x:v>
      </x:c>
      <x:c r="C29" s="160"/>
      <x:c r="D29" s="161"/>
      <x:c r="E29" s="161"/>
      <x:c r="F29" s="161"/>
      <x:c r="G29" s="161"/>
      <x:c r="H29" s="204"/>
      <x:c r="I29" s="38"/>
      <x:c r="J29" s="39"/>
      <x:c r="K29" s="39"/>
      <x:c r="L29" s="39"/>
      <x:c r="M29" s="39"/>
      <x:c r="N29" s="42"/>
      <x:c r="O29" s="38"/>
      <x:c r="P29" s="39"/>
      <x:c r="Q29" s="39"/>
      <x:c r="R29" s="39"/>
      <x:c r="S29" s="39"/>
      <x:c r="T29" s="42"/>
      <x:c r="U29" s="38"/>
      <x:c r="V29" s="39"/>
      <x:c r="W29" s="39"/>
      <x:c r="X29" s="39"/>
      <x:c r="Y29" s="39"/>
      <x:c r="Z29" s="42"/>
      <x:c r="AA29" s="38"/>
      <x:c r="AB29" s="39"/>
      <x:c r="AC29" s="39"/>
      <x:c r="AD29" s="39"/>
      <x:c r="AE29" s="39"/>
      <x:c r="AF29" s="42"/>
      <x:c r="AG29" s="38"/>
      <x:c r="AH29" s="39"/>
      <x:c r="AI29" s="39"/>
      <x:c r="AJ29" s="39"/>
      <x:c r="AK29" s="39"/>
      <x:c r="AL29" s="42"/>
      <x:c r="AM29" s="160">
        <x:v>100</x:v>
      </x:c>
      <x:c r="AN29" s="161">
        <x:v>100</x:v>
      </x:c>
      <x:c r="AO29" s="161">
        <x:v>100</x:v>
      </x:c>
      <x:c r="AP29" s="161">
        <x:v>100</x:v>
      </x:c>
      <x:c r="AQ29" s="161">
        <x:v>100</x:v>
      </x:c>
      <x:c r="AR29" s="631" t="s">
        <x:v>1102</x:v>
      </x:c>
      <x:c r="AS29" s="160">
        <x:v>100</x:v>
      </x:c>
      <x:c r="AT29" s="161">
        <x:v>100</x:v>
      </x:c>
      <x:c r="AU29" s="161">
        <x:v>100</x:v>
      </x:c>
      <x:c r="AV29" s="161">
        <x:v>100</x:v>
      </x:c>
      <x:c r="AW29" s="161">
        <x:v>100</x:v>
      </x:c>
      <x:c r="AX29" s="594" t="s">
        <x:v>1102</x:v>
      </x:c>
      <x:c r="AY29" s="38"/>
      <x:c r="AZ29" s="39"/>
      <x:c r="BA29" s="39"/>
      <x:c r="BB29" s="39"/>
      <x:c r="BC29" s="39"/>
      <x:c r="BD29" s="42"/>
      <x:c r="BE29" s="38"/>
      <x:c r="BF29" s="39"/>
      <x:c r="BG29" s="39"/>
      <x:c r="BH29" s="39"/>
      <x:c r="BI29" s="39"/>
      <x:c r="BJ29" s="42"/>
      <x:c r="BK29" s="38"/>
      <x:c r="BL29" s="39"/>
      <x:c r="BM29" s="39"/>
      <x:c r="BN29" s="39"/>
      <x:c r="BO29" s="39"/>
      <x:c r="BP29" s="42"/>
      <x:c r="BQ29" s="38"/>
      <x:c r="BR29" s="39"/>
      <x:c r="BS29" s="39"/>
      <x:c r="BT29" s="39"/>
      <x:c r="BU29" s="39"/>
      <x:c r="BV29" s="42"/>
    </x:row>
    <x:row r="30" spans="1:74" x14ac:dyDescent="0.25">
      <x:c r="C30" s="498">
        <x:f t="array" ref="C30:C30">SUMPRODUCT((C3:C29&gt;=10)*(D3:D29&gt;=10)*(E3:E29&gt;=10)*(F3:F29&gt;=10)*(G3:G29&gt;=10))</x:f>
      </x:c>
      <x:c r="H30" s="227">
        <x:f>COUNTIF(H3:H29,"Да")</x:f>
      </x:c>
      <x:c r="I30" s="498">
        <x:f t="array" ref="I30:I30">SUMPRODUCT((I3:I29&gt;=10)*(J3:J29&gt;=10)*(K3:K29&gt;=10)*(L3:L29&gt;=10)*(M3:M29&gt;=10))</x:f>
      </x:c>
      <x:c r="N30" s="227">
        <x:f>COUNTIF(N3:N29,"Да")</x:f>
      </x:c>
      <x:c r="O30" s="498">
        <x:f t="array" ref="O30:O30">SUMPRODUCT((O3:O29&gt;=10)*(P3:P29&gt;=10)*(Q3:Q29&gt;=10)*(R3:R29&gt;=10)*(S3:S29&gt;=10))</x:f>
      </x:c>
      <x:c r="T30" s="227">
        <x:f>COUNTIF(T3:T29,"Да")</x:f>
      </x:c>
      <x:c r="U30" s="498">
        <x:f t="array" ref="U30:U30">SUMPRODUCT((U3:U29&gt;=10)*(V3:V29&gt;=10)*(W3:W29&gt;=10)*(X3:X29&gt;=10)*(Y3:Y29&gt;=10))</x:f>
      </x:c>
      <x:c r="Z30" s="227">
        <x:f>COUNTIF(Z3:Z29,"Да")</x:f>
      </x:c>
      <x:c r="AA30" s="498">
        <x:f t="array" ref="AA30:AA30">SUMPRODUCT((AA3:AA29&gt;=10)*(AB3:AB29&gt;=10)*(AC3:AC29&gt;=10)*(AD3:AD29&gt;=10)*(AE3:AE29&gt;=10))</x:f>
      </x:c>
      <x:c r="AF30" s="227">
        <x:f>COUNTIF(AF3:AF29,"Да")</x:f>
      </x:c>
      <x:c r="AG30" s="498">
        <x:f t="array" ref="AG30:AG30">SUMPRODUCT((AG3:AG29&gt;=10)*(AH3:AH29&gt;=10)*(AI3:AI29&gt;=10)*(AJ3:AJ29&gt;=10)*(AK3:AK29&gt;=10))</x:f>
      </x:c>
      <x:c r="AL30" s="227">
        <x:f>COUNTIF(AL3:AL29,"Да")</x:f>
      </x:c>
      <x:c r="AM30" s="498">
        <x:f t="array" ref="AM30:AM30">SUMPRODUCT((AM3:AM29&gt;=10)*(AN3:AN29&gt;=10)*(AO3:AO29&gt;=10)*(AP3:AP29&gt;=10)*(AQ3:AQ29&gt;=10))</x:f>
      </x:c>
      <x:c r="AR30" s="227">
        <x:f>COUNTIF(AR3:AR29,"Да")</x:f>
      </x:c>
      <x:c r="AS30" s="498">
        <x:f t="array" ref="AS30:AS30">SUMPRODUCT((AS3:AS29&gt;=10)*(AT3:AT29&gt;=10)*(AU3:AU29&gt;=10)*(AV3:AV29&gt;=10)*(AW3:AW29&gt;=10))</x:f>
      </x:c>
      <x:c r="AX30" s="227">
        <x:f>COUNTIF(AX3:AX29,"Да")</x:f>
      </x:c>
      <x:c r="AY30" s="498">
        <x:f t="array" ref="AY30:AY30">SUMPRODUCT((AY3:AY29&gt;=10)*(AZ3:AZ29&gt;=10)*(BA3:BA29&gt;=10)*(BB3:BB29&gt;=10)*(BC3:BC29&gt;=10))</x:f>
      </x:c>
      <x:c r="BD30" s="227">
        <x:f>COUNTIF(BD3:BD29,"Да")</x:f>
      </x:c>
      <x:c r="BE30" s="498">
        <x:f t="array" ref="BE30:BE30">SUMPRODUCT((BE3:BE29&gt;=10)*(BF3:BF29&gt;=10)*(BG3:BG29&gt;=10)*(BH3:BH29&gt;=10)*(BI3:BI29&gt;=10))</x:f>
      </x:c>
      <x:c r="BJ30" s="227">
        <x:f>COUNTIF(BJ3:BJ29,"Да")</x:f>
      </x:c>
      <x:c r="BK30" s="498">
        <x:f t="array" ref="BK30:BK30">SUMPRODUCT((BK3:BK29&gt;=10)*(BL3:BL29&gt;=10)*(BM3:BM29&gt;=10)*(BN3:BN29&gt;=10)*(BO3:BO29&gt;=10))</x:f>
      </x:c>
      <x:c r="BP30" s="227">
        <x:f>COUNTIF(BP3:BP29,"Да")</x:f>
      </x:c>
      <x:c r="BQ30" s="498">
        <x:f t="array" ref="BQ30:BQ30">SUMPRODUCT((BQ3:BQ29&gt;=10)*(BR3:BR29&gt;=10)*(BS3:BS29&gt;=10)*(BT3:BT29&gt;=10)*(BU3:BU29&gt;=10))</x:f>
      </x:c>
      <x:c r="BV30" s="227">
        <x:f>COUNTIF(BV3:BV29,"Да")</x:f>
      </x:c>
    </x:row>
  </x:sheetData>
  <x:mergeCells count="26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AM17:AQ17"/>
    <x:mergeCell ref="C30:G30"/>
    <x:mergeCell ref="I30:M30"/>
    <x:mergeCell ref="O30:S30"/>
    <x:mergeCell ref="U30:Y30"/>
    <x:mergeCell ref="AA30:AE30"/>
    <x:mergeCell ref="AG30:AK30"/>
    <x:mergeCell ref="AM30:AQ30"/>
    <x:mergeCell ref="AS30:AW30"/>
    <x:mergeCell ref="AY30:BC30"/>
    <x:mergeCell ref="BE30:BI30"/>
    <x:mergeCell ref="BK30:BO30"/>
    <x:mergeCell ref="BQ30:BU30"/>
  </x:mergeCells>
  <x:conditionalFormatting sqref="C3:BV29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29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outlinePr summaryBelow="1" summaryRight="1"/>
  </x:sheetPr>
  <x:dimension ref="A1:BV13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0.710938" style="0" customWidth="1"/>
    <x:col min="9" max="43" width="9.140625" style="0" customWidth="1"/>
    <x:col min="44" max="44" width="10.140625" style="0" customWidth="1"/>
    <x:col min="45" max="74" width="9.140625" style="0" customWidth="1"/>
  </x:cols>
  <x:sheetData>
    <x:row r="1" spans="1:74" ht="28.5" customHeight="1" x14ac:dyDescent="0.3">
      <x:c r="A1" s="22" t="s">
        <x:v>1085</x:v>
      </x:c>
      <x:c r="B1" s="496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970</x:v>
      </x:c>
      <x:c r="B3" s="53" t="s">
        <x:v>968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143" t="s">
        <x:v>1136</x:v>
      </x:c>
      <x:c r="B4" s="57"/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33"/>
      <x:c r="AH4" s="185"/>
      <x:c r="AI4" s="185"/>
      <x:c r="AJ4" s="185"/>
      <x:c r="AK4" s="185"/>
      <x:c r="AL4" s="36"/>
      <x:c r="AM4" s="157"/>
      <x:c r="AN4" s="158"/>
      <x:c r="AO4" s="158"/>
      <x:c r="AP4" s="158"/>
      <x:c r="AQ4" s="158"/>
      <x:c r="AR4" s="197"/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158">
        <x:v>96.74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969</x:v>
      </x:c>
      <x:c r="B5" s="57" t="s">
        <x:v>968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33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589">
        <x:v>0</x:v>
      </x:c>
      <x:c r="AQ5" s="589">
        <x:v>0</x:v>
      </x:c>
      <x:c r="AR5" s="620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ht="22.5" customHeight="1" x14ac:dyDescent="0.25">
      <x:c r="A6" s="3" t="s">
        <x:v>964</x:v>
      </x:c>
      <x:c r="B6" s="57" t="s">
        <x:v>966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33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98.91</x:v>
      </x:c>
      <x:c r="AP6" s="158">
        <x:v>88.68</x:v>
      </x:c>
      <x:c r="AQ6" s="589">
        <x:v>0</x:v>
      </x:c>
      <x:c r="AR6" s="620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ht="22.5" customHeight="1" x14ac:dyDescent="0.25">
      <x:c r="A7" s="3" t="s">
        <x:v>972</x:v>
      </x:c>
      <x:c r="B7" s="57" t="s">
        <x:v>183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33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ht="22.5" customHeight="1" x14ac:dyDescent="0.25">
      <x:c r="A8" s="3" t="s">
        <x:v>971</x:v>
      </x:c>
      <x:c r="B8" s="57" t="s">
        <x:v>183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33"/>
      <x:c r="AH8" s="185"/>
      <x:c r="AI8" s="185"/>
      <x:c r="AJ8" s="185"/>
      <x:c r="AK8" s="185"/>
      <x:c r="AL8" s="36"/>
      <x:c r="AM8" s="157">
        <x:v>100</x:v>
      </x:c>
      <x:c r="AN8" s="158">
        <x:v>94.83</x:v>
      </x:c>
      <x:c r="AO8" s="158">
        <x:v>91.3</x:v>
      </x:c>
      <x:c r="AP8" s="589">
        <x:v>0</x:v>
      </x:c>
      <x:c r="AQ8" s="589">
        <x:v>0</x:v>
      </x:c>
      <x:c r="AR8" s="620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ht="22.5" customHeight="1" x14ac:dyDescent="0.25">
      <x:c r="A9" s="3" t="s">
        <x:v>973</x:v>
      </x:c>
      <x:c r="B9" s="57" t="s">
        <x:v>183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33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589">
        <x:v>0</x:v>
      </x:c>
      <x:c r="AQ9" s="589">
        <x:v>0</x:v>
      </x:c>
      <x:c r="AR9" s="620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ht="22.5" customHeight="1" x14ac:dyDescent="0.25">
      <x:c r="A10" s="630" t="s">
        <x:v>975</x:v>
      </x:c>
      <x:c r="B10" s="57" t="s">
        <x:v>191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33"/>
      <x:c r="AH10" s="185"/>
      <x:c r="AI10" s="185"/>
      <x:c r="AJ10" s="185"/>
      <x:c r="AK10" s="185"/>
      <x:c r="AL10" s="36"/>
      <x:c r="AM10" s="588">
        <x:v>0</x:v>
      </x:c>
      <x:c r="AN10" s="589">
        <x:v>0</x:v>
      </x:c>
      <x:c r="AO10" s="589">
        <x:v>0</x:v>
      </x:c>
      <x:c r="AP10" s="589">
        <x:v>0</x:v>
      </x:c>
      <x:c r="AQ10" s="589">
        <x:v>0</x:v>
      </x:c>
      <x:c r="AR10" s="591" t="s">
        <x:v>1103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158">
        <x:v>98.91</x:v>
      </x:c>
      <x:c r="AX10" s="585" t="s">
        <x:v>1102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ht="22.5" customHeight="1" x14ac:dyDescent="0.25">
      <x:c r="A11" s="3" t="s">
        <x:v>974</x:v>
      </x:c>
      <x:c r="B11" s="57" t="s">
        <x:v>183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33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589">
        <x:v>0</x:v>
      </x:c>
      <x:c r="AQ11" s="589">
        <x:v>0</x:v>
      </x:c>
      <x:c r="AR11" s="620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ht="22.5" customHeight="1" x14ac:dyDescent="0.25">
      <x:c r="A12" s="3" t="s">
        <x:v>967</x:v>
      </x:c>
      <x:c r="B12" s="57" t="s">
        <x:v>968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33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x14ac:dyDescent="0.25">
      <x:c r="C13" s="501">
        <x:f>SUMPRODUCT((C3:C12&gt;=10)*(D3:D12&gt;=10)*(E3:E12&gt;=10)*(F3:F12&gt;=10)*(G3:G12&gt;=10))</x:f>
      </x:c>
      <x:c r="D13" s="503"/>
      <x:c r="E13" s="503"/>
      <x:c r="F13" s="503"/>
      <x:c r="G13" s="503"/>
      <x:c r="H13" s="227">
        <x:f>COUNTIF(H3:H12,"Да")</x:f>
      </x:c>
      <x:c r="I13" s="501">
        <x:f>SUMPRODUCT((I3:I12&gt;=10)*(J3:J12&gt;=10)*(K3:K12&gt;=10)*(L3:L12&gt;=10)*(M3:M12&gt;=10))</x:f>
      </x:c>
      <x:c r="J13" s="503"/>
      <x:c r="K13" s="503"/>
      <x:c r="L13" s="503"/>
      <x:c r="M13" s="503"/>
      <x:c r="N13" s="227">
        <x:f>COUNTIF(N3:N12,"Да")</x:f>
      </x:c>
      <x:c r="O13" s="501">
        <x:f>SUMPRODUCT((O3:O12&gt;=10)*(P3:P12&gt;=10)*(Q3:Q12&gt;=10)*(R3:R12&gt;=10)*(S3:S12&gt;=10))</x:f>
      </x:c>
      <x:c r="P13" s="503"/>
      <x:c r="Q13" s="503"/>
      <x:c r="R13" s="503"/>
      <x:c r="S13" s="503"/>
      <x:c r="T13" s="227">
        <x:f>COUNTIF(T3:T12,"Да")</x:f>
      </x:c>
      <x:c r="U13" s="501">
        <x:f>SUMPRODUCT((U3:U12&gt;=10)*(V3:V12&gt;=10)*(W3:W12&gt;=10)*(X3:X12&gt;=10)*(Y3:Y12&gt;=10))</x:f>
      </x:c>
      <x:c r="V13" s="503"/>
      <x:c r="W13" s="503"/>
      <x:c r="X13" s="503"/>
      <x:c r="Y13" s="503"/>
      <x:c r="Z13" s="227">
        <x:f>COUNTIF(Z3:Z12,"Да")</x:f>
      </x:c>
      <x:c r="AA13" s="501">
        <x:f>SUMPRODUCT((AA3:AA12&gt;=10)*(AB3:AB12&gt;=10)*(AC3:AC12&gt;=10)*(AD3:AD12&gt;=10)*(AE3:AE12&gt;=10))</x:f>
      </x:c>
      <x:c r="AB13" s="503"/>
      <x:c r="AC13" s="503"/>
      <x:c r="AD13" s="503"/>
      <x:c r="AE13" s="503"/>
      <x:c r="AF13" s="227">
        <x:f>COUNTIF(AF3:AF12,"Да")</x:f>
      </x:c>
      <x:c r="AG13" s="501">
        <x:f>SUMPRODUCT((AG3:AG12&gt;=10)*(AH3:AH12&gt;=10)*(AI3:AI12&gt;=10)*(AJ3:AJ12&gt;=10)*(AK3:AK12&gt;=10))</x:f>
      </x:c>
      <x:c r="AH13" s="503"/>
      <x:c r="AI13" s="503"/>
      <x:c r="AJ13" s="503"/>
      <x:c r="AK13" s="503"/>
      <x:c r="AL13" s="227">
        <x:f>COUNTIF(AL3:AL12,"Да")</x:f>
      </x:c>
      <x:c r="AM13" s="501">
        <x:f>SUMPRODUCT((AM3:AM12&gt;=10)*(AN3:AN12&gt;=10)*(AO3:AO12&gt;=10)*(AP3:AP12&gt;=10)*(AQ3:AQ12&gt;=10))</x:f>
      </x:c>
      <x:c r="AN13" s="503"/>
      <x:c r="AO13" s="503"/>
      <x:c r="AP13" s="503"/>
      <x:c r="AQ13" s="503"/>
      <x:c r="AR13" s="227">
        <x:f>COUNTIF(AR3:AR12,"Да")</x:f>
      </x:c>
      <x:c r="AS13" s="501">
        <x:f>SUMPRODUCT((AS3:AS12&gt;=10)*(AT3:AT12&gt;=10)*(AU3:AU12&gt;=10)*(AV3:AV12&gt;=10)*(AW3:AW12&gt;=10))</x:f>
      </x:c>
      <x:c r="AT13" s="503"/>
      <x:c r="AU13" s="503"/>
      <x:c r="AV13" s="503"/>
      <x:c r="AW13" s="503"/>
      <x:c r="AX13" s="227">
        <x:f>COUNTIF(AX3:AX12,"Да")</x:f>
      </x:c>
      <x:c r="AY13" s="501">
        <x:f>SUMPRODUCT((AY3:AY12&gt;=10)*(AZ3:AZ12&gt;=10)*(BA3:BA12&gt;=10)*(BB3:BB12&gt;=10)*(BC3:BC12&gt;=10))</x:f>
      </x:c>
      <x:c r="AZ13" s="503"/>
      <x:c r="BA13" s="503"/>
      <x:c r="BB13" s="503"/>
      <x:c r="BC13" s="503"/>
      <x:c r="BD13" s="227">
        <x:f>COUNTIF(BD3:BD12,"Да")</x:f>
      </x:c>
      <x:c r="BE13" s="501">
        <x:f>SUMPRODUCT((BE3:BE12&gt;=10)*(BF3:BF12&gt;=10)*(BG3:BG12&gt;=10)*(BH3:BH12&gt;=10)*(BI3:BI12&gt;=10))</x:f>
      </x:c>
      <x:c r="BF13" s="503"/>
      <x:c r="BG13" s="503"/>
      <x:c r="BH13" s="503"/>
      <x:c r="BI13" s="503"/>
      <x:c r="BJ13" s="227">
        <x:f>COUNTIF(BJ3:BJ12,"Да")</x:f>
      </x:c>
      <x:c r="BK13" s="501">
        <x:f>SUMPRODUCT((BK3:BK12&gt;=10)*(BL3:BL12&gt;=10)*(BM3:BM12&gt;=10)*(BN3:BN12&gt;=10)*(BO3:BO12&gt;=10))</x:f>
      </x:c>
      <x:c r="BL13" s="503"/>
      <x:c r="BM13" s="503"/>
      <x:c r="BN13" s="503"/>
      <x:c r="BO13" s="503"/>
      <x:c r="BP13" s="227">
        <x:f>COUNTIF(BP3:BP12,"Да")</x:f>
      </x:c>
      <x:c r="BQ13" s="501">
        <x:f>SUMPRODUCT((BQ3:BQ12&gt;=10)*(BR3:BR12&gt;=10)*(BS3:BS12&gt;=10)*(BT3:BT12&gt;=10)*(BU3:BU12&gt;=10))</x:f>
      </x:c>
      <x:c r="BR13" s="503"/>
      <x:c r="BS13" s="503"/>
      <x:c r="BT13" s="503"/>
      <x:c r="BU13" s="503"/>
      <x:c r="BV13" s="227">
        <x:f>COUNTIF(BV3:BV12,"Да")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13:G13"/>
    <x:mergeCell ref="I13:M13"/>
    <x:mergeCell ref="O13:S13"/>
    <x:mergeCell ref="U13:Y13"/>
    <x:mergeCell ref="AA13:AE13"/>
    <x:mergeCell ref="AG13:AK13"/>
    <x:mergeCell ref="AM13:AQ13"/>
    <x:mergeCell ref="AS13:AW13"/>
    <x:mergeCell ref="AY13:BC13"/>
    <x:mergeCell ref="BE13:BI13"/>
    <x:mergeCell ref="BK13:BO13"/>
    <x:mergeCell ref="BQ13:BU13"/>
  </x:mergeCells>
  <x:conditionalFormatting sqref="C3:BV12">
    <x:cfRule type="containsBlanks" dxfId="8" priority="1">
      <x:formula>LEN(TRIM(C3))=0</x:formula>
    </x:cfRule>
    <x:cfRule type="expression" priority="13" stopIfTrue="1" operator="equal">
      <x:formula>LEN(TRIM(C3&amp;""))=0</x:formula>
    </x:cfRule>
  </x:conditionalFormatting>
  <x:conditionalFormatting sqref="A3:A11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  <x:cfRule type="containsText" dxfId="7" priority="9" operator="containsText" text="Начальник">
      <x:formula>NOT(ISERROR(SEARCH("Начальник",B1)))</x:formula>
    </x:cfRule>
    <x:cfRule type="containsText" dxfId="6" priority="10" operator="containsText" text="Заместитель начальника">
      <x:formula>NOT(ISERROR(SEARCH("Заместитель начальника",B1)))</x:formula>
    </x:cfRule>
    <x:cfRule type="containsText" dxfId="5" priority="11" operator="containsText" text="Механик установки">
      <x:formula>NOT(ISERROR(SEARCH("Механик установки",B1)))</x:formula>
    </x:cfRule>
    <x:cfRule type="containsText" dxfId="4" priority="12" operator="containsText" text="динамическому">
      <x:formula>NOT(ISERROR(SEARCH("динамическому",B1)))</x:formula>
    </x:cfRule>
  </x:conditionalFormatting>
  <x:conditionalFormatting sqref="A1:A1">
    <x:cfRule type="duplicateValues" dxfId="0" priority="7"/>
    <x:cfRule type="duplicateValues" dxfId="0" priority="8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outlinePr summaryBelow="1" summaryRight="1"/>
  </x:sheetPr>
  <x:dimension ref="A1:BV24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0.285156" style="0" customWidth="1"/>
    <x:col min="2" max="2" width="33" style="0" customWidth="1"/>
    <x:col min="3" max="74" width="9.140625" style="0" customWidth="1"/>
  </x:cols>
  <x:sheetData>
    <x:row r="1" spans="1:74" ht="28.5" customHeight="1" x14ac:dyDescent="0.3">
      <x:c r="A1" s="22" t="s">
        <x:v>1086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5" t="s">
        <x:v>1003</x:v>
      </x:c>
      <x:c r="B3" s="59" t="s">
        <x:v>23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640">
        <x:v>0</x:v>
      </x:c>
      <x:c r="AP3" s="640">
        <x:v>0</x:v>
      </x:c>
      <x:c r="AQ3" s="640">
        <x:v>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633">
        <x:v>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207" t="s">
        <x:v>1002</x:v>
      </x:c>
      <x:c r="B4" s="57" t="s">
        <x:v>23</x:v>
      </x:c>
      <x:c r="C4" s="175"/>
      <x:c r="D4" s="158"/>
      <x:c r="E4" s="158"/>
      <x:c r="F4" s="158"/>
      <x:c r="G4" s="158"/>
      <x:c r="H4" s="197"/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75">
        <x:v>100</x:v>
      </x:c>
      <x:c r="AN4" s="158">
        <x:v>100</x:v>
      </x:c>
      <x:c r="AO4" s="589">
        <x:v>0</x:v>
      </x:c>
      <x:c r="AP4" s="589">
        <x:v>0</x:v>
      </x:c>
      <x:c r="AQ4" s="589">
        <x:v>0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600">
        <x:v>0</x:v>
      </x:c>
      <x:c r="AW4" s="600">
        <x:v>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642" t="s">
        <x:v>1008</x:v>
      </x:c>
      <x:c r="B5" s="60" t="s">
        <x:v>23</x:v>
      </x:c>
      <x:c r="C5" s="175"/>
      <x:c r="D5" s="158"/>
      <x:c r="E5" s="158"/>
      <x:c r="F5" s="158"/>
      <x:c r="G5" s="158"/>
      <x:c r="H5" s="197"/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617">
        <x:v>0</x:v>
      </x:c>
      <x:c r="AN5" s="589">
        <x:v>0</x:v>
      </x:c>
      <x:c r="AO5" s="589">
        <x:v>0</x:v>
      </x:c>
      <x:c r="AP5" s="589">
        <x:v>0</x:v>
      </x:c>
      <x:c r="AQ5" s="589">
        <x:v>0</x:v>
      </x:c>
      <x:c r="AR5" s="591" t="s">
        <x:v>1103</x:v>
      </x:c>
      <x:c r="AS5" s="617">
        <x:v>0</x:v>
      </x:c>
      <x:c r="AT5" s="589">
        <x:v>0</x:v>
      </x:c>
      <x:c r="AU5" s="589">
        <x:v>0</x:v>
      </x:c>
      <x:c r="AV5" s="589">
        <x:v>0</x:v>
      </x:c>
      <x:c r="AW5" s="589">
        <x:v>0</x:v>
      </x:c>
      <x:c r="AX5" s="591" t="s">
        <x:v>1103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207" t="s">
        <x:v>1013</x:v>
      </x:c>
      <x:c r="B6" s="57" t="s">
        <x:v>23</x:v>
      </x:c>
      <x:c r="C6" s="175"/>
      <x:c r="D6" s="158"/>
      <x:c r="E6" s="158"/>
      <x:c r="F6" s="158"/>
      <x:c r="G6" s="158"/>
      <x:c r="H6" s="197"/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75">
        <x:v>100</x:v>
      </x:c>
      <x:c r="AN6" s="158">
        <x:v>100</x:v>
      </x:c>
      <x:c r="AO6" s="589">
        <x:v>0</x:v>
      </x:c>
      <x:c r="AP6" s="589">
        <x:v>0</x:v>
      </x:c>
      <x:c r="AQ6" s="589">
        <x:v>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600">
        <x:v>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207" t="s">
        <x:v>1014</x:v>
      </x:c>
      <x:c r="B7" s="60" t="s">
        <x:v>23</x:v>
      </x:c>
      <x:c r="C7" s="175"/>
      <x:c r="D7" s="158"/>
      <x:c r="E7" s="158"/>
      <x:c r="F7" s="158"/>
      <x:c r="G7" s="158"/>
      <x:c r="H7" s="197"/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75">
        <x:v>100</x:v>
      </x:c>
      <x:c r="AN7" s="158">
        <x:v>100</x:v>
      </x:c>
      <x:c r="AO7" s="589">
        <x:v>0</x:v>
      </x:c>
      <x:c r="AP7" s="589">
        <x:v>0</x:v>
      </x:c>
      <x:c r="AQ7" s="589">
        <x:v>0</x:v>
      </x:c>
      <x:c r="AR7" s="620" t="s">
        <x:v>1102</x:v>
      </x:c>
      <x:c r="AS7" s="175">
        <x:v>100</x:v>
      </x:c>
      <x:c r="AT7" s="158">
        <x:v>100</x:v>
      </x:c>
      <x:c r="AU7" s="600">
        <x:v>0</x:v>
      </x:c>
      <x:c r="AV7" s="600">
        <x:v>0</x:v>
      </x:c>
      <x:c r="AW7" s="600">
        <x:v>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207" t="s">
        <x:v>1010</x:v>
      </x:c>
      <x:c r="B8" s="57" t="s">
        <x:v>37</x:v>
      </x:c>
      <x:c r="C8" s="175"/>
      <x:c r="D8" s="158"/>
      <x:c r="E8" s="158"/>
      <x:c r="F8" s="158"/>
      <x:c r="G8" s="158"/>
      <x:c r="H8" s="197"/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75">
        <x:v>100</x:v>
      </x:c>
      <x:c r="AN8" s="158">
        <x:v>100</x:v>
      </x:c>
      <x:c r="AO8" s="589">
        <x:v>0</x:v>
      </x:c>
      <x:c r="AP8" s="589">
        <x:v>0</x:v>
      </x:c>
      <x:c r="AQ8" s="589">
        <x:v>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602">
        <x:v>3.64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x14ac:dyDescent="0.25">
      <x:c r="A9" s="665" t="s">
        <x:v>920</x:v>
      </x:c>
      <x:c r="B9" s="91" t="s">
        <x:v>14</x:v>
      </x:c>
      <x:c r="C9" s="175"/>
      <x:c r="D9" s="158"/>
      <x:c r="E9" s="158"/>
      <x:c r="F9" s="158"/>
      <x:c r="G9" s="158"/>
      <x:c r="H9" s="197"/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75">
        <x:v>100</x:v>
      </x:c>
      <x:c r="AN9" s="158">
        <x:v>100</x:v>
      </x:c>
      <x:c r="AO9" s="589">
        <x:v>0</x:v>
      </x:c>
      <x:c r="AP9" s="589">
        <x:v>0</x:v>
      </x:c>
      <x:c r="AQ9" s="589">
        <x:v>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158">
        <x:v>100</x:v>
      </x:c>
      <x:c r="AW9" s="600">
        <x:v>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x14ac:dyDescent="0.25">
      <x:c r="A10" s="207" t="s">
        <x:v>1006</x:v>
      </x:c>
      <x:c r="B10" s="60" t="s">
        <x:v>23</x:v>
      </x:c>
      <x:c r="C10" s="175"/>
      <x:c r="D10" s="158"/>
      <x:c r="E10" s="158"/>
      <x:c r="F10" s="158"/>
      <x:c r="G10" s="158"/>
      <x:c r="H10" s="197"/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75">
        <x:v>100</x:v>
      </x:c>
      <x:c r="AN10" s="158">
        <x:v>100</x:v>
      </x:c>
      <x:c r="AO10" s="589">
        <x:v>0</x:v>
      </x:c>
      <x:c r="AP10" s="589">
        <x:v>0</x:v>
      </x:c>
      <x:c r="AQ10" s="589">
        <x:v>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207" t="s">
        <x:v>1009</x:v>
      </x:c>
      <x:c r="B11" s="57" t="s">
        <x:v>37</x:v>
      </x:c>
      <x:c r="C11" s="175"/>
      <x:c r="D11" s="158"/>
      <x:c r="E11" s="158"/>
      <x:c r="F11" s="158"/>
      <x:c r="G11" s="158"/>
      <x:c r="H11" s="197"/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75">
        <x:v>100</x:v>
      </x:c>
      <x:c r="AN11" s="158">
        <x:v>100</x:v>
      </x:c>
      <x:c r="AO11" s="589">
        <x:v>0</x:v>
      </x:c>
      <x:c r="AP11" s="589">
        <x:v>0</x:v>
      </x:c>
      <x:c r="AQ11" s="589">
        <x:v>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x14ac:dyDescent="0.25">
      <x:c r="A12" s="207" t="s">
        <x:v>1012</x:v>
      </x:c>
      <x:c r="B12" s="60" t="s">
        <x:v>23</x:v>
      </x:c>
      <x:c r="C12" s="175"/>
      <x:c r="D12" s="158"/>
      <x:c r="E12" s="158"/>
      <x:c r="F12" s="158"/>
      <x:c r="G12" s="158"/>
      <x:c r="H12" s="197"/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75">
        <x:v>100</x:v>
      </x:c>
      <x:c r="AN12" s="158">
        <x:v>100</x:v>
      </x:c>
      <x:c r="AO12" s="589">
        <x:v>0</x:v>
      </x:c>
      <x:c r="AP12" s="589">
        <x:v>0</x:v>
      </x:c>
      <x:c r="AQ12" s="589">
        <x:v>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x14ac:dyDescent="0.25">
      <x:c r="A13" s="207" t="s">
        <x:v>1004</x:v>
      </x:c>
      <x:c r="B13" s="57" t="s">
        <x:v>23</x:v>
      </x:c>
      <x:c r="C13" s="175"/>
      <x:c r="D13" s="158"/>
      <x:c r="E13" s="158"/>
      <x:c r="F13" s="158"/>
      <x:c r="G13" s="158"/>
      <x:c r="H13" s="197"/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75">
        <x:v>100</x:v>
      </x:c>
      <x:c r="AN13" s="158">
        <x:v>100</x:v>
      </x:c>
      <x:c r="AO13" s="589">
        <x:v>0</x:v>
      </x:c>
      <x:c r="AP13" s="589">
        <x:v>0</x:v>
      </x:c>
      <x:c r="AQ13" s="589">
        <x:v>0</x:v>
      </x:c>
      <x:c r="AR13" s="620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600">
        <x:v>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207" t="s">
        <x:v>1000</x:v>
      </x:c>
      <x:c r="B14" s="60" t="s">
        <x:v>16</x:v>
      </x:c>
      <x:c r="C14" s="175"/>
      <x:c r="D14" s="158"/>
      <x:c r="E14" s="158"/>
      <x:c r="F14" s="158"/>
      <x:c r="G14" s="158"/>
      <x:c r="H14" s="197"/>
      <x:c r="I14" s="167"/>
      <x:c r="J14" s="185"/>
      <x:c r="K14" s="185"/>
      <x:c r="L14" s="185"/>
      <x:c r="M14" s="185"/>
      <x:c r="N14" s="36"/>
      <x:c r="O14" s="167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75">
        <x:v>100</x:v>
      </x:c>
      <x:c r="AN14" s="158">
        <x:v>100</x:v>
      </x:c>
      <x:c r="AO14" s="589">
        <x:v>0</x:v>
      </x:c>
      <x:c r="AP14" s="589">
        <x:v>0</x:v>
      </x:c>
      <x:c r="AQ14" s="589">
        <x:v>0</x:v>
      </x:c>
      <x:c r="AR14" s="620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x14ac:dyDescent="0.25">
      <x:c r="A15" s="207" t="s">
        <x:v>1011</x:v>
      </x:c>
      <x:c r="B15" s="57" t="s">
        <x:v>23</x:v>
      </x:c>
      <x:c r="C15" s="175"/>
      <x:c r="D15" s="158"/>
      <x:c r="E15" s="158"/>
      <x:c r="F15" s="158"/>
      <x:c r="G15" s="158"/>
      <x:c r="H15" s="197"/>
      <x:c r="I15" s="167"/>
      <x:c r="J15" s="185"/>
      <x:c r="K15" s="185"/>
      <x:c r="L15" s="185"/>
      <x:c r="M15" s="185"/>
      <x:c r="N15" s="36"/>
      <x:c r="O15" s="167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75">
        <x:v>100</x:v>
      </x:c>
      <x:c r="AN15" s="158">
        <x:v>100</x:v>
      </x:c>
      <x:c r="AO15" s="589">
        <x:v>0</x:v>
      </x:c>
      <x:c r="AP15" s="589">
        <x:v>0</x:v>
      </x:c>
      <x:c r="AQ15" s="589">
        <x:v>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207" t="s">
        <x:v>999</x:v>
      </x:c>
      <x:c r="B16" s="60" t="s">
        <x:v>16</x:v>
      </x:c>
      <x:c r="C16" s="175"/>
      <x:c r="D16" s="158"/>
      <x:c r="E16" s="158"/>
      <x:c r="F16" s="158"/>
      <x:c r="G16" s="158"/>
      <x:c r="H16" s="197"/>
      <x:c r="I16" s="167"/>
      <x:c r="J16" s="185"/>
      <x:c r="K16" s="185"/>
      <x:c r="L16" s="185"/>
      <x:c r="M16" s="185"/>
      <x:c r="N16" s="36"/>
      <x:c r="O16" s="167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75">
        <x:v>100</x:v>
      </x:c>
      <x:c r="AN16" s="158">
        <x:v>100</x:v>
      </x:c>
      <x:c r="AO16" s="589">
        <x:v>0</x:v>
      </x:c>
      <x:c r="AP16" s="589">
        <x:v>0</x:v>
      </x:c>
      <x:c r="AQ16" s="589">
        <x:v>0</x:v>
      </x:c>
      <x:c r="AR16" s="620" t="s">
        <x:v>1102</x:v>
      </x:c>
      <x:c r="AS16" s="175">
        <x:v>100</x:v>
      </x:c>
      <x:c r="AT16" s="158">
        <x:v>100</x:v>
      </x:c>
      <x:c r="AU16" s="600">
        <x:v>0</x:v>
      </x:c>
      <x:c r="AV16" s="600">
        <x:v>0</x:v>
      </x:c>
      <x:c r="AW16" s="600">
        <x:v>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22.5" customHeight="1" x14ac:dyDescent="0.25">
      <x:c r="A17" s="207" t="s">
        <x:v>1016</x:v>
      </x:c>
      <x:c r="B17" s="57" t="s">
        <x:v>37</x:v>
      </x:c>
      <x:c r="C17" s="175"/>
      <x:c r="D17" s="158"/>
      <x:c r="E17" s="158"/>
      <x:c r="F17" s="158"/>
      <x:c r="G17" s="158"/>
      <x:c r="H17" s="197"/>
      <x:c r="I17" s="167"/>
      <x:c r="J17" s="185"/>
      <x:c r="K17" s="185"/>
      <x:c r="L17" s="185"/>
      <x:c r="M17" s="185"/>
      <x:c r="N17" s="36"/>
      <x:c r="O17" s="167"/>
      <x:c r="P17" s="185"/>
      <x:c r="Q17" s="185"/>
      <x:c r="R17" s="185"/>
      <x:c r="S17" s="185"/>
      <x:c r="T17" s="36"/>
      <x:c r="U17" s="167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175">
        <x:v>100</x:v>
      </x:c>
      <x:c r="AN17" s="158">
        <x:v>100</x:v>
      </x:c>
      <x:c r="AO17" s="589">
        <x:v>0</x:v>
      </x:c>
      <x:c r="AP17" s="589">
        <x:v>0</x:v>
      </x:c>
      <x:c r="AQ17" s="589">
        <x:v>0</x:v>
      </x:c>
      <x:c r="AR17" s="620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600">
        <x:v>0</x:v>
      </x:c>
      <x:c r="AX17" s="585" t="s">
        <x:v>1102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22.5" customHeight="1" x14ac:dyDescent="0.25">
      <x:c r="A18" s="642" t="s">
        <x:v>998</x:v>
      </x:c>
      <x:c r="B18" s="60" t="s">
        <x:v>16</x:v>
      </x:c>
      <x:c r="C18" s="175"/>
      <x:c r="D18" s="158"/>
      <x:c r="E18" s="158"/>
      <x:c r="F18" s="158"/>
      <x:c r="G18" s="158"/>
      <x:c r="H18" s="197"/>
      <x:c r="I18" s="167"/>
      <x:c r="J18" s="185"/>
      <x:c r="K18" s="185"/>
      <x:c r="L18" s="185"/>
      <x:c r="M18" s="185"/>
      <x:c r="N18" s="36"/>
      <x:c r="O18" s="167"/>
      <x:c r="P18" s="185"/>
      <x:c r="Q18" s="185"/>
      <x:c r="R18" s="185"/>
      <x:c r="S18" s="185"/>
      <x:c r="T18" s="36"/>
      <x:c r="U18" s="167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617">
        <x:v>0</x:v>
      </x:c>
      <x:c r="AN18" s="589">
        <x:v>0</x:v>
      </x:c>
      <x:c r="AO18" s="589">
        <x:v>0</x:v>
      </x:c>
      <x:c r="AP18" s="589">
        <x:v>0</x:v>
      </x:c>
      <x:c r="AQ18" s="589">
        <x:v>0</x:v>
      </x:c>
      <x:c r="AR18" s="591" t="s">
        <x:v>1103</x:v>
      </x:c>
      <x:c r="AS18" s="617">
        <x:v>0</x:v>
      </x:c>
      <x:c r="AT18" s="589">
        <x:v>0</x:v>
      </x:c>
      <x:c r="AU18" s="589">
        <x:v>0</x:v>
      </x:c>
      <x:c r="AV18" s="589">
        <x:v>0</x:v>
      </x:c>
      <x:c r="AW18" s="589">
        <x:v>0</x:v>
      </x:c>
      <x:c r="AX18" s="591" t="s">
        <x:v>1103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x14ac:dyDescent="0.25">
      <x:c r="A19" s="207" t="s">
        <x:v>1005</x:v>
      </x:c>
      <x:c r="B19" s="57" t="s">
        <x:v>23</x:v>
      </x:c>
      <x:c r="C19" s="175"/>
      <x:c r="D19" s="158"/>
      <x:c r="E19" s="158"/>
      <x:c r="F19" s="158"/>
      <x:c r="G19" s="158"/>
      <x:c r="H19" s="197"/>
      <x:c r="I19" s="167"/>
      <x:c r="J19" s="185"/>
      <x:c r="K19" s="185"/>
      <x:c r="L19" s="185"/>
      <x:c r="M19" s="185"/>
      <x:c r="N19" s="36"/>
      <x:c r="O19" s="167"/>
      <x:c r="P19" s="185"/>
      <x:c r="Q19" s="185"/>
      <x:c r="R19" s="185"/>
      <x:c r="S19" s="185"/>
      <x:c r="T19" s="36"/>
      <x:c r="U19" s="167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75">
        <x:v>100</x:v>
      </x:c>
      <x:c r="AN19" s="158">
        <x:v>100</x:v>
      </x:c>
      <x:c r="AO19" s="589">
        <x:v>0</x:v>
      </x:c>
      <x:c r="AP19" s="589">
        <x:v>0</x:v>
      </x:c>
      <x:c r="AQ19" s="589">
        <x:v>0</x:v>
      </x:c>
      <x:c r="AR19" s="620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x14ac:dyDescent="0.25">
      <x:c r="A20" s="207" t="s">
        <x:v>1007</x:v>
      </x:c>
      <x:c r="B20" s="60" t="s">
        <x:v>23</x:v>
      </x:c>
      <x:c r="C20" s="175"/>
      <x:c r="D20" s="158"/>
      <x:c r="E20" s="158"/>
      <x:c r="F20" s="158"/>
      <x:c r="G20" s="158"/>
      <x:c r="H20" s="197"/>
      <x:c r="I20" s="167"/>
      <x:c r="J20" s="185"/>
      <x:c r="K20" s="185"/>
      <x:c r="L20" s="185"/>
      <x:c r="M20" s="185"/>
      <x:c r="N20" s="36"/>
      <x:c r="O20" s="167"/>
      <x:c r="P20" s="185"/>
      <x:c r="Q20" s="185"/>
      <x:c r="R20" s="185"/>
      <x:c r="S20" s="185"/>
      <x:c r="T20" s="36"/>
      <x:c r="U20" s="167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175">
        <x:v>100</x:v>
      </x:c>
      <x:c r="AN20" s="158">
        <x:v>100</x:v>
      </x:c>
      <x:c r="AO20" s="589">
        <x:v>0</x:v>
      </x:c>
      <x:c r="AP20" s="589">
        <x:v>0</x:v>
      </x:c>
      <x:c r="AQ20" s="589">
        <x:v>0</x:v>
      </x:c>
      <x:c r="AR20" s="620" t="s">
        <x:v>1102</x:v>
      </x:c>
      <x:c r="AS20" s="175">
        <x:v>100</x:v>
      </x:c>
      <x:c r="AT20" s="158">
        <x:v>100</x:v>
      </x:c>
      <x:c r="AU20" s="158">
        <x:v>100</x:v>
      </x:c>
      <x:c r="AV20" s="158">
        <x:v>100</x:v>
      </x:c>
      <x:c r="AW20" s="600">
        <x:v>0</x:v>
      </x:c>
      <x:c r="AX20" s="585" t="s">
        <x:v>1102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x14ac:dyDescent="0.25">
      <x:c r="A21" s="207" t="s">
        <x:v>1015</x:v>
      </x:c>
      <x:c r="B21" s="57" t="s">
        <x:v>23</x:v>
      </x:c>
      <x:c r="C21" s="175"/>
      <x:c r="D21" s="158"/>
      <x:c r="E21" s="158"/>
      <x:c r="F21" s="158"/>
      <x:c r="G21" s="158"/>
      <x:c r="H21" s="197"/>
      <x:c r="I21" s="167"/>
      <x:c r="J21" s="185"/>
      <x:c r="K21" s="185"/>
      <x:c r="L21" s="185"/>
      <x:c r="M21" s="185"/>
      <x:c r="N21" s="36"/>
      <x:c r="O21" s="167"/>
      <x:c r="P21" s="185"/>
      <x:c r="Q21" s="185"/>
      <x:c r="R21" s="185"/>
      <x:c r="S21" s="185"/>
      <x:c r="T21" s="36"/>
      <x:c r="U21" s="167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175">
        <x:v>100</x:v>
      </x:c>
      <x:c r="AN21" s="158">
        <x:v>100</x:v>
      </x:c>
      <x:c r="AO21" s="589">
        <x:v>0</x:v>
      </x:c>
      <x:c r="AP21" s="589">
        <x:v>0</x:v>
      </x:c>
      <x:c r="AQ21" s="589">
        <x:v>0</x:v>
      </x:c>
      <x:c r="AR21" s="620" t="s">
        <x:v>1102</x:v>
      </x:c>
      <x:c r="AS21" s="175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ht="22.5" customHeight="1" x14ac:dyDescent="0.25">
      <x:c r="A22" s="207" t="s">
        <x:v>997</x:v>
      </x:c>
      <x:c r="B22" s="60" t="s">
        <x:v>16</x:v>
      </x:c>
      <x:c r="C22" s="175"/>
      <x:c r="D22" s="158"/>
      <x:c r="E22" s="158"/>
      <x:c r="F22" s="158"/>
      <x:c r="G22" s="158"/>
      <x:c r="H22" s="197"/>
      <x:c r="I22" s="167"/>
      <x:c r="J22" s="185"/>
      <x:c r="K22" s="185"/>
      <x:c r="L22" s="185"/>
      <x:c r="M22" s="185"/>
      <x:c r="N22" s="36"/>
      <x:c r="O22" s="167"/>
      <x:c r="P22" s="185"/>
      <x:c r="Q22" s="185"/>
      <x:c r="R22" s="185"/>
      <x:c r="S22" s="185"/>
      <x:c r="T22" s="36"/>
      <x:c r="U22" s="167"/>
      <x:c r="V22" s="185"/>
      <x:c r="W22" s="185"/>
      <x:c r="X22" s="185"/>
      <x:c r="Y22" s="185"/>
      <x:c r="Z22" s="36"/>
      <x:c r="AA22" s="167"/>
      <x:c r="AB22" s="185"/>
      <x:c r="AC22" s="185"/>
      <x:c r="AD22" s="185"/>
      <x:c r="AE22" s="185"/>
      <x:c r="AF22" s="36"/>
      <x:c r="AG22" s="167"/>
      <x:c r="AH22" s="185"/>
      <x:c r="AI22" s="185"/>
      <x:c r="AJ22" s="185"/>
      <x:c r="AK22" s="185"/>
      <x:c r="AL22" s="36"/>
      <x:c r="AM22" s="175">
        <x:v>100</x:v>
      </x:c>
      <x:c r="AN22" s="158">
        <x:v>100</x:v>
      </x:c>
      <x:c r="AO22" s="589">
        <x:v>0</x:v>
      </x:c>
      <x:c r="AP22" s="589">
        <x:v>0</x:v>
      </x:c>
      <x:c r="AQ22" s="589">
        <x:v>0</x:v>
      </x:c>
      <x:c r="AR22" s="620" t="s">
        <x:v>1102</x:v>
      </x:c>
      <x:c r="AS22" s="175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167"/>
      <x:c r="AZ22" s="185"/>
      <x:c r="BA22" s="185"/>
      <x:c r="BB22" s="185"/>
      <x:c r="BC22" s="185"/>
      <x:c r="BD22" s="36"/>
      <x:c r="BE22" s="167"/>
      <x:c r="BF22" s="185"/>
      <x:c r="BG22" s="185"/>
      <x:c r="BH22" s="185"/>
      <x:c r="BI22" s="185"/>
      <x:c r="BJ22" s="36"/>
      <x:c r="BK22" s="167"/>
      <x:c r="BL22" s="185"/>
      <x:c r="BM22" s="185"/>
      <x:c r="BN22" s="185"/>
      <x:c r="BO22" s="185"/>
      <x:c r="BP22" s="36"/>
      <x:c r="BQ22" s="167"/>
      <x:c r="BR22" s="185"/>
      <x:c r="BS22" s="185"/>
      <x:c r="BT22" s="185"/>
      <x:c r="BU22" s="185"/>
      <x:c r="BV22" s="36"/>
    </x:row>
    <x:row r="23" spans="1:74" ht="22.5" customHeight="1" x14ac:dyDescent="0.3">
      <x:c r="A23" s="51" t="s">
        <x:v>1001</x:v>
      </x:c>
      <x:c r="B23" s="107" t="s">
        <x:v>21</x:v>
      </x:c>
      <x:c r="C23" s="160"/>
      <x:c r="D23" s="161"/>
      <x:c r="E23" s="161"/>
      <x:c r="F23" s="161"/>
      <x:c r="G23" s="161"/>
      <x:c r="H23" s="204"/>
      <x:c r="I23" s="38"/>
      <x:c r="J23" s="39"/>
      <x:c r="K23" s="39"/>
      <x:c r="L23" s="39"/>
      <x:c r="M23" s="39"/>
      <x:c r="N23" s="42"/>
      <x:c r="O23" s="38"/>
      <x:c r="P23" s="39"/>
      <x:c r="Q23" s="39"/>
      <x:c r="R23" s="39"/>
      <x:c r="S23" s="39"/>
      <x:c r="T23" s="42"/>
      <x:c r="U23" s="38"/>
      <x:c r="V23" s="39"/>
      <x:c r="W23" s="39"/>
      <x:c r="X23" s="39"/>
      <x:c r="Y23" s="39"/>
      <x:c r="Z23" s="42"/>
      <x:c r="AA23" s="38"/>
      <x:c r="AB23" s="39"/>
      <x:c r="AC23" s="39"/>
      <x:c r="AD23" s="39"/>
      <x:c r="AE23" s="39"/>
      <x:c r="AF23" s="42"/>
      <x:c r="AG23" s="38"/>
      <x:c r="AH23" s="39"/>
      <x:c r="AI23" s="39"/>
      <x:c r="AJ23" s="39"/>
      <x:c r="AK23" s="39"/>
      <x:c r="AL23" s="42"/>
      <x:c r="AM23" s="160">
        <x:v>100</x:v>
      </x:c>
      <x:c r="AN23" s="161">
        <x:v>100</x:v>
      </x:c>
      <x:c r="AO23" s="613">
        <x:v>0</x:v>
      </x:c>
      <x:c r="AP23" s="613">
        <x:v>0</x:v>
      </x:c>
      <x:c r="AQ23" s="613">
        <x:v>0</x:v>
      </x:c>
      <x:c r="AR23" s="631" t="s">
        <x:v>1102</x:v>
      </x:c>
      <x:c r="AS23" s="160">
        <x:v>100</x:v>
      </x:c>
      <x:c r="AT23" s="161">
        <x:v>100</x:v>
      </x:c>
      <x:c r="AU23" s="161">
        <x:v>100</x:v>
      </x:c>
      <x:c r="AV23" s="161">
        <x:v>100</x:v>
      </x:c>
      <x:c r="AW23" s="161">
        <x:v>100</x:v>
      </x:c>
      <x:c r="AX23" s="594" t="s">
        <x:v>1102</x:v>
      </x:c>
      <x:c r="AY23" s="38"/>
      <x:c r="AZ23" s="39"/>
      <x:c r="BA23" s="39"/>
      <x:c r="BB23" s="39"/>
      <x:c r="BC23" s="39"/>
      <x:c r="BD23" s="42"/>
      <x:c r="BE23" s="38"/>
      <x:c r="BF23" s="39"/>
      <x:c r="BG23" s="39"/>
      <x:c r="BH23" s="39"/>
      <x:c r="BI23" s="39"/>
      <x:c r="BJ23" s="42"/>
      <x:c r="BK23" s="38"/>
      <x:c r="BL23" s="39"/>
      <x:c r="BM23" s="39"/>
      <x:c r="BN23" s="39"/>
      <x:c r="BO23" s="39"/>
      <x:c r="BP23" s="42"/>
      <x:c r="BQ23" s="38"/>
      <x:c r="BR23" s="39"/>
      <x:c r="BS23" s="39"/>
      <x:c r="BT23" s="39"/>
      <x:c r="BU23" s="39"/>
      <x:c r="BV23" s="42"/>
    </x:row>
    <x:row r="24" spans="1:74" x14ac:dyDescent="0.25">
      <x:c r="C24" s="498">
        <x:f t="array" ref="C24:C24">SUMPRODUCT((C3:C23&gt;=10)*(D3:D23&gt;=10)*(E3:E23&gt;=10)*(F3:F23&gt;=10)*(G3:G23&gt;=10))</x:f>
      </x:c>
      <x:c r="H24" s="227">
        <x:f>COUNTIF(H3:H23,"Да")</x:f>
      </x:c>
      <x:c r="I24" s="498">
        <x:f t="array" ref="I24:I24">SUMPRODUCT((I3:I23&gt;=10)*(J3:J23&gt;=10)*(K3:K23&gt;=10)*(L3:L23&gt;=10)*(M3:M23&gt;=10))</x:f>
      </x:c>
      <x:c r="N24" s="227">
        <x:f>COUNTIF(N3:N23,"Да")</x:f>
      </x:c>
      <x:c r="O24" s="498">
        <x:f t="array" ref="O24:O24">SUMPRODUCT((O3:O23&gt;=10)*(P3:P23&gt;=10)*(Q3:Q23&gt;=10)*(R3:R23&gt;=10)*(S3:S23&gt;=10))</x:f>
      </x:c>
      <x:c r="T24" s="227">
        <x:f>COUNTIF(T3:T23,"Да")</x:f>
      </x:c>
      <x:c r="U24" s="498">
        <x:f t="array" ref="U24:U24">SUMPRODUCT((U3:U23&gt;=10)*(V3:V23&gt;=10)*(W3:W23&gt;=10)*(X3:X23&gt;=10)*(Y3:Y23&gt;=10))</x:f>
      </x:c>
      <x:c r="Z24" s="227">
        <x:f>COUNTIF(Z3:Z23,"Да")</x:f>
      </x:c>
      <x:c r="AA24" s="498">
        <x:f t="array" ref="AA24:AA24">SUMPRODUCT((AA3:AA23&gt;=10)*(AB3:AB23&gt;=10)*(AC3:AC23&gt;=10)*(AD3:AD23&gt;=10)*(AE3:AE23&gt;=10))</x:f>
      </x:c>
      <x:c r="AF24" s="227">
        <x:f>COUNTIF(AF3:AF23,"Да")</x:f>
      </x:c>
      <x:c r="AG24" s="498">
        <x:f t="array" ref="AG24:AG24">SUMPRODUCT((AG3:AG23&gt;=10)*(AH3:AH23&gt;=10)*(AI3:AI23&gt;=10)*(AJ3:AJ23&gt;=10)*(AK3:AK23&gt;=10))</x:f>
      </x:c>
      <x:c r="AL24" s="227">
        <x:f>COUNTIF(AL3:AL23,"Да")</x:f>
      </x:c>
      <x:c r="AM24" s="498">
        <x:f t="array" ref="AM24:AM24">SUMPRODUCT((AM3:AM23&gt;=10)*(AN3:AN23&gt;=10)*(AO3:AO23&gt;=10)*(AP3:AP23&gt;=10)*(AQ3:AQ23&gt;=10))</x:f>
      </x:c>
      <x:c r="AR24" s="227">
        <x:f>COUNTIF(AR3:AR23,"Да")</x:f>
      </x:c>
      <x:c r="AS24" s="498">
        <x:f t="array" ref="AS24:AS24">SUMPRODUCT((AS3:AS23&gt;=10)*(AT3:AT23&gt;=10)*(AU3:AU23&gt;=10)*(AV3:AV23&gt;=10)*(AW3:AW23&gt;=10))</x:f>
      </x:c>
      <x:c r="AX24" s="227">
        <x:f>COUNTIF(AX3:AX23,"Да")</x:f>
      </x:c>
      <x:c r="AY24" s="498">
        <x:f t="array" ref="AY24:AY24">SUMPRODUCT((AY3:AY23&gt;=10)*(AZ3:AZ23&gt;=10)*(BA3:BA23&gt;=10)*(BB3:BB23&gt;=10)*(BC3:BC23&gt;=10))</x:f>
      </x:c>
      <x:c r="BD24" s="227">
        <x:f>COUNTIF(BD3:BD23,"Да")</x:f>
      </x:c>
      <x:c r="BE24" s="498">
        <x:f t="array" ref="BE24:BE24">SUMPRODUCT((BE3:BE23&gt;=10)*(BF3:BF23&gt;=10)*(BG3:BG23&gt;=10)*(BH3:BH23&gt;=10)*(BI3:BI23&gt;=10))</x:f>
      </x:c>
      <x:c r="BJ24" s="227">
        <x:f>COUNTIF(BJ3:BJ23,"Да")</x:f>
      </x:c>
      <x:c r="BK24" s="498">
        <x:f t="array" ref="BK24:BK24">SUMPRODUCT((BK3:BK23&gt;=10)*(BL3:BL23&gt;=10)*(BM3:BM23&gt;=10)*(BN3:BN23&gt;=10)*(BO3:BO23&gt;=10))</x:f>
      </x:c>
      <x:c r="BP24" s="227">
        <x:f>COUNTIF(BP3:BP23,"Да")</x:f>
      </x:c>
      <x:c r="BQ24" s="498">
        <x:f t="array" ref="BQ24:BQ24">SUMPRODUCT((BQ3:BQ23&gt;=10)*(BR3:BR23&gt;=10)*(BS3:BS23&gt;=10)*(BT3:BT23&gt;=10)*(BU3:BU23&gt;=10))</x:f>
      </x:c>
      <x:c r="BV24" s="227">
        <x:f>COUNTIF(BV3:BV23,"Да")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4:G24"/>
    <x:mergeCell ref="I24:M24"/>
    <x:mergeCell ref="O24:S24"/>
    <x:mergeCell ref="U24:Y24"/>
    <x:mergeCell ref="AA24:AE24"/>
    <x:mergeCell ref="AG24:AK24"/>
    <x:mergeCell ref="AM24:AQ24"/>
    <x:mergeCell ref="AS24:AW24"/>
    <x:mergeCell ref="AY24:BC24"/>
    <x:mergeCell ref="BE24:BI24"/>
    <x:mergeCell ref="BK24:BO24"/>
    <x:mergeCell ref="BQ24:BU24"/>
  </x:mergeCells>
  <x:conditionalFormatting sqref="C3:BV23">
    <x:cfRule type="containsBlanks" dxfId="8" priority="1">
      <x:formula>LEN(TRIM(C3))=0</x:formula>
    </x:cfRule>
    <x:cfRule type="expression" priority="10" stopIfTrue="1" operator="equal">
      <x:formula>LEN(TRIM(C3&amp;""))=0</x:formula>
    </x:cfRule>
  </x:conditionalFormatting>
  <x:conditionalFormatting sqref="A3:A23">
    <x:cfRule type="duplicateValues" dxfId="0" priority="2"/>
    <x:cfRule type="duplicateValues" dxfId="0" priority="8"/>
    <x:cfRule type="duplicateValues" dxfId="0" priority="9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outlinePr summaryBelow="1" summaryRight="1"/>
  </x:sheetPr>
  <x:dimension ref="A1:BV24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9.570312" style="0" customWidth="1"/>
    <x:col min="2" max="2" width="22" style="0" customWidth="1"/>
    <x:col min="3" max="7" width="9.140625" style="0" customWidth="1"/>
    <x:col min="8" max="8" width="10.285156" style="0" customWidth="1"/>
    <x:col min="9" max="13" width="9.140625" style="0" customWidth="1"/>
    <x:col min="14" max="14" width="9.855469" style="0" customWidth="1"/>
    <x:col min="15" max="19" width="9.140625" style="0" customWidth="1"/>
    <x:col min="20" max="20" width="10.140625" style="0" customWidth="1"/>
    <x:col min="21" max="25" width="9.140625" style="0" customWidth="1"/>
    <x:col min="26" max="26" width="10" style="0" customWidth="1"/>
    <x:col min="27" max="31" width="9.140625" style="0" customWidth="1"/>
    <x:col min="32" max="32" width="9.710938" style="0" customWidth="1"/>
    <x:col min="33" max="37" width="9.140625" style="0" customWidth="1"/>
    <x:col min="38" max="38" width="9.425781" style="0" customWidth="1"/>
    <x:col min="39" max="43" width="9.140625" style="0" customWidth="1"/>
    <x:col min="44" max="44" width="10" style="0" customWidth="1"/>
    <x:col min="45" max="49" width="9.140625" style="0" customWidth="1"/>
    <x:col min="50" max="50" width="9.285156" style="0" customWidth="1"/>
    <x:col min="51" max="55" width="9.140625" style="0" customWidth="1"/>
    <x:col min="56" max="56" width="9.855469" style="0" customWidth="1"/>
    <x:col min="57" max="61" width="9.140625" style="0" customWidth="1"/>
    <x:col min="62" max="62" width="10" style="0" customWidth="1"/>
    <x:col min="63" max="67" width="9.140625" style="0" customWidth="1"/>
    <x:col min="68" max="68" width="9.425781" style="0" customWidth="1"/>
    <x:col min="69" max="73" width="9.140625" style="0" customWidth="1"/>
    <x:col min="74" max="74" width="9.570312" style="0" customWidth="1"/>
  </x:cols>
  <x:sheetData>
    <x:row r="1" spans="1:74" ht="28.5" customHeight="1" x14ac:dyDescent="0.3">
      <x:c r="A1" s="22" t="s">
        <x:v>1087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769</x:v>
      </x:c>
      <x:c r="B3" s="53" t="s">
        <x:v>461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3" t="s">
        <x:v>778</x:v>
      </x:c>
      <x:c r="B4" s="57" t="s">
        <x:v>183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33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780</x:v>
      </x:c>
      <x:c r="B5" s="57" t="s">
        <x:v>191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33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ht="22.5" customHeight="1" x14ac:dyDescent="0.25">
      <x:c r="A6" s="3" t="s">
        <x:v>762</x:v>
      </x:c>
      <x:c r="B6" s="57" t="s">
        <x:v>459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33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ht="22.5" customHeight="1" x14ac:dyDescent="0.25">
      <x:c r="A7" s="3" t="s">
        <x:v>761</x:v>
      </x:c>
      <x:c r="B7" s="57" t="s">
        <x:v>459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33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ht="22.5" customHeight="1" x14ac:dyDescent="0.25">
      <x:c r="A8" s="3" t="s">
        <x:v>777</x:v>
      </x:c>
      <x:c r="B8" s="57" t="s">
        <x:v>183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33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ht="22.5" customHeight="1" x14ac:dyDescent="0.25">
      <x:c r="A9" s="3" t="s">
        <x:v>779</x:v>
      </x:c>
      <x:c r="B9" s="57" t="s">
        <x:v>183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33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ht="22.5" customHeight="1" x14ac:dyDescent="0.25">
      <x:c r="A10" s="606" t="s">
        <x:v>758</x:v>
      </x:c>
      <x:c r="B10" s="57" t="s">
        <x:v>760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33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ht="22.5" customHeight="1" x14ac:dyDescent="0.25">
      <x:c r="A11" s="3" t="s">
        <x:v>764</x:v>
      </x:c>
      <x:c r="B11" s="57" t="s">
        <x:v>459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33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ht="22.5" customHeight="1" x14ac:dyDescent="0.25">
      <x:c r="A12" s="3" t="s">
        <x:v>770</x:v>
      </x:c>
      <x:c r="B12" s="57" t="s">
        <x:v>461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33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ht="22.5" customHeight="1" x14ac:dyDescent="0.25">
      <x:c r="A13" s="3" t="s">
        <x:v>775</x:v>
      </x:c>
      <x:c r="B13" s="57" t="s">
        <x:v>480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33"/>
      <x:c r="AB13" s="185"/>
      <x:c r="AC13" s="185"/>
      <x:c r="AD13" s="185"/>
      <x:c r="AE13" s="185"/>
      <x:c r="AF13" s="36"/>
      <x:c r="AG13" s="33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33"/>
      <x:c r="AZ13" s="185"/>
      <x:c r="BA13" s="185"/>
      <x:c r="BB13" s="185"/>
      <x:c r="BC13" s="185"/>
      <x:c r="BD13" s="36"/>
      <x:c r="BE13" s="33"/>
      <x:c r="BF13" s="185"/>
      <x:c r="BG13" s="185"/>
      <x:c r="BH13" s="185"/>
      <x:c r="BI13" s="185"/>
      <x:c r="BJ13" s="36"/>
      <x:c r="BK13" s="33"/>
      <x:c r="BL13" s="185"/>
      <x:c r="BM13" s="185"/>
      <x:c r="BN13" s="185"/>
      <x:c r="BO13" s="185"/>
      <x:c r="BP13" s="36"/>
      <x:c r="BQ13" s="33"/>
      <x:c r="BR13" s="185"/>
      <x:c r="BS13" s="185"/>
      <x:c r="BT13" s="185"/>
      <x:c r="BU13" s="185"/>
      <x:c r="BV13" s="36"/>
    </x:row>
    <x:row r="14" spans="1:74" x14ac:dyDescent="0.25">
      <x:c r="A14" s="630" t="s">
        <x:v>767</x:v>
      </x:c>
      <x:c r="B14" s="57" t="s">
        <x:v>461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33"/>
      <x:c r="AB14" s="185"/>
      <x:c r="AC14" s="185"/>
      <x:c r="AD14" s="185"/>
      <x:c r="AE14" s="185"/>
      <x:c r="AF14" s="36"/>
      <x:c r="AG14" s="33"/>
      <x:c r="AH14" s="185"/>
      <x:c r="AI14" s="185"/>
      <x:c r="AJ14" s="185"/>
      <x:c r="AK14" s="185"/>
      <x:c r="AL14" s="36"/>
      <x:c r="AM14" s="588">
        <x:v>0</x:v>
      </x:c>
      <x:c r="AN14" s="589">
        <x:v>0</x:v>
      </x:c>
      <x:c r="AO14" s="589">
        <x:v>0</x:v>
      </x:c>
      <x:c r="AP14" s="589">
        <x:v>0</x:v>
      </x:c>
      <x:c r="AQ14" s="589">
        <x:v>0</x:v>
      </x:c>
      <x:c r="AR14" s="591" t="s">
        <x:v>1103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33"/>
      <x:c r="AZ14" s="185"/>
      <x:c r="BA14" s="185"/>
      <x:c r="BB14" s="185"/>
      <x:c r="BC14" s="185"/>
      <x:c r="BD14" s="36"/>
      <x:c r="BE14" s="33"/>
      <x:c r="BF14" s="185"/>
      <x:c r="BG14" s="185"/>
      <x:c r="BH14" s="185"/>
      <x:c r="BI14" s="185"/>
      <x:c r="BJ14" s="36"/>
      <x:c r="BK14" s="33"/>
      <x:c r="BL14" s="185"/>
      <x:c r="BM14" s="185"/>
      <x:c r="BN14" s="185"/>
      <x:c r="BO14" s="185"/>
      <x:c r="BP14" s="36"/>
      <x:c r="BQ14" s="33"/>
      <x:c r="BR14" s="185"/>
      <x:c r="BS14" s="185"/>
      <x:c r="BT14" s="185"/>
      <x:c r="BU14" s="185"/>
      <x:c r="BV14" s="36"/>
    </x:row>
    <x:row r="15" spans="1:74" ht="22.5" customHeight="1" x14ac:dyDescent="0.25">
      <x:c r="A15" s="3" t="s">
        <x:v>773</x:v>
      </x:c>
      <x:c r="B15" s="57" t="s">
        <x:v>480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33"/>
      <x:c r="AB15" s="185"/>
      <x:c r="AC15" s="185"/>
      <x:c r="AD15" s="185"/>
      <x:c r="AE15" s="185"/>
      <x:c r="AF15" s="36"/>
      <x:c r="AG15" s="33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98</x:v>
      </x:c>
      <x:c r="AR15" s="620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33"/>
      <x:c r="AZ15" s="185"/>
      <x:c r="BA15" s="185"/>
      <x:c r="BB15" s="185"/>
      <x:c r="BC15" s="185"/>
      <x:c r="BD15" s="36"/>
      <x:c r="BE15" s="33"/>
      <x:c r="BF15" s="185"/>
      <x:c r="BG15" s="185"/>
      <x:c r="BH15" s="185"/>
      <x:c r="BI15" s="185"/>
      <x:c r="BJ15" s="36"/>
      <x:c r="BK15" s="33"/>
      <x:c r="BL15" s="185"/>
      <x:c r="BM15" s="185"/>
      <x:c r="BN15" s="185"/>
      <x:c r="BO15" s="185"/>
      <x:c r="BP15" s="36"/>
      <x:c r="BQ15" s="33"/>
      <x:c r="BR15" s="185"/>
      <x:c r="BS15" s="185"/>
      <x:c r="BT15" s="185"/>
      <x:c r="BU15" s="185"/>
      <x:c r="BV15" s="36"/>
    </x:row>
    <x:row r="16" spans="1:74" ht="22.5" customHeight="1" x14ac:dyDescent="0.25">
      <x:c r="A16" s="3" t="s">
        <x:v>771</x:v>
      </x:c>
      <x:c r="B16" s="57" t="s">
        <x:v>461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33"/>
      <x:c r="AB16" s="185"/>
      <x:c r="AC16" s="185"/>
      <x:c r="AD16" s="185"/>
      <x:c r="AE16" s="185"/>
      <x:c r="AF16" s="36"/>
      <x:c r="AG16" s="33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33"/>
      <x:c r="AZ16" s="185"/>
      <x:c r="BA16" s="185"/>
      <x:c r="BB16" s="185"/>
      <x:c r="BC16" s="185"/>
      <x:c r="BD16" s="36"/>
      <x:c r="BE16" s="33"/>
      <x:c r="BF16" s="185"/>
      <x:c r="BG16" s="185"/>
      <x:c r="BH16" s="185"/>
      <x:c r="BI16" s="185"/>
      <x:c r="BJ16" s="36"/>
      <x:c r="BK16" s="33"/>
      <x:c r="BL16" s="185"/>
      <x:c r="BM16" s="185"/>
      <x:c r="BN16" s="185"/>
      <x:c r="BO16" s="185"/>
      <x:c r="BP16" s="36"/>
      <x:c r="BQ16" s="33"/>
      <x:c r="BR16" s="185"/>
      <x:c r="BS16" s="185"/>
      <x:c r="BT16" s="185"/>
      <x:c r="BU16" s="185"/>
      <x:c r="BV16" s="36"/>
    </x:row>
    <x:row r="17" spans="1:74" ht="22.5" customHeight="1" x14ac:dyDescent="0.25">
      <x:c r="A17" s="3" t="s">
        <x:v>763</x:v>
      </x:c>
      <x:c r="B17" s="57" t="s">
        <x:v>459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33"/>
      <x:c r="AB17" s="185"/>
      <x:c r="AC17" s="185"/>
      <x:c r="AD17" s="185"/>
      <x:c r="AE17" s="185"/>
      <x:c r="AF17" s="36"/>
      <x:c r="AG17" s="33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33"/>
      <x:c r="AZ17" s="185"/>
      <x:c r="BA17" s="185"/>
      <x:c r="BB17" s="185"/>
      <x:c r="BC17" s="185"/>
      <x:c r="BD17" s="36"/>
      <x:c r="BE17" s="33"/>
      <x:c r="BF17" s="185"/>
      <x:c r="BG17" s="185"/>
      <x:c r="BH17" s="185"/>
      <x:c r="BI17" s="185"/>
      <x:c r="BJ17" s="36"/>
      <x:c r="BK17" s="33"/>
      <x:c r="BL17" s="185"/>
      <x:c r="BM17" s="185"/>
      <x:c r="BN17" s="185"/>
      <x:c r="BO17" s="185"/>
      <x:c r="BP17" s="36"/>
      <x:c r="BQ17" s="33"/>
      <x:c r="BR17" s="185"/>
      <x:c r="BS17" s="185"/>
      <x:c r="BT17" s="185"/>
      <x:c r="BU17" s="185"/>
      <x:c r="BV17" s="36"/>
    </x:row>
    <x:row r="18" spans="1:74" ht="22.5" customHeight="1" x14ac:dyDescent="0.25">
      <x:c r="A18" s="630" t="s">
        <x:v>766</x:v>
      </x:c>
      <x:c r="B18" s="57" t="s">
        <x:v>461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33"/>
      <x:c r="AB18" s="185"/>
      <x:c r="AC18" s="185"/>
      <x:c r="AD18" s="185"/>
      <x:c r="AE18" s="185"/>
      <x:c r="AF18" s="36"/>
      <x:c r="AG18" s="33"/>
      <x:c r="AH18" s="185"/>
      <x:c r="AI18" s="185"/>
      <x:c r="AJ18" s="185"/>
      <x:c r="AK18" s="185"/>
      <x:c r="AL18" s="36"/>
      <x:c r="AM18" s="588">
        <x:v>0</x:v>
      </x:c>
      <x:c r="AN18" s="589">
        <x:v>0</x:v>
      </x:c>
      <x:c r="AO18" s="589">
        <x:v>0</x:v>
      </x:c>
      <x:c r="AP18" s="589">
        <x:v>0</x:v>
      </x:c>
      <x:c r="AQ18" s="589">
        <x:v>0</x:v>
      </x:c>
      <x:c r="AR18" s="591" t="s">
        <x:v>1103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600">
        <x:v>0</x:v>
      </x:c>
      <x:c r="AX18" s="585" t="s">
        <x:v>1102</x:v>
      </x:c>
      <x:c r="AY18" s="33"/>
      <x:c r="AZ18" s="185"/>
      <x:c r="BA18" s="185"/>
      <x:c r="BB18" s="185"/>
      <x:c r="BC18" s="185"/>
      <x:c r="BD18" s="36"/>
      <x:c r="BE18" s="33"/>
      <x:c r="BF18" s="185"/>
      <x:c r="BG18" s="185"/>
      <x:c r="BH18" s="185"/>
      <x:c r="BI18" s="185"/>
      <x:c r="BJ18" s="36"/>
      <x:c r="BK18" s="33"/>
      <x:c r="BL18" s="185"/>
      <x:c r="BM18" s="185"/>
      <x:c r="BN18" s="185"/>
      <x:c r="BO18" s="185"/>
      <x:c r="BP18" s="36"/>
      <x:c r="BQ18" s="33"/>
      <x:c r="BR18" s="185"/>
      <x:c r="BS18" s="185"/>
      <x:c r="BT18" s="185"/>
      <x:c r="BU18" s="185"/>
      <x:c r="BV18" s="36"/>
    </x:row>
    <x:row r="19" spans="1:74" ht="22.5" customHeight="1" x14ac:dyDescent="0.25">
      <x:c r="A19" s="3" t="s">
        <x:v>776</x:v>
      </x:c>
      <x:c r="B19" s="57" t="s">
        <x:v>183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33"/>
      <x:c r="AB19" s="185"/>
      <x:c r="AC19" s="185"/>
      <x:c r="AD19" s="185"/>
      <x:c r="AE19" s="185"/>
      <x:c r="AF19" s="36"/>
      <x:c r="AG19" s="33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33"/>
      <x:c r="AZ19" s="185"/>
      <x:c r="BA19" s="185"/>
      <x:c r="BB19" s="185"/>
      <x:c r="BC19" s="185"/>
      <x:c r="BD19" s="36"/>
      <x:c r="BE19" s="33"/>
      <x:c r="BF19" s="185"/>
      <x:c r="BG19" s="185"/>
      <x:c r="BH19" s="185"/>
      <x:c r="BI19" s="185"/>
      <x:c r="BJ19" s="36"/>
      <x:c r="BK19" s="33"/>
      <x:c r="BL19" s="185"/>
      <x:c r="BM19" s="185"/>
      <x:c r="BN19" s="185"/>
      <x:c r="BO19" s="185"/>
      <x:c r="BP19" s="36"/>
      <x:c r="BQ19" s="33"/>
      <x:c r="BR19" s="185"/>
      <x:c r="BS19" s="185"/>
      <x:c r="BT19" s="185"/>
      <x:c r="BU19" s="185"/>
      <x:c r="BV19" s="36"/>
    </x:row>
    <x:row r="20" spans="1:74" ht="22.5" customHeight="1" x14ac:dyDescent="0.25">
      <x:c r="A20" s="605" t="s">
        <x:v>774</x:v>
      </x:c>
      <x:c r="B20" s="57" t="s">
        <x:v>480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33"/>
      <x:c r="AB20" s="185"/>
      <x:c r="AC20" s="185"/>
      <x:c r="AD20" s="185"/>
      <x:c r="AE20" s="185"/>
      <x:c r="AF20" s="36"/>
      <x:c r="AG20" s="33"/>
      <x:c r="AH20" s="185"/>
      <x:c r="AI20" s="185"/>
      <x:c r="AJ20" s="185"/>
      <x:c r="AK20" s="185"/>
      <x:c r="AL20" s="36"/>
      <x:c r="AM20" s="588">
        <x:v>0</x:v>
      </x:c>
      <x:c r="AN20" s="589">
        <x:v>0</x:v>
      </x:c>
      <x:c r="AO20" s="589">
        <x:v>0</x:v>
      </x:c>
      <x:c r="AP20" s="589">
        <x:v>0</x:v>
      </x:c>
      <x:c r="AQ20" s="589">
        <x:v>0</x:v>
      </x:c>
      <x:c r="AR20" s="591" t="s">
        <x:v>1103</x:v>
      </x:c>
      <x:c r="AS20" s="588">
        <x:v>0</x:v>
      </x:c>
      <x:c r="AT20" s="589">
        <x:v>0</x:v>
      </x:c>
      <x:c r="AU20" s="589">
        <x:v>0</x:v>
      </x:c>
      <x:c r="AV20" s="589">
        <x:v>0</x:v>
      </x:c>
      <x:c r="AW20" s="589">
        <x:v>0</x:v>
      </x:c>
      <x:c r="AX20" s="591" t="s">
        <x:v>1103</x:v>
      </x:c>
      <x:c r="AY20" s="33"/>
      <x:c r="AZ20" s="185"/>
      <x:c r="BA20" s="185"/>
      <x:c r="BB20" s="185"/>
      <x:c r="BC20" s="185"/>
      <x:c r="BD20" s="36"/>
      <x:c r="BE20" s="33"/>
      <x:c r="BF20" s="185"/>
      <x:c r="BG20" s="185"/>
      <x:c r="BH20" s="185"/>
      <x:c r="BI20" s="185"/>
      <x:c r="BJ20" s="36"/>
      <x:c r="BK20" s="33"/>
      <x:c r="BL20" s="185"/>
      <x:c r="BM20" s="185"/>
      <x:c r="BN20" s="185"/>
      <x:c r="BO20" s="185"/>
      <x:c r="BP20" s="36"/>
      <x:c r="BQ20" s="33"/>
      <x:c r="BR20" s="185"/>
      <x:c r="BS20" s="185"/>
      <x:c r="BT20" s="185"/>
      <x:c r="BU20" s="185"/>
      <x:c r="BV20" s="36"/>
    </x:row>
    <x:row r="21" spans="1:74" ht="22.5" customHeight="1" x14ac:dyDescent="0.25">
      <x:c r="A21" s="3" t="s">
        <x:v>772</x:v>
      </x:c>
      <x:c r="B21" s="57" t="s">
        <x:v>461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33"/>
      <x:c r="AB21" s="185"/>
      <x:c r="AC21" s="185"/>
      <x:c r="AD21" s="185"/>
      <x:c r="AE21" s="185"/>
      <x:c r="AF21" s="36"/>
      <x:c r="AG21" s="33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33"/>
      <x:c r="AZ21" s="185"/>
      <x:c r="BA21" s="185"/>
      <x:c r="BB21" s="185"/>
      <x:c r="BC21" s="185"/>
      <x:c r="BD21" s="36"/>
      <x:c r="BE21" s="33"/>
      <x:c r="BF21" s="185"/>
      <x:c r="BG21" s="185"/>
      <x:c r="BH21" s="185"/>
      <x:c r="BI21" s="185"/>
      <x:c r="BJ21" s="36"/>
      <x:c r="BK21" s="33"/>
      <x:c r="BL21" s="185"/>
      <x:c r="BM21" s="185"/>
      <x:c r="BN21" s="185"/>
      <x:c r="BO21" s="185"/>
      <x:c r="BP21" s="36"/>
      <x:c r="BQ21" s="33"/>
      <x:c r="BR21" s="185"/>
      <x:c r="BS21" s="185"/>
      <x:c r="BT21" s="185"/>
      <x:c r="BU21" s="185"/>
      <x:c r="BV21" s="36"/>
    </x:row>
    <x:row r="22" spans="1:74" ht="22.5" customHeight="1" x14ac:dyDescent="0.25">
      <x:c r="A22" s="3" t="s">
        <x:v>768</x:v>
      </x:c>
      <x:c r="B22" s="57" t="s">
        <x:v>461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33"/>
      <x:c r="P22" s="185"/>
      <x:c r="Q22" s="185"/>
      <x:c r="R22" s="185"/>
      <x:c r="S22" s="185"/>
      <x:c r="T22" s="36"/>
      <x:c r="U22" s="33"/>
      <x:c r="V22" s="185"/>
      <x:c r="W22" s="185"/>
      <x:c r="X22" s="185"/>
      <x:c r="Y22" s="185"/>
      <x:c r="Z22" s="36"/>
      <x:c r="AA22" s="33"/>
      <x:c r="AB22" s="185"/>
      <x:c r="AC22" s="185"/>
      <x:c r="AD22" s="185"/>
      <x:c r="AE22" s="185"/>
      <x:c r="AF22" s="36"/>
      <x:c r="AG22" s="33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33"/>
      <x:c r="AZ22" s="185"/>
      <x:c r="BA22" s="185"/>
      <x:c r="BB22" s="185"/>
      <x:c r="BC22" s="185"/>
      <x:c r="BD22" s="36"/>
      <x:c r="BE22" s="33"/>
      <x:c r="BF22" s="185"/>
      <x:c r="BG22" s="185"/>
      <x:c r="BH22" s="185"/>
      <x:c r="BI22" s="185"/>
      <x:c r="BJ22" s="36"/>
      <x:c r="BK22" s="33"/>
      <x:c r="BL22" s="185"/>
      <x:c r="BM22" s="185"/>
      <x:c r="BN22" s="185"/>
      <x:c r="BO22" s="185"/>
      <x:c r="BP22" s="36"/>
      <x:c r="BQ22" s="33"/>
      <x:c r="BR22" s="185"/>
      <x:c r="BS22" s="185"/>
      <x:c r="BT22" s="185"/>
      <x:c r="BU22" s="185"/>
      <x:c r="BV22" s="36"/>
    </x:row>
    <x:row r="23" spans="1:74" ht="22.5" customHeight="1" x14ac:dyDescent="0.25">
      <x:c r="A23" s="630" t="s">
        <x:v>765</x:v>
      </x:c>
      <x:c r="B23" s="57" t="s">
        <x:v>510</x:v>
      </x:c>
      <x:c r="C23" s="181"/>
      <x:c r="D23" s="182"/>
      <x:c r="E23" s="182"/>
      <x:c r="F23" s="182"/>
      <x:c r="G23" s="182"/>
      <x:c r="H23" s="206"/>
      <x:c r="I23" s="44"/>
      <x:c r="J23" s="45"/>
      <x:c r="K23" s="45"/>
      <x:c r="L23" s="45"/>
      <x:c r="M23" s="45"/>
      <x:c r="N23" s="48"/>
      <x:c r="O23" s="44"/>
      <x:c r="P23" s="45"/>
      <x:c r="Q23" s="45"/>
      <x:c r="R23" s="45"/>
      <x:c r="S23" s="45"/>
      <x:c r="T23" s="48"/>
      <x:c r="U23" s="44"/>
      <x:c r="V23" s="45"/>
      <x:c r="W23" s="45"/>
      <x:c r="X23" s="45"/>
      <x:c r="Y23" s="45"/>
      <x:c r="Z23" s="48"/>
      <x:c r="AA23" s="44"/>
      <x:c r="AB23" s="45"/>
      <x:c r="AC23" s="45"/>
      <x:c r="AD23" s="45"/>
      <x:c r="AE23" s="45"/>
      <x:c r="AF23" s="48"/>
      <x:c r="AG23" s="44"/>
      <x:c r="AH23" s="45"/>
      <x:c r="AI23" s="45"/>
      <x:c r="AJ23" s="45"/>
      <x:c r="AK23" s="45"/>
      <x:c r="AL23" s="48"/>
      <x:c r="AM23" s="609">
        <x:v>0</x:v>
      </x:c>
      <x:c r="AN23" s="649">
        <x:v>0</x:v>
      </x:c>
      <x:c r="AO23" s="649">
        <x:v>0</x:v>
      </x:c>
      <x:c r="AP23" s="649">
        <x:v>0</x:v>
      </x:c>
      <x:c r="AQ23" s="649">
        <x:v>0</x:v>
      </x:c>
      <x:c r="AR23" s="650" t="s">
        <x:v>1103</x:v>
      </x:c>
      <x:c r="AS23" s="181">
        <x:v>100</x:v>
      </x:c>
      <x:c r="AT23" s="182">
        <x:v>100</x:v>
      </x:c>
      <x:c r="AU23" s="182">
        <x:v>100</x:v>
      </x:c>
      <x:c r="AV23" s="182">
        <x:v>100</x:v>
      </x:c>
      <x:c r="AW23" s="182">
        <x:v>100</x:v>
      </x:c>
      <x:c r="AX23" s="608" t="s">
        <x:v>1102</x:v>
      </x:c>
      <x:c r="AY23" s="44"/>
      <x:c r="AZ23" s="45"/>
      <x:c r="BA23" s="45"/>
      <x:c r="BB23" s="45"/>
      <x:c r="BC23" s="45"/>
      <x:c r="BD23" s="48"/>
      <x:c r="BE23" s="44"/>
      <x:c r="BF23" s="45"/>
      <x:c r="BG23" s="45"/>
      <x:c r="BH23" s="45"/>
      <x:c r="BI23" s="45"/>
      <x:c r="BJ23" s="48"/>
      <x:c r="BK23" s="44"/>
      <x:c r="BL23" s="45"/>
      <x:c r="BM23" s="45"/>
      <x:c r="BN23" s="45"/>
      <x:c r="BO23" s="45"/>
      <x:c r="BP23" s="48"/>
      <x:c r="BQ23" s="44"/>
      <x:c r="BR23" s="45"/>
      <x:c r="BS23" s="45"/>
      <x:c r="BT23" s="45"/>
      <x:c r="BU23" s="45"/>
      <x:c r="BV23" s="48"/>
    </x:row>
    <x:row r="24" spans="1:74" x14ac:dyDescent="0.25">
      <x:c r="C24" s="509">
        <x:f t="array" ref="C24:C24">SUMPRODUCT((C3:C23&gt;=10)*(D3:D23&gt;=10)*(E3:E23&gt;=10)*(F3:F23&gt;=10)*(G3:G23&gt;=10))</x:f>
      </x:c>
      <x:c r="D24" s="510"/>
      <x:c r="E24" s="510"/>
      <x:c r="F24" s="510"/>
      <x:c r="G24" s="510"/>
      <x:c r="H24" s="226">
        <x:f>COUNTIF(H3:H23,"Да")</x:f>
      </x:c>
      <x:c r="I24" s="509">
        <x:f t="array" ref="I24:I24">SUMPRODUCT((I3:I23&gt;=10)*(J3:J23&gt;=10)*(K3:K23&gt;=10)*(L3:L23&gt;=10)*(M3:M23&gt;=10))</x:f>
      </x:c>
      <x:c r="J24" s="510"/>
      <x:c r="K24" s="510"/>
      <x:c r="L24" s="510"/>
      <x:c r="M24" s="510"/>
      <x:c r="N24" s="226">
        <x:f>COUNTIF(N3:N23,"Да")</x:f>
      </x:c>
      <x:c r="O24" s="509">
        <x:f t="array" ref="O24:O24">SUMPRODUCT((O3:O23&gt;=10)*(P3:P23&gt;=10)*(Q3:Q23&gt;=10)*(R3:R23&gt;=10)*(S3:S23&gt;=10))</x:f>
      </x:c>
      <x:c r="P24" s="510"/>
      <x:c r="Q24" s="510"/>
      <x:c r="R24" s="510"/>
      <x:c r="S24" s="510"/>
      <x:c r="T24" s="226">
        <x:f>COUNTIF(T3:T23,"Да")</x:f>
      </x:c>
      <x:c r="U24" s="509">
        <x:f t="array" ref="U24:U24">SUMPRODUCT((U3:U23&gt;=10)*(V3:V23&gt;=10)*(W3:W23&gt;=10)*(X3:X23&gt;=10)*(Y3:Y23&gt;=10))</x:f>
      </x:c>
      <x:c r="V24" s="510"/>
      <x:c r="W24" s="510"/>
      <x:c r="X24" s="510"/>
      <x:c r="Y24" s="510"/>
      <x:c r="Z24" s="226">
        <x:f>COUNTIF(Z3:Z23,"Да")</x:f>
      </x:c>
      <x:c r="AA24" s="509">
        <x:f t="array" ref="AA24:AA24">SUMPRODUCT((AA3:AA23&gt;=10)*(AB3:AB23&gt;=10)*(AC3:AC23&gt;=10)*(AD3:AD23&gt;=10)*(AE3:AE23&gt;=10))</x:f>
      </x:c>
      <x:c r="AB24" s="510"/>
      <x:c r="AC24" s="510"/>
      <x:c r="AD24" s="510"/>
      <x:c r="AE24" s="510"/>
      <x:c r="AF24" s="226">
        <x:f>COUNTIF(AF3:AF23,"Да")</x:f>
      </x:c>
      <x:c r="AG24" s="509">
        <x:f t="array" ref="AG24:AG24">SUMPRODUCT((AG3:AG23&gt;=10)*(AH3:AH23&gt;=10)*(AI3:AI23&gt;=10)*(AJ3:AJ23&gt;=10)*(AK3:AK23&gt;=10))</x:f>
      </x:c>
      <x:c r="AH24" s="510"/>
      <x:c r="AI24" s="510"/>
      <x:c r="AJ24" s="510"/>
      <x:c r="AK24" s="510"/>
      <x:c r="AL24" s="226">
        <x:f>COUNTIF(AL3:AL23,"Да")</x:f>
      </x:c>
      <x:c r="AM24" s="509">
        <x:f t="array" ref="AM24:AM24">SUMPRODUCT((AM3:AM23&gt;=10)*(AN3:AN23&gt;=10)*(AO3:AO23&gt;=10)*(AP3:AP23&gt;=10)*(AQ3:AQ23&gt;=10))</x:f>
      </x:c>
      <x:c r="AN24" s="510"/>
      <x:c r="AO24" s="510"/>
      <x:c r="AP24" s="510"/>
      <x:c r="AQ24" s="510"/>
      <x:c r="AR24" s="226">
        <x:f>COUNTIF(AR3:AR23,"Да")</x:f>
      </x:c>
      <x:c r="AS24" s="509">
        <x:f t="array" ref="AS24:AS24">SUMPRODUCT((AS3:AS23&gt;=10)*(AT3:AT23&gt;=10)*(AU3:AU23&gt;=10)*(AV3:AV23&gt;=10)*(AW3:AW23&gt;=10))</x:f>
      </x:c>
      <x:c r="AT24" s="510"/>
      <x:c r="AU24" s="510"/>
      <x:c r="AV24" s="510"/>
      <x:c r="AW24" s="510"/>
      <x:c r="AX24" s="226">
        <x:f>COUNTIF(AX3:AX23,"Да")</x:f>
      </x:c>
      <x:c r="AY24" s="509">
        <x:f t="array" ref="AY24:AY24">SUMPRODUCT((AY3:AY23&gt;=10)*(AZ3:AZ23&gt;=10)*(BA3:BA23&gt;=10)*(BB3:BB23&gt;=10)*(BC3:BC23&gt;=10))</x:f>
      </x:c>
      <x:c r="AZ24" s="510"/>
      <x:c r="BA24" s="510"/>
      <x:c r="BB24" s="510"/>
      <x:c r="BC24" s="510"/>
      <x:c r="BD24" s="226">
        <x:f>COUNTIF(BD3:BD23,"Да")</x:f>
      </x:c>
      <x:c r="BE24" s="509">
        <x:f t="array" ref="BE24:BE24">SUMPRODUCT((BE3:BE23&gt;=10)*(BF3:BF23&gt;=10)*(BG3:BG23&gt;=10)*(BH3:BH23&gt;=10)*(BI3:BI23&gt;=10))</x:f>
      </x:c>
      <x:c r="BF24" s="510"/>
      <x:c r="BG24" s="510"/>
      <x:c r="BH24" s="510"/>
      <x:c r="BI24" s="510"/>
      <x:c r="BJ24" s="226">
        <x:f>COUNTIF(BJ3:BJ23,"Да")</x:f>
      </x:c>
      <x:c r="BK24" s="509">
        <x:f t="array" ref="BK24:BK24">SUMPRODUCT((BK3:BK23&gt;=10)*(BL3:BL23&gt;=10)*(BM3:BM23&gt;=10)*(BN3:BN23&gt;=10)*(BO3:BO23&gt;=10))</x:f>
      </x:c>
      <x:c r="BL24" s="510"/>
      <x:c r="BM24" s="510"/>
      <x:c r="BN24" s="510"/>
      <x:c r="BO24" s="510"/>
      <x:c r="BP24" s="226">
        <x:f>COUNTIF(BP3:BP23,"Да")</x:f>
      </x:c>
      <x:c r="BQ24" s="509">
        <x:f t="array" ref="BQ24:BQ24">SUMPRODUCT((BQ3:BQ23&gt;=10)*(BR3:BR23&gt;=10)*(BS3:BS23&gt;=10)*(BT3:BT23&gt;=10)*(BU3:BU23&gt;=10))</x:f>
      </x:c>
      <x:c r="BR24" s="510"/>
      <x:c r="BS24" s="510"/>
      <x:c r="BT24" s="510"/>
      <x:c r="BU24" s="510"/>
      <x:c r="BV24" s="226">
        <x:f>COUNTIF(BV3:BV23,"Да")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4:G24"/>
    <x:mergeCell ref="I24:M24"/>
    <x:mergeCell ref="O24:S24"/>
    <x:mergeCell ref="U24:Y24"/>
    <x:mergeCell ref="AA24:AE24"/>
    <x:mergeCell ref="AG24:AK24"/>
    <x:mergeCell ref="AM24:AQ24"/>
    <x:mergeCell ref="AS24:AW24"/>
    <x:mergeCell ref="AY24:BC24"/>
    <x:mergeCell ref="BE24:BI24"/>
    <x:mergeCell ref="BK24:BO24"/>
    <x:mergeCell ref="BQ24:BU24"/>
  </x:mergeCells>
  <x:conditionalFormatting sqref="C3:BV23">
    <x:cfRule type="containsBlanks" dxfId="8" priority="1">
      <x:formula>LEN(TRIM(C3))=0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C3:AA23">
    <x:cfRule type="expression" priority="6" stopIfTrue="1" operator="equal">
      <x:formula>LEN(TRIM(C3&amp;""))=0</x:formula>
    </x:cfRule>
  </x:conditionalFormatting>
  <x:conditionalFormatting sqref="A1:A1">
    <x:cfRule type="duplicateValues" dxfId="0" priority="7"/>
  </x:conditionalFormatting>
  <x:conditionalFormatting sqref="A3:A23">
    <x:cfRule type="duplicateValues" dxfId="0" priority="8"/>
    <x:cfRule type="duplicateValues" dxfId="0" priority="9"/>
  </x:conditionalFormatting>
  <x:conditionalFormatting sqref="AB3:BV23">
    <x:cfRule type="expression" priority="10" stopIfTrue="1" operator="equal">
      <x:formula>LEN(TRIM(AB3&amp;""))=0</x:formula>
    </x:cfRule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outlinePr summaryBelow="1" summaryRight="1"/>
  </x:sheetPr>
  <x:dimension ref="A1:BV18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9.855469" style="0" customWidth="1"/>
    <x:col min="2" max="2" width="19.855469" style="0" customWidth="1"/>
    <x:col min="3" max="74" width="9.140625" style="0" customWidth="1"/>
  </x:cols>
  <x:sheetData>
    <x:row r="1" spans="1:74" ht="28.5" customHeight="1" x14ac:dyDescent="0.3">
      <x:c r="A1" s="22" t="s">
        <x:v>1088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784</x:v>
      </x:c>
      <x:c r="B3" s="53" t="s">
        <x:v>459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3" t="s">
        <x:v>791</x:v>
      </x:c>
      <x:c r="B4" s="57" t="s">
        <x:v>461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33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788</x:v>
      </x:c>
      <x:c r="B5" s="57" t="s">
        <x:v>461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33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ht="22.5" customHeight="1" x14ac:dyDescent="0.25">
      <x:c r="A6" s="3" t="s">
        <x:v>783</x:v>
      </x:c>
      <x:c r="B6" s="57" t="s">
        <x:v>459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33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x14ac:dyDescent="0.25">
      <x:c r="A7" s="3" t="s">
        <x:v>792</x:v>
      </x:c>
      <x:c r="B7" s="57" t="s">
        <x:v>461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33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x14ac:dyDescent="0.25">
      <x:c r="A8" s="606" t="s">
        <x:v>781</x:v>
      </x:c>
      <x:c r="B8" s="57" t="s">
        <x:v>399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33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94.12</x:v>
      </x:c>
      <x:c r="AR8" s="620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x14ac:dyDescent="0.25">
      <x:c r="A9" s="3" t="s">
        <x:v>789</x:v>
      </x:c>
      <x:c r="B9" s="57" t="s">
        <x:v>461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33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x14ac:dyDescent="0.25">
      <x:c r="A10" s="605" t="s">
        <x:v>793</x:v>
      </x:c>
      <x:c r="B10" s="57" t="s">
        <x:v>461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33"/>
      <x:c r="AH10" s="185"/>
      <x:c r="AI10" s="185"/>
      <x:c r="AJ10" s="185"/>
      <x:c r="AK10" s="185"/>
      <x:c r="AL10" s="36"/>
      <x:c r="AM10" s="588">
        <x:v>0</x:v>
      </x:c>
      <x:c r="AN10" s="589">
        <x:v>0</x:v>
      </x:c>
      <x:c r="AO10" s="589">
        <x:v>0</x:v>
      </x:c>
      <x:c r="AP10" s="589">
        <x:v>0</x:v>
      </x:c>
      <x:c r="AQ10" s="589">
        <x:v>0</x:v>
      </x:c>
      <x:c r="AR10" s="591" t="s">
        <x:v>1103</x:v>
      </x:c>
      <x:c r="AS10" s="588">
        <x:v>0</x:v>
      </x:c>
      <x:c r="AT10" s="589">
        <x:v>0</x:v>
      </x:c>
      <x:c r="AU10" s="589">
        <x:v>0</x:v>
      </x:c>
      <x:c r="AV10" s="589">
        <x:v>0</x:v>
      </x:c>
      <x:c r="AW10" s="589">
        <x:v>0</x:v>
      </x:c>
      <x:c r="AX10" s="591" t="s">
        <x:v>1103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ht="22.5" customHeight="1" x14ac:dyDescent="0.25">
      <x:c r="A11" s="3" t="s">
        <x:v>794</x:v>
      </x:c>
      <x:c r="B11" s="57" t="s">
        <x:v>510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33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ht="22.5" customHeight="1" x14ac:dyDescent="0.25">
      <x:c r="A12" s="3" t="s">
        <x:v>795</x:v>
      </x:c>
      <x:c r="B12" s="57" t="s">
        <x:v>480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33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83.33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ht="22.5" customHeight="1" x14ac:dyDescent="0.25">
      <x:c r="A13" s="3" t="s">
        <x:v>785</x:v>
      </x:c>
      <x:c r="B13" s="57" t="s">
        <x:v>459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33"/>
      <x:c r="AB13" s="185"/>
      <x:c r="AC13" s="185"/>
      <x:c r="AD13" s="185"/>
      <x:c r="AE13" s="185"/>
      <x:c r="AF13" s="36"/>
      <x:c r="AG13" s="33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33"/>
      <x:c r="AZ13" s="185"/>
      <x:c r="BA13" s="185"/>
      <x:c r="BB13" s="185"/>
      <x:c r="BC13" s="185"/>
      <x:c r="BD13" s="36"/>
      <x:c r="BE13" s="33"/>
      <x:c r="BF13" s="185"/>
      <x:c r="BG13" s="185"/>
      <x:c r="BH13" s="185"/>
      <x:c r="BI13" s="185"/>
      <x:c r="BJ13" s="36"/>
      <x:c r="BK13" s="33"/>
      <x:c r="BL13" s="185"/>
      <x:c r="BM13" s="185"/>
      <x:c r="BN13" s="185"/>
      <x:c r="BO13" s="185"/>
      <x:c r="BP13" s="36"/>
      <x:c r="BQ13" s="33"/>
      <x:c r="BR13" s="185"/>
      <x:c r="BS13" s="185"/>
      <x:c r="BT13" s="185"/>
      <x:c r="BU13" s="185"/>
      <x:c r="BV13" s="36"/>
    </x:row>
    <x:row r="14" spans="1:74" x14ac:dyDescent="0.25">
      <x:c r="A14" s="3" t="s">
        <x:v>787</x:v>
      </x:c>
      <x:c r="B14" s="57" t="s">
        <x:v>461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33"/>
      <x:c r="AB14" s="185"/>
      <x:c r="AC14" s="185"/>
      <x:c r="AD14" s="185"/>
      <x:c r="AE14" s="185"/>
      <x:c r="AF14" s="36"/>
      <x:c r="AG14" s="33"/>
      <x:c r="AH14" s="185"/>
      <x:c r="AI14" s="185"/>
      <x:c r="AJ14" s="185"/>
      <x:c r="AK14" s="185"/>
      <x:c r="AL14" s="36"/>
      <x:c r="AM14" s="157">
        <x:v>100</x:v>
      </x:c>
      <x:c r="AN14" s="589">
        <x:v>0</x:v>
      </x:c>
      <x:c r="AO14" s="589">
        <x:v>0</x:v>
      </x:c>
      <x:c r="AP14" s="589">
        <x:v>0</x:v>
      </x:c>
      <x:c r="AQ14" s="589">
        <x:v>0</x:v>
      </x:c>
      <x:c r="AR14" s="620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33"/>
      <x:c r="AZ14" s="185"/>
      <x:c r="BA14" s="185"/>
      <x:c r="BB14" s="185"/>
      <x:c r="BC14" s="185"/>
      <x:c r="BD14" s="36"/>
      <x:c r="BE14" s="33"/>
      <x:c r="BF14" s="185"/>
      <x:c r="BG14" s="185"/>
      <x:c r="BH14" s="185"/>
      <x:c r="BI14" s="185"/>
      <x:c r="BJ14" s="36"/>
      <x:c r="BK14" s="33"/>
      <x:c r="BL14" s="185"/>
      <x:c r="BM14" s="185"/>
      <x:c r="BN14" s="185"/>
      <x:c r="BO14" s="185"/>
      <x:c r="BP14" s="36"/>
      <x:c r="BQ14" s="33"/>
      <x:c r="BR14" s="185"/>
      <x:c r="BS14" s="185"/>
      <x:c r="BT14" s="185"/>
      <x:c r="BU14" s="185"/>
      <x:c r="BV14" s="36"/>
    </x:row>
    <x:row r="15" spans="1:74" ht="22.5" customHeight="1" x14ac:dyDescent="0.25">
      <x:c r="A15" s="3" t="s">
        <x:v>786</x:v>
      </x:c>
      <x:c r="B15" s="57" t="s">
        <x:v>461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33"/>
      <x:c r="AB15" s="185"/>
      <x:c r="AC15" s="185"/>
      <x:c r="AD15" s="185"/>
      <x:c r="AE15" s="185"/>
      <x:c r="AF15" s="36"/>
      <x:c r="AG15" s="33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92.86</x:v>
      </x:c>
      <x:c r="AW15" s="158">
        <x:v>91.67</x:v>
      </x:c>
      <x:c r="AX15" s="585" t="s">
        <x:v>1102</x:v>
      </x:c>
      <x:c r="AY15" s="33"/>
      <x:c r="AZ15" s="185"/>
      <x:c r="BA15" s="185"/>
      <x:c r="BB15" s="185"/>
      <x:c r="BC15" s="185"/>
      <x:c r="BD15" s="36"/>
      <x:c r="BE15" s="33"/>
      <x:c r="BF15" s="185"/>
      <x:c r="BG15" s="185"/>
      <x:c r="BH15" s="185"/>
      <x:c r="BI15" s="185"/>
      <x:c r="BJ15" s="36"/>
      <x:c r="BK15" s="33"/>
      <x:c r="BL15" s="185"/>
      <x:c r="BM15" s="185"/>
      <x:c r="BN15" s="185"/>
      <x:c r="BO15" s="185"/>
      <x:c r="BP15" s="36"/>
      <x:c r="BQ15" s="33"/>
      <x:c r="BR15" s="185"/>
      <x:c r="BS15" s="185"/>
      <x:c r="BT15" s="185"/>
      <x:c r="BU15" s="185"/>
      <x:c r="BV15" s="36"/>
    </x:row>
    <x:row r="16" spans="1:74" ht="22.5" customHeight="1" x14ac:dyDescent="0.25">
      <x:c r="A16" s="3" t="s">
        <x:v>796</x:v>
      </x:c>
      <x:c r="B16" s="57" t="s">
        <x:v>480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33"/>
      <x:c r="AB16" s="185"/>
      <x:c r="AC16" s="185"/>
      <x:c r="AD16" s="185"/>
      <x:c r="AE16" s="185"/>
      <x:c r="AF16" s="36"/>
      <x:c r="AG16" s="33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93.33</x:v>
      </x:c>
      <x:c r="AR16" s="620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33"/>
      <x:c r="AZ16" s="185"/>
      <x:c r="BA16" s="185"/>
      <x:c r="BB16" s="185"/>
      <x:c r="BC16" s="185"/>
      <x:c r="BD16" s="36"/>
      <x:c r="BE16" s="33"/>
      <x:c r="BF16" s="185"/>
      <x:c r="BG16" s="185"/>
      <x:c r="BH16" s="185"/>
      <x:c r="BI16" s="185"/>
      <x:c r="BJ16" s="36"/>
      <x:c r="BK16" s="33"/>
      <x:c r="BL16" s="185"/>
      <x:c r="BM16" s="185"/>
      <x:c r="BN16" s="185"/>
      <x:c r="BO16" s="185"/>
      <x:c r="BP16" s="36"/>
      <x:c r="BQ16" s="33"/>
      <x:c r="BR16" s="185"/>
      <x:c r="BS16" s="185"/>
      <x:c r="BT16" s="185"/>
      <x:c r="BU16" s="185"/>
      <x:c r="BV16" s="36"/>
    </x:row>
    <x:row r="17" spans="1:74" ht="22.5" customHeight="1" x14ac:dyDescent="0.25">
      <x:c r="A17" s="605" t="s">
        <x:v>790</x:v>
      </x:c>
      <x:c r="B17" s="57" t="s">
        <x:v>461</x:v>
      </x:c>
      <x:c r="C17" s="181"/>
      <x:c r="D17" s="182"/>
      <x:c r="E17" s="182"/>
      <x:c r="F17" s="182"/>
      <x:c r="G17" s="182"/>
      <x:c r="H17" s="206"/>
      <x:c r="I17" s="44"/>
      <x:c r="J17" s="45"/>
      <x:c r="K17" s="45"/>
      <x:c r="L17" s="45"/>
      <x:c r="M17" s="45"/>
      <x:c r="N17" s="48"/>
      <x:c r="O17" s="44"/>
      <x:c r="P17" s="45"/>
      <x:c r="Q17" s="45"/>
      <x:c r="R17" s="45"/>
      <x:c r="S17" s="45"/>
      <x:c r="T17" s="48"/>
      <x:c r="U17" s="44"/>
      <x:c r="V17" s="45"/>
      <x:c r="W17" s="45"/>
      <x:c r="X17" s="45"/>
      <x:c r="Y17" s="45"/>
      <x:c r="Z17" s="48"/>
      <x:c r="AA17" s="44"/>
      <x:c r="AB17" s="45"/>
      <x:c r="AC17" s="45"/>
      <x:c r="AD17" s="45"/>
      <x:c r="AE17" s="45"/>
      <x:c r="AF17" s="48"/>
      <x:c r="AG17" s="44"/>
      <x:c r="AH17" s="45"/>
      <x:c r="AI17" s="45"/>
      <x:c r="AJ17" s="45"/>
      <x:c r="AK17" s="45"/>
      <x:c r="AL17" s="48"/>
      <x:c r="AM17" s="609">
        <x:v>0</x:v>
      </x:c>
      <x:c r="AN17" s="649">
        <x:v>0</x:v>
      </x:c>
      <x:c r="AO17" s="649">
        <x:v>0</x:v>
      </x:c>
      <x:c r="AP17" s="649">
        <x:v>0</x:v>
      </x:c>
      <x:c r="AQ17" s="649">
        <x:v>0</x:v>
      </x:c>
      <x:c r="AR17" s="650" t="s">
        <x:v>1103</x:v>
      </x:c>
      <x:c r="AS17" s="609">
        <x:v>0</x:v>
      </x:c>
      <x:c r="AT17" s="649">
        <x:v>0</x:v>
      </x:c>
      <x:c r="AU17" s="649">
        <x:v>0</x:v>
      </x:c>
      <x:c r="AV17" s="649">
        <x:v>0</x:v>
      </x:c>
      <x:c r="AW17" s="649">
        <x:v>0</x:v>
      </x:c>
      <x:c r="AX17" s="650" t="s">
        <x:v>1103</x:v>
      </x:c>
      <x:c r="AY17" s="44"/>
      <x:c r="AZ17" s="45"/>
      <x:c r="BA17" s="45"/>
      <x:c r="BB17" s="45"/>
      <x:c r="BC17" s="45"/>
      <x:c r="BD17" s="48"/>
      <x:c r="BE17" s="44"/>
      <x:c r="BF17" s="45"/>
      <x:c r="BG17" s="45"/>
      <x:c r="BH17" s="45"/>
      <x:c r="BI17" s="45"/>
      <x:c r="BJ17" s="48"/>
      <x:c r="BK17" s="44"/>
      <x:c r="BL17" s="45"/>
      <x:c r="BM17" s="45"/>
      <x:c r="BN17" s="45"/>
      <x:c r="BO17" s="45"/>
      <x:c r="BP17" s="48"/>
      <x:c r="BQ17" s="44"/>
      <x:c r="BR17" s="45"/>
      <x:c r="BS17" s="45"/>
      <x:c r="BT17" s="45"/>
      <x:c r="BU17" s="45"/>
      <x:c r="BV17" s="48"/>
    </x:row>
    <x:row r="18" spans="1:74" x14ac:dyDescent="0.25">
      <x:c r="C18" s="226">
        <x:f t="array" ref="C18:C18">SUMPRODUCT((C3:C17&gt;=10)*(D3:D17&gt;=10)*(E3:E17&gt;=10)*(F3:F17&gt;=10)*(G3:G17&gt;=10))</x:f>
      </x:c>
      <x:c r="D18" s="510"/>
      <x:c r="E18" s="510"/>
      <x:c r="F18" s="510"/>
      <x:c r="G18" s="510"/>
      <x:c r="H18" s="226">
        <x:f>COUNTIF(H3:H17,"Да")</x:f>
      </x:c>
      <x:c r="I18" s="226">
        <x:f t="array" ref="I18:I18">SUMPRODUCT((I3:I17&gt;=10)*(J3:J17&gt;=10)*(K3:K17&gt;=10)*(L3:L17&gt;=10)*(M3:M17&gt;=10))</x:f>
      </x:c>
      <x:c r="J18" s="510"/>
      <x:c r="K18" s="510"/>
      <x:c r="L18" s="510"/>
      <x:c r="M18" s="510"/>
      <x:c r="N18" s="226">
        <x:f>COUNTIF(N3:N17,"Да")</x:f>
      </x:c>
      <x:c r="O18" s="226">
        <x:f t="array" ref="O18:O18">SUMPRODUCT((O3:O17&gt;=10)*(P3:P17&gt;=10)*(Q3:Q17&gt;=10)*(R3:R17&gt;=10)*(S3:S17&gt;=10))</x:f>
      </x:c>
      <x:c r="P18" s="510"/>
      <x:c r="Q18" s="510"/>
      <x:c r="R18" s="510"/>
      <x:c r="S18" s="510"/>
      <x:c r="T18" s="226">
        <x:f>COUNTIF(T3:T17,"Да")</x:f>
      </x:c>
      <x:c r="U18" s="226">
        <x:f t="array" ref="U18:U18">SUMPRODUCT((U3:U17&gt;=10)*(V3:V17&gt;=10)*(W3:W17&gt;=10)*(X3:X17&gt;=10)*(Y3:Y17&gt;=10))</x:f>
      </x:c>
      <x:c r="V18" s="510"/>
      <x:c r="W18" s="510"/>
      <x:c r="X18" s="510"/>
      <x:c r="Y18" s="510"/>
      <x:c r="Z18" s="226">
        <x:f>COUNTIF(Z3:Z17,"Да")</x:f>
      </x:c>
      <x:c r="AA18" s="226">
        <x:f t="array" ref="AA18:AA18">SUMPRODUCT((AA3:AA17&gt;=10)*(AB3:AB17&gt;=10)*(AC3:AC17&gt;=10)*(AD3:AD17&gt;=10)*(AE3:AE17&gt;=10))</x:f>
      </x:c>
      <x:c r="AB18" s="510"/>
      <x:c r="AC18" s="510"/>
      <x:c r="AD18" s="510"/>
      <x:c r="AE18" s="510"/>
      <x:c r="AF18" s="226">
        <x:f>COUNTIF(AF3:AF17,"Да")</x:f>
      </x:c>
      <x:c r="AG18" s="226">
        <x:f t="array" ref="AG18:AG18">SUMPRODUCT((AG3:AG17&gt;=10)*(AH3:AH17&gt;=10)*(AI3:AI17&gt;=10)*(AJ3:AJ17&gt;=10)*(AK3:AK17&gt;=10))</x:f>
      </x:c>
      <x:c r="AH18" s="510"/>
      <x:c r="AI18" s="510"/>
      <x:c r="AJ18" s="510"/>
      <x:c r="AK18" s="510"/>
      <x:c r="AL18" s="226">
        <x:f>COUNTIF(AL3:AL17,"Да")</x:f>
      </x:c>
      <x:c r="AM18" s="226">
        <x:f t="array" ref="AM18:AM18">SUMPRODUCT((AM3:AM17&gt;=10)*(AN3:AN17&gt;=10)*(AO3:AO17&gt;=10)*(AP3:AP17&gt;=10)*(AQ3:AQ17&gt;=10))</x:f>
      </x:c>
      <x:c r="AN18" s="510"/>
      <x:c r="AO18" s="510"/>
      <x:c r="AP18" s="510"/>
      <x:c r="AQ18" s="510"/>
      <x:c r="AR18" s="226">
        <x:f>COUNTIF(AR3:AR17,"Да")</x:f>
      </x:c>
      <x:c r="AS18" s="226">
        <x:f t="array" ref="AS18:AS18">SUMPRODUCT((AS3:AS17&gt;=10)*(AT3:AT17&gt;=10)*(AU3:AU17&gt;=10)*(AV3:AV17&gt;=10)*(AW3:AW17&gt;=10))</x:f>
      </x:c>
      <x:c r="AT18" s="510"/>
      <x:c r="AU18" s="510"/>
      <x:c r="AV18" s="510"/>
      <x:c r="AW18" s="510"/>
      <x:c r="AX18" s="226">
        <x:f>COUNTIF(AX3:AX17,"Да")</x:f>
      </x:c>
      <x:c r="AY18" s="226">
        <x:f t="array" ref="AY18:AY18">SUMPRODUCT((AY3:AY17&gt;=10)*(AZ3:AZ17&gt;=10)*(BA3:BA17&gt;=10)*(BB3:BB17&gt;=10)*(BC3:BC17&gt;=10))</x:f>
      </x:c>
      <x:c r="AZ18" s="510"/>
      <x:c r="BA18" s="510"/>
      <x:c r="BB18" s="510"/>
      <x:c r="BC18" s="510"/>
      <x:c r="BD18" s="226">
        <x:f>COUNTIF(BD3:BD17,"Да")</x:f>
      </x:c>
      <x:c r="BE18" s="226">
        <x:f t="array" ref="BE18:BE18">SUMPRODUCT((BE3:BE17&gt;=10)*(BF3:BF17&gt;=10)*(BG3:BG17&gt;=10)*(BH3:BH17&gt;=10)*(BI3:BI17&gt;=10))</x:f>
      </x:c>
      <x:c r="BF18" s="510"/>
      <x:c r="BG18" s="510"/>
      <x:c r="BH18" s="510"/>
      <x:c r="BI18" s="510"/>
      <x:c r="BJ18" s="226">
        <x:f>COUNTIF(BJ3:BJ17,"Да")</x:f>
      </x:c>
      <x:c r="BK18" s="226">
        <x:f t="array" ref="BK18:BK18">SUMPRODUCT((BK3:BK17&gt;=10)*(BL3:BL17&gt;=10)*(BM3:BM17&gt;=10)*(BN3:BN17&gt;=10)*(BO3:BO17&gt;=10))</x:f>
      </x:c>
      <x:c r="BL18" s="510"/>
      <x:c r="BM18" s="510"/>
      <x:c r="BN18" s="510"/>
      <x:c r="BO18" s="510"/>
      <x:c r="BP18" s="226">
        <x:f>COUNTIF(BP3:BP17,"Да")</x:f>
      </x:c>
      <x:c r="BQ18" s="226">
        <x:f t="array" ref="BQ18:BQ18">SUMPRODUCT((BQ3:BQ17&gt;=10)*(BR3:BR17&gt;=10)*(BS3:BS17&gt;=10)*(BT3:BT17&gt;=10)*(BU3:BU17&gt;=10))</x:f>
      </x:c>
      <x:c r="BR18" s="510"/>
      <x:c r="BS18" s="510"/>
      <x:c r="BT18" s="510"/>
      <x:c r="BU18" s="510"/>
      <x:c r="BV18" s="226">
        <x:f>COUNTIF(BV3:BV17,"Да")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18:G18"/>
    <x:mergeCell ref="I18:M18"/>
    <x:mergeCell ref="O18:S18"/>
    <x:mergeCell ref="U18:Y18"/>
    <x:mergeCell ref="AA18:AE18"/>
    <x:mergeCell ref="AG18:AK18"/>
    <x:mergeCell ref="AM18:AQ18"/>
    <x:mergeCell ref="AS18:AW18"/>
    <x:mergeCell ref="AY18:BC18"/>
    <x:mergeCell ref="BE18:BI18"/>
    <x:mergeCell ref="BK18:BO18"/>
    <x:mergeCell ref="BQ18:BU18"/>
  </x:mergeCells>
  <x:conditionalFormatting sqref="C3:BV17">
    <x:cfRule type="containsBlanks" dxfId="8" priority="1">
      <x:formula>LEN(TRIM(C3))=0</x:formula>
    </x:cfRule>
    <x:cfRule type="expression" priority="6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17">
    <x:cfRule type="duplicateValues" dxfId="0" priority="8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outlinePr summaryBelow="1" summaryRight="1"/>
  </x:sheetPr>
  <x:dimension ref="A1:BV29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2.710938" style="0" customWidth="1"/>
    <x:col min="2" max="2" width="24.425781" style="0" customWidth="1"/>
    <x:col min="3" max="7" width="9.140625" style="0" customWidth="1"/>
    <x:col min="8" max="8" width="11.710938" style="0" customWidth="1"/>
    <x:col min="9" max="49" width="9.140625" style="0" customWidth="1"/>
    <x:col min="50" max="50" width="9.710938" style="0" customWidth="1"/>
    <x:col min="51" max="74" width="9.140625" style="0" customWidth="1"/>
  </x:cols>
  <x:sheetData>
    <x:row r="1" spans="1:74" ht="28.5" customHeight="1" x14ac:dyDescent="0.3">
      <x:c r="A1" s="22" t="s">
        <x:v>1089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x14ac:dyDescent="0.25">
      <x:c r="A3" s="52" t="s">
        <x:v>875</x:v>
      </x:c>
      <x:c r="B3" s="53" t="s">
        <x:v>461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x14ac:dyDescent="0.25">
      <x:c r="A4" s="3" t="s">
        <x:v>869</x:v>
      </x:c>
      <x:c r="B4" s="57" t="s">
        <x:v>461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33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x14ac:dyDescent="0.25">
      <x:c r="A5" s="605" t="s">
        <x:v>877</x:v>
      </x:c>
      <x:c r="B5" s="57" t="s">
        <x:v>461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33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588">
        <x:v>0</x:v>
      </x:c>
      <x:c r="AT5" s="589">
        <x:v>0</x:v>
      </x:c>
      <x:c r="AU5" s="589">
        <x:v>0</x:v>
      </x:c>
      <x:c r="AV5" s="589">
        <x:v>0</x:v>
      </x:c>
      <x:c r="AW5" s="589">
        <x:v>0</x:v>
      </x:c>
      <x:c r="AX5" s="591" t="s">
        <x:v>1103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x14ac:dyDescent="0.25">
      <x:c r="A6" s="630" t="s">
        <x:v>885</x:v>
      </x:c>
      <x:c r="B6" s="57" t="s">
        <x:v>461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33"/>
      <x:c r="AH6" s="185"/>
      <x:c r="AI6" s="185"/>
      <x:c r="AJ6" s="185"/>
      <x:c r="AK6" s="185"/>
      <x:c r="AL6" s="36"/>
      <x:c r="AM6" s="588">
        <x:v>0</x:v>
      </x:c>
      <x:c r="AN6" s="589">
        <x:v>0</x:v>
      </x:c>
      <x:c r="AO6" s="589">
        <x:v>0</x:v>
      </x:c>
      <x:c r="AP6" s="589">
        <x:v>0</x:v>
      </x:c>
      <x:c r="AQ6" s="589">
        <x:v>0</x:v>
      </x:c>
      <x:c r="AR6" s="591" t="s">
        <x:v>1103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ht="22.5" customHeight="1" x14ac:dyDescent="0.25">
      <x:c r="A7" s="3" t="s">
        <x:v>892</x:v>
      </x:c>
      <x:c r="B7" s="57" t="s">
        <x:v>510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33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x14ac:dyDescent="0.25">
      <x:c r="A8" s="3" t="s">
        <x:v>876</x:v>
      </x:c>
      <x:c r="B8" s="57" t="s">
        <x:v>461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33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x14ac:dyDescent="0.25">
      <x:c r="A9" s="630" t="s">
        <x:v>874</x:v>
      </x:c>
      <x:c r="B9" s="57" t="s">
        <x:v>461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33"/>
      <x:c r="AH9" s="185"/>
      <x:c r="AI9" s="185"/>
      <x:c r="AJ9" s="185"/>
      <x:c r="AK9" s="185"/>
      <x:c r="AL9" s="36"/>
      <x:c r="AM9" s="588">
        <x:v>0</x:v>
      </x:c>
      <x:c r="AN9" s="589">
        <x:v>0</x:v>
      </x:c>
      <x:c r="AO9" s="589">
        <x:v>0</x:v>
      </x:c>
      <x:c r="AP9" s="589">
        <x:v>0</x:v>
      </x:c>
      <x:c r="AQ9" s="589">
        <x:v>0</x:v>
      </x:c>
      <x:c r="AR9" s="591" t="s">
        <x:v>1103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x14ac:dyDescent="0.25">
      <x:c r="A10" s="3" t="s">
        <x:v>884</x:v>
      </x:c>
      <x:c r="B10" s="57" t="s">
        <x:v>461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33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x14ac:dyDescent="0.25">
      <x:c r="A11" s="3" t="s">
        <x:v>890</x:v>
      </x:c>
      <x:c r="B11" s="57" t="s">
        <x:v>459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33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x14ac:dyDescent="0.25">
      <x:c r="A12" s="3" t="s">
        <x:v>873</x:v>
      </x:c>
      <x:c r="B12" s="57" t="s">
        <x:v>461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33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x14ac:dyDescent="0.25">
      <x:c r="A13" s="3" t="s">
        <x:v>881</x:v>
      </x:c>
      <x:c r="B13" s="57" t="s">
        <x:v>480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33"/>
      <x:c r="AB13" s="185"/>
      <x:c r="AC13" s="185"/>
      <x:c r="AD13" s="185"/>
      <x:c r="AE13" s="185"/>
      <x:c r="AF13" s="36"/>
      <x:c r="AG13" s="33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33"/>
      <x:c r="AZ13" s="185"/>
      <x:c r="BA13" s="185"/>
      <x:c r="BB13" s="185"/>
      <x:c r="BC13" s="185"/>
      <x:c r="BD13" s="36"/>
      <x:c r="BE13" s="33"/>
      <x:c r="BF13" s="185"/>
      <x:c r="BG13" s="185"/>
      <x:c r="BH13" s="185"/>
      <x:c r="BI13" s="185"/>
      <x:c r="BJ13" s="36"/>
      <x:c r="BK13" s="33"/>
      <x:c r="BL13" s="185"/>
      <x:c r="BM13" s="185"/>
      <x:c r="BN13" s="185"/>
      <x:c r="BO13" s="185"/>
      <x:c r="BP13" s="36"/>
      <x:c r="BQ13" s="33"/>
      <x:c r="BR13" s="185"/>
      <x:c r="BS13" s="185"/>
      <x:c r="BT13" s="185"/>
      <x:c r="BU13" s="185"/>
      <x:c r="BV13" s="36"/>
    </x:row>
    <x:row r="14" spans="1:74" x14ac:dyDescent="0.25">
      <x:c r="A14" s="3" t="s">
        <x:v>880</x:v>
      </x:c>
      <x:c r="B14" s="57" t="s">
        <x:v>480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33"/>
      <x:c r="AB14" s="185"/>
      <x:c r="AC14" s="185"/>
      <x:c r="AD14" s="185"/>
      <x:c r="AE14" s="185"/>
      <x:c r="AF14" s="36"/>
      <x:c r="AG14" s="33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620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33"/>
      <x:c r="AZ14" s="185"/>
      <x:c r="BA14" s="185"/>
      <x:c r="BB14" s="185"/>
      <x:c r="BC14" s="185"/>
      <x:c r="BD14" s="36"/>
      <x:c r="BE14" s="33"/>
      <x:c r="BF14" s="185"/>
      <x:c r="BG14" s="185"/>
      <x:c r="BH14" s="185"/>
      <x:c r="BI14" s="185"/>
      <x:c r="BJ14" s="36"/>
      <x:c r="BK14" s="33"/>
      <x:c r="BL14" s="185"/>
      <x:c r="BM14" s="185"/>
      <x:c r="BN14" s="185"/>
      <x:c r="BO14" s="185"/>
      <x:c r="BP14" s="36"/>
      <x:c r="BQ14" s="33"/>
      <x:c r="BR14" s="185"/>
      <x:c r="BS14" s="185"/>
      <x:c r="BT14" s="185"/>
      <x:c r="BU14" s="185"/>
      <x:c r="BV14" s="36"/>
    </x:row>
    <x:row r="15" spans="1:74" x14ac:dyDescent="0.25">
      <x:c r="A15" s="3" t="s">
        <x:v>886</x:v>
      </x:c>
      <x:c r="B15" s="57" t="s">
        <x:v>461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33"/>
      <x:c r="AB15" s="185"/>
      <x:c r="AC15" s="185"/>
      <x:c r="AD15" s="185"/>
      <x:c r="AE15" s="185"/>
      <x:c r="AF15" s="36"/>
      <x:c r="AG15" s="33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33"/>
      <x:c r="AZ15" s="185"/>
      <x:c r="BA15" s="185"/>
      <x:c r="BB15" s="185"/>
      <x:c r="BC15" s="185"/>
      <x:c r="BD15" s="36"/>
      <x:c r="BE15" s="33"/>
      <x:c r="BF15" s="185"/>
      <x:c r="BG15" s="185"/>
      <x:c r="BH15" s="185"/>
      <x:c r="BI15" s="185"/>
      <x:c r="BJ15" s="36"/>
      <x:c r="BK15" s="33"/>
      <x:c r="BL15" s="185"/>
      <x:c r="BM15" s="185"/>
      <x:c r="BN15" s="185"/>
      <x:c r="BO15" s="185"/>
      <x:c r="BP15" s="36"/>
      <x:c r="BQ15" s="33"/>
      <x:c r="BR15" s="185"/>
      <x:c r="BS15" s="185"/>
      <x:c r="BT15" s="185"/>
      <x:c r="BU15" s="185"/>
      <x:c r="BV15" s="36"/>
    </x:row>
    <x:row r="16" spans="1:74" x14ac:dyDescent="0.25">
      <x:c r="A16" s="3" t="s">
        <x:v>870</x:v>
      </x:c>
      <x:c r="B16" s="57" t="s">
        <x:v>461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33"/>
      <x:c r="AB16" s="185"/>
      <x:c r="AC16" s="185"/>
      <x:c r="AD16" s="185"/>
      <x:c r="AE16" s="185"/>
      <x:c r="AF16" s="36"/>
      <x:c r="AG16" s="33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33"/>
      <x:c r="AZ16" s="185"/>
      <x:c r="BA16" s="185"/>
      <x:c r="BB16" s="185"/>
      <x:c r="BC16" s="185"/>
      <x:c r="BD16" s="36"/>
      <x:c r="BE16" s="33"/>
      <x:c r="BF16" s="185"/>
      <x:c r="BG16" s="185"/>
      <x:c r="BH16" s="185"/>
      <x:c r="BI16" s="185"/>
      <x:c r="BJ16" s="36"/>
      <x:c r="BK16" s="33"/>
      <x:c r="BL16" s="185"/>
      <x:c r="BM16" s="185"/>
      <x:c r="BN16" s="185"/>
      <x:c r="BO16" s="185"/>
      <x:c r="BP16" s="36"/>
      <x:c r="BQ16" s="33"/>
      <x:c r="BR16" s="185"/>
      <x:c r="BS16" s="185"/>
      <x:c r="BT16" s="185"/>
      <x:c r="BU16" s="185"/>
      <x:c r="BV16" s="36"/>
    </x:row>
    <x:row r="17" spans="1:74" x14ac:dyDescent="0.25">
      <x:c r="A17" s="3" t="s">
        <x:v>878</x:v>
      </x:c>
      <x:c r="B17" s="57" t="s">
        <x:v>461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33"/>
      <x:c r="AB17" s="185"/>
      <x:c r="AC17" s="185"/>
      <x:c r="AD17" s="185"/>
      <x:c r="AE17" s="185"/>
      <x:c r="AF17" s="36"/>
      <x:c r="AG17" s="33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33"/>
      <x:c r="AZ17" s="185"/>
      <x:c r="BA17" s="185"/>
      <x:c r="BB17" s="185"/>
      <x:c r="BC17" s="185"/>
      <x:c r="BD17" s="36"/>
      <x:c r="BE17" s="33"/>
      <x:c r="BF17" s="185"/>
      <x:c r="BG17" s="185"/>
      <x:c r="BH17" s="185"/>
      <x:c r="BI17" s="185"/>
      <x:c r="BJ17" s="36"/>
      <x:c r="BK17" s="33"/>
      <x:c r="BL17" s="185"/>
      <x:c r="BM17" s="185"/>
      <x:c r="BN17" s="185"/>
      <x:c r="BO17" s="185"/>
      <x:c r="BP17" s="36"/>
      <x:c r="BQ17" s="33"/>
      <x:c r="BR17" s="185"/>
      <x:c r="BS17" s="185"/>
      <x:c r="BT17" s="185"/>
      <x:c r="BU17" s="185"/>
      <x:c r="BV17" s="36"/>
    </x:row>
    <x:row r="18" spans="1:74" x14ac:dyDescent="0.25">
      <x:c r="A18" s="3" t="s">
        <x:v>879</x:v>
      </x:c>
      <x:c r="B18" s="57" t="s">
        <x:v>461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33"/>
      <x:c r="AB18" s="185"/>
      <x:c r="AC18" s="185"/>
      <x:c r="AD18" s="185"/>
      <x:c r="AE18" s="185"/>
      <x:c r="AF18" s="36"/>
      <x:c r="AG18" s="33"/>
      <x:c r="AH18" s="185"/>
      <x:c r="AI18" s="185"/>
      <x:c r="AJ18" s="185"/>
      <x:c r="AK18" s="18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620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158">
        <x:v>100</x:v>
      </x:c>
      <x:c r="AX18" s="585" t="s">
        <x:v>1102</x:v>
      </x:c>
      <x:c r="AY18" s="33"/>
      <x:c r="AZ18" s="185"/>
      <x:c r="BA18" s="185"/>
      <x:c r="BB18" s="185"/>
      <x:c r="BC18" s="185"/>
      <x:c r="BD18" s="36"/>
      <x:c r="BE18" s="33"/>
      <x:c r="BF18" s="185"/>
      <x:c r="BG18" s="185"/>
      <x:c r="BH18" s="185"/>
      <x:c r="BI18" s="185"/>
      <x:c r="BJ18" s="36"/>
      <x:c r="BK18" s="33"/>
      <x:c r="BL18" s="185"/>
      <x:c r="BM18" s="185"/>
      <x:c r="BN18" s="185"/>
      <x:c r="BO18" s="185"/>
      <x:c r="BP18" s="36"/>
      <x:c r="BQ18" s="33"/>
      <x:c r="BR18" s="185"/>
      <x:c r="BS18" s="185"/>
      <x:c r="BT18" s="185"/>
      <x:c r="BU18" s="185"/>
      <x:c r="BV18" s="36"/>
    </x:row>
    <x:row r="19" spans="1:74" x14ac:dyDescent="0.25">
      <x:c r="A19" s="630" t="s">
        <x:v>866</x:v>
      </x:c>
      <x:c r="B19" s="57" t="s">
        <x:v>399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33"/>
      <x:c r="AB19" s="185"/>
      <x:c r="AC19" s="185"/>
      <x:c r="AD19" s="185"/>
      <x:c r="AE19" s="185"/>
      <x:c r="AF19" s="36"/>
      <x:c r="AG19" s="33"/>
      <x:c r="AH19" s="185"/>
      <x:c r="AI19" s="185"/>
      <x:c r="AJ19" s="185"/>
      <x:c r="AK19" s="185"/>
      <x:c r="AL19" s="36"/>
      <x:c r="AM19" s="588">
        <x:v>0</x:v>
      </x:c>
      <x:c r="AN19" s="589">
        <x:v>0</x:v>
      </x:c>
      <x:c r="AO19" s="589">
        <x:v>0</x:v>
      </x:c>
      <x:c r="AP19" s="589">
        <x:v>0</x:v>
      </x:c>
      <x:c r="AQ19" s="589">
        <x:v>0</x:v>
      </x:c>
      <x:c r="AR19" s="591" t="s">
        <x:v>1103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33"/>
      <x:c r="AZ19" s="185"/>
      <x:c r="BA19" s="185"/>
      <x:c r="BB19" s="185"/>
      <x:c r="BC19" s="185"/>
      <x:c r="BD19" s="36"/>
      <x:c r="BE19" s="33"/>
      <x:c r="BF19" s="185"/>
      <x:c r="BG19" s="185"/>
      <x:c r="BH19" s="185"/>
      <x:c r="BI19" s="185"/>
      <x:c r="BJ19" s="36"/>
      <x:c r="BK19" s="33"/>
      <x:c r="BL19" s="185"/>
      <x:c r="BM19" s="185"/>
      <x:c r="BN19" s="185"/>
      <x:c r="BO19" s="185"/>
      <x:c r="BP19" s="36"/>
      <x:c r="BQ19" s="33"/>
      <x:c r="BR19" s="185"/>
      <x:c r="BS19" s="185"/>
      <x:c r="BT19" s="185"/>
      <x:c r="BU19" s="185"/>
      <x:c r="BV19" s="36"/>
    </x:row>
    <x:row r="20" spans="1:74" x14ac:dyDescent="0.25">
      <x:c r="A20" s="3" t="s">
        <x:v>868</x:v>
      </x:c>
      <x:c r="B20" s="57" t="s">
        <x:v>461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33"/>
      <x:c r="AB20" s="185"/>
      <x:c r="AC20" s="185"/>
      <x:c r="AD20" s="185"/>
      <x:c r="AE20" s="185"/>
      <x:c r="AF20" s="36"/>
      <x:c r="AG20" s="33"/>
      <x:c r="AH20" s="185"/>
      <x:c r="AI20" s="185"/>
      <x:c r="AJ20" s="185"/>
      <x:c r="AK20" s="18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620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33"/>
      <x:c r="AZ20" s="185"/>
      <x:c r="BA20" s="185"/>
      <x:c r="BB20" s="185"/>
      <x:c r="BC20" s="185"/>
      <x:c r="BD20" s="36"/>
      <x:c r="BE20" s="33"/>
      <x:c r="BF20" s="185"/>
      <x:c r="BG20" s="185"/>
      <x:c r="BH20" s="185"/>
      <x:c r="BI20" s="185"/>
      <x:c r="BJ20" s="36"/>
      <x:c r="BK20" s="33"/>
      <x:c r="BL20" s="185"/>
      <x:c r="BM20" s="185"/>
      <x:c r="BN20" s="185"/>
      <x:c r="BO20" s="185"/>
      <x:c r="BP20" s="36"/>
      <x:c r="BQ20" s="33"/>
      <x:c r="BR20" s="185"/>
      <x:c r="BS20" s="185"/>
      <x:c r="BT20" s="185"/>
      <x:c r="BU20" s="185"/>
      <x:c r="BV20" s="36"/>
    </x:row>
    <x:row r="21" spans="1:74" x14ac:dyDescent="0.25">
      <x:c r="A21" s="3" t="s">
        <x:v>891</x:v>
      </x:c>
      <x:c r="B21" s="57" t="s">
        <x:v>459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33"/>
      <x:c r="AB21" s="185"/>
      <x:c r="AC21" s="185"/>
      <x:c r="AD21" s="185"/>
      <x:c r="AE21" s="185"/>
      <x:c r="AF21" s="36"/>
      <x:c r="AG21" s="33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33"/>
      <x:c r="AZ21" s="185"/>
      <x:c r="BA21" s="185"/>
      <x:c r="BB21" s="185"/>
      <x:c r="BC21" s="185"/>
      <x:c r="BD21" s="36"/>
      <x:c r="BE21" s="33"/>
      <x:c r="BF21" s="185"/>
      <x:c r="BG21" s="185"/>
      <x:c r="BH21" s="185"/>
      <x:c r="BI21" s="185"/>
      <x:c r="BJ21" s="36"/>
      <x:c r="BK21" s="33"/>
      <x:c r="BL21" s="185"/>
      <x:c r="BM21" s="185"/>
      <x:c r="BN21" s="185"/>
      <x:c r="BO21" s="185"/>
      <x:c r="BP21" s="36"/>
      <x:c r="BQ21" s="33"/>
      <x:c r="BR21" s="185"/>
      <x:c r="BS21" s="185"/>
      <x:c r="BT21" s="185"/>
      <x:c r="BU21" s="185"/>
      <x:c r="BV21" s="36"/>
    </x:row>
    <x:row r="22" spans="1:74" x14ac:dyDescent="0.25">
      <x:c r="A22" s="605" t="s">
        <x:v>872</x:v>
      </x:c>
      <x:c r="B22" s="57" t="s">
        <x:v>461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33"/>
      <x:c r="P22" s="185"/>
      <x:c r="Q22" s="185"/>
      <x:c r="R22" s="185"/>
      <x:c r="S22" s="185"/>
      <x:c r="T22" s="36"/>
      <x:c r="U22" s="33"/>
      <x:c r="V22" s="185"/>
      <x:c r="W22" s="185"/>
      <x:c r="X22" s="185"/>
      <x:c r="Y22" s="185"/>
      <x:c r="Z22" s="36"/>
      <x:c r="AA22" s="33"/>
      <x:c r="AB22" s="185"/>
      <x:c r="AC22" s="185"/>
      <x:c r="AD22" s="185"/>
      <x:c r="AE22" s="185"/>
      <x:c r="AF22" s="36"/>
      <x:c r="AG22" s="33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588">
        <x:v>0</x:v>
      </x:c>
      <x:c r="AT22" s="589">
        <x:v>0</x:v>
      </x:c>
      <x:c r="AU22" s="589">
        <x:v>0</x:v>
      </x:c>
      <x:c r="AV22" s="589">
        <x:v>0</x:v>
      </x:c>
      <x:c r="AW22" s="589">
        <x:v>0</x:v>
      </x:c>
      <x:c r="AX22" s="591" t="s">
        <x:v>1103</x:v>
      </x:c>
      <x:c r="AY22" s="33"/>
      <x:c r="AZ22" s="185"/>
      <x:c r="BA22" s="185"/>
      <x:c r="BB22" s="185"/>
      <x:c r="BC22" s="185"/>
      <x:c r="BD22" s="36"/>
      <x:c r="BE22" s="33"/>
      <x:c r="BF22" s="185"/>
      <x:c r="BG22" s="185"/>
      <x:c r="BH22" s="185"/>
      <x:c r="BI22" s="185"/>
      <x:c r="BJ22" s="36"/>
      <x:c r="BK22" s="33"/>
      <x:c r="BL22" s="185"/>
      <x:c r="BM22" s="185"/>
      <x:c r="BN22" s="185"/>
      <x:c r="BO22" s="185"/>
      <x:c r="BP22" s="36"/>
      <x:c r="BQ22" s="33"/>
      <x:c r="BR22" s="185"/>
      <x:c r="BS22" s="185"/>
      <x:c r="BT22" s="185"/>
      <x:c r="BU22" s="185"/>
      <x:c r="BV22" s="36"/>
    </x:row>
    <x:row r="23" spans="1:74" x14ac:dyDescent="0.25">
      <x:c r="A23" s="630" t="s">
        <x:v>887</x:v>
      </x:c>
      <x:c r="B23" s="57" t="s">
        <x:v>480</x:v>
      </x:c>
      <x:c r="C23" s="157"/>
      <x:c r="D23" s="158"/>
      <x:c r="E23" s="158"/>
      <x:c r="F23" s="158"/>
      <x:c r="G23" s="158"/>
      <x:c r="H23" s="197"/>
      <x:c r="I23" s="33"/>
      <x:c r="J23" s="185"/>
      <x:c r="K23" s="185"/>
      <x:c r="L23" s="185"/>
      <x:c r="M23" s="185"/>
      <x:c r="N23" s="36"/>
      <x:c r="O23" s="33"/>
      <x:c r="P23" s="185"/>
      <x:c r="Q23" s="185"/>
      <x:c r="R23" s="185"/>
      <x:c r="S23" s="185"/>
      <x:c r="T23" s="36"/>
      <x:c r="U23" s="33"/>
      <x:c r="V23" s="185"/>
      <x:c r="W23" s="185"/>
      <x:c r="X23" s="185"/>
      <x:c r="Y23" s="185"/>
      <x:c r="Z23" s="36"/>
      <x:c r="AA23" s="33"/>
      <x:c r="AB23" s="185"/>
      <x:c r="AC23" s="185"/>
      <x:c r="AD23" s="185"/>
      <x:c r="AE23" s="185"/>
      <x:c r="AF23" s="36"/>
      <x:c r="AG23" s="33"/>
      <x:c r="AH23" s="185"/>
      <x:c r="AI23" s="185"/>
      <x:c r="AJ23" s="185"/>
      <x:c r="AK23" s="185"/>
      <x:c r="AL23" s="36"/>
      <x:c r="AM23" s="588">
        <x:v>0</x:v>
      </x:c>
      <x:c r="AN23" s="589">
        <x:v>0</x:v>
      </x:c>
      <x:c r="AO23" s="589">
        <x:v>0</x:v>
      </x:c>
      <x:c r="AP23" s="589">
        <x:v>0</x:v>
      </x:c>
      <x:c r="AQ23" s="589">
        <x:v>0</x:v>
      </x:c>
      <x:c r="AR23" s="591" t="s">
        <x:v>1103</x:v>
      </x:c>
      <x:c r="AS23" s="157">
        <x:v>100</x:v>
      </x:c>
      <x:c r="AT23" s="158">
        <x:v>100</x:v>
      </x:c>
      <x:c r="AU23" s="158">
        <x:v>100</x:v>
      </x:c>
      <x:c r="AV23" s="158">
        <x:v>100</x:v>
      </x:c>
      <x:c r="AW23" s="158">
        <x:v>100</x:v>
      </x:c>
      <x:c r="AX23" s="585" t="s">
        <x:v>1102</x:v>
      </x:c>
      <x:c r="AY23" s="33"/>
      <x:c r="AZ23" s="185"/>
      <x:c r="BA23" s="185"/>
      <x:c r="BB23" s="185"/>
      <x:c r="BC23" s="185"/>
      <x:c r="BD23" s="36"/>
      <x:c r="BE23" s="33"/>
      <x:c r="BF23" s="185"/>
      <x:c r="BG23" s="185"/>
      <x:c r="BH23" s="185"/>
      <x:c r="BI23" s="185"/>
      <x:c r="BJ23" s="36"/>
      <x:c r="BK23" s="33"/>
      <x:c r="BL23" s="185"/>
      <x:c r="BM23" s="185"/>
      <x:c r="BN23" s="185"/>
      <x:c r="BO23" s="185"/>
      <x:c r="BP23" s="36"/>
      <x:c r="BQ23" s="33"/>
      <x:c r="BR23" s="185"/>
      <x:c r="BS23" s="185"/>
      <x:c r="BT23" s="185"/>
      <x:c r="BU23" s="185"/>
      <x:c r="BV23" s="36"/>
    </x:row>
    <x:row r="24" spans="1:74" x14ac:dyDescent="0.25">
      <x:c r="A24" s="3" t="s">
        <x:v>889</x:v>
      </x:c>
      <x:c r="B24" s="57" t="s">
        <x:v>459</x:v>
      </x:c>
      <x:c r="C24" s="157"/>
      <x:c r="D24" s="158"/>
      <x:c r="E24" s="158"/>
      <x:c r="F24" s="158"/>
      <x:c r="G24" s="158"/>
      <x:c r="H24" s="197"/>
      <x:c r="I24" s="33"/>
      <x:c r="J24" s="185"/>
      <x:c r="K24" s="185"/>
      <x:c r="L24" s="185"/>
      <x:c r="M24" s="185"/>
      <x:c r="N24" s="36"/>
      <x:c r="O24" s="33"/>
      <x:c r="P24" s="185"/>
      <x:c r="Q24" s="185"/>
      <x:c r="R24" s="185"/>
      <x:c r="S24" s="185"/>
      <x:c r="T24" s="36"/>
      <x:c r="U24" s="33"/>
      <x:c r="V24" s="185"/>
      <x:c r="W24" s="185"/>
      <x:c r="X24" s="185"/>
      <x:c r="Y24" s="185"/>
      <x:c r="Z24" s="36"/>
      <x:c r="AA24" s="33"/>
      <x:c r="AB24" s="185"/>
      <x:c r="AC24" s="185"/>
      <x:c r="AD24" s="185"/>
      <x:c r="AE24" s="185"/>
      <x:c r="AF24" s="36"/>
      <x:c r="AG24" s="33"/>
      <x:c r="AH24" s="185"/>
      <x:c r="AI24" s="185"/>
      <x:c r="AJ24" s="185"/>
      <x:c r="AK24" s="185"/>
      <x:c r="AL24" s="36"/>
      <x:c r="AM24" s="157">
        <x:v>100</x:v>
      </x:c>
      <x:c r="AN24" s="158">
        <x:v>100</x:v>
      </x:c>
      <x:c r="AO24" s="158">
        <x:v>100</x:v>
      </x:c>
      <x:c r="AP24" s="158">
        <x:v>100</x:v>
      </x:c>
      <x:c r="AQ24" s="158">
        <x:v>100</x:v>
      </x:c>
      <x:c r="AR24" s="620" t="s">
        <x:v>1102</x:v>
      </x:c>
      <x:c r="AS24" s="157">
        <x:v>100</x:v>
      </x:c>
      <x:c r="AT24" s="158">
        <x:v>100</x:v>
      </x:c>
      <x:c r="AU24" s="158">
        <x:v>100</x:v>
      </x:c>
      <x:c r="AV24" s="158">
        <x:v>100</x:v>
      </x:c>
      <x:c r="AW24" s="158">
        <x:v>100</x:v>
      </x:c>
      <x:c r="AX24" s="585" t="s">
        <x:v>1102</x:v>
      </x:c>
      <x:c r="AY24" s="33"/>
      <x:c r="AZ24" s="185"/>
      <x:c r="BA24" s="185"/>
      <x:c r="BB24" s="185"/>
      <x:c r="BC24" s="185"/>
      <x:c r="BD24" s="36"/>
      <x:c r="BE24" s="33"/>
      <x:c r="BF24" s="185"/>
      <x:c r="BG24" s="185"/>
      <x:c r="BH24" s="185"/>
      <x:c r="BI24" s="185"/>
      <x:c r="BJ24" s="36"/>
      <x:c r="BK24" s="33"/>
      <x:c r="BL24" s="185"/>
      <x:c r="BM24" s="185"/>
      <x:c r="BN24" s="185"/>
      <x:c r="BO24" s="185"/>
      <x:c r="BP24" s="36"/>
      <x:c r="BQ24" s="33"/>
      <x:c r="BR24" s="185"/>
      <x:c r="BS24" s="185"/>
      <x:c r="BT24" s="185"/>
      <x:c r="BU24" s="185"/>
      <x:c r="BV24" s="36"/>
    </x:row>
    <x:row r="25" spans="1:74" x14ac:dyDescent="0.25">
      <x:c r="A25" s="630" t="s">
        <x:v>888</x:v>
      </x:c>
      <x:c r="B25" s="57" t="s">
        <x:v>459</x:v>
      </x:c>
      <x:c r="C25" s="157"/>
      <x:c r="D25" s="158"/>
      <x:c r="E25" s="158"/>
      <x:c r="F25" s="158"/>
      <x:c r="G25" s="158"/>
      <x:c r="H25" s="197"/>
      <x:c r="I25" s="33"/>
      <x:c r="J25" s="185"/>
      <x:c r="K25" s="185"/>
      <x:c r="L25" s="185"/>
      <x:c r="M25" s="185"/>
      <x:c r="N25" s="36"/>
      <x:c r="O25" s="33"/>
      <x:c r="P25" s="185"/>
      <x:c r="Q25" s="185"/>
      <x:c r="R25" s="185"/>
      <x:c r="S25" s="185"/>
      <x:c r="T25" s="36"/>
      <x:c r="U25" s="33"/>
      <x:c r="V25" s="185"/>
      <x:c r="W25" s="185"/>
      <x:c r="X25" s="185"/>
      <x:c r="Y25" s="185"/>
      <x:c r="Z25" s="36"/>
      <x:c r="AA25" s="33"/>
      <x:c r="AB25" s="185"/>
      <x:c r="AC25" s="185"/>
      <x:c r="AD25" s="185"/>
      <x:c r="AE25" s="185"/>
      <x:c r="AF25" s="36"/>
      <x:c r="AG25" s="33"/>
      <x:c r="AH25" s="185"/>
      <x:c r="AI25" s="185"/>
      <x:c r="AJ25" s="185"/>
      <x:c r="AK25" s="185"/>
      <x:c r="AL25" s="36"/>
      <x:c r="AM25" s="588">
        <x:v>0</x:v>
      </x:c>
      <x:c r="AN25" s="589">
        <x:v>0</x:v>
      </x:c>
      <x:c r="AO25" s="589">
        <x:v>0</x:v>
      </x:c>
      <x:c r="AP25" s="589">
        <x:v>0</x:v>
      </x:c>
      <x:c r="AQ25" s="589">
        <x:v>0</x:v>
      </x:c>
      <x:c r="AR25" s="591" t="s">
        <x:v>1103</x:v>
      </x:c>
      <x:c r="AS25" s="157">
        <x:v>100</x:v>
      </x:c>
      <x:c r="AT25" s="158">
        <x:v>100</x:v>
      </x:c>
      <x:c r="AU25" s="158">
        <x:v>100</x:v>
      </x:c>
      <x:c r="AV25" s="158">
        <x:v>100</x:v>
      </x:c>
      <x:c r="AW25" s="158">
        <x:v>100</x:v>
      </x:c>
      <x:c r="AX25" s="585" t="s">
        <x:v>1102</x:v>
      </x:c>
      <x:c r="AY25" s="33"/>
      <x:c r="AZ25" s="185"/>
      <x:c r="BA25" s="185"/>
      <x:c r="BB25" s="185"/>
      <x:c r="BC25" s="185"/>
      <x:c r="BD25" s="36"/>
      <x:c r="BE25" s="33"/>
      <x:c r="BF25" s="185"/>
      <x:c r="BG25" s="185"/>
      <x:c r="BH25" s="185"/>
      <x:c r="BI25" s="185"/>
      <x:c r="BJ25" s="36"/>
      <x:c r="BK25" s="33"/>
      <x:c r="BL25" s="185"/>
      <x:c r="BM25" s="185"/>
      <x:c r="BN25" s="185"/>
      <x:c r="BO25" s="185"/>
      <x:c r="BP25" s="36"/>
      <x:c r="BQ25" s="33"/>
      <x:c r="BR25" s="185"/>
      <x:c r="BS25" s="185"/>
      <x:c r="BT25" s="185"/>
      <x:c r="BU25" s="185"/>
      <x:c r="BV25" s="36"/>
    </x:row>
    <x:row r="26" spans="1:74" x14ac:dyDescent="0.25">
      <x:c r="A26" s="3" t="s">
        <x:v>882</x:v>
      </x:c>
      <x:c r="B26" s="57" t="s">
        <x:v>480</x:v>
      </x:c>
      <x:c r="C26" s="157"/>
      <x:c r="D26" s="158"/>
      <x:c r="E26" s="158"/>
      <x:c r="F26" s="158"/>
      <x:c r="G26" s="158"/>
      <x:c r="H26" s="197"/>
      <x:c r="I26" s="33"/>
      <x:c r="J26" s="185"/>
      <x:c r="K26" s="185"/>
      <x:c r="L26" s="185"/>
      <x:c r="M26" s="185"/>
      <x:c r="N26" s="36"/>
      <x:c r="O26" s="33"/>
      <x:c r="P26" s="185"/>
      <x:c r="Q26" s="185"/>
      <x:c r="R26" s="185"/>
      <x:c r="S26" s="185"/>
      <x:c r="T26" s="36"/>
      <x:c r="U26" s="33"/>
      <x:c r="V26" s="185"/>
      <x:c r="W26" s="185"/>
      <x:c r="X26" s="185"/>
      <x:c r="Y26" s="185"/>
      <x:c r="Z26" s="36"/>
      <x:c r="AA26" s="33"/>
      <x:c r="AB26" s="185"/>
      <x:c r="AC26" s="185"/>
      <x:c r="AD26" s="185"/>
      <x:c r="AE26" s="185"/>
      <x:c r="AF26" s="36"/>
      <x:c r="AG26" s="33"/>
      <x:c r="AH26" s="185"/>
      <x:c r="AI26" s="185"/>
      <x:c r="AJ26" s="185"/>
      <x:c r="AK26" s="185"/>
      <x:c r="AL26" s="36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620" t="s">
        <x:v>1102</x:v>
      </x:c>
      <x:c r="AS26" s="157">
        <x:v>100</x:v>
      </x:c>
      <x:c r="AT26" s="158">
        <x:v>100</x:v>
      </x:c>
      <x:c r="AU26" s="158">
        <x:v>100</x:v>
      </x:c>
      <x:c r="AV26" s="158">
        <x:v>100</x:v>
      </x:c>
      <x:c r="AW26" s="158">
        <x:v>100</x:v>
      </x:c>
      <x:c r="AX26" s="585" t="s">
        <x:v>1102</x:v>
      </x:c>
      <x:c r="AY26" s="33"/>
      <x:c r="AZ26" s="185"/>
      <x:c r="BA26" s="185"/>
      <x:c r="BB26" s="185"/>
      <x:c r="BC26" s="185"/>
      <x:c r="BD26" s="36"/>
      <x:c r="BE26" s="33"/>
      <x:c r="BF26" s="185"/>
      <x:c r="BG26" s="185"/>
      <x:c r="BH26" s="185"/>
      <x:c r="BI26" s="185"/>
      <x:c r="BJ26" s="36"/>
      <x:c r="BK26" s="33"/>
      <x:c r="BL26" s="185"/>
      <x:c r="BM26" s="185"/>
      <x:c r="BN26" s="185"/>
      <x:c r="BO26" s="185"/>
      <x:c r="BP26" s="36"/>
      <x:c r="BQ26" s="33"/>
      <x:c r="BR26" s="185"/>
      <x:c r="BS26" s="185"/>
      <x:c r="BT26" s="185"/>
      <x:c r="BU26" s="185"/>
      <x:c r="BV26" s="36"/>
    </x:row>
    <x:row r="27" spans="1:74" x14ac:dyDescent="0.25">
      <x:c r="A27" s="3" t="s">
        <x:v>883</x:v>
      </x:c>
      <x:c r="B27" s="57" t="s">
        <x:v>461</x:v>
      </x:c>
      <x:c r="C27" s="157"/>
      <x:c r="D27" s="158"/>
      <x:c r="E27" s="158"/>
      <x:c r="F27" s="158"/>
      <x:c r="G27" s="158"/>
      <x:c r="H27" s="197"/>
      <x:c r="I27" s="33"/>
      <x:c r="J27" s="185"/>
      <x:c r="K27" s="185"/>
      <x:c r="L27" s="185"/>
      <x:c r="M27" s="185"/>
      <x:c r="N27" s="36"/>
      <x:c r="O27" s="33"/>
      <x:c r="P27" s="185"/>
      <x:c r="Q27" s="185"/>
      <x:c r="R27" s="185"/>
      <x:c r="S27" s="185"/>
      <x:c r="T27" s="36"/>
      <x:c r="U27" s="33"/>
      <x:c r="V27" s="185"/>
      <x:c r="W27" s="185"/>
      <x:c r="X27" s="185"/>
      <x:c r="Y27" s="185"/>
      <x:c r="Z27" s="36"/>
      <x:c r="AA27" s="33"/>
      <x:c r="AB27" s="185"/>
      <x:c r="AC27" s="185"/>
      <x:c r="AD27" s="185"/>
      <x:c r="AE27" s="185"/>
      <x:c r="AF27" s="36"/>
      <x:c r="AG27" s="33"/>
      <x:c r="AH27" s="185"/>
      <x:c r="AI27" s="185"/>
      <x:c r="AJ27" s="185"/>
      <x:c r="AK27" s="185"/>
      <x:c r="AL27" s="36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620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158">
        <x:v>100</x:v>
      </x:c>
      <x:c r="AX27" s="585" t="s">
        <x:v>1102</x:v>
      </x:c>
      <x:c r="AY27" s="33"/>
      <x:c r="AZ27" s="185"/>
      <x:c r="BA27" s="185"/>
      <x:c r="BB27" s="185"/>
      <x:c r="BC27" s="185"/>
      <x:c r="BD27" s="36"/>
      <x:c r="BE27" s="33"/>
      <x:c r="BF27" s="185"/>
      <x:c r="BG27" s="185"/>
      <x:c r="BH27" s="185"/>
      <x:c r="BI27" s="185"/>
      <x:c r="BJ27" s="36"/>
      <x:c r="BK27" s="33"/>
      <x:c r="BL27" s="185"/>
      <x:c r="BM27" s="185"/>
      <x:c r="BN27" s="185"/>
      <x:c r="BO27" s="185"/>
      <x:c r="BP27" s="36"/>
      <x:c r="BQ27" s="33"/>
      <x:c r="BR27" s="185"/>
      <x:c r="BS27" s="185"/>
      <x:c r="BT27" s="185"/>
      <x:c r="BU27" s="185"/>
      <x:c r="BV27" s="36"/>
    </x:row>
    <x:row r="28" spans="1:74" ht="22.5" customHeight="1" x14ac:dyDescent="0.25">
      <x:c r="A28" s="3" t="s">
        <x:v>871</x:v>
      </x:c>
      <x:c r="B28" s="57" t="s">
        <x:v>461</x:v>
      </x:c>
      <x:c r="C28" s="181"/>
      <x:c r="D28" s="182"/>
      <x:c r="E28" s="182"/>
      <x:c r="F28" s="182"/>
      <x:c r="G28" s="182"/>
      <x:c r="H28" s="206"/>
      <x:c r="I28" s="44"/>
      <x:c r="J28" s="45"/>
      <x:c r="K28" s="45"/>
      <x:c r="L28" s="45"/>
      <x:c r="M28" s="45"/>
      <x:c r="N28" s="48"/>
      <x:c r="O28" s="44"/>
      <x:c r="P28" s="45"/>
      <x:c r="Q28" s="45"/>
      <x:c r="R28" s="45"/>
      <x:c r="S28" s="45"/>
      <x:c r="T28" s="48"/>
      <x:c r="U28" s="44"/>
      <x:c r="V28" s="45"/>
      <x:c r="W28" s="45"/>
      <x:c r="X28" s="45"/>
      <x:c r="Y28" s="45"/>
      <x:c r="Z28" s="48"/>
      <x:c r="AA28" s="44"/>
      <x:c r="AB28" s="45"/>
      <x:c r="AC28" s="45"/>
      <x:c r="AD28" s="45"/>
      <x:c r="AE28" s="45"/>
      <x:c r="AF28" s="48"/>
      <x:c r="AG28" s="44"/>
      <x:c r="AH28" s="45"/>
      <x:c r="AI28" s="45"/>
      <x:c r="AJ28" s="45"/>
      <x:c r="AK28" s="45"/>
      <x:c r="AL28" s="48"/>
      <x:c r="AM28" s="181">
        <x:v>100</x:v>
      </x:c>
      <x:c r="AN28" s="182">
        <x:v>100</x:v>
      </x:c>
      <x:c r="AO28" s="182">
        <x:v>100</x:v>
      </x:c>
      <x:c r="AP28" s="182">
        <x:v>100</x:v>
      </x:c>
      <x:c r="AQ28" s="182">
        <x:v>100</x:v>
      </x:c>
      <x:c r="AR28" s="632" t="s">
        <x:v>1102</x:v>
      </x:c>
      <x:c r="AS28" s="181">
        <x:v>100</x:v>
      </x:c>
      <x:c r="AT28" s="182">
        <x:v>100</x:v>
      </x:c>
      <x:c r="AU28" s="182">
        <x:v>100</x:v>
      </x:c>
      <x:c r="AV28" s="182">
        <x:v>100</x:v>
      </x:c>
      <x:c r="AW28" s="182">
        <x:v>100</x:v>
      </x:c>
      <x:c r="AX28" s="608" t="s">
        <x:v>1102</x:v>
      </x:c>
      <x:c r="AY28" s="44"/>
      <x:c r="AZ28" s="45"/>
      <x:c r="BA28" s="45"/>
      <x:c r="BB28" s="45"/>
      <x:c r="BC28" s="45"/>
      <x:c r="BD28" s="48"/>
      <x:c r="BE28" s="44"/>
      <x:c r="BF28" s="45"/>
      <x:c r="BG28" s="45"/>
      <x:c r="BH28" s="45"/>
      <x:c r="BI28" s="45"/>
      <x:c r="BJ28" s="48"/>
      <x:c r="BK28" s="44"/>
      <x:c r="BL28" s="45"/>
      <x:c r="BM28" s="45"/>
      <x:c r="BN28" s="45"/>
      <x:c r="BO28" s="45"/>
      <x:c r="BP28" s="48"/>
      <x:c r="BQ28" s="44"/>
      <x:c r="BR28" s="45"/>
      <x:c r="BS28" s="45"/>
      <x:c r="BT28" s="45"/>
      <x:c r="BU28" s="45"/>
      <x:c r="BV28" s="48"/>
    </x:row>
    <x:row r="29" spans="1:74" x14ac:dyDescent="0.25">
      <x:c r="C29" s="509">
        <x:f t="array" ref="C29:C29">SUMPRODUCT((C3:C28&gt;=10)*(D3:D28&gt;=10)*(E3:E28&gt;=10)*(F3:F28&gt;=10)*(G3:G28&gt;=10))</x:f>
      </x:c>
      <x:c r="D29" s="510"/>
      <x:c r="E29" s="510"/>
      <x:c r="F29" s="510"/>
      <x:c r="G29" s="510"/>
      <x:c r="H29" s="226">
        <x:f>COUNTIF(H3:H28,"Да")</x:f>
      </x:c>
      <x:c r="I29" s="509">
        <x:f t="array" ref="I29:I29">SUMPRODUCT((I3:I28&gt;=10)*(J3:J28&gt;=10)*(K3:K28&gt;=10)*(L3:L28&gt;=10)*(M3:M28&gt;=10))</x:f>
      </x:c>
      <x:c r="J29" s="510"/>
      <x:c r="K29" s="510"/>
      <x:c r="L29" s="510"/>
      <x:c r="M29" s="510"/>
      <x:c r="N29" s="226">
        <x:f>COUNTIF(N3:N28,"Да")</x:f>
      </x:c>
      <x:c r="O29" s="509">
        <x:f t="array" ref="O29:O29">SUMPRODUCT((O3:O28&gt;=10)*(P3:P28&gt;=10)*(Q3:Q28&gt;=10)*(R3:R28&gt;=10)*(S3:S28&gt;=10))</x:f>
      </x:c>
      <x:c r="P29" s="510"/>
      <x:c r="Q29" s="510"/>
      <x:c r="R29" s="510"/>
      <x:c r="S29" s="510"/>
      <x:c r="T29" s="226">
        <x:f>COUNTIF(T3:T28,"Да")</x:f>
      </x:c>
      <x:c r="U29" s="509">
        <x:f t="array" ref="U29:U29">SUMPRODUCT((U3:U28&gt;=10)*(V3:V28&gt;=10)*(W3:W28&gt;=10)*(X3:X28&gt;=10)*(Y3:Y28&gt;=10))</x:f>
      </x:c>
      <x:c r="V29" s="510"/>
      <x:c r="W29" s="510"/>
      <x:c r="X29" s="510"/>
      <x:c r="Y29" s="510"/>
      <x:c r="Z29" s="226">
        <x:f>COUNTIF(Z3:Z28,"Да")</x:f>
      </x:c>
      <x:c r="AA29" s="509">
        <x:f t="array" ref="AA29:AA29">SUMPRODUCT((AA3:AA28&gt;=10)*(AB3:AB28&gt;=10)*(AC3:AC28&gt;=10)*(AD3:AD28&gt;=10)*(AE3:AE28&gt;=10))</x:f>
      </x:c>
      <x:c r="AB29" s="510"/>
      <x:c r="AC29" s="510"/>
      <x:c r="AD29" s="510"/>
      <x:c r="AE29" s="510"/>
      <x:c r="AF29" s="226">
        <x:f>COUNTIF(AF3:AF28,"Да")</x:f>
      </x:c>
      <x:c r="AG29" s="509">
        <x:f t="array" ref="AG29:AG29">SUMPRODUCT((AG3:AG28&gt;=10)*(AH3:AH28&gt;=10)*(AI3:AI28&gt;=10)*(AJ3:AJ28&gt;=10)*(AK3:AK28&gt;=10))</x:f>
      </x:c>
      <x:c r="AH29" s="510"/>
      <x:c r="AI29" s="510"/>
      <x:c r="AJ29" s="510"/>
      <x:c r="AK29" s="510"/>
      <x:c r="AL29" s="226">
        <x:f>COUNTIF(AL3:AL28,"Да")</x:f>
      </x:c>
      <x:c r="AM29" s="509">
        <x:f t="array" ref="AM29:AM29">SUMPRODUCT((AM3:AM28&gt;=10)*(AN3:AN28&gt;=10)*(AO3:AO28&gt;=10)*(AP3:AP28&gt;=10)*(AQ3:AQ28&gt;=10))</x:f>
      </x:c>
      <x:c r="AN29" s="510"/>
      <x:c r="AO29" s="510"/>
      <x:c r="AP29" s="510"/>
      <x:c r="AQ29" s="510"/>
      <x:c r="AR29" s="226">
        <x:f>COUNTIF(AR3:AR28,"Да")</x:f>
      </x:c>
      <x:c r="AS29" s="509">
        <x:f t="array" ref="AS29:AS29">SUMPRODUCT((AS3:AS28&gt;=10)*(AT3:AT28&gt;=10)*(AU3:AU28&gt;=10)*(AV3:AV28&gt;=10)*(AW3:AW28&gt;=10))</x:f>
      </x:c>
      <x:c r="AT29" s="510"/>
      <x:c r="AU29" s="510"/>
      <x:c r="AV29" s="510"/>
      <x:c r="AW29" s="510"/>
      <x:c r="AX29" s="226">
        <x:f>COUNTIF(AX3:AX28,"Да")</x:f>
      </x:c>
      <x:c r="AY29" s="509">
        <x:f t="array" ref="AY29:AY29">SUMPRODUCT((AY3:AY28&gt;=10)*(AZ3:AZ28&gt;=10)*(BA3:BA28&gt;=10)*(BB3:BB28&gt;=10)*(BC3:BC28&gt;=10))</x:f>
      </x:c>
      <x:c r="AZ29" s="510"/>
      <x:c r="BA29" s="510"/>
      <x:c r="BB29" s="510"/>
      <x:c r="BC29" s="510"/>
      <x:c r="BD29" s="226">
        <x:f>COUNTIF(BD3:BD28,"Да")</x:f>
      </x:c>
      <x:c r="BE29" s="509">
        <x:f t="array" ref="BE29:BE29">SUMPRODUCT((BE3:BE28&gt;=10)*(BF3:BF28&gt;=10)*(BG3:BG28&gt;=10)*(BH3:BH28&gt;=10)*(BI3:BI28&gt;=10))</x:f>
      </x:c>
      <x:c r="BF29" s="510"/>
      <x:c r="BG29" s="510"/>
      <x:c r="BH29" s="510"/>
      <x:c r="BI29" s="510"/>
      <x:c r="BJ29" s="226">
        <x:f>COUNTIF(BJ3:BJ28,"Да")</x:f>
      </x:c>
      <x:c r="BK29" s="509">
        <x:f t="array" ref="BK29:BK29">SUMPRODUCT((BK3:BK28&gt;=10)*(BL3:BL28&gt;=10)*(BM3:BM28&gt;=10)*(BN3:BN28&gt;=10)*(BO3:BO28&gt;=10))</x:f>
      </x:c>
      <x:c r="BL29" s="510"/>
      <x:c r="BM29" s="510"/>
      <x:c r="BN29" s="510"/>
      <x:c r="BO29" s="510"/>
      <x:c r="BP29" s="226">
        <x:f>COUNTIF(BP3:BP28,"Да")</x:f>
      </x:c>
      <x:c r="BQ29" s="509">
        <x:f t="array" ref="BQ29:BQ29">SUMPRODUCT((BQ3:BQ28&gt;=10)*(BR3:BR28&gt;=10)*(BS3:BS28&gt;=10)*(BT3:BT28&gt;=10)*(BU3:BU28&gt;=10))</x:f>
      </x:c>
      <x:c r="BR29" s="510"/>
      <x:c r="BS29" s="510"/>
      <x:c r="BT29" s="510"/>
      <x:c r="BU29" s="510"/>
      <x:c r="BV29" s="226">
        <x:f>COUNTIF(BV3:BV28,"Да")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9:G29"/>
    <x:mergeCell ref="I29:M29"/>
    <x:mergeCell ref="O29:S29"/>
    <x:mergeCell ref="U29:Y29"/>
    <x:mergeCell ref="AA29:AE29"/>
    <x:mergeCell ref="AG29:AK29"/>
    <x:mergeCell ref="AM29:AQ29"/>
    <x:mergeCell ref="AS29:AW29"/>
    <x:mergeCell ref="AY29:BC29"/>
    <x:mergeCell ref="BE29:BI29"/>
    <x:mergeCell ref="BK29:BO29"/>
    <x:mergeCell ref="BQ29:BU29"/>
  </x:mergeCells>
  <x:conditionalFormatting sqref="C3:BV28">
    <x:cfRule type="containsBlanks" dxfId="8" priority="1">
      <x:formula>LEN(TRIM(C3))=0</x:formula>
    </x:cfRule>
    <x:cfRule type="expression" priority="6" stopIfTrue="1" operator="equal">
      <x:formula>LEN(TRIM(C3&amp;""))=0</x:formula>
    </x:cfRule>
  </x:conditionalFormatting>
  <x:conditionalFormatting sqref="B1:B1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28">
    <x:cfRule type="duplicateValues" dxfId="0" priority="8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outlinePr summaryBelow="1" summaryRight="1"/>
  </x:sheetPr>
  <x:dimension ref="A1:BV32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0" style="0" customWidth="1"/>
    <x:col min="2" max="2" width="25.140625" style="0" customWidth="1"/>
    <x:col min="3" max="74" width="9.140625" style="0" customWidth="1"/>
  </x:cols>
  <x:sheetData>
    <x:row r="1" spans="1:74" ht="28.5" customHeight="1" x14ac:dyDescent="0.3">
      <x:c r="A1" s="22" t="s">
        <x:v>1090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x14ac:dyDescent="0.25">
      <x:c r="A3" s="666" t="s">
        <x:v>836</x:v>
      </x:c>
      <x:c r="B3" s="53" t="s">
        <x:v>399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639">
        <x:v>0</x:v>
      </x:c>
      <x:c r="AN3" s="640">
        <x:v>0</x:v>
      </x:c>
      <x:c r="AO3" s="640">
        <x:v>0</x:v>
      </x:c>
      <x:c r="AP3" s="640">
        <x:v>0</x:v>
      </x:c>
      <x:c r="AQ3" s="640">
        <x:v>0</x:v>
      </x:c>
      <x:c r="AR3" s="641" t="s">
        <x:v>1103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x14ac:dyDescent="0.25">
      <x:c r="A4" s="3" t="s">
        <x:v>850</x:v>
      </x:c>
      <x:c r="B4" s="57" t="s">
        <x:v>461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33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x14ac:dyDescent="0.25">
      <x:c r="A5" s="630" t="s">
        <x:v>862</x:v>
      </x:c>
      <x:c r="B5" s="57" t="s">
        <x:v>461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33"/>
      <x:c r="AH5" s="185"/>
      <x:c r="AI5" s="185"/>
      <x:c r="AJ5" s="185"/>
      <x:c r="AK5" s="185"/>
      <x:c r="AL5" s="36"/>
      <x:c r="AM5" s="588">
        <x:v>0</x:v>
      </x:c>
      <x:c r="AN5" s="589">
        <x:v>0</x:v>
      </x:c>
      <x:c r="AO5" s="589">
        <x:v>0</x:v>
      </x:c>
      <x:c r="AP5" s="589">
        <x:v>0</x:v>
      </x:c>
      <x:c r="AQ5" s="589">
        <x:v>0</x:v>
      </x:c>
      <x:c r="AR5" s="591" t="s">
        <x:v>1103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x14ac:dyDescent="0.25">
      <x:c r="A6" s="3" t="s">
        <x:v>843</x:v>
      </x:c>
      <x:c r="B6" s="57" t="s">
        <x:v>461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33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x14ac:dyDescent="0.25">
      <x:c r="A7" s="630" t="s">
        <x:v>865</x:v>
      </x:c>
      <x:c r="B7" s="57" t="s">
        <x:v>461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33"/>
      <x:c r="AH7" s="185"/>
      <x:c r="AI7" s="185"/>
      <x:c r="AJ7" s="185"/>
      <x:c r="AK7" s="185"/>
      <x:c r="AL7" s="36"/>
      <x:c r="AM7" s="588">
        <x:v>0</x:v>
      </x:c>
      <x:c r="AN7" s="589">
        <x:v>0</x:v>
      </x:c>
      <x:c r="AO7" s="589">
        <x:v>0</x:v>
      </x:c>
      <x:c r="AP7" s="589">
        <x:v>0</x:v>
      </x:c>
      <x:c r="AQ7" s="589">
        <x:v>0</x:v>
      </x:c>
      <x:c r="AR7" s="591" t="s">
        <x:v>1103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ht="22.5" customHeight="1" x14ac:dyDescent="0.25">
      <x:c r="A8" s="630" t="s">
        <x:v>853</x:v>
      </x:c>
      <x:c r="B8" s="57" t="s">
        <x:v>510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33"/>
      <x:c r="AH8" s="185"/>
      <x:c r="AI8" s="185"/>
      <x:c r="AJ8" s="185"/>
      <x:c r="AK8" s="185"/>
      <x:c r="AL8" s="36"/>
      <x:c r="AM8" s="588">
        <x:v>0</x:v>
      </x:c>
      <x:c r="AN8" s="589">
        <x:v>0</x:v>
      </x:c>
      <x:c r="AO8" s="589">
        <x:v>0</x:v>
      </x:c>
      <x:c r="AP8" s="589">
        <x:v>0</x:v>
      </x:c>
      <x:c r="AQ8" s="589">
        <x:v>0</x:v>
      </x:c>
      <x:c r="AR8" s="591" t="s">
        <x:v>1103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x14ac:dyDescent="0.25">
      <x:c r="A9" s="3" t="s">
        <x:v>864</x:v>
      </x:c>
      <x:c r="B9" s="57" t="s">
        <x:v>461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33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x14ac:dyDescent="0.25">
      <x:c r="A10" s="3" t="s">
        <x:v>839</x:v>
      </x:c>
      <x:c r="B10" s="57" t="s">
        <x:v>459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33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x14ac:dyDescent="0.25">
      <x:c r="A11" s="3" t="s">
        <x:v>852</x:v>
      </x:c>
      <x:c r="B11" s="57" t="s">
        <x:v>461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33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x14ac:dyDescent="0.25">
      <x:c r="A12" s="3" t="s">
        <x:v>859</x:v>
      </x:c>
      <x:c r="B12" s="57" t="s">
        <x:v>461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33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x14ac:dyDescent="0.25">
      <x:c r="A13" s="3" t="s">
        <x:v>848</x:v>
      </x:c>
      <x:c r="B13" s="57" t="s">
        <x:v>461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33"/>
      <x:c r="AB13" s="185"/>
      <x:c r="AC13" s="185"/>
      <x:c r="AD13" s="185"/>
      <x:c r="AE13" s="185"/>
      <x:c r="AF13" s="36"/>
      <x:c r="AG13" s="33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33"/>
      <x:c r="AZ13" s="185"/>
      <x:c r="BA13" s="185"/>
      <x:c r="BB13" s="185"/>
      <x:c r="BC13" s="185"/>
      <x:c r="BD13" s="36"/>
      <x:c r="BE13" s="33"/>
      <x:c r="BF13" s="185"/>
      <x:c r="BG13" s="185"/>
      <x:c r="BH13" s="185"/>
      <x:c r="BI13" s="185"/>
      <x:c r="BJ13" s="36"/>
      <x:c r="BK13" s="33"/>
      <x:c r="BL13" s="185"/>
      <x:c r="BM13" s="185"/>
      <x:c r="BN13" s="185"/>
      <x:c r="BO13" s="185"/>
      <x:c r="BP13" s="36"/>
      <x:c r="BQ13" s="33"/>
      <x:c r="BR13" s="185"/>
      <x:c r="BS13" s="185"/>
      <x:c r="BT13" s="185"/>
      <x:c r="BU13" s="185"/>
      <x:c r="BV13" s="36"/>
    </x:row>
    <x:row r="14" spans="1:74" x14ac:dyDescent="0.25">
      <x:c r="A14" s="630" t="s">
        <x:v>838</x:v>
      </x:c>
      <x:c r="B14" s="57" t="s">
        <x:v>459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33"/>
      <x:c r="AB14" s="185"/>
      <x:c r="AC14" s="185"/>
      <x:c r="AD14" s="185"/>
      <x:c r="AE14" s="185"/>
      <x:c r="AF14" s="36"/>
      <x:c r="AG14" s="33"/>
      <x:c r="AH14" s="185"/>
      <x:c r="AI14" s="185"/>
      <x:c r="AJ14" s="185"/>
      <x:c r="AK14" s="185"/>
      <x:c r="AL14" s="36"/>
      <x:c r="AM14" s="588">
        <x:v>0</x:v>
      </x:c>
      <x:c r="AN14" s="589">
        <x:v>0</x:v>
      </x:c>
      <x:c r="AO14" s="589">
        <x:v>0</x:v>
      </x:c>
      <x:c r="AP14" s="589">
        <x:v>0</x:v>
      </x:c>
      <x:c r="AQ14" s="589">
        <x:v>0</x:v>
      </x:c>
      <x:c r="AR14" s="591" t="s">
        <x:v>1103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33"/>
      <x:c r="AZ14" s="185"/>
      <x:c r="BA14" s="185"/>
      <x:c r="BB14" s="185"/>
      <x:c r="BC14" s="185"/>
      <x:c r="BD14" s="36"/>
      <x:c r="BE14" s="33"/>
      <x:c r="BF14" s="185"/>
      <x:c r="BG14" s="185"/>
      <x:c r="BH14" s="185"/>
      <x:c r="BI14" s="185"/>
      <x:c r="BJ14" s="36"/>
      <x:c r="BK14" s="33"/>
      <x:c r="BL14" s="185"/>
      <x:c r="BM14" s="185"/>
      <x:c r="BN14" s="185"/>
      <x:c r="BO14" s="185"/>
      <x:c r="BP14" s="36"/>
      <x:c r="BQ14" s="33"/>
      <x:c r="BR14" s="185"/>
      <x:c r="BS14" s="185"/>
      <x:c r="BT14" s="185"/>
      <x:c r="BU14" s="185"/>
      <x:c r="BV14" s="36"/>
    </x:row>
    <x:row r="15" spans="1:74" x14ac:dyDescent="0.25">
      <x:c r="A15" s="630" t="s">
        <x:v>860</x:v>
      </x:c>
      <x:c r="B15" s="57" t="s">
        <x:v>461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33"/>
      <x:c r="AB15" s="185"/>
      <x:c r="AC15" s="185"/>
      <x:c r="AD15" s="185"/>
      <x:c r="AE15" s="185"/>
      <x:c r="AF15" s="36"/>
      <x:c r="AG15" s="33"/>
      <x:c r="AH15" s="185"/>
      <x:c r="AI15" s="185"/>
      <x:c r="AJ15" s="185"/>
      <x:c r="AK15" s="185"/>
      <x:c r="AL15" s="36"/>
      <x:c r="AM15" s="588">
        <x:v>0</x:v>
      </x:c>
      <x:c r="AN15" s="589">
        <x:v>0</x:v>
      </x:c>
      <x:c r="AO15" s="589">
        <x:v>0</x:v>
      </x:c>
      <x:c r="AP15" s="589">
        <x:v>0</x:v>
      </x:c>
      <x:c r="AQ15" s="589">
        <x:v>0</x:v>
      </x:c>
      <x:c r="AR15" s="591" t="s">
        <x:v>1103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33"/>
      <x:c r="AZ15" s="185"/>
      <x:c r="BA15" s="185"/>
      <x:c r="BB15" s="185"/>
      <x:c r="BC15" s="185"/>
      <x:c r="BD15" s="36"/>
      <x:c r="BE15" s="33"/>
      <x:c r="BF15" s="185"/>
      <x:c r="BG15" s="185"/>
      <x:c r="BH15" s="185"/>
      <x:c r="BI15" s="185"/>
      <x:c r="BJ15" s="36"/>
      <x:c r="BK15" s="33"/>
      <x:c r="BL15" s="185"/>
      <x:c r="BM15" s="185"/>
      <x:c r="BN15" s="185"/>
      <x:c r="BO15" s="185"/>
      <x:c r="BP15" s="36"/>
      <x:c r="BQ15" s="33"/>
      <x:c r="BR15" s="185"/>
      <x:c r="BS15" s="185"/>
      <x:c r="BT15" s="185"/>
      <x:c r="BU15" s="185"/>
      <x:c r="BV15" s="36"/>
    </x:row>
    <x:row r="16" spans="1:74" x14ac:dyDescent="0.25">
      <x:c r="A16" s="630" t="s">
        <x:v>854</x:v>
      </x:c>
      <x:c r="B16" s="57" t="s">
        <x:v>480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33"/>
      <x:c r="AB16" s="185"/>
      <x:c r="AC16" s="185"/>
      <x:c r="AD16" s="185"/>
      <x:c r="AE16" s="185"/>
      <x:c r="AF16" s="36"/>
      <x:c r="AG16" s="33"/>
      <x:c r="AH16" s="185"/>
      <x:c r="AI16" s="185"/>
      <x:c r="AJ16" s="185"/>
      <x:c r="AK16" s="185"/>
      <x:c r="AL16" s="36"/>
      <x:c r="AM16" s="588">
        <x:v>0</x:v>
      </x:c>
      <x:c r="AN16" s="589">
        <x:v>0</x:v>
      </x:c>
      <x:c r="AO16" s="589">
        <x:v>0</x:v>
      </x:c>
      <x:c r="AP16" s="589">
        <x:v>0</x:v>
      </x:c>
      <x:c r="AQ16" s="589">
        <x:v>0</x:v>
      </x:c>
      <x:c r="AR16" s="591" t="s">
        <x:v>1103</x:v>
      </x:c>
      <x:c r="AS16" s="157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33"/>
      <x:c r="AZ16" s="185"/>
      <x:c r="BA16" s="185"/>
      <x:c r="BB16" s="185"/>
      <x:c r="BC16" s="185"/>
      <x:c r="BD16" s="36"/>
      <x:c r="BE16" s="33"/>
      <x:c r="BF16" s="185"/>
      <x:c r="BG16" s="185"/>
      <x:c r="BH16" s="185"/>
      <x:c r="BI16" s="185"/>
      <x:c r="BJ16" s="36"/>
      <x:c r="BK16" s="33"/>
      <x:c r="BL16" s="185"/>
      <x:c r="BM16" s="185"/>
      <x:c r="BN16" s="185"/>
      <x:c r="BO16" s="185"/>
      <x:c r="BP16" s="36"/>
      <x:c r="BQ16" s="33"/>
      <x:c r="BR16" s="185"/>
      <x:c r="BS16" s="185"/>
      <x:c r="BT16" s="185"/>
      <x:c r="BU16" s="185"/>
      <x:c r="BV16" s="36"/>
    </x:row>
    <x:row r="17" spans="1:74" x14ac:dyDescent="0.25">
      <x:c r="A17" s="3" t="s">
        <x:v>840</x:v>
      </x:c>
      <x:c r="B17" s="57" t="s">
        <x:v>459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33"/>
      <x:c r="AB17" s="185"/>
      <x:c r="AC17" s="185"/>
      <x:c r="AD17" s="185"/>
      <x:c r="AE17" s="185"/>
      <x:c r="AF17" s="36"/>
      <x:c r="AG17" s="33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33"/>
      <x:c r="AZ17" s="185"/>
      <x:c r="BA17" s="185"/>
      <x:c r="BB17" s="185"/>
      <x:c r="BC17" s="185"/>
      <x:c r="BD17" s="36"/>
      <x:c r="BE17" s="33"/>
      <x:c r="BF17" s="185"/>
      <x:c r="BG17" s="185"/>
      <x:c r="BH17" s="185"/>
      <x:c r="BI17" s="185"/>
      <x:c r="BJ17" s="36"/>
      <x:c r="BK17" s="33"/>
      <x:c r="BL17" s="185"/>
      <x:c r="BM17" s="185"/>
      <x:c r="BN17" s="185"/>
      <x:c r="BO17" s="185"/>
      <x:c r="BP17" s="36"/>
      <x:c r="BQ17" s="33"/>
      <x:c r="BR17" s="185"/>
      <x:c r="BS17" s="185"/>
      <x:c r="BT17" s="185"/>
      <x:c r="BU17" s="185"/>
      <x:c r="BV17" s="36"/>
    </x:row>
    <x:row r="18" spans="1:74" x14ac:dyDescent="0.25">
      <x:c r="A18" s="605" t="s">
        <x:v>861</x:v>
      </x:c>
      <x:c r="B18" s="57" t="s">
        <x:v>461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33"/>
      <x:c r="AB18" s="185"/>
      <x:c r="AC18" s="185"/>
      <x:c r="AD18" s="185"/>
      <x:c r="AE18" s="185"/>
      <x:c r="AF18" s="36"/>
      <x:c r="AG18" s="33"/>
      <x:c r="AH18" s="185"/>
      <x:c r="AI18" s="185"/>
      <x:c r="AJ18" s="185"/>
      <x:c r="AK18" s="18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620" t="s">
        <x:v>1102</x:v>
      </x:c>
      <x:c r="AS18" s="588">
        <x:v>0</x:v>
      </x:c>
      <x:c r="AT18" s="589">
        <x:v>0</x:v>
      </x:c>
      <x:c r="AU18" s="589">
        <x:v>0</x:v>
      </x:c>
      <x:c r="AV18" s="589">
        <x:v>0</x:v>
      </x:c>
      <x:c r="AW18" s="589">
        <x:v>0</x:v>
      </x:c>
      <x:c r="AX18" s="591" t="s">
        <x:v>1103</x:v>
      </x:c>
      <x:c r="AY18" s="33"/>
      <x:c r="AZ18" s="185"/>
      <x:c r="BA18" s="185"/>
      <x:c r="BB18" s="185"/>
      <x:c r="BC18" s="185"/>
      <x:c r="BD18" s="36"/>
      <x:c r="BE18" s="33"/>
      <x:c r="BF18" s="185"/>
      <x:c r="BG18" s="185"/>
      <x:c r="BH18" s="185"/>
      <x:c r="BI18" s="185"/>
      <x:c r="BJ18" s="36"/>
      <x:c r="BK18" s="33"/>
      <x:c r="BL18" s="185"/>
      <x:c r="BM18" s="185"/>
      <x:c r="BN18" s="185"/>
      <x:c r="BO18" s="185"/>
      <x:c r="BP18" s="36"/>
      <x:c r="BQ18" s="33"/>
      <x:c r="BR18" s="185"/>
      <x:c r="BS18" s="185"/>
      <x:c r="BT18" s="185"/>
      <x:c r="BU18" s="185"/>
      <x:c r="BV18" s="36"/>
    </x:row>
    <x:row r="19" spans="1:74" ht="22.5" customHeight="1" x14ac:dyDescent="0.25">
      <x:c r="A19" s="3" t="s">
        <x:v>858</x:v>
      </x:c>
      <x:c r="B19" s="57" t="s">
        <x:v>461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33"/>
      <x:c r="AB19" s="185"/>
      <x:c r="AC19" s="185"/>
      <x:c r="AD19" s="185"/>
      <x:c r="AE19" s="185"/>
      <x:c r="AF19" s="36"/>
      <x:c r="AG19" s="33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33"/>
      <x:c r="AZ19" s="185"/>
      <x:c r="BA19" s="185"/>
      <x:c r="BB19" s="185"/>
      <x:c r="BC19" s="185"/>
      <x:c r="BD19" s="36"/>
      <x:c r="BE19" s="33"/>
      <x:c r="BF19" s="185"/>
      <x:c r="BG19" s="185"/>
      <x:c r="BH19" s="185"/>
      <x:c r="BI19" s="185"/>
      <x:c r="BJ19" s="36"/>
      <x:c r="BK19" s="33"/>
      <x:c r="BL19" s="185"/>
      <x:c r="BM19" s="185"/>
      <x:c r="BN19" s="185"/>
      <x:c r="BO19" s="185"/>
      <x:c r="BP19" s="36"/>
      <x:c r="BQ19" s="33"/>
      <x:c r="BR19" s="185"/>
      <x:c r="BS19" s="185"/>
      <x:c r="BT19" s="185"/>
      <x:c r="BU19" s="185"/>
      <x:c r="BV19" s="36"/>
    </x:row>
    <x:row r="20" spans="1:74" x14ac:dyDescent="0.25">
      <x:c r="A20" s="630" t="s">
        <x:v>849</x:v>
      </x:c>
      <x:c r="B20" s="57" t="s">
        <x:v>461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33"/>
      <x:c r="AB20" s="185"/>
      <x:c r="AC20" s="185"/>
      <x:c r="AD20" s="185"/>
      <x:c r="AE20" s="185"/>
      <x:c r="AF20" s="36"/>
      <x:c r="AG20" s="33"/>
      <x:c r="AH20" s="185"/>
      <x:c r="AI20" s="185"/>
      <x:c r="AJ20" s="185"/>
      <x:c r="AK20" s="185"/>
      <x:c r="AL20" s="36"/>
      <x:c r="AM20" s="588">
        <x:v>0</x:v>
      </x:c>
      <x:c r="AN20" s="589">
        <x:v>0</x:v>
      </x:c>
      <x:c r="AO20" s="589">
        <x:v>0</x:v>
      </x:c>
      <x:c r="AP20" s="589">
        <x:v>0</x:v>
      </x:c>
      <x:c r="AQ20" s="589">
        <x:v>0</x:v>
      </x:c>
      <x:c r="AR20" s="591" t="s">
        <x:v>1103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33"/>
      <x:c r="AZ20" s="185"/>
      <x:c r="BA20" s="185"/>
      <x:c r="BB20" s="185"/>
      <x:c r="BC20" s="185"/>
      <x:c r="BD20" s="36"/>
      <x:c r="BE20" s="33"/>
      <x:c r="BF20" s="185"/>
      <x:c r="BG20" s="185"/>
      <x:c r="BH20" s="185"/>
      <x:c r="BI20" s="185"/>
      <x:c r="BJ20" s="36"/>
      <x:c r="BK20" s="33"/>
      <x:c r="BL20" s="185"/>
      <x:c r="BM20" s="185"/>
      <x:c r="BN20" s="185"/>
      <x:c r="BO20" s="185"/>
      <x:c r="BP20" s="36"/>
      <x:c r="BQ20" s="33"/>
      <x:c r="BR20" s="185"/>
      <x:c r="BS20" s="185"/>
      <x:c r="BT20" s="185"/>
      <x:c r="BU20" s="185"/>
      <x:c r="BV20" s="36"/>
    </x:row>
    <x:row r="21" spans="1:74" x14ac:dyDescent="0.25">
      <x:c r="A21" s="3" t="s">
        <x:v>851</x:v>
      </x:c>
      <x:c r="B21" s="57" t="s">
        <x:v>461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33"/>
      <x:c r="AB21" s="185"/>
      <x:c r="AC21" s="185"/>
      <x:c r="AD21" s="185"/>
      <x:c r="AE21" s="185"/>
      <x:c r="AF21" s="36"/>
      <x:c r="AG21" s="33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33"/>
      <x:c r="AZ21" s="185"/>
      <x:c r="BA21" s="185"/>
      <x:c r="BB21" s="185"/>
      <x:c r="BC21" s="185"/>
      <x:c r="BD21" s="36"/>
      <x:c r="BE21" s="33"/>
      <x:c r="BF21" s="185"/>
      <x:c r="BG21" s="185"/>
      <x:c r="BH21" s="185"/>
      <x:c r="BI21" s="185"/>
      <x:c r="BJ21" s="36"/>
      <x:c r="BK21" s="33"/>
      <x:c r="BL21" s="185"/>
      <x:c r="BM21" s="185"/>
      <x:c r="BN21" s="185"/>
      <x:c r="BO21" s="185"/>
      <x:c r="BP21" s="36"/>
      <x:c r="BQ21" s="33"/>
      <x:c r="BR21" s="185"/>
      <x:c r="BS21" s="185"/>
      <x:c r="BT21" s="185"/>
      <x:c r="BU21" s="185"/>
      <x:c r="BV21" s="36"/>
    </x:row>
    <x:row r="22" spans="1:74" x14ac:dyDescent="0.25">
      <x:c r="A22" s="3" t="s">
        <x:v>855</x:v>
      </x:c>
      <x:c r="B22" s="57" t="s">
        <x:v>480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33"/>
      <x:c r="P22" s="185"/>
      <x:c r="Q22" s="185"/>
      <x:c r="R22" s="185"/>
      <x:c r="S22" s="185"/>
      <x:c r="T22" s="36"/>
      <x:c r="U22" s="33"/>
      <x:c r="V22" s="185"/>
      <x:c r="W22" s="185"/>
      <x:c r="X22" s="185"/>
      <x:c r="Y22" s="185"/>
      <x:c r="Z22" s="36"/>
      <x:c r="AA22" s="33"/>
      <x:c r="AB22" s="185"/>
      <x:c r="AC22" s="185"/>
      <x:c r="AD22" s="185"/>
      <x:c r="AE22" s="185"/>
      <x:c r="AF22" s="36"/>
      <x:c r="AG22" s="33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33"/>
      <x:c r="AZ22" s="185"/>
      <x:c r="BA22" s="185"/>
      <x:c r="BB22" s="185"/>
      <x:c r="BC22" s="185"/>
      <x:c r="BD22" s="36"/>
      <x:c r="BE22" s="33"/>
      <x:c r="BF22" s="185"/>
      <x:c r="BG22" s="185"/>
      <x:c r="BH22" s="185"/>
      <x:c r="BI22" s="185"/>
      <x:c r="BJ22" s="36"/>
      <x:c r="BK22" s="33"/>
      <x:c r="BL22" s="185"/>
      <x:c r="BM22" s="185"/>
      <x:c r="BN22" s="185"/>
      <x:c r="BO22" s="185"/>
      <x:c r="BP22" s="36"/>
      <x:c r="BQ22" s="33"/>
      <x:c r="BR22" s="185"/>
      <x:c r="BS22" s="185"/>
      <x:c r="BT22" s="185"/>
      <x:c r="BU22" s="185"/>
      <x:c r="BV22" s="36"/>
    </x:row>
    <x:row r="23" spans="1:74" x14ac:dyDescent="0.25">
      <x:c r="A23" s="630" t="s">
        <x:v>845</x:v>
      </x:c>
      <x:c r="B23" s="57" t="s">
        <x:v>461</x:v>
      </x:c>
      <x:c r="C23" s="157"/>
      <x:c r="D23" s="158"/>
      <x:c r="E23" s="158"/>
      <x:c r="F23" s="158"/>
      <x:c r="G23" s="158"/>
      <x:c r="H23" s="197"/>
      <x:c r="I23" s="33"/>
      <x:c r="J23" s="185"/>
      <x:c r="K23" s="185"/>
      <x:c r="L23" s="185"/>
      <x:c r="M23" s="185"/>
      <x:c r="N23" s="36"/>
      <x:c r="O23" s="33"/>
      <x:c r="P23" s="185"/>
      <x:c r="Q23" s="185"/>
      <x:c r="R23" s="185"/>
      <x:c r="S23" s="185"/>
      <x:c r="T23" s="36"/>
      <x:c r="U23" s="33"/>
      <x:c r="V23" s="185"/>
      <x:c r="W23" s="185"/>
      <x:c r="X23" s="185"/>
      <x:c r="Y23" s="185"/>
      <x:c r="Z23" s="36"/>
      <x:c r="AA23" s="33"/>
      <x:c r="AB23" s="185"/>
      <x:c r="AC23" s="185"/>
      <x:c r="AD23" s="185"/>
      <x:c r="AE23" s="185"/>
      <x:c r="AF23" s="36"/>
      <x:c r="AG23" s="33"/>
      <x:c r="AH23" s="185"/>
      <x:c r="AI23" s="185"/>
      <x:c r="AJ23" s="185"/>
      <x:c r="AK23" s="185"/>
      <x:c r="AL23" s="36"/>
      <x:c r="AM23" s="588">
        <x:v>0</x:v>
      </x:c>
      <x:c r="AN23" s="589">
        <x:v>0</x:v>
      </x:c>
      <x:c r="AO23" s="589">
        <x:v>0</x:v>
      </x:c>
      <x:c r="AP23" s="589">
        <x:v>0</x:v>
      </x:c>
      <x:c r="AQ23" s="589">
        <x:v>0</x:v>
      </x:c>
      <x:c r="AR23" s="591" t="s">
        <x:v>1103</x:v>
      </x:c>
      <x:c r="AS23" s="157">
        <x:v>100</x:v>
      </x:c>
      <x:c r="AT23" s="158">
        <x:v>100</x:v>
      </x:c>
      <x:c r="AU23" s="158">
        <x:v>100</x:v>
      </x:c>
      <x:c r="AV23" s="158">
        <x:v>100</x:v>
      </x:c>
      <x:c r="AW23" s="158">
        <x:v>100</x:v>
      </x:c>
      <x:c r="AX23" s="585" t="s">
        <x:v>1102</x:v>
      </x:c>
      <x:c r="AY23" s="33"/>
      <x:c r="AZ23" s="185"/>
      <x:c r="BA23" s="185"/>
      <x:c r="BB23" s="185"/>
      <x:c r="BC23" s="185"/>
      <x:c r="BD23" s="36"/>
      <x:c r="BE23" s="33"/>
      <x:c r="BF23" s="185"/>
      <x:c r="BG23" s="185"/>
      <x:c r="BH23" s="185"/>
      <x:c r="BI23" s="185"/>
      <x:c r="BJ23" s="36"/>
      <x:c r="BK23" s="33"/>
      <x:c r="BL23" s="185"/>
      <x:c r="BM23" s="185"/>
      <x:c r="BN23" s="185"/>
      <x:c r="BO23" s="185"/>
      <x:c r="BP23" s="36"/>
      <x:c r="BQ23" s="33"/>
      <x:c r="BR23" s="185"/>
      <x:c r="BS23" s="185"/>
      <x:c r="BT23" s="185"/>
      <x:c r="BU23" s="185"/>
      <x:c r="BV23" s="36"/>
    </x:row>
    <x:row r="24" spans="1:74" x14ac:dyDescent="0.25">
      <x:c r="A24" s="605" t="s">
        <x:v>846</x:v>
      </x:c>
      <x:c r="B24" s="57" t="s">
        <x:v>461</x:v>
      </x:c>
      <x:c r="C24" s="157"/>
      <x:c r="D24" s="158"/>
      <x:c r="E24" s="158"/>
      <x:c r="F24" s="158"/>
      <x:c r="G24" s="158"/>
      <x:c r="H24" s="197"/>
      <x:c r="I24" s="33"/>
      <x:c r="J24" s="185"/>
      <x:c r="K24" s="185"/>
      <x:c r="L24" s="185"/>
      <x:c r="M24" s="185"/>
      <x:c r="N24" s="36"/>
      <x:c r="O24" s="33"/>
      <x:c r="P24" s="185"/>
      <x:c r="Q24" s="185"/>
      <x:c r="R24" s="185"/>
      <x:c r="S24" s="185"/>
      <x:c r="T24" s="36"/>
      <x:c r="U24" s="33"/>
      <x:c r="V24" s="185"/>
      <x:c r="W24" s="185"/>
      <x:c r="X24" s="185"/>
      <x:c r="Y24" s="185"/>
      <x:c r="Z24" s="36"/>
      <x:c r="AA24" s="33"/>
      <x:c r="AB24" s="185"/>
      <x:c r="AC24" s="185"/>
      <x:c r="AD24" s="185"/>
      <x:c r="AE24" s="185"/>
      <x:c r="AF24" s="36"/>
      <x:c r="AG24" s="33"/>
      <x:c r="AH24" s="185"/>
      <x:c r="AI24" s="185"/>
      <x:c r="AJ24" s="185"/>
      <x:c r="AK24" s="185"/>
      <x:c r="AL24" s="36"/>
      <x:c r="AM24" s="588">
        <x:v>0</x:v>
      </x:c>
      <x:c r="AN24" s="589">
        <x:v>0</x:v>
      </x:c>
      <x:c r="AO24" s="589">
        <x:v>0</x:v>
      </x:c>
      <x:c r="AP24" s="589">
        <x:v>0</x:v>
      </x:c>
      <x:c r="AQ24" s="589">
        <x:v>0</x:v>
      </x:c>
      <x:c r="AR24" s="591" t="s">
        <x:v>1103</x:v>
      </x:c>
      <x:c r="AS24" s="588">
        <x:v>0</x:v>
      </x:c>
      <x:c r="AT24" s="589">
        <x:v>0</x:v>
      </x:c>
      <x:c r="AU24" s="589">
        <x:v>0</x:v>
      </x:c>
      <x:c r="AV24" s="589">
        <x:v>0</x:v>
      </x:c>
      <x:c r="AW24" s="589">
        <x:v>0</x:v>
      </x:c>
      <x:c r="AX24" s="591" t="s">
        <x:v>1103</x:v>
      </x:c>
      <x:c r="AY24" s="33"/>
      <x:c r="AZ24" s="185"/>
      <x:c r="BA24" s="185"/>
      <x:c r="BB24" s="185"/>
      <x:c r="BC24" s="185"/>
      <x:c r="BD24" s="36"/>
      <x:c r="BE24" s="33"/>
      <x:c r="BF24" s="185"/>
      <x:c r="BG24" s="185"/>
      <x:c r="BH24" s="185"/>
      <x:c r="BI24" s="185"/>
      <x:c r="BJ24" s="36"/>
      <x:c r="BK24" s="33"/>
      <x:c r="BL24" s="185"/>
      <x:c r="BM24" s="185"/>
      <x:c r="BN24" s="185"/>
      <x:c r="BO24" s="185"/>
      <x:c r="BP24" s="36"/>
      <x:c r="BQ24" s="33"/>
      <x:c r="BR24" s="185"/>
      <x:c r="BS24" s="185"/>
      <x:c r="BT24" s="185"/>
      <x:c r="BU24" s="185"/>
      <x:c r="BV24" s="36"/>
    </x:row>
    <x:row r="25" spans="1:74" x14ac:dyDescent="0.25">
      <x:c r="A25" s="3" t="s">
        <x:v>842</x:v>
      </x:c>
      <x:c r="B25" s="57" t="s">
        <x:v>461</x:v>
      </x:c>
      <x:c r="C25" s="157"/>
      <x:c r="D25" s="158"/>
      <x:c r="E25" s="158"/>
      <x:c r="F25" s="158"/>
      <x:c r="G25" s="158"/>
      <x:c r="H25" s="197"/>
      <x:c r="I25" s="33"/>
      <x:c r="J25" s="185"/>
      <x:c r="K25" s="185"/>
      <x:c r="L25" s="185"/>
      <x:c r="M25" s="185"/>
      <x:c r="N25" s="36"/>
      <x:c r="O25" s="33"/>
      <x:c r="P25" s="185"/>
      <x:c r="Q25" s="185"/>
      <x:c r="R25" s="185"/>
      <x:c r="S25" s="185"/>
      <x:c r="T25" s="36"/>
      <x:c r="U25" s="33"/>
      <x:c r="V25" s="185"/>
      <x:c r="W25" s="185"/>
      <x:c r="X25" s="185"/>
      <x:c r="Y25" s="185"/>
      <x:c r="Z25" s="36"/>
      <x:c r="AA25" s="33"/>
      <x:c r="AB25" s="185"/>
      <x:c r="AC25" s="185"/>
      <x:c r="AD25" s="185"/>
      <x:c r="AE25" s="185"/>
      <x:c r="AF25" s="36"/>
      <x:c r="AG25" s="33"/>
      <x:c r="AH25" s="185"/>
      <x:c r="AI25" s="185"/>
      <x:c r="AJ25" s="185"/>
      <x:c r="AK25" s="185"/>
      <x:c r="AL25" s="36"/>
      <x:c r="AM25" s="157">
        <x:v>100</x:v>
      </x:c>
      <x:c r="AN25" s="589">
        <x:v>0</x:v>
      </x:c>
      <x:c r="AO25" s="589">
        <x:v>0</x:v>
      </x:c>
      <x:c r="AP25" s="589">
        <x:v>0</x:v>
      </x:c>
      <x:c r="AQ25" s="589">
        <x:v>0</x:v>
      </x:c>
      <x:c r="AR25" s="620" t="s">
        <x:v>1102</x:v>
      </x:c>
      <x:c r="AS25" s="157">
        <x:v>100</x:v>
      </x:c>
      <x:c r="AT25" s="158">
        <x:v>100</x:v>
      </x:c>
      <x:c r="AU25" s="158">
        <x:v>100</x:v>
      </x:c>
      <x:c r="AV25" s="158">
        <x:v>100</x:v>
      </x:c>
      <x:c r="AW25" s="158">
        <x:v>100</x:v>
      </x:c>
      <x:c r="AX25" s="585" t="s">
        <x:v>1102</x:v>
      </x:c>
      <x:c r="AY25" s="33"/>
      <x:c r="AZ25" s="185"/>
      <x:c r="BA25" s="185"/>
      <x:c r="BB25" s="185"/>
      <x:c r="BC25" s="185"/>
      <x:c r="BD25" s="36"/>
      <x:c r="BE25" s="33"/>
      <x:c r="BF25" s="185"/>
      <x:c r="BG25" s="185"/>
      <x:c r="BH25" s="185"/>
      <x:c r="BI25" s="185"/>
      <x:c r="BJ25" s="36"/>
      <x:c r="BK25" s="33"/>
      <x:c r="BL25" s="185"/>
      <x:c r="BM25" s="185"/>
      <x:c r="BN25" s="185"/>
      <x:c r="BO25" s="185"/>
      <x:c r="BP25" s="36"/>
      <x:c r="BQ25" s="33"/>
      <x:c r="BR25" s="185"/>
      <x:c r="BS25" s="185"/>
      <x:c r="BT25" s="185"/>
      <x:c r="BU25" s="185"/>
      <x:c r="BV25" s="36"/>
    </x:row>
    <x:row r="26" spans="1:74" x14ac:dyDescent="0.25">
      <x:c r="A26" s="3" t="s">
        <x:v>857</x:v>
      </x:c>
      <x:c r="B26" s="57" t="s">
        <x:v>480</x:v>
      </x:c>
      <x:c r="C26" s="157"/>
      <x:c r="D26" s="158"/>
      <x:c r="E26" s="158"/>
      <x:c r="F26" s="158"/>
      <x:c r="G26" s="158"/>
      <x:c r="H26" s="197"/>
      <x:c r="I26" s="33"/>
      <x:c r="J26" s="185"/>
      <x:c r="K26" s="185"/>
      <x:c r="L26" s="185"/>
      <x:c r="M26" s="185"/>
      <x:c r="N26" s="36"/>
      <x:c r="O26" s="33"/>
      <x:c r="P26" s="185"/>
      <x:c r="Q26" s="185"/>
      <x:c r="R26" s="185"/>
      <x:c r="S26" s="185"/>
      <x:c r="T26" s="36"/>
      <x:c r="U26" s="33"/>
      <x:c r="V26" s="185"/>
      <x:c r="W26" s="185"/>
      <x:c r="X26" s="185"/>
      <x:c r="Y26" s="185"/>
      <x:c r="Z26" s="36"/>
      <x:c r="AA26" s="33"/>
      <x:c r="AB26" s="185"/>
      <x:c r="AC26" s="185"/>
      <x:c r="AD26" s="185"/>
      <x:c r="AE26" s="185"/>
      <x:c r="AF26" s="36"/>
      <x:c r="AG26" s="33"/>
      <x:c r="AH26" s="185"/>
      <x:c r="AI26" s="185"/>
      <x:c r="AJ26" s="185"/>
      <x:c r="AK26" s="185"/>
      <x:c r="AL26" s="36"/>
      <x:c r="AM26" s="157">
        <x:v>100</x:v>
      </x:c>
      <x:c r="AN26" s="158">
        <x:v>100</x:v>
      </x:c>
      <x:c r="AO26" s="158">
        <x:v>100</x:v>
      </x:c>
      <x:c r="AP26" s="158">
        <x:v>100</x:v>
      </x:c>
      <x:c r="AQ26" s="158">
        <x:v>100</x:v>
      </x:c>
      <x:c r="AR26" s="620" t="s">
        <x:v>1102</x:v>
      </x:c>
      <x:c r="AS26" s="157">
        <x:v>100</x:v>
      </x:c>
      <x:c r="AT26" s="158">
        <x:v>100</x:v>
      </x:c>
      <x:c r="AU26" s="158">
        <x:v>100</x:v>
      </x:c>
      <x:c r="AV26" s="600">
        <x:v>0</x:v>
      </x:c>
      <x:c r="AW26" s="600">
        <x:v>0</x:v>
      </x:c>
      <x:c r="AX26" s="585" t="s">
        <x:v>1102</x:v>
      </x:c>
      <x:c r="AY26" s="33"/>
      <x:c r="AZ26" s="185"/>
      <x:c r="BA26" s="185"/>
      <x:c r="BB26" s="185"/>
      <x:c r="BC26" s="185"/>
      <x:c r="BD26" s="36"/>
      <x:c r="BE26" s="33"/>
      <x:c r="BF26" s="185"/>
      <x:c r="BG26" s="185"/>
      <x:c r="BH26" s="185"/>
      <x:c r="BI26" s="185"/>
      <x:c r="BJ26" s="36"/>
      <x:c r="BK26" s="33"/>
      <x:c r="BL26" s="185"/>
      <x:c r="BM26" s="185"/>
      <x:c r="BN26" s="185"/>
      <x:c r="BO26" s="185"/>
      <x:c r="BP26" s="36"/>
      <x:c r="BQ26" s="33"/>
      <x:c r="BR26" s="185"/>
      <x:c r="BS26" s="185"/>
      <x:c r="BT26" s="185"/>
      <x:c r="BU26" s="185"/>
      <x:c r="BV26" s="36"/>
    </x:row>
    <x:row r="27" spans="1:74" x14ac:dyDescent="0.25">
      <x:c r="A27" s="3" t="s">
        <x:v>847</x:v>
      </x:c>
      <x:c r="B27" s="57" t="s">
        <x:v>461</x:v>
      </x:c>
      <x:c r="C27" s="157"/>
      <x:c r="D27" s="158"/>
      <x:c r="E27" s="158"/>
      <x:c r="F27" s="158"/>
      <x:c r="G27" s="158"/>
      <x:c r="H27" s="197"/>
      <x:c r="I27" s="33"/>
      <x:c r="J27" s="185"/>
      <x:c r="K27" s="185"/>
      <x:c r="L27" s="185"/>
      <x:c r="M27" s="185"/>
      <x:c r="N27" s="36"/>
      <x:c r="O27" s="33"/>
      <x:c r="P27" s="185"/>
      <x:c r="Q27" s="185"/>
      <x:c r="R27" s="185"/>
      <x:c r="S27" s="185"/>
      <x:c r="T27" s="36"/>
      <x:c r="U27" s="33"/>
      <x:c r="V27" s="185"/>
      <x:c r="W27" s="185"/>
      <x:c r="X27" s="185"/>
      <x:c r="Y27" s="185"/>
      <x:c r="Z27" s="36"/>
      <x:c r="AA27" s="33"/>
      <x:c r="AB27" s="185"/>
      <x:c r="AC27" s="185"/>
      <x:c r="AD27" s="185"/>
      <x:c r="AE27" s="185"/>
      <x:c r="AF27" s="36"/>
      <x:c r="AG27" s="33"/>
      <x:c r="AH27" s="185"/>
      <x:c r="AI27" s="185"/>
      <x:c r="AJ27" s="185"/>
      <x:c r="AK27" s="185"/>
      <x:c r="AL27" s="36"/>
      <x:c r="AM27" s="157">
        <x:v>100</x:v>
      </x:c>
      <x:c r="AN27" s="158">
        <x:v>100</x:v>
      </x:c>
      <x:c r="AO27" s="158">
        <x:v>100</x:v>
      </x:c>
      <x:c r="AP27" s="158">
        <x:v>100</x:v>
      </x:c>
      <x:c r="AQ27" s="158">
        <x:v>100</x:v>
      </x:c>
      <x:c r="AR27" s="620" t="s">
        <x:v>1102</x:v>
      </x:c>
      <x:c r="AS27" s="157">
        <x:v>100</x:v>
      </x:c>
      <x:c r="AT27" s="158">
        <x:v>100</x:v>
      </x:c>
      <x:c r="AU27" s="158">
        <x:v>100</x:v>
      </x:c>
      <x:c r="AV27" s="158">
        <x:v>100</x:v>
      </x:c>
      <x:c r="AW27" s="158">
        <x:v>100</x:v>
      </x:c>
      <x:c r="AX27" s="585" t="s">
        <x:v>1102</x:v>
      </x:c>
      <x:c r="AY27" s="33"/>
      <x:c r="AZ27" s="185"/>
      <x:c r="BA27" s="185"/>
      <x:c r="BB27" s="185"/>
      <x:c r="BC27" s="185"/>
      <x:c r="BD27" s="36"/>
      <x:c r="BE27" s="33"/>
      <x:c r="BF27" s="185"/>
      <x:c r="BG27" s="185"/>
      <x:c r="BH27" s="185"/>
      <x:c r="BI27" s="185"/>
      <x:c r="BJ27" s="36"/>
      <x:c r="BK27" s="33"/>
      <x:c r="BL27" s="185"/>
      <x:c r="BM27" s="185"/>
      <x:c r="BN27" s="185"/>
      <x:c r="BO27" s="185"/>
      <x:c r="BP27" s="36"/>
      <x:c r="BQ27" s="33"/>
      <x:c r="BR27" s="185"/>
      <x:c r="BS27" s="185"/>
      <x:c r="BT27" s="185"/>
      <x:c r="BU27" s="185"/>
      <x:c r="BV27" s="36"/>
    </x:row>
    <x:row r="28" spans="1:74" x14ac:dyDescent="0.25">
      <x:c r="A28" s="3" t="s">
        <x:v>856</x:v>
      </x:c>
      <x:c r="B28" s="57" t="s">
        <x:v>480</x:v>
      </x:c>
      <x:c r="C28" s="157"/>
      <x:c r="D28" s="158"/>
      <x:c r="E28" s="158"/>
      <x:c r="F28" s="158"/>
      <x:c r="G28" s="158"/>
      <x:c r="H28" s="197"/>
      <x:c r="I28" s="33"/>
      <x:c r="J28" s="185"/>
      <x:c r="K28" s="185"/>
      <x:c r="L28" s="185"/>
      <x:c r="M28" s="185"/>
      <x:c r="N28" s="36"/>
      <x:c r="O28" s="33"/>
      <x:c r="P28" s="185"/>
      <x:c r="Q28" s="185"/>
      <x:c r="R28" s="185"/>
      <x:c r="S28" s="185"/>
      <x:c r="T28" s="36"/>
      <x:c r="U28" s="33"/>
      <x:c r="V28" s="185"/>
      <x:c r="W28" s="185"/>
      <x:c r="X28" s="185"/>
      <x:c r="Y28" s="185"/>
      <x:c r="Z28" s="36"/>
      <x:c r="AA28" s="33"/>
      <x:c r="AB28" s="185"/>
      <x:c r="AC28" s="185"/>
      <x:c r="AD28" s="185"/>
      <x:c r="AE28" s="185"/>
      <x:c r="AF28" s="36"/>
      <x:c r="AG28" s="33"/>
      <x:c r="AH28" s="185"/>
      <x:c r="AI28" s="185"/>
      <x:c r="AJ28" s="185"/>
      <x:c r="AK28" s="185"/>
      <x:c r="AL28" s="36"/>
      <x:c r="AM28" s="157">
        <x:v>100</x:v>
      </x:c>
      <x:c r="AN28" s="158">
        <x:v>100</x:v>
      </x:c>
      <x:c r="AO28" s="158">
        <x:v>100</x:v>
      </x:c>
      <x:c r="AP28" s="158">
        <x:v>100</x:v>
      </x:c>
      <x:c r="AQ28" s="158">
        <x:v>100</x:v>
      </x:c>
      <x:c r="AR28" s="620" t="s">
        <x:v>1102</x:v>
      </x:c>
      <x:c r="AS28" s="157">
        <x:v>100</x:v>
      </x:c>
      <x:c r="AT28" s="158">
        <x:v>100</x:v>
      </x:c>
      <x:c r="AU28" s="158">
        <x:v>100</x:v>
      </x:c>
      <x:c r="AV28" s="158">
        <x:v>100</x:v>
      </x:c>
      <x:c r="AW28" s="158">
        <x:v>100</x:v>
      </x:c>
      <x:c r="AX28" s="585" t="s">
        <x:v>1102</x:v>
      </x:c>
      <x:c r="AY28" s="33"/>
      <x:c r="AZ28" s="185"/>
      <x:c r="BA28" s="185"/>
      <x:c r="BB28" s="185"/>
      <x:c r="BC28" s="185"/>
      <x:c r="BD28" s="36"/>
      <x:c r="BE28" s="33"/>
      <x:c r="BF28" s="185"/>
      <x:c r="BG28" s="185"/>
      <x:c r="BH28" s="185"/>
      <x:c r="BI28" s="185"/>
      <x:c r="BJ28" s="36"/>
      <x:c r="BK28" s="33"/>
      <x:c r="BL28" s="185"/>
      <x:c r="BM28" s="185"/>
      <x:c r="BN28" s="185"/>
      <x:c r="BO28" s="185"/>
      <x:c r="BP28" s="36"/>
      <x:c r="BQ28" s="33"/>
      <x:c r="BR28" s="185"/>
      <x:c r="BS28" s="185"/>
      <x:c r="BT28" s="185"/>
      <x:c r="BU28" s="185"/>
      <x:c r="BV28" s="36"/>
    </x:row>
    <x:row r="29" spans="1:74" x14ac:dyDescent="0.25">
      <x:c r="A29" s="630" t="s">
        <x:v>844</x:v>
      </x:c>
      <x:c r="B29" s="57" t="s">
        <x:v>461</x:v>
      </x:c>
      <x:c r="C29" s="157"/>
      <x:c r="D29" s="158"/>
      <x:c r="E29" s="158"/>
      <x:c r="F29" s="158"/>
      <x:c r="G29" s="158"/>
      <x:c r="H29" s="197"/>
      <x:c r="I29" s="33"/>
      <x:c r="J29" s="185"/>
      <x:c r="K29" s="185"/>
      <x:c r="L29" s="185"/>
      <x:c r="M29" s="185"/>
      <x:c r="N29" s="36"/>
      <x:c r="O29" s="33"/>
      <x:c r="P29" s="185"/>
      <x:c r="Q29" s="185"/>
      <x:c r="R29" s="185"/>
      <x:c r="S29" s="185"/>
      <x:c r="T29" s="36"/>
      <x:c r="U29" s="33"/>
      <x:c r="V29" s="185"/>
      <x:c r="W29" s="185"/>
      <x:c r="X29" s="185"/>
      <x:c r="Y29" s="185"/>
      <x:c r="Z29" s="36"/>
      <x:c r="AA29" s="33"/>
      <x:c r="AB29" s="185"/>
      <x:c r="AC29" s="185"/>
      <x:c r="AD29" s="185"/>
      <x:c r="AE29" s="185"/>
      <x:c r="AF29" s="36"/>
      <x:c r="AG29" s="33"/>
      <x:c r="AH29" s="185"/>
      <x:c r="AI29" s="185"/>
      <x:c r="AJ29" s="185"/>
      <x:c r="AK29" s="185"/>
      <x:c r="AL29" s="36"/>
      <x:c r="AM29" s="588">
        <x:v>0</x:v>
      </x:c>
      <x:c r="AN29" s="589">
        <x:v>0</x:v>
      </x:c>
      <x:c r="AO29" s="589">
        <x:v>0</x:v>
      </x:c>
      <x:c r="AP29" s="589">
        <x:v>0</x:v>
      </x:c>
      <x:c r="AQ29" s="589">
        <x:v>0</x:v>
      </x:c>
      <x:c r="AR29" s="591" t="s">
        <x:v>1103</x:v>
      </x:c>
      <x:c r="AS29" s="157">
        <x:v>100</x:v>
      </x:c>
      <x:c r="AT29" s="158">
        <x:v>100</x:v>
      </x:c>
      <x:c r="AU29" s="158">
        <x:v>100</x:v>
      </x:c>
      <x:c r="AV29" s="158">
        <x:v>100</x:v>
      </x:c>
      <x:c r="AW29" s="158">
        <x:v>100</x:v>
      </x:c>
      <x:c r="AX29" s="585" t="s">
        <x:v>1102</x:v>
      </x:c>
      <x:c r="AY29" s="33"/>
      <x:c r="AZ29" s="185"/>
      <x:c r="BA29" s="185"/>
      <x:c r="BB29" s="185"/>
      <x:c r="BC29" s="185"/>
      <x:c r="BD29" s="36"/>
      <x:c r="BE29" s="33"/>
      <x:c r="BF29" s="185"/>
      <x:c r="BG29" s="185"/>
      <x:c r="BH29" s="185"/>
      <x:c r="BI29" s="185"/>
      <x:c r="BJ29" s="36"/>
      <x:c r="BK29" s="33"/>
      <x:c r="BL29" s="185"/>
      <x:c r="BM29" s="185"/>
      <x:c r="BN29" s="185"/>
      <x:c r="BO29" s="185"/>
      <x:c r="BP29" s="36"/>
      <x:c r="BQ29" s="33"/>
      <x:c r="BR29" s="185"/>
      <x:c r="BS29" s="185"/>
      <x:c r="BT29" s="185"/>
      <x:c r="BU29" s="185"/>
      <x:c r="BV29" s="36"/>
    </x:row>
    <x:row r="30" spans="1:74" x14ac:dyDescent="0.25">
      <x:c r="A30" s="630" t="s">
        <x:v>841</x:v>
      </x:c>
      <x:c r="B30" s="57" t="s">
        <x:v>459</x:v>
      </x:c>
      <x:c r="C30" s="157"/>
      <x:c r="D30" s="158"/>
      <x:c r="E30" s="158"/>
      <x:c r="F30" s="158"/>
      <x:c r="G30" s="158"/>
      <x:c r="H30" s="197"/>
      <x:c r="I30" s="33"/>
      <x:c r="J30" s="185"/>
      <x:c r="K30" s="185"/>
      <x:c r="L30" s="185"/>
      <x:c r="M30" s="185"/>
      <x:c r="N30" s="36"/>
      <x:c r="O30" s="33"/>
      <x:c r="P30" s="185"/>
      <x:c r="Q30" s="185"/>
      <x:c r="R30" s="185"/>
      <x:c r="S30" s="185"/>
      <x:c r="T30" s="36"/>
      <x:c r="U30" s="33"/>
      <x:c r="V30" s="185"/>
      <x:c r="W30" s="185"/>
      <x:c r="X30" s="185"/>
      <x:c r="Y30" s="185"/>
      <x:c r="Z30" s="36"/>
      <x:c r="AA30" s="33"/>
      <x:c r="AB30" s="185"/>
      <x:c r="AC30" s="185"/>
      <x:c r="AD30" s="185"/>
      <x:c r="AE30" s="185"/>
      <x:c r="AF30" s="36"/>
      <x:c r="AG30" s="33"/>
      <x:c r="AH30" s="185"/>
      <x:c r="AI30" s="185"/>
      <x:c r="AJ30" s="185"/>
      <x:c r="AK30" s="185"/>
      <x:c r="AL30" s="36"/>
      <x:c r="AM30" s="588">
        <x:v>0</x:v>
      </x:c>
      <x:c r="AN30" s="589">
        <x:v>0</x:v>
      </x:c>
      <x:c r="AO30" s="589">
        <x:v>0</x:v>
      </x:c>
      <x:c r="AP30" s="589">
        <x:v>0</x:v>
      </x:c>
      <x:c r="AQ30" s="589">
        <x:v>0</x:v>
      </x:c>
      <x:c r="AR30" s="591" t="s">
        <x:v>1103</x:v>
      </x:c>
      <x:c r="AS30" s="157">
        <x:v>100</x:v>
      </x:c>
      <x:c r="AT30" s="158">
        <x:v>100</x:v>
      </x:c>
      <x:c r="AU30" s="158">
        <x:v>100</x:v>
      </x:c>
      <x:c r="AV30" s="158">
        <x:v>100</x:v>
      </x:c>
      <x:c r="AW30" s="158">
        <x:v>100</x:v>
      </x:c>
      <x:c r="AX30" s="585" t="s">
        <x:v>1102</x:v>
      </x:c>
      <x:c r="AY30" s="33"/>
      <x:c r="AZ30" s="185"/>
      <x:c r="BA30" s="185"/>
      <x:c r="BB30" s="185"/>
      <x:c r="BC30" s="185"/>
      <x:c r="BD30" s="36"/>
      <x:c r="BE30" s="33"/>
      <x:c r="BF30" s="185"/>
      <x:c r="BG30" s="185"/>
      <x:c r="BH30" s="185"/>
      <x:c r="BI30" s="185"/>
      <x:c r="BJ30" s="36"/>
      <x:c r="BK30" s="33"/>
      <x:c r="BL30" s="185"/>
      <x:c r="BM30" s="185"/>
      <x:c r="BN30" s="185"/>
      <x:c r="BO30" s="185"/>
      <x:c r="BP30" s="36"/>
      <x:c r="BQ30" s="33"/>
      <x:c r="BR30" s="185"/>
      <x:c r="BS30" s="185"/>
      <x:c r="BT30" s="185"/>
      <x:c r="BU30" s="185"/>
      <x:c r="BV30" s="36"/>
    </x:row>
    <x:row r="31" spans="1:74" x14ac:dyDescent="0.25">
      <x:c r="A31" s="630" t="s">
        <x:v>863</x:v>
      </x:c>
      <x:c r="B31" s="57" t="s">
        <x:v>461</x:v>
      </x:c>
      <x:c r="C31" s="181"/>
      <x:c r="D31" s="182"/>
      <x:c r="E31" s="182"/>
      <x:c r="F31" s="182"/>
      <x:c r="G31" s="182"/>
      <x:c r="H31" s="206"/>
      <x:c r="I31" s="44"/>
      <x:c r="J31" s="45"/>
      <x:c r="K31" s="45"/>
      <x:c r="L31" s="45"/>
      <x:c r="M31" s="45"/>
      <x:c r="N31" s="48"/>
      <x:c r="O31" s="44"/>
      <x:c r="P31" s="45"/>
      <x:c r="Q31" s="45"/>
      <x:c r="R31" s="45"/>
      <x:c r="S31" s="45"/>
      <x:c r="T31" s="48"/>
      <x:c r="U31" s="44"/>
      <x:c r="V31" s="45"/>
      <x:c r="W31" s="45"/>
      <x:c r="X31" s="45"/>
      <x:c r="Y31" s="45"/>
      <x:c r="Z31" s="48"/>
      <x:c r="AA31" s="44"/>
      <x:c r="AB31" s="45"/>
      <x:c r="AC31" s="45"/>
      <x:c r="AD31" s="45"/>
      <x:c r="AE31" s="45"/>
      <x:c r="AF31" s="48"/>
      <x:c r="AG31" s="44"/>
      <x:c r="AH31" s="45"/>
      <x:c r="AI31" s="45"/>
      <x:c r="AJ31" s="45"/>
      <x:c r="AK31" s="45"/>
      <x:c r="AL31" s="48"/>
      <x:c r="AM31" s="609">
        <x:v>0</x:v>
      </x:c>
      <x:c r="AN31" s="649">
        <x:v>0</x:v>
      </x:c>
      <x:c r="AO31" s="649">
        <x:v>0</x:v>
      </x:c>
      <x:c r="AP31" s="649">
        <x:v>0</x:v>
      </x:c>
      <x:c r="AQ31" s="649">
        <x:v>0</x:v>
      </x:c>
      <x:c r="AR31" s="650" t="s">
        <x:v>1103</x:v>
      </x:c>
      <x:c r="AS31" s="181">
        <x:v>100</x:v>
      </x:c>
      <x:c r="AT31" s="182">
        <x:v>100</x:v>
      </x:c>
      <x:c r="AU31" s="182">
        <x:v>100</x:v>
      </x:c>
      <x:c r="AV31" s="182">
        <x:v>100</x:v>
      </x:c>
      <x:c r="AW31" s="182">
        <x:v>100</x:v>
      </x:c>
      <x:c r="AX31" s="608" t="s">
        <x:v>1102</x:v>
      </x:c>
      <x:c r="AY31" s="44"/>
      <x:c r="AZ31" s="45"/>
      <x:c r="BA31" s="45"/>
      <x:c r="BB31" s="45"/>
      <x:c r="BC31" s="45"/>
      <x:c r="BD31" s="48"/>
      <x:c r="BE31" s="44"/>
      <x:c r="BF31" s="45"/>
      <x:c r="BG31" s="45"/>
      <x:c r="BH31" s="45"/>
      <x:c r="BI31" s="45"/>
      <x:c r="BJ31" s="48"/>
      <x:c r="BK31" s="44"/>
      <x:c r="BL31" s="45"/>
      <x:c r="BM31" s="45"/>
      <x:c r="BN31" s="45"/>
      <x:c r="BO31" s="45"/>
      <x:c r="BP31" s="48"/>
      <x:c r="BQ31" s="44"/>
      <x:c r="BR31" s="45"/>
      <x:c r="BS31" s="45"/>
      <x:c r="BT31" s="45"/>
      <x:c r="BU31" s="45"/>
      <x:c r="BV31" s="48"/>
    </x:row>
    <x:row r="32" spans="1:74" x14ac:dyDescent="0.25">
      <x:c r="C32" s="509">
        <x:f t="array" ref="C32:C32">SUMPRODUCT((C3:C31&gt;=10)*(D3:D31&gt;=10)*(E3:E31&gt;=10)*(F3:F31&gt;=10)*(G3:G31&gt;=10))</x:f>
      </x:c>
      <x:c r="D32" s="510"/>
      <x:c r="E32" s="510"/>
      <x:c r="F32" s="510"/>
      <x:c r="G32" s="510"/>
      <x:c r="H32" s="226">
        <x:f>COUNTIF(H3:H31,"Да")</x:f>
      </x:c>
      <x:c r="I32" s="509">
        <x:f t="array" ref="I32:I32">SUMPRODUCT((I3:I31&gt;=10)*(J3:J31&gt;=10)*(K3:K31&gt;=10)*(L3:L31&gt;=10)*(M3:M31&gt;=10))</x:f>
      </x:c>
      <x:c r="J32" s="510"/>
      <x:c r="K32" s="510"/>
      <x:c r="L32" s="510"/>
      <x:c r="M32" s="510"/>
      <x:c r="N32" s="226">
        <x:f>COUNTIF(N3:N31,"Да")</x:f>
      </x:c>
      <x:c r="O32" s="509">
        <x:f t="array" ref="O32:O32">SUMPRODUCT((O3:O31&gt;=10)*(P3:P31&gt;=10)*(Q3:Q31&gt;=10)*(R3:R31&gt;=10)*(S3:S31&gt;=10))</x:f>
      </x:c>
      <x:c r="P32" s="510"/>
      <x:c r="Q32" s="510"/>
      <x:c r="R32" s="510"/>
      <x:c r="S32" s="510"/>
      <x:c r="T32" s="226">
        <x:f>COUNTIF(T3:T31,"Да")</x:f>
      </x:c>
      <x:c r="U32" s="509">
        <x:f t="array" ref="U32:U32">SUMPRODUCT((U3:U31&gt;=10)*(V3:V31&gt;=10)*(W3:W31&gt;=10)*(X3:X31&gt;=10)*(Y3:Y31&gt;=10))</x:f>
      </x:c>
      <x:c r="V32" s="510"/>
      <x:c r="W32" s="510"/>
      <x:c r="X32" s="510"/>
      <x:c r="Y32" s="510"/>
      <x:c r="Z32" s="226">
        <x:f>COUNTIF(Z3:Z31,"Да")</x:f>
      </x:c>
      <x:c r="AA32" s="509">
        <x:f t="array" ref="AA32:AA32">SUMPRODUCT((AA3:AA31&gt;=10)*(AB3:AB31&gt;=10)*(AC3:AC31&gt;=10)*(AD3:AD31&gt;=10)*(AE3:AE31&gt;=10))</x:f>
      </x:c>
      <x:c r="AB32" s="510"/>
      <x:c r="AC32" s="510"/>
      <x:c r="AD32" s="510"/>
      <x:c r="AE32" s="510"/>
      <x:c r="AF32" s="226">
        <x:f>COUNTIF(AF3:AF31,"Да")</x:f>
      </x:c>
      <x:c r="AG32" s="509">
        <x:f t="array" ref="AG32:AG32">SUMPRODUCT((AG3:AG31&gt;=10)*(AH3:AH31&gt;=10)*(AI3:AI31&gt;=10)*(AJ3:AJ31&gt;=10)*(AK3:AK31&gt;=10))</x:f>
      </x:c>
      <x:c r="AH32" s="510"/>
      <x:c r="AI32" s="510"/>
      <x:c r="AJ32" s="510"/>
      <x:c r="AK32" s="510"/>
      <x:c r="AL32" s="226">
        <x:f>COUNTIF(AL3:AL31,"Да")</x:f>
      </x:c>
      <x:c r="AM32" s="509">
        <x:f t="array" ref="AM32:AM32">SUMPRODUCT((AM3:AM31&gt;=10)*(AN3:AN31&gt;=10)*(AO3:AO31&gt;=10)*(AP3:AP31&gt;=10)*(AQ3:AQ31&gt;=10))</x:f>
      </x:c>
      <x:c r="AN32" s="510"/>
      <x:c r="AO32" s="510"/>
      <x:c r="AP32" s="510"/>
      <x:c r="AQ32" s="510"/>
      <x:c r="AR32" s="226">
        <x:f>COUNTIF(AR3:AR31,"Да")</x:f>
      </x:c>
      <x:c r="AS32" s="509">
        <x:f t="array" ref="AS32:AS32">SUMPRODUCT((AS3:AS31&gt;=10)*(AT3:AT31&gt;=10)*(AU3:AU31&gt;=10)*(AV3:AV31&gt;=10)*(AW3:AW31&gt;=10))</x:f>
      </x:c>
      <x:c r="AT32" s="510"/>
      <x:c r="AU32" s="510"/>
      <x:c r="AV32" s="510"/>
      <x:c r="AW32" s="510"/>
      <x:c r="AX32" s="226">
        <x:f>COUNTIF(AX3:AX31,"Да")</x:f>
      </x:c>
      <x:c r="AY32" s="509">
        <x:f t="array" ref="AY32:AY32">SUMPRODUCT((AY3:AY31&gt;=10)*(AZ3:AZ31&gt;=10)*(BA3:BA31&gt;=10)*(BB3:BB31&gt;=10)*(BC3:BC31&gt;=10))</x:f>
      </x:c>
      <x:c r="AZ32" s="510"/>
      <x:c r="BA32" s="510"/>
      <x:c r="BB32" s="510"/>
      <x:c r="BC32" s="510"/>
      <x:c r="BD32" s="226">
        <x:f>COUNTIF(BD3:BD31,"Да")</x:f>
      </x:c>
      <x:c r="BE32" s="509">
        <x:f t="array" ref="BE32:BE32">SUMPRODUCT((BE3:BE31&gt;=10)*(BF3:BF31&gt;=10)*(BG3:BG31&gt;=10)*(BH3:BH31&gt;=10)*(BI3:BI31&gt;=10))</x:f>
      </x:c>
      <x:c r="BF32" s="510"/>
      <x:c r="BG32" s="510"/>
      <x:c r="BH32" s="510"/>
      <x:c r="BI32" s="510"/>
      <x:c r="BJ32" s="226">
        <x:f>COUNTIF(BJ3:BJ31,"Да")</x:f>
      </x:c>
      <x:c r="BK32" s="509">
        <x:f t="array" ref="BK32:BK32">SUMPRODUCT((BK3:BK31&gt;=10)*(BL3:BL31&gt;=10)*(BM3:BM31&gt;=10)*(BN3:BN31&gt;=10)*(BO3:BO31&gt;=10))</x:f>
      </x:c>
      <x:c r="BL32" s="510"/>
      <x:c r="BM32" s="510"/>
      <x:c r="BN32" s="510"/>
      <x:c r="BO32" s="510"/>
      <x:c r="BP32" s="226">
        <x:f>COUNTIF(BP3:BP31,"Да")</x:f>
      </x:c>
      <x:c r="BQ32" s="509">
        <x:f t="array" ref="BQ32:BQ32">SUMPRODUCT((BQ3:BQ31&gt;=10)*(BR3:BR31&gt;=10)*(BS3:BS31&gt;=10)*(BT3:BT31&gt;=10)*(BU3:BU31&gt;=10))</x:f>
      </x:c>
      <x:c r="BR32" s="510"/>
      <x:c r="BS32" s="510"/>
      <x:c r="BT32" s="510"/>
      <x:c r="BU32" s="510"/>
      <x:c r="BV32" s="226">
        <x:f>COUNTIF(BV3:BV31,"Да")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32:G32"/>
    <x:mergeCell ref="I32:M32"/>
    <x:mergeCell ref="O32:S32"/>
    <x:mergeCell ref="U32:Y32"/>
    <x:mergeCell ref="AA32:AE32"/>
    <x:mergeCell ref="AG32:AK32"/>
    <x:mergeCell ref="AM32:AQ32"/>
    <x:mergeCell ref="AS32:AW32"/>
    <x:mergeCell ref="AY32:BC32"/>
    <x:mergeCell ref="BE32:BI32"/>
    <x:mergeCell ref="BK32:BO32"/>
    <x:mergeCell ref="BQ32:BU32"/>
  </x:mergeCells>
  <x:conditionalFormatting sqref="C3:BV31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31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outlinePr summaryBelow="1" summaryRight="1"/>
  </x:sheetPr>
  <x:dimension ref="A1:BV24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3.710938" style="0" customWidth="1"/>
    <x:col min="2" max="2" width="21.285156" style="0" customWidth="1"/>
    <x:col min="3" max="74" width="9.140625" style="0" customWidth="1"/>
  </x:cols>
  <x:sheetData>
    <x:row r="1" spans="1:74" ht="28.5" customHeight="1" x14ac:dyDescent="0.3">
      <x:c r="A1" s="22" t="s">
        <x:v>1091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52" t="s">
        <x:v>817</x:v>
      </x:c>
      <x:c r="B3" s="53" t="s">
        <x:v>480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640">
        <x:v>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633">
        <x:v>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3" t="s">
        <x:v>804</x:v>
      </x:c>
      <x:c r="B4" s="57" t="s">
        <x:v>461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33"/>
      <x:c r="V4" s="185"/>
      <x:c r="W4" s="185"/>
      <x:c r="X4" s="185"/>
      <x:c r="Y4" s="185"/>
      <x:c r="Z4" s="36"/>
      <x:c r="AA4" s="33"/>
      <x:c r="AB4" s="185"/>
      <x:c r="AC4" s="185"/>
      <x:c r="AD4" s="185"/>
      <x:c r="AE4" s="185"/>
      <x:c r="AF4" s="36"/>
      <x:c r="AG4" s="33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589">
        <x:v>0</x:v>
      </x:c>
      <x:c r="AR4" s="620" t="s">
        <x:v>1102</x:v>
      </x:c>
      <x:c r="AS4" s="157">
        <x:v>100</x:v>
      </x:c>
      <x:c r="AT4" s="158">
        <x:v>100</x:v>
      </x:c>
      <x:c r="AU4" s="158">
        <x:v>100</x:v>
      </x:c>
      <x:c r="AV4" s="158">
        <x:v>100</x:v>
      </x:c>
      <x:c r="AW4" s="600">
        <x:v>0</x:v>
      </x:c>
      <x:c r="AX4" s="585" t="s">
        <x:v>1102</x:v>
      </x:c>
      <x:c r="AY4" s="33"/>
      <x:c r="AZ4" s="185"/>
      <x:c r="BA4" s="185"/>
      <x:c r="BB4" s="185"/>
      <x:c r="BC4" s="185"/>
      <x:c r="BD4" s="36"/>
      <x:c r="BE4" s="33"/>
      <x:c r="BF4" s="185"/>
      <x:c r="BG4" s="185"/>
      <x:c r="BH4" s="185"/>
      <x:c r="BI4" s="185"/>
      <x:c r="BJ4" s="36"/>
      <x:c r="BK4" s="33"/>
      <x:c r="BL4" s="185"/>
      <x:c r="BM4" s="185"/>
      <x:c r="BN4" s="185"/>
      <x:c r="BO4" s="185"/>
      <x:c r="BP4" s="36"/>
      <x:c r="BQ4" s="33"/>
      <x:c r="BR4" s="185"/>
      <x:c r="BS4" s="185"/>
      <x:c r="BT4" s="185"/>
      <x:c r="BU4" s="185"/>
      <x:c r="BV4" s="36"/>
    </x:row>
    <x:row r="5" spans="1:74" ht="22.5" customHeight="1" x14ac:dyDescent="0.25">
      <x:c r="A5" s="3" t="s">
        <x:v>812</x:v>
      </x:c>
      <x:c r="B5" s="57" t="s">
        <x:v>461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33"/>
      <x:c r="V5" s="185"/>
      <x:c r="W5" s="185"/>
      <x:c r="X5" s="185"/>
      <x:c r="Y5" s="185"/>
      <x:c r="Z5" s="36"/>
      <x:c r="AA5" s="33"/>
      <x:c r="AB5" s="185"/>
      <x:c r="AC5" s="185"/>
      <x:c r="AD5" s="185"/>
      <x:c r="AE5" s="185"/>
      <x:c r="AF5" s="36"/>
      <x:c r="AG5" s="33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589">
        <x:v>0</x:v>
      </x:c>
      <x:c r="AR5" s="620" t="s">
        <x:v>1102</x:v>
      </x:c>
      <x:c r="AS5" s="157">
        <x:v>100</x:v>
      </x:c>
      <x:c r="AT5" s="158">
        <x:v>100</x:v>
      </x:c>
      <x:c r="AU5" s="158">
        <x:v>100</x:v>
      </x:c>
      <x:c r="AV5" s="158">
        <x:v>100</x:v>
      </x:c>
      <x:c r="AW5" s="602">
        <x:v>0</x:v>
      </x:c>
      <x:c r="AX5" s="585" t="s">
        <x:v>1102</x:v>
      </x:c>
      <x:c r="AY5" s="33"/>
      <x:c r="AZ5" s="185"/>
      <x:c r="BA5" s="185"/>
      <x:c r="BB5" s="185"/>
      <x:c r="BC5" s="185"/>
      <x:c r="BD5" s="36"/>
      <x:c r="BE5" s="33"/>
      <x:c r="BF5" s="185"/>
      <x:c r="BG5" s="185"/>
      <x:c r="BH5" s="185"/>
      <x:c r="BI5" s="185"/>
      <x:c r="BJ5" s="36"/>
      <x:c r="BK5" s="33"/>
      <x:c r="BL5" s="185"/>
      <x:c r="BM5" s="185"/>
      <x:c r="BN5" s="185"/>
      <x:c r="BO5" s="185"/>
      <x:c r="BP5" s="36"/>
      <x:c r="BQ5" s="33"/>
      <x:c r="BR5" s="185"/>
      <x:c r="BS5" s="185"/>
      <x:c r="BT5" s="185"/>
      <x:c r="BU5" s="185"/>
      <x:c r="BV5" s="36"/>
    </x:row>
    <x:row r="6" spans="1:74" ht="22.5" customHeight="1" x14ac:dyDescent="0.25">
      <x:c r="A6" s="3" t="s">
        <x:v>811</x:v>
      </x:c>
      <x:c r="B6" s="57" t="s">
        <x:v>461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33"/>
      <x:c r="V6" s="185"/>
      <x:c r="W6" s="185"/>
      <x:c r="X6" s="185"/>
      <x:c r="Y6" s="185"/>
      <x:c r="Z6" s="36"/>
      <x:c r="AA6" s="33"/>
      <x:c r="AB6" s="185"/>
      <x:c r="AC6" s="185"/>
      <x:c r="AD6" s="185"/>
      <x:c r="AE6" s="185"/>
      <x:c r="AF6" s="36"/>
      <x:c r="AG6" s="33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57">
        <x:v>100</x:v>
      </x:c>
      <x:c r="AT6" s="158">
        <x:v>100</x:v>
      </x:c>
      <x:c r="AU6" s="158">
        <x:v>100</x:v>
      </x:c>
      <x:c r="AV6" s="158">
        <x:v>100</x:v>
      </x:c>
      <x:c r="AW6" s="600">
        <x:v>0</x:v>
      </x:c>
      <x:c r="AX6" s="585" t="s">
        <x:v>1102</x:v>
      </x:c>
      <x:c r="AY6" s="33"/>
      <x:c r="AZ6" s="185"/>
      <x:c r="BA6" s="185"/>
      <x:c r="BB6" s="185"/>
      <x:c r="BC6" s="185"/>
      <x:c r="BD6" s="36"/>
      <x:c r="BE6" s="33"/>
      <x:c r="BF6" s="185"/>
      <x:c r="BG6" s="185"/>
      <x:c r="BH6" s="185"/>
      <x:c r="BI6" s="185"/>
      <x:c r="BJ6" s="36"/>
      <x:c r="BK6" s="33"/>
      <x:c r="BL6" s="185"/>
      <x:c r="BM6" s="185"/>
      <x:c r="BN6" s="185"/>
      <x:c r="BO6" s="185"/>
      <x:c r="BP6" s="36"/>
      <x:c r="BQ6" s="33"/>
      <x:c r="BR6" s="185"/>
      <x:c r="BS6" s="185"/>
      <x:c r="BT6" s="185"/>
      <x:c r="BU6" s="185"/>
      <x:c r="BV6" s="36"/>
    </x:row>
    <x:row r="7" spans="1:74" ht="22.5" customHeight="1" x14ac:dyDescent="0.25">
      <x:c r="A7" s="3" t="s">
        <x:v>806</x:v>
      </x:c>
      <x:c r="B7" s="57" t="s">
        <x:v>461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33"/>
      <x:c r="V7" s="185"/>
      <x:c r="W7" s="185"/>
      <x:c r="X7" s="185"/>
      <x:c r="Y7" s="185"/>
      <x:c r="Z7" s="36"/>
      <x:c r="AA7" s="33"/>
      <x:c r="AB7" s="185"/>
      <x:c r="AC7" s="185"/>
      <x:c r="AD7" s="185"/>
      <x:c r="AE7" s="185"/>
      <x:c r="AF7" s="36"/>
      <x:c r="AG7" s="33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589">
        <x:v>0</x:v>
      </x:c>
      <x:c r="AR7" s="620" t="s">
        <x:v>1102</x:v>
      </x:c>
      <x:c r="AS7" s="157">
        <x:v>100</x:v>
      </x:c>
      <x:c r="AT7" s="158">
        <x:v>100</x:v>
      </x:c>
      <x:c r="AU7" s="158">
        <x:v>100</x:v>
      </x:c>
      <x:c r="AV7" s="158">
        <x:v>100</x:v>
      </x:c>
      <x:c r="AW7" s="600">
        <x:v>0</x:v>
      </x:c>
      <x:c r="AX7" s="585" t="s">
        <x:v>1102</x:v>
      </x:c>
      <x:c r="AY7" s="33"/>
      <x:c r="AZ7" s="185"/>
      <x:c r="BA7" s="185"/>
      <x:c r="BB7" s="185"/>
      <x:c r="BC7" s="185"/>
      <x:c r="BD7" s="36"/>
      <x:c r="BE7" s="33"/>
      <x:c r="BF7" s="185"/>
      <x:c r="BG7" s="185"/>
      <x:c r="BH7" s="185"/>
      <x:c r="BI7" s="185"/>
      <x:c r="BJ7" s="36"/>
      <x:c r="BK7" s="33"/>
      <x:c r="BL7" s="185"/>
      <x:c r="BM7" s="185"/>
      <x:c r="BN7" s="185"/>
      <x:c r="BO7" s="185"/>
      <x:c r="BP7" s="36"/>
      <x:c r="BQ7" s="33"/>
      <x:c r="BR7" s="185"/>
      <x:c r="BS7" s="185"/>
      <x:c r="BT7" s="185"/>
      <x:c r="BU7" s="185"/>
      <x:c r="BV7" s="36"/>
    </x:row>
    <x:row r="8" spans="1:74" ht="22.5" customHeight="1" x14ac:dyDescent="0.25">
      <x:c r="A8" s="3" t="s">
        <x:v>808</x:v>
      </x:c>
      <x:c r="B8" s="57" t="s">
        <x:v>461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33"/>
      <x:c r="V8" s="185"/>
      <x:c r="W8" s="185"/>
      <x:c r="X8" s="185"/>
      <x:c r="Y8" s="185"/>
      <x:c r="Z8" s="36"/>
      <x:c r="AA8" s="33"/>
      <x:c r="AB8" s="185"/>
      <x:c r="AC8" s="185"/>
      <x:c r="AD8" s="185"/>
      <x:c r="AE8" s="185"/>
      <x:c r="AF8" s="36"/>
      <x:c r="AG8" s="33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589">
        <x:v>0</x:v>
      </x:c>
      <x:c r="AR8" s="620" t="s">
        <x:v>1102</x:v>
      </x:c>
      <x:c r="AS8" s="157">
        <x:v>100</x:v>
      </x:c>
      <x:c r="AT8" s="158">
        <x:v>100</x:v>
      </x:c>
      <x:c r="AU8" s="158">
        <x:v>100</x:v>
      </x:c>
      <x:c r="AV8" s="158">
        <x:v>100</x:v>
      </x:c>
      <x:c r="AW8" s="600">
        <x:v>0</x:v>
      </x:c>
      <x:c r="AX8" s="585" t="s">
        <x:v>1102</x:v>
      </x:c>
      <x:c r="AY8" s="33"/>
      <x:c r="AZ8" s="185"/>
      <x:c r="BA8" s="185"/>
      <x:c r="BB8" s="185"/>
      <x:c r="BC8" s="185"/>
      <x:c r="BD8" s="36"/>
      <x:c r="BE8" s="33"/>
      <x:c r="BF8" s="185"/>
      <x:c r="BG8" s="185"/>
      <x:c r="BH8" s="185"/>
      <x:c r="BI8" s="185"/>
      <x:c r="BJ8" s="36"/>
      <x:c r="BK8" s="33"/>
      <x:c r="BL8" s="185"/>
      <x:c r="BM8" s="185"/>
      <x:c r="BN8" s="185"/>
      <x:c r="BO8" s="185"/>
      <x:c r="BP8" s="36"/>
      <x:c r="BQ8" s="33"/>
      <x:c r="BR8" s="185"/>
      <x:c r="BS8" s="185"/>
      <x:c r="BT8" s="185"/>
      <x:c r="BU8" s="185"/>
      <x:c r="BV8" s="36"/>
    </x:row>
    <x:row r="9" spans="1:74" ht="22.5" customHeight="1" x14ac:dyDescent="0.25">
      <x:c r="A9" s="3" t="s">
        <x:v>816</x:v>
      </x:c>
      <x:c r="B9" s="57" t="s">
        <x:v>480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33"/>
      <x:c r="V9" s="185"/>
      <x:c r="W9" s="185"/>
      <x:c r="X9" s="185"/>
      <x:c r="Y9" s="185"/>
      <x:c r="Z9" s="36"/>
      <x:c r="AA9" s="33"/>
      <x:c r="AB9" s="185"/>
      <x:c r="AC9" s="185"/>
      <x:c r="AD9" s="185"/>
      <x:c r="AE9" s="185"/>
      <x:c r="AF9" s="36"/>
      <x:c r="AG9" s="33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589">
        <x:v>0</x:v>
      </x:c>
      <x:c r="AR9" s="620" t="s">
        <x:v>1102</x:v>
      </x:c>
      <x:c r="AS9" s="157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33"/>
      <x:c r="AZ9" s="185"/>
      <x:c r="BA9" s="185"/>
      <x:c r="BB9" s="185"/>
      <x:c r="BC9" s="185"/>
      <x:c r="BD9" s="36"/>
      <x:c r="BE9" s="33"/>
      <x:c r="BF9" s="185"/>
      <x:c r="BG9" s="185"/>
      <x:c r="BH9" s="185"/>
      <x:c r="BI9" s="185"/>
      <x:c r="BJ9" s="36"/>
      <x:c r="BK9" s="33"/>
      <x:c r="BL9" s="185"/>
      <x:c r="BM9" s="185"/>
      <x:c r="BN9" s="185"/>
      <x:c r="BO9" s="185"/>
      <x:c r="BP9" s="36"/>
      <x:c r="BQ9" s="33"/>
      <x:c r="BR9" s="185"/>
      <x:c r="BS9" s="185"/>
      <x:c r="BT9" s="185"/>
      <x:c r="BU9" s="185"/>
      <x:c r="BV9" s="36"/>
    </x:row>
    <x:row r="10" spans="1:74" ht="22.5" customHeight="1" x14ac:dyDescent="0.25">
      <x:c r="A10" s="3" t="s">
        <x:v>809</x:v>
      </x:c>
      <x:c r="B10" s="57" t="s">
        <x:v>461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33"/>
      <x:c r="V10" s="185"/>
      <x:c r="W10" s="185"/>
      <x:c r="X10" s="185"/>
      <x:c r="Y10" s="185"/>
      <x:c r="Z10" s="36"/>
      <x:c r="AA10" s="33"/>
      <x:c r="AB10" s="185"/>
      <x:c r="AC10" s="185"/>
      <x:c r="AD10" s="185"/>
      <x:c r="AE10" s="185"/>
      <x:c r="AF10" s="36"/>
      <x:c r="AG10" s="33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589">
        <x:v>0</x:v>
      </x:c>
      <x:c r="AR10" s="620" t="s">
        <x:v>1102</x:v>
      </x:c>
      <x:c r="AS10" s="157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33"/>
      <x:c r="AZ10" s="185"/>
      <x:c r="BA10" s="185"/>
      <x:c r="BB10" s="185"/>
      <x:c r="BC10" s="185"/>
      <x:c r="BD10" s="36"/>
      <x:c r="BE10" s="33"/>
      <x:c r="BF10" s="185"/>
      <x:c r="BG10" s="185"/>
      <x:c r="BH10" s="185"/>
      <x:c r="BI10" s="185"/>
      <x:c r="BJ10" s="36"/>
      <x:c r="BK10" s="33"/>
      <x:c r="BL10" s="185"/>
      <x:c r="BM10" s="185"/>
      <x:c r="BN10" s="185"/>
      <x:c r="BO10" s="185"/>
      <x:c r="BP10" s="36"/>
      <x:c r="BQ10" s="33"/>
      <x:c r="BR10" s="185"/>
      <x:c r="BS10" s="185"/>
      <x:c r="BT10" s="185"/>
      <x:c r="BU10" s="185"/>
      <x:c r="BV10" s="36"/>
    </x:row>
    <x:row r="11" spans="1:74" ht="22.5" customHeight="1" x14ac:dyDescent="0.25">
      <x:c r="A11" s="606" t="s">
        <x:v>797</x:v>
      </x:c>
      <x:c r="B11" s="57" t="s">
        <x:v>399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33"/>
      <x:c r="V11" s="185"/>
      <x:c r="W11" s="185"/>
      <x:c r="X11" s="185"/>
      <x:c r="Y11" s="185"/>
      <x:c r="Z11" s="36"/>
      <x:c r="AA11" s="33"/>
      <x:c r="AB11" s="185"/>
      <x:c r="AC11" s="185"/>
      <x:c r="AD11" s="185"/>
      <x:c r="AE11" s="185"/>
      <x:c r="AF11" s="36"/>
      <x:c r="AG11" s="33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57">
        <x:v>100</x:v>
      </x:c>
      <x:c r="AT11" s="158">
        <x:v>100</x:v>
      </x:c>
      <x:c r="AU11" s="158">
        <x:v>100</x:v>
      </x:c>
      <x:c r="AV11" s="158">
        <x:v>100</x:v>
      </x:c>
      <x:c r="AW11" s="600">
        <x:v>0</x:v>
      </x:c>
      <x:c r="AX11" s="585" t="s">
        <x:v>1102</x:v>
      </x:c>
      <x:c r="AY11" s="33"/>
      <x:c r="AZ11" s="185"/>
      <x:c r="BA11" s="185"/>
      <x:c r="BB11" s="185"/>
      <x:c r="BC11" s="185"/>
      <x:c r="BD11" s="36"/>
      <x:c r="BE11" s="33"/>
      <x:c r="BF11" s="185"/>
      <x:c r="BG11" s="185"/>
      <x:c r="BH11" s="185"/>
      <x:c r="BI11" s="185"/>
      <x:c r="BJ11" s="36"/>
      <x:c r="BK11" s="33"/>
      <x:c r="BL11" s="185"/>
      <x:c r="BM11" s="185"/>
      <x:c r="BN11" s="185"/>
      <x:c r="BO11" s="185"/>
      <x:c r="BP11" s="36"/>
      <x:c r="BQ11" s="33"/>
      <x:c r="BR11" s="185"/>
      <x:c r="BS11" s="185"/>
      <x:c r="BT11" s="185"/>
      <x:c r="BU11" s="185"/>
      <x:c r="BV11" s="36"/>
    </x:row>
    <x:row r="12" spans="1:74" x14ac:dyDescent="0.25">
      <x:c r="A12" s="3" t="s">
        <x:v>807</x:v>
      </x:c>
      <x:c r="B12" s="57" t="s">
        <x:v>461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33"/>
      <x:c r="V12" s="185"/>
      <x:c r="W12" s="185"/>
      <x:c r="X12" s="185"/>
      <x:c r="Y12" s="185"/>
      <x:c r="Z12" s="36"/>
      <x:c r="AA12" s="33"/>
      <x:c r="AB12" s="185"/>
      <x:c r="AC12" s="185"/>
      <x:c r="AD12" s="185"/>
      <x:c r="AE12" s="185"/>
      <x:c r="AF12" s="36"/>
      <x:c r="AG12" s="33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57">
        <x:v>100</x:v>
      </x:c>
      <x:c r="AT12" s="158">
        <x:v>100</x:v>
      </x:c>
      <x:c r="AU12" s="158">
        <x:v>100</x:v>
      </x:c>
      <x:c r="AV12" s="158">
        <x:v>100</x:v>
      </x:c>
      <x:c r="AW12" s="600">
        <x:v>0</x:v>
      </x:c>
      <x:c r="AX12" s="585" t="s">
        <x:v>1102</x:v>
      </x:c>
      <x:c r="AY12" s="33"/>
      <x:c r="AZ12" s="185"/>
      <x:c r="BA12" s="185"/>
      <x:c r="BB12" s="185"/>
      <x:c r="BC12" s="185"/>
      <x:c r="BD12" s="36"/>
      <x:c r="BE12" s="33"/>
      <x:c r="BF12" s="185"/>
      <x:c r="BG12" s="185"/>
      <x:c r="BH12" s="185"/>
      <x:c r="BI12" s="185"/>
      <x:c r="BJ12" s="36"/>
      <x:c r="BK12" s="33"/>
      <x:c r="BL12" s="185"/>
      <x:c r="BM12" s="185"/>
      <x:c r="BN12" s="185"/>
      <x:c r="BO12" s="185"/>
      <x:c r="BP12" s="36"/>
      <x:c r="BQ12" s="33"/>
      <x:c r="BR12" s="185"/>
      <x:c r="BS12" s="185"/>
      <x:c r="BT12" s="185"/>
      <x:c r="BU12" s="185"/>
      <x:c r="BV12" s="36"/>
    </x:row>
    <x:row r="13" spans="1:74" ht="22.5" customHeight="1" x14ac:dyDescent="0.25">
      <x:c r="A13" s="3" t="s">
        <x:v>799</x:v>
      </x:c>
      <x:c r="B13" s="57" t="s">
        <x:v>459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33"/>
      <x:c r="V13" s="185"/>
      <x:c r="W13" s="185"/>
      <x:c r="X13" s="185"/>
      <x:c r="Y13" s="185"/>
      <x:c r="Z13" s="36"/>
      <x:c r="AA13" s="33"/>
      <x:c r="AB13" s="185"/>
      <x:c r="AC13" s="185"/>
      <x:c r="AD13" s="185"/>
      <x:c r="AE13" s="185"/>
      <x:c r="AF13" s="36"/>
      <x:c r="AG13" s="33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57">
        <x:v>100</x:v>
      </x:c>
      <x:c r="AT13" s="158">
        <x:v>100</x:v>
      </x:c>
      <x:c r="AU13" s="158">
        <x:v>100</x:v>
      </x:c>
      <x:c r="AV13" s="158">
        <x:v>100</x:v>
      </x:c>
      <x:c r="AW13" s="600">
        <x:v>0</x:v>
      </x:c>
      <x:c r="AX13" s="585" t="s">
        <x:v>1102</x:v>
      </x:c>
      <x:c r="AY13" s="33"/>
      <x:c r="AZ13" s="185"/>
      <x:c r="BA13" s="185"/>
      <x:c r="BB13" s="185"/>
      <x:c r="BC13" s="185"/>
      <x:c r="BD13" s="36"/>
      <x:c r="BE13" s="33"/>
      <x:c r="BF13" s="185"/>
      <x:c r="BG13" s="185"/>
      <x:c r="BH13" s="185"/>
      <x:c r="BI13" s="185"/>
      <x:c r="BJ13" s="36"/>
      <x:c r="BK13" s="33"/>
      <x:c r="BL13" s="185"/>
      <x:c r="BM13" s="185"/>
      <x:c r="BN13" s="185"/>
      <x:c r="BO13" s="185"/>
      <x:c r="BP13" s="36"/>
      <x:c r="BQ13" s="33"/>
      <x:c r="BR13" s="185"/>
      <x:c r="BS13" s="185"/>
      <x:c r="BT13" s="185"/>
      <x:c r="BU13" s="185"/>
      <x:c r="BV13" s="36"/>
    </x:row>
    <x:row r="14" spans="1:74" ht="22.5" customHeight="1" x14ac:dyDescent="0.25">
      <x:c r="A14" s="3" t="s">
        <x:v>814</x:v>
      </x:c>
      <x:c r="B14" s="57" t="s">
        <x:v>461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33"/>
      <x:c r="V14" s="185"/>
      <x:c r="W14" s="185"/>
      <x:c r="X14" s="185"/>
      <x:c r="Y14" s="185"/>
      <x:c r="Z14" s="36"/>
      <x:c r="AA14" s="33"/>
      <x:c r="AB14" s="185"/>
      <x:c r="AC14" s="185"/>
      <x:c r="AD14" s="185"/>
      <x:c r="AE14" s="185"/>
      <x:c r="AF14" s="36"/>
      <x:c r="AG14" s="33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620" t="s">
        <x:v>1102</x:v>
      </x:c>
      <x:c r="AS14" s="157">
        <x:v>100</x:v>
      </x:c>
      <x:c r="AT14" s="158">
        <x:v>100</x:v>
      </x:c>
      <x:c r="AU14" s="158">
        <x:v>100</x:v>
      </x:c>
      <x:c r="AV14" s="158">
        <x:v>100</x:v>
      </x:c>
      <x:c r="AW14" s="600">
        <x:v>0</x:v>
      </x:c>
      <x:c r="AX14" s="585" t="s">
        <x:v>1102</x:v>
      </x:c>
      <x:c r="AY14" s="33"/>
      <x:c r="AZ14" s="185"/>
      <x:c r="BA14" s="185"/>
      <x:c r="BB14" s="185"/>
      <x:c r="BC14" s="185"/>
      <x:c r="BD14" s="36"/>
      <x:c r="BE14" s="33"/>
      <x:c r="BF14" s="185"/>
      <x:c r="BG14" s="185"/>
      <x:c r="BH14" s="185"/>
      <x:c r="BI14" s="185"/>
      <x:c r="BJ14" s="36"/>
      <x:c r="BK14" s="33"/>
      <x:c r="BL14" s="185"/>
      <x:c r="BM14" s="185"/>
      <x:c r="BN14" s="185"/>
      <x:c r="BO14" s="185"/>
      <x:c r="BP14" s="36"/>
      <x:c r="BQ14" s="33"/>
      <x:c r="BR14" s="185"/>
      <x:c r="BS14" s="185"/>
      <x:c r="BT14" s="185"/>
      <x:c r="BU14" s="185"/>
      <x:c r="BV14" s="36"/>
    </x:row>
    <x:row r="15" spans="1:74" ht="22.5" customHeight="1" x14ac:dyDescent="0.25">
      <x:c r="A15" s="3" t="s">
        <x:v>801</x:v>
      </x:c>
      <x:c r="B15" s="57" t="s">
        <x:v>459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33"/>
      <x:c r="V15" s="185"/>
      <x:c r="W15" s="185"/>
      <x:c r="X15" s="185"/>
      <x:c r="Y15" s="185"/>
      <x:c r="Z15" s="36"/>
      <x:c r="AA15" s="33"/>
      <x:c r="AB15" s="185"/>
      <x:c r="AC15" s="185"/>
      <x:c r="AD15" s="185"/>
      <x:c r="AE15" s="185"/>
      <x:c r="AF15" s="36"/>
      <x:c r="AG15" s="33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589">
        <x:v>0</x:v>
      </x:c>
      <x:c r="AR15" s="620" t="s">
        <x:v>1102</x:v>
      </x:c>
      <x:c r="AS15" s="157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33"/>
      <x:c r="AZ15" s="185"/>
      <x:c r="BA15" s="185"/>
      <x:c r="BB15" s="185"/>
      <x:c r="BC15" s="185"/>
      <x:c r="BD15" s="36"/>
      <x:c r="BE15" s="33"/>
      <x:c r="BF15" s="185"/>
      <x:c r="BG15" s="185"/>
      <x:c r="BH15" s="185"/>
      <x:c r="BI15" s="185"/>
      <x:c r="BJ15" s="36"/>
      <x:c r="BK15" s="33"/>
      <x:c r="BL15" s="185"/>
      <x:c r="BM15" s="185"/>
      <x:c r="BN15" s="185"/>
      <x:c r="BO15" s="185"/>
      <x:c r="BP15" s="36"/>
      <x:c r="BQ15" s="33"/>
      <x:c r="BR15" s="185"/>
      <x:c r="BS15" s="185"/>
      <x:c r="BT15" s="185"/>
      <x:c r="BU15" s="185"/>
      <x:c r="BV15" s="36"/>
    </x:row>
    <x:row r="16" spans="1:74" x14ac:dyDescent="0.25">
      <x:c r="A16" s="605" t="s">
        <x:v>810</x:v>
      </x:c>
      <x:c r="B16" s="57" t="s">
        <x:v>461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33"/>
      <x:c r="V16" s="185"/>
      <x:c r="W16" s="185"/>
      <x:c r="X16" s="185"/>
      <x:c r="Y16" s="185"/>
      <x:c r="Z16" s="36"/>
      <x:c r="AA16" s="33"/>
      <x:c r="AB16" s="185"/>
      <x:c r="AC16" s="185"/>
      <x:c r="AD16" s="185"/>
      <x:c r="AE16" s="185"/>
      <x:c r="AF16" s="36"/>
      <x:c r="AG16" s="33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589">
        <x:v>0</x:v>
      </x:c>
      <x:c r="AR16" s="620" t="s">
        <x:v>1102</x:v>
      </x:c>
      <x:c r="AS16" s="588">
        <x:v>0</x:v>
      </x:c>
      <x:c r="AT16" s="589">
        <x:v>0</x:v>
      </x:c>
      <x:c r="AU16" s="589">
        <x:v>0</x:v>
      </x:c>
      <x:c r="AV16" s="589">
        <x:v>0</x:v>
      </x:c>
      <x:c r="AW16" s="589">
        <x:v>0</x:v>
      </x:c>
      <x:c r="AX16" s="591" t="s">
        <x:v>1103</x:v>
      </x:c>
      <x:c r="AY16" s="33"/>
      <x:c r="AZ16" s="185"/>
      <x:c r="BA16" s="185"/>
      <x:c r="BB16" s="185"/>
      <x:c r="BC16" s="185"/>
      <x:c r="BD16" s="36"/>
      <x:c r="BE16" s="33"/>
      <x:c r="BF16" s="185"/>
      <x:c r="BG16" s="185"/>
      <x:c r="BH16" s="185"/>
      <x:c r="BI16" s="185"/>
      <x:c r="BJ16" s="36"/>
      <x:c r="BK16" s="33"/>
      <x:c r="BL16" s="185"/>
      <x:c r="BM16" s="185"/>
      <x:c r="BN16" s="185"/>
      <x:c r="BO16" s="185"/>
      <x:c r="BP16" s="36"/>
      <x:c r="BQ16" s="33"/>
      <x:c r="BR16" s="185"/>
      <x:c r="BS16" s="185"/>
      <x:c r="BT16" s="185"/>
      <x:c r="BU16" s="185"/>
      <x:c r="BV16" s="36"/>
    </x:row>
    <x:row r="17" spans="1:74" ht="22.5" customHeight="1" x14ac:dyDescent="0.25">
      <x:c r="A17" s="3" t="s">
        <x:v>813</x:v>
      </x:c>
      <x:c r="B17" s="57" t="s">
        <x:v>461</x:v>
      </x:c>
      <x:c r="C17" s="157"/>
      <x:c r="D17" s="158"/>
      <x:c r="E17" s="158"/>
      <x:c r="F17" s="158"/>
      <x:c r="G17" s="158"/>
      <x:c r="H17" s="197"/>
      <x:c r="I17" s="33"/>
      <x:c r="J17" s="185"/>
      <x:c r="K17" s="185"/>
      <x:c r="L17" s="185"/>
      <x:c r="M17" s="185"/>
      <x:c r="N17" s="36"/>
      <x:c r="O17" s="33"/>
      <x:c r="P17" s="185"/>
      <x:c r="Q17" s="185"/>
      <x:c r="R17" s="185"/>
      <x:c r="S17" s="185"/>
      <x:c r="T17" s="36"/>
      <x:c r="U17" s="33"/>
      <x:c r="V17" s="185"/>
      <x:c r="W17" s="185"/>
      <x:c r="X17" s="185"/>
      <x:c r="Y17" s="185"/>
      <x:c r="Z17" s="36"/>
      <x:c r="AA17" s="33"/>
      <x:c r="AB17" s="185"/>
      <x:c r="AC17" s="185"/>
      <x:c r="AD17" s="185"/>
      <x:c r="AE17" s="185"/>
      <x:c r="AF17" s="36"/>
      <x:c r="AG17" s="33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589">
        <x:v>0</x:v>
      </x:c>
      <x:c r="AR17" s="620" t="s">
        <x:v>1102</x:v>
      </x:c>
      <x:c r="AS17" s="157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33"/>
      <x:c r="AZ17" s="185"/>
      <x:c r="BA17" s="185"/>
      <x:c r="BB17" s="185"/>
      <x:c r="BC17" s="185"/>
      <x:c r="BD17" s="36"/>
      <x:c r="BE17" s="33"/>
      <x:c r="BF17" s="185"/>
      <x:c r="BG17" s="185"/>
      <x:c r="BH17" s="185"/>
      <x:c r="BI17" s="185"/>
      <x:c r="BJ17" s="36"/>
      <x:c r="BK17" s="33"/>
      <x:c r="BL17" s="185"/>
      <x:c r="BM17" s="185"/>
      <x:c r="BN17" s="185"/>
      <x:c r="BO17" s="185"/>
      <x:c r="BP17" s="36"/>
      <x:c r="BQ17" s="33"/>
      <x:c r="BR17" s="185"/>
      <x:c r="BS17" s="185"/>
      <x:c r="BT17" s="185"/>
      <x:c r="BU17" s="185"/>
      <x:c r="BV17" s="36"/>
    </x:row>
    <x:row r="18" spans="1:74" ht="22.5" customHeight="1" x14ac:dyDescent="0.25">
      <x:c r="A18" s="3" t="s">
        <x:v>815</x:v>
      </x:c>
      <x:c r="B18" s="57" t="s">
        <x:v>510</x:v>
      </x:c>
      <x:c r="C18" s="157"/>
      <x:c r="D18" s="158"/>
      <x:c r="E18" s="158"/>
      <x:c r="F18" s="158"/>
      <x:c r="G18" s="158"/>
      <x:c r="H18" s="197"/>
      <x:c r="I18" s="33"/>
      <x:c r="J18" s="185"/>
      <x:c r="K18" s="185"/>
      <x:c r="L18" s="185"/>
      <x:c r="M18" s="185"/>
      <x:c r="N18" s="36"/>
      <x:c r="O18" s="33"/>
      <x:c r="P18" s="185"/>
      <x:c r="Q18" s="185"/>
      <x:c r="R18" s="185"/>
      <x:c r="S18" s="185"/>
      <x:c r="T18" s="36"/>
      <x:c r="U18" s="33"/>
      <x:c r="V18" s="185"/>
      <x:c r="W18" s="185"/>
      <x:c r="X18" s="185"/>
      <x:c r="Y18" s="185"/>
      <x:c r="Z18" s="36"/>
      <x:c r="AA18" s="33"/>
      <x:c r="AB18" s="185"/>
      <x:c r="AC18" s="185"/>
      <x:c r="AD18" s="185"/>
      <x:c r="AE18" s="185"/>
      <x:c r="AF18" s="36"/>
      <x:c r="AG18" s="33"/>
      <x:c r="AH18" s="185"/>
      <x:c r="AI18" s="185"/>
      <x:c r="AJ18" s="185"/>
      <x:c r="AK18" s="18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620" t="s">
        <x:v>1102</x:v>
      </x:c>
      <x:c r="AS18" s="157">
        <x:v>100</x:v>
      </x:c>
      <x:c r="AT18" s="158">
        <x:v>100</x:v>
      </x:c>
      <x:c r="AU18" s="158">
        <x:v>100</x:v>
      </x:c>
      <x:c r="AV18" s="158">
        <x:v>100</x:v>
      </x:c>
      <x:c r="AW18" s="158">
        <x:v>100</x:v>
      </x:c>
      <x:c r="AX18" s="585" t="s">
        <x:v>1102</x:v>
      </x:c>
      <x:c r="AY18" s="33"/>
      <x:c r="AZ18" s="185"/>
      <x:c r="BA18" s="185"/>
      <x:c r="BB18" s="185"/>
      <x:c r="BC18" s="185"/>
      <x:c r="BD18" s="36"/>
      <x:c r="BE18" s="33"/>
      <x:c r="BF18" s="185"/>
      <x:c r="BG18" s="185"/>
      <x:c r="BH18" s="185"/>
      <x:c r="BI18" s="185"/>
      <x:c r="BJ18" s="36"/>
      <x:c r="BK18" s="33"/>
      <x:c r="BL18" s="185"/>
      <x:c r="BM18" s="185"/>
      <x:c r="BN18" s="185"/>
      <x:c r="BO18" s="185"/>
      <x:c r="BP18" s="36"/>
      <x:c r="BQ18" s="33"/>
      <x:c r="BR18" s="185"/>
      <x:c r="BS18" s="185"/>
      <x:c r="BT18" s="185"/>
      <x:c r="BU18" s="185"/>
      <x:c r="BV18" s="36"/>
    </x:row>
    <x:row r="19" spans="1:74" ht="22.5" customHeight="1" x14ac:dyDescent="0.25">
      <x:c r="A19" s="3" t="s">
        <x:v>818</x:v>
      </x:c>
      <x:c r="B19" s="57" t="s">
        <x:v>480</x:v>
      </x:c>
      <x:c r="C19" s="157"/>
      <x:c r="D19" s="158"/>
      <x:c r="E19" s="158"/>
      <x:c r="F19" s="158"/>
      <x:c r="G19" s="158"/>
      <x:c r="H19" s="197"/>
      <x:c r="I19" s="33"/>
      <x:c r="J19" s="185"/>
      <x:c r="K19" s="185"/>
      <x:c r="L19" s="185"/>
      <x:c r="M19" s="185"/>
      <x:c r="N19" s="36"/>
      <x:c r="O19" s="33"/>
      <x:c r="P19" s="185"/>
      <x:c r="Q19" s="185"/>
      <x:c r="R19" s="185"/>
      <x:c r="S19" s="185"/>
      <x:c r="T19" s="36"/>
      <x:c r="U19" s="33"/>
      <x:c r="V19" s="185"/>
      <x:c r="W19" s="185"/>
      <x:c r="X19" s="185"/>
      <x:c r="Y19" s="185"/>
      <x:c r="Z19" s="36"/>
      <x:c r="AA19" s="33"/>
      <x:c r="AB19" s="185"/>
      <x:c r="AC19" s="185"/>
      <x:c r="AD19" s="185"/>
      <x:c r="AE19" s="185"/>
      <x:c r="AF19" s="36"/>
      <x:c r="AG19" s="33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589">
        <x:v>0</x:v>
      </x:c>
      <x:c r="AR19" s="620" t="s">
        <x:v>1102</x:v>
      </x:c>
      <x:c r="AS19" s="157">
        <x:v>100</x:v>
      </x:c>
      <x:c r="AT19" s="158">
        <x:v>100</x:v>
      </x:c>
      <x:c r="AU19" s="158">
        <x:v>100</x:v>
      </x:c>
      <x:c r="AV19" s="158">
        <x:v>100</x:v>
      </x:c>
      <x:c r="AW19" s="600">
        <x:v>0</x:v>
      </x:c>
      <x:c r="AX19" s="585" t="s">
        <x:v>1102</x:v>
      </x:c>
      <x:c r="AY19" s="33"/>
      <x:c r="AZ19" s="185"/>
      <x:c r="BA19" s="185"/>
      <x:c r="BB19" s="185"/>
      <x:c r="BC19" s="185"/>
      <x:c r="BD19" s="36"/>
      <x:c r="BE19" s="33"/>
      <x:c r="BF19" s="185"/>
      <x:c r="BG19" s="185"/>
      <x:c r="BH19" s="185"/>
      <x:c r="BI19" s="185"/>
      <x:c r="BJ19" s="36"/>
      <x:c r="BK19" s="33"/>
      <x:c r="BL19" s="185"/>
      <x:c r="BM19" s="185"/>
      <x:c r="BN19" s="185"/>
      <x:c r="BO19" s="185"/>
      <x:c r="BP19" s="36"/>
      <x:c r="BQ19" s="33"/>
      <x:c r="BR19" s="185"/>
      <x:c r="BS19" s="185"/>
      <x:c r="BT19" s="185"/>
      <x:c r="BU19" s="185"/>
      <x:c r="BV19" s="36"/>
    </x:row>
    <x:row r="20" spans="1:74" ht="22.5" customHeight="1" x14ac:dyDescent="0.25">
      <x:c r="A20" s="3" t="s">
        <x:v>802</x:v>
      </x:c>
      <x:c r="B20" s="57" t="s">
        <x:v>459</x:v>
      </x:c>
      <x:c r="C20" s="157"/>
      <x:c r="D20" s="158"/>
      <x:c r="E20" s="158"/>
      <x:c r="F20" s="158"/>
      <x:c r="G20" s="158"/>
      <x:c r="H20" s="197"/>
      <x:c r="I20" s="33"/>
      <x:c r="J20" s="185"/>
      <x:c r="K20" s="185"/>
      <x:c r="L20" s="185"/>
      <x:c r="M20" s="185"/>
      <x:c r="N20" s="36"/>
      <x:c r="O20" s="33"/>
      <x:c r="P20" s="185"/>
      <x:c r="Q20" s="185"/>
      <x:c r="R20" s="185"/>
      <x:c r="S20" s="185"/>
      <x:c r="T20" s="36"/>
      <x:c r="U20" s="33"/>
      <x:c r="V20" s="185"/>
      <x:c r="W20" s="185"/>
      <x:c r="X20" s="185"/>
      <x:c r="Y20" s="185"/>
      <x:c r="Z20" s="36"/>
      <x:c r="AA20" s="33"/>
      <x:c r="AB20" s="185"/>
      <x:c r="AC20" s="185"/>
      <x:c r="AD20" s="185"/>
      <x:c r="AE20" s="185"/>
      <x:c r="AF20" s="36"/>
      <x:c r="AG20" s="33"/>
      <x:c r="AH20" s="185"/>
      <x:c r="AI20" s="185"/>
      <x:c r="AJ20" s="185"/>
      <x:c r="AK20" s="185"/>
      <x:c r="AL20" s="36"/>
      <x:c r="AM20" s="157">
        <x:v>100</x:v>
      </x:c>
      <x:c r="AN20" s="158">
        <x:v>100</x:v>
      </x:c>
      <x:c r="AO20" s="158">
        <x:v>100</x:v>
      </x:c>
      <x:c r="AP20" s="158">
        <x:v>100</x:v>
      </x:c>
      <x:c r="AQ20" s="158">
        <x:v>100</x:v>
      </x:c>
      <x:c r="AR20" s="620" t="s">
        <x:v>1102</x:v>
      </x:c>
      <x:c r="AS20" s="157">
        <x:v>100</x:v>
      </x:c>
      <x:c r="AT20" s="158">
        <x:v>100</x:v>
      </x:c>
      <x:c r="AU20" s="158">
        <x:v>100</x:v>
      </x:c>
      <x:c r="AV20" s="158">
        <x:v>100</x:v>
      </x:c>
      <x:c r="AW20" s="600">
        <x:v>0</x:v>
      </x:c>
      <x:c r="AX20" s="585" t="s">
        <x:v>1102</x:v>
      </x:c>
      <x:c r="AY20" s="33"/>
      <x:c r="AZ20" s="185"/>
      <x:c r="BA20" s="185"/>
      <x:c r="BB20" s="185"/>
      <x:c r="BC20" s="185"/>
      <x:c r="BD20" s="36"/>
      <x:c r="BE20" s="33"/>
      <x:c r="BF20" s="185"/>
      <x:c r="BG20" s="185"/>
      <x:c r="BH20" s="185"/>
      <x:c r="BI20" s="185"/>
      <x:c r="BJ20" s="36"/>
      <x:c r="BK20" s="33"/>
      <x:c r="BL20" s="185"/>
      <x:c r="BM20" s="185"/>
      <x:c r="BN20" s="185"/>
      <x:c r="BO20" s="185"/>
      <x:c r="BP20" s="36"/>
      <x:c r="BQ20" s="33"/>
      <x:c r="BR20" s="185"/>
      <x:c r="BS20" s="185"/>
      <x:c r="BT20" s="185"/>
      <x:c r="BU20" s="185"/>
      <x:c r="BV20" s="36"/>
    </x:row>
    <x:row r="21" spans="1:74" ht="22.5" customHeight="1" x14ac:dyDescent="0.25">
      <x:c r="A21" s="3" t="s">
        <x:v>803</x:v>
      </x:c>
      <x:c r="B21" s="57" t="s">
        <x:v>461</x:v>
      </x:c>
      <x:c r="C21" s="157"/>
      <x:c r="D21" s="158"/>
      <x:c r="E21" s="158"/>
      <x:c r="F21" s="158"/>
      <x:c r="G21" s="158"/>
      <x:c r="H21" s="197"/>
      <x:c r="I21" s="33"/>
      <x:c r="J21" s="185"/>
      <x:c r="K21" s="185"/>
      <x:c r="L21" s="185"/>
      <x:c r="M21" s="185"/>
      <x:c r="N21" s="36"/>
      <x:c r="O21" s="33"/>
      <x:c r="P21" s="185"/>
      <x:c r="Q21" s="185"/>
      <x:c r="R21" s="185"/>
      <x:c r="S21" s="185"/>
      <x:c r="T21" s="36"/>
      <x:c r="U21" s="33"/>
      <x:c r="V21" s="185"/>
      <x:c r="W21" s="185"/>
      <x:c r="X21" s="185"/>
      <x:c r="Y21" s="185"/>
      <x:c r="Z21" s="36"/>
      <x:c r="AA21" s="33"/>
      <x:c r="AB21" s="185"/>
      <x:c r="AC21" s="185"/>
      <x:c r="AD21" s="185"/>
      <x:c r="AE21" s="185"/>
      <x:c r="AF21" s="36"/>
      <x:c r="AG21" s="33"/>
      <x:c r="AH21" s="185"/>
      <x:c r="AI21" s="185"/>
      <x:c r="AJ21" s="185"/>
      <x:c r="AK21" s="185"/>
      <x:c r="AL21" s="36"/>
      <x:c r="AM21" s="157">
        <x:v>100</x:v>
      </x:c>
      <x:c r="AN21" s="158">
        <x:v>100</x:v>
      </x:c>
      <x:c r="AO21" s="158">
        <x:v>100</x:v>
      </x:c>
      <x:c r="AP21" s="158">
        <x:v>100</x:v>
      </x:c>
      <x:c r="AQ21" s="158">
        <x:v>100</x:v>
      </x:c>
      <x:c r="AR21" s="620" t="s">
        <x:v>1102</x:v>
      </x:c>
      <x:c r="AS21" s="157">
        <x:v>100</x:v>
      </x:c>
      <x:c r="AT21" s="158">
        <x:v>100</x:v>
      </x:c>
      <x:c r="AU21" s="158">
        <x:v>100</x:v>
      </x:c>
      <x:c r="AV21" s="158">
        <x:v>100</x:v>
      </x:c>
      <x:c r="AW21" s="158">
        <x:v>100</x:v>
      </x:c>
      <x:c r="AX21" s="585" t="s">
        <x:v>1102</x:v>
      </x:c>
      <x:c r="AY21" s="33"/>
      <x:c r="AZ21" s="185"/>
      <x:c r="BA21" s="185"/>
      <x:c r="BB21" s="185"/>
      <x:c r="BC21" s="185"/>
      <x:c r="BD21" s="36"/>
      <x:c r="BE21" s="33"/>
      <x:c r="BF21" s="185"/>
      <x:c r="BG21" s="185"/>
      <x:c r="BH21" s="185"/>
      <x:c r="BI21" s="185"/>
      <x:c r="BJ21" s="36"/>
      <x:c r="BK21" s="33"/>
      <x:c r="BL21" s="185"/>
      <x:c r="BM21" s="185"/>
      <x:c r="BN21" s="185"/>
      <x:c r="BO21" s="185"/>
      <x:c r="BP21" s="36"/>
      <x:c r="BQ21" s="33"/>
      <x:c r="BR21" s="185"/>
      <x:c r="BS21" s="185"/>
      <x:c r="BT21" s="185"/>
      <x:c r="BU21" s="185"/>
      <x:c r="BV21" s="36"/>
    </x:row>
    <x:row r="22" spans="1:74" ht="22.5" customHeight="1" x14ac:dyDescent="0.25">
      <x:c r="A22" s="3" t="s">
        <x:v>800</x:v>
      </x:c>
      <x:c r="B22" s="57" t="s">
        <x:v>459</x:v>
      </x:c>
      <x:c r="C22" s="157"/>
      <x:c r="D22" s="158"/>
      <x:c r="E22" s="158"/>
      <x:c r="F22" s="158"/>
      <x:c r="G22" s="158"/>
      <x:c r="H22" s="197"/>
      <x:c r="I22" s="33"/>
      <x:c r="J22" s="185"/>
      <x:c r="K22" s="185"/>
      <x:c r="L22" s="185"/>
      <x:c r="M22" s="185"/>
      <x:c r="N22" s="36"/>
      <x:c r="O22" s="33"/>
      <x:c r="P22" s="185"/>
      <x:c r="Q22" s="185"/>
      <x:c r="R22" s="185"/>
      <x:c r="S22" s="185"/>
      <x:c r="T22" s="36"/>
      <x:c r="U22" s="33"/>
      <x:c r="V22" s="185"/>
      <x:c r="W22" s="185"/>
      <x:c r="X22" s="185"/>
      <x:c r="Y22" s="185"/>
      <x:c r="Z22" s="36"/>
      <x:c r="AA22" s="33"/>
      <x:c r="AB22" s="185"/>
      <x:c r="AC22" s="185"/>
      <x:c r="AD22" s="185"/>
      <x:c r="AE22" s="185"/>
      <x:c r="AF22" s="36"/>
      <x:c r="AG22" s="33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100</x:v>
      </x:c>
      <x:c r="AR22" s="620" t="s">
        <x:v>1102</x:v>
      </x:c>
      <x:c r="AS22" s="157">
        <x:v>100</x:v>
      </x:c>
      <x:c r="AT22" s="158">
        <x:v>100</x:v>
      </x:c>
      <x:c r="AU22" s="158">
        <x:v>100</x:v>
      </x:c>
      <x:c r="AV22" s="158">
        <x:v>100</x:v>
      </x:c>
      <x:c r="AW22" s="600">
        <x:v>0</x:v>
      </x:c>
      <x:c r="AX22" s="585" t="s">
        <x:v>1102</x:v>
      </x:c>
      <x:c r="AY22" s="33"/>
      <x:c r="AZ22" s="185"/>
      <x:c r="BA22" s="185"/>
      <x:c r="BB22" s="185"/>
      <x:c r="BC22" s="185"/>
      <x:c r="BD22" s="36"/>
      <x:c r="BE22" s="33"/>
      <x:c r="BF22" s="185"/>
      <x:c r="BG22" s="185"/>
      <x:c r="BH22" s="185"/>
      <x:c r="BI22" s="185"/>
      <x:c r="BJ22" s="36"/>
      <x:c r="BK22" s="33"/>
      <x:c r="BL22" s="185"/>
      <x:c r="BM22" s="185"/>
      <x:c r="BN22" s="185"/>
      <x:c r="BO22" s="185"/>
      <x:c r="BP22" s="36"/>
      <x:c r="BQ22" s="33"/>
      <x:c r="BR22" s="185"/>
      <x:c r="BS22" s="185"/>
      <x:c r="BT22" s="185"/>
      <x:c r="BU22" s="185"/>
      <x:c r="BV22" s="36"/>
    </x:row>
    <x:row r="23" spans="1:74" ht="22.5" customHeight="1" x14ac:dyDescent="0.25">
      <x:c r="A23" s="3" t="s">
        <x:v>805</x:v>
      </x:c>
      <x:c r="B23" s="57" t="s">
        <x:v>461</x:v>
      </x:c>
      <x:c r="C23" s="181"/>
      <x:c r="D23" s="182"/>
      <x:c r="E23" s="182"/>
      <x:c r="F23" s="182"/>
      <x:c r="G23" s="182"/>
      <x:c r="H23" s="206"/>
      <x:c r="I23" s="44"/>
      <x:c r="J23" s="45"/>
      <x:c r="K23" s="45"/>
      <x:c r="L23" s="45"/>
      <x:c r="M23" s="45"/>
      <x:c r="N23" s="48"/>
      <x:c r="O23" s="44"/>
      <x:c r="P23" s="45"/>
      <x:c r="Q23" s="45"/>
      <x:c r="R23" s="45"/>
      <x:c r="S23" s="45"/>
      <x:c r="T23" s="48"/>
      <x:c r="U23" s="44"/>
      <x:c r="V23" s="45"/>
      <x:c r="W23" s="45"/>
      <x:c r="X23" s="45"/>
      <x:c r="Y23" s="45"/>
      <x:c r="Z23" s="48"/>
      <x:c r="AA23" s="44"/>
      <x:c r="AB23" s="45"/>
      <x:c r="AC23" s="45"/>
      <x:c r="AD23" s="45"/>
      <x:c r="AE23" s="45"/>
      <x:c r="AF23" s="48"/>
      <x:c r="AG23" s="44"/>
      <x:c r="AH23" s="45"/>
      <x:c r="AI23" s="45"/>
      <x:c r="AJ23" s="45"/>
      <x:c r="AK23" s="45"/>
      <x:c r="AL23" s="48"/>
      <x:c r="AM23" s="181">
        <x:v>100</x:v>
      </x:c>
      <x:c r="AN23" s="182">
        <x:v>100</x:v>
      </x:c>
      <x:c r="AO23" s="182">
        <x:v>100</x:v>
      </x:c>
      <x:c r="AP23" s="182">
        <x:v>100</x:v>
      </x:c>
      <x:c r="AQ23" s="649">
        <x:v>0</x:v>
      </x:c>
      <x:c r="AR23" s="632" t="s">
        <x:v>1102</x:v>
      </x:c>
      <x:c r="AS23" s="181">
        <x:v>100</x:v>
      </x:c>
      <x:c r="AT23" s="182">
        <x:v>100</x:v>
      </x:c>
      <x:c r="AU23" s="182">
        <x:v>100</x:v>
      </x:c>
      <x:c r="AV23" s="182">
        <x:v>100</x:v>
      </x:c>
      <x:c r="AW23" s="651">
        <x:v>0</x:v>
      </x:c>
      <x:c r="AX23" s="608" t="s">
        <x:v>1102</x:v>
      </x:c>
      <x:c r="AY23" s="44"/>
      <x:c r="AZ23" s="45"/>
      <x:c r="BA23" s="45"/>
      <x:c r="BB23" s="45"/>
      <x:c r="BC23" s="45"/>
      <x:c r="BD23" s="48"/>
      <x:c r="BE23" s="44"/>
      <x:c r="BF23" s="45"/>
      <x:c r="BG23" s="45"/>
      <x:c r="BH23" s="45"/>
      <x:c r="BI23" s="45"/>
      <x:c r="BJ23" s="48"/>
      <x:c r="BK23" s="44"/>
      <x:c r="BL23" s="45"/>
      <x:c r="BM23" s="45"/>
      <x:c r="BN23" s="45"/>
      <x:c r="BO23" s="45"/>
      <x:c r="BP23" s="48"/>
      <x:c r="BQ23" s="44"/>
      <x:c r="BR23" s="45"/>
      <x:c r="BS23" s="45"/>
      <x:c r="BT23" s="45"/>
      <x:c r="BU23" s="45"/>
      <x:c r="BV23" s="48"/>
    </x:row>
    <x:row r="24" spans="1:74" x14ac:dyDescent="0.25">
      <x:c r="C24" s="509">
        <x:f t="array" ref="C24:C24">SUMPRODUCT((C3:C23&gt;=10)*(D3:D23&gt;=10)*(E3:E23&gt;=10)*(F3:F23&gt;=10)*(G3:G23&gt;=10))</x:f>
      </x:c>
      <x:c r="D24" s="510"/>
      <x:c r="E24" s="510"/>
      <x:c r="F24" s="510"/>
      <x:c r="G24" s="510"/>
      <x:c r="H24" s="226">
        <x:f>COUNTIF(H3:H23,"Да")</x:f>
      </x:c>
      <x:c r="I24" s="509">
        <x:f t="array" ref="I24:I24">SUMPRODUCT((I3:I23&gt;=10)*(J3:J23&gt;=10)*(K3:K23&gt;=10)*(L3:L23&gt;=10)*(M3:M23&gt;=10))</x:f>
      </x:c>
      <x:c r="J24" s="510"/>
      <x:c r="K24" s="510"/>
      <x:c r="L24" s="510"/>
      <x:c r="M24" s="510"/>
      <x:c r="N24" s="226">
        <x:f>COUNTIF(N3:N23,"Да")</x:f>
      </x:c>
      <x:c r="O24" s="509">
        <x:f t="array" ref="O24:O24">SUMPRODUCT((O3:O23&gt;=10)*(P3:P23&gt;=10)*(Q3:Q23&gt;=10)*(R3:R23&gt;=10)*(S3:S23&gt;=10))</x:f>
      </x:c>
      <x:c r="P24" s="510"/>
      <x:c r="Q24" s="510"/>
      <x:c r="R24" s="510"/>
      <x:c r="S24" s="510"/>
      <x:c r="T24" s="226">
        <x:f>COUNTIF(T3:T23,"Да")</x:f>
      </x:c>
      <x:c r="U24" s="509">
        <x:f t="array" ref="U24:U24">SUMPRODUCT((U3:U23&gt;=10)*(V3:V23&gt;=10)*(W3:W23&gt;=10)*(X3:X23&gt;=10)*(Y3:Y23&gt;=10))</x:f>
      </x:c>
      <x:c r="V24" s="510"/>
      <x:c r="W24" s="510"/>
      <x:c r="X24" s="510"/>
      <x:c r="Y24" s="510"/>
      <x:c r="Z24" s="226">
        <x:f>COUNTIF(Z3:Z23,"Да")</x:f>
      </x:c>
      <x:c r="AA24" s="509">
        <x:f t="array" ref="AA24:AA24">SUMPRODUCT((AA3:AA23&gt;=10)*(AB3:AB23&gt;=10)*(AC3:AC23&gt;=10)*(AD3:AD23&gt;=10)*(AE3:AE23&gt;=10))</x:f>
      </x:c>
      <x:c r="AB24" s="510"/>
      <x:c r="AC24" s="510"/>
      <x:c r="AD24" s="510"/>
      <x:c r="AE24" s="510"/>
      <x:c r="AF24" s="226">
        <x:f>COUNTIF(AF3:AF23,"Да")</x:f>
      </x:c>
      <x:c r="AG24" s="509">
        <x:f t="array" ref="AG24:AG24">SUMPRODUCT((AG3:AG23&gt;=10)*(AH3:AH23&gt;=10)*(AI3:AI23&gt;=10)*(AJ3:AJ23&gt;=10)*(AK3:AK23&gt;=10))</x:f>
      </x:c>
      <x:c r="AH24" s="510"/>
      <x:c r="AI24" s="510"/>
      <x:c r="AJ24" s="510"/>
      <x:c r="AK24" s="510"/>
      <x:c r="AL24" s="226">
        <x:f>COUNTIF(AL3:AL23,"Да")</x:f>
      </x:c>
      <x:c r="AM24" s="509">
        <x:f t="array" ref="AM24:AM24">SUMPRODUCT((AM3:AM23&gt;=10)*(AN3:AN23&gt;=10)*(AO3:AO23&gt;=10)*(AP3:AP23&gt;=10)*(AQ3:AQ23&gt;=10))</x:f>
      </x:c>
      <x:c r="AN24" s="510"/>
      <x:c r="AO24" s="510"/>
      <x:c r="AP24" s="510"/>
      <x:c r="AQ24" s="510"/>
      <x:c r="AR24" s="226">
        <x:f>COUNTIF(AR3:AR23,"Да")</x:f>
      </x:c>
      <x:c r="AS24" s="509">
        <x:f t="array" ref="AS24:AS24">SUMPRODUCT((AS3:AS23&gt;=10)*(AT3:AT23&gt;=10)*(AU3:AU23&gt;=10)*(AV3:AV23&gt;=10)*(AW3:AW23&gt;=10))</x:f>
      </x:c>
      <x:c r="AT24" s="510"/>
      <x:c r="AU24" s="510"/>
      <x:c r="AV24" s="510"/>
      <x:c r="AW24" s="510"/>
      <x:c r="AX24" s="226">
        <x:f>COUNTIF(AX3:AX23,"Да")</x:f>
      </x:c>
      <x:c r="AY24" s="509">
        <x:f t="array" ref="AY24:AY24">SUMPRODUCT((AY3:AY23&gt;=10)*(AZ3:AZ23&gt;=10)*(BA3:BA23&gt;=10)*(BB3:BB23&gt;=10)*(BC3:BC23&gt;=10))</x:f>
      </x:c>
      <x:c r="AZ24" s="510"/>
      <x:c r="BA24" s="510"/>
      <x:c r="BB24" s="510"/>
      <x:c r="BC24" s="510"/>
      <x:c r="BD24" s="226">
        <x:f>COUNTIF(BD3:BD23,"Да")</x:f>
      </x:c>
      <x:c r="BE24" s="509">
        <x:f t="array" ref="BE24:BE24">SUMPRODUCT((BE3:BE23&gt;=10)*(BF3:BF23&gt;=10)*(BG3:BG23&gt;=10)*(BH3:BH23&gt;=10)*(BI3:BI23&gt;=10))</x:f>
      </x:c>
      <x:c r="BF24" s="510"/>
      <x:c r="BG24" s="510"/>
      <x:c r="BH24" s="510"/>
      <x:c r="BI24" s="510"/>
      <x:c r="BJ24" s="226">
        <x:f>COUNTIF(BJ3:BJ23,"Да")</x:f>
      </x:c>
      <x:c r="BK24" s="509">
        <x:f t="array" ref="BK24:BK24">SUMPRODUCT((BK3:BK23&gt;=10)*(BL3:BL23&gt;=10)*(BM3:BM23&gt;=10)*(BN3:BN23&gt;=10)*(BO3:BO23&gt;=10))</x:f>
      </x:c>
      <x:c r="BL24" s="510"/>
      <x:c r="BM24" s="510"/>
      <x:c r="BN24" s="510"/>
      <x:c r="BO24" s="510"/>
      <x:c r="BP24" s="226">
        <x:f>COUNTIF(BP3:BP23,"Да")</x:f>
      </x:c>
      <x:c r="BQ24" s="509">
        <x:f t="array" ref="BQ24:BQ24">SUMPRODUCT((BQ3:BQ23&gt;=10)*(BR3:BR23&gt;=10)*(BS3:BS23&gt;=10)*(BT3:BT23&gt;=10)*(BU3:BU23&gt;=10))</x:f>
      </x:c>
      <x:c r="BR24" s="510"/>
      <x:c r="BS24" s="510"/>
      <x:c r="BT24" s="510"/>
      <x:c r="BU24" s="510"/>
      <x:c r="BV24" s="226">
        <x:f>COUNTIF(BV3:BV23,"Да")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4:G24"/>
    <x:mergeCell ref="I24:M24"/>
    <x:mergeCell ref="O24:S24"/>
    <x:mergeCell ref="U24:Y24"/>
    <x:mergeCell ref="AA24:AE24"/>
    <x:mergeCell ref="AG24:AK24"/>
    <x:mergeCell ref="AM24:AQ24"/>
    <x:mergeCell ref="AS24:AW24"/>
    <x:mergeCell ref="AY24:BC24"/>
    <x:mergeCell ref="BE24:BI24"/>
    <x:mergeCell ref="BK24:BO24"/>
    <x:mergeCell ref="BQ24:BU24"/>
  </x:mergeCells>
  <x:conditionalFormatting sqref="C3:BV23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23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outlinePr summaryBelow="1" summaryRight="1"/>
  </x:sheetPr>
  <x:dimension ref="A1:BV18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5.140625" style="0" customWidth="1"/>
    <x:col min="2" max="2" width="25.855469" style="0" customWidth="1"/>
    <x:col min="3" max="7" width="9.140625" style="0" customWidth="1"/>
    <x:col min="8" max="8" width="9.425781" style="0" customWidth="1"/>
    <x:col min="9" max="13" width="9.140625" style="0" customWidth="1"/>
    <x:col min="14" max="14" width="10.710938" style="0" customWidth="1"/>
    <x:col min="15" max="19" width="9.140625" style="0" customWidth="1"/>
    <x:col min="20" max="20" width="10.425781" style="0" customWidth="1"/>
    <x:col min="21" max="25" width="9.140625" style="0" customWidth="1"/>
    <x:col min="26" max="26" width="10.140625" style="0" customWidth="1"/>
    <x:col min="27" max="31" width="9.140625" style="0" customWidth="1"/>
    <x:col min="32" max="32" width="10.285156" style="0" customWidth="1"/>
    <x:col min="33" max="37" width="9.140625" style="0" customWidth="1"/>
    <x:col min="38" max="38" width="10.855469" style="0" customWidth="1"/>
    <x:col min="39" max="43" width="9.140625" style="0" customWidth="1"/>
    <x:col min="44" max="44" width="10" style="0" customWidth="1"/>
    <x:col min="45" max="49" width="9.140625" style="0" customWidth="1"/>
    <x:col min="50" max="50" width="9.425781" style="0" customWidth="1"/>
    <x:col min="51" max="55" width="9.140625" style="0" customWidth="1"/>
    <x:col min="56" max="56" width="10.425781" style="0" customWidth="1"/>
    <x:col min="57" max="61" width="9.140625" style="0" customWidth="1"/>
    <x:col min="62" max="62" width="9.855469" style="0" customWidth="1"/>
    <x:col min="63" max="67" width="9.140625" style="0" customWidth="1"/>
    <x:col min="68" max="68" width="9.855469" style="0" customWidth="1"/>
    <x:col min="69" max="73" width="9.140625" style="0" customWidth="1"/>
    <x:col min="74" max="74" width="10.285156" style="0" customWidth="1"/>
  </x:cols>
  <x:sheetData>
    <x:row r="1" spans="1:74" ht="28.5" customHeight="1" x14ac:dyDescent="0.3">
      <x:c r="A1" s="22" t="s">
        <x:v>1092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5" t="s">
        <x:v>825</x:v>
      </x:c>
      <x:c r="B3" s="96" t="s">
        <x:v>510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100</x:v>
      </x:c>
      <x:c r="AP3" s="202">
        <x:v>100</x:v>
      </x:c>
      <x:c r="AQ3" s="202">
        <x:v>100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x14ac:dyDescent="0.25">
      <x:c r="A4" s="97" t="s">
        <x:v>829</x:v>
      </x:c>
      <x:c r="B4" s="122" t="s">
        <x:v>461</x:v>
      </x:c>
      <x:c r="C4" s="157"/>
      <x:c r="D4" s="158"/>
      <x:c r="E4" s="158"/>
      <x:c r="F4" s="158"/>
      <x:c r="G4" s="158"/>
      <x:c r="H4" s="197"/>
      <x:c r="I4" s="33"/>
      <x:c r="J4" s="185"/>
      <x:c r="K4" s="185"/>
      <x:c r="L4" s="185"/>
      <x:c r="M4" s="185"/>
      <x:c r="N4" s="36"/>
      <x:c r="O4" s="33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158">
        <x:v>100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97" t="s">
        <x:v>832</x:v>
      </x:c>
      <x:c r="B5" s="122" t="s">
        <x:v>461</x:v>
      </x:c>
      <x:c r="C5" s="157"/>
      <x:c r="D5" s="158"/>
      <x:c r="E5" s="158"/>
      <x:c r="F5" s="158"/>
      <x:c r="G5" s="158"/>
      <x:c r="H5" s="197"/>
      <x:c r="I5" s="33"/>
      <x:c r="J5" s="185"/>
      <x:c r="K5" s="185"/>
      <x:c r="L5" s="185"/>
      <x:c r="M5" s="185"/>
      <x:c r="N5" s="36"/>
      <x:c r="O5" s="33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57">
        <x:v>100</x:v>
      </x:c>
      <x:c r="AN5" s="158">
        <x:v>100</x:v>
      </x:c>
      <x:c r="AO5" s="158">
        <x:v>100</x:v>
      </x:c>
      <x:c r="AP5" s="158">
        <x:v>100</x:v>
      </x:c>
      <x:c r="AQ5" s="158">
        <x:v>100</x:v>
      </x:c>
      <x:c r="AR5" s="620" t="s">
        <x:v>1102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158">
        <x:v>100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x14ac:dyDescent="0.25">
      <x:c r="A6" s="97" t="s">
        <x:v>826</x:v>
      </x:c>
      <x:c r="B6" s="122" t="s">
        <x:v>461</x:v>
      </x:c>
      <x:c r="C6" s="157"/>
      <x:c r="D6" s="158"/>
      <x:c r="E6" s="158"/>
      <x:c r="F6" s="158"/>
      <x:c r="G6" s="158"/>
      <x:c r="H6" s="197"/>
      <x:c r="I6" s="33"/>
      <x:c r="J6" s="185"/>
      <x:c r="K6" s="185"/>
      <x:c r="L6" s="185"/>
      <x:c r="M6" s="185"/>
      <x:c r="N6" s="36"/>
      <x:c r="O6" s="33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x14ac:dyDescent="0.25">
      <x:c r="A7" s="97" t="s">
        <x:v>834</x:v>
      </x:c>
      <x:c r="B7" s="122" t="s">
        <x:v>480</x:v>
      </x:c>
      <x:c r="C7" s="157"/>
      <x:c r="D7" s="158"/>
      <x:c r="E7" s="158"/>
      <x:c r="F7" s="158"/>
      <x:c r="G7" s="158"/>
      <x:c r="H7" s="197"/>
      <x:c r="I7" s="33"/>
      <x:c r="J7" s="185"/>
      <x:c r="K7" s="185"/>
      <x:c r="L7" s="185"/>
      <x:c r="M7" s="185"/>
      <x:c r="N7" s="36"/>
      <x:c r="O7" s="33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100</x:v>
      </x:c>
      <x:c r="AQ7" s="158">
        <x:v>100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97" t="s">
        <x:v>830</x:v>
      </x:c>
      <x:c r="B8" s="122" t="s">
        <x:v>461</x:v>
      </x:c>
      <x:c r="C8" s="157"/>
      <x:c r="D8" s="158"/>
      <x:c r="E8" s="158"/>
      <x:c r="F8" s="158"/>
      <x:c r="G8" s="158"/>
      <x:c r="H8" s="197"/>
      <x:c r="I8" s="33"/>
      <x:c r="J8" s="185"/>
      <x:c r="K8" s="185"/>
      <x:c r="L8" s="185"/>
      <x:c r="M8" s="185"/>
      <x:c r="N8" s="36"/>
      <x:c r="O8" s="33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100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x14ac:dyDescent="0.25">
      <x:c r="A9" s="97" t="s">
        <x:v>819</x:v>
      </x:c>
      <x:c r="B9" s="122" t="s">
        <x:v>399</x:v>
      </x:c>
      <x:c r="C9" s="157"/>
      <x:c r="D9" s="158"/>
      <x:c r="E9" s="158"/>
      <x:c r="F9" s="158"/>
      <x:c r="G9" s="158"/>
      <x:c r="H9" s="197"/>
      <x:c r="I9" s="33"/>
      <x:c r="J9" s="185"/>
      <x:c r="K9" s="185"/>
      <x:c r="L9" s="185"/>
      <x:c r="M9" s="185"/>
      <x:c r="N9" s="36"/>
      <x:c r="O9" s="33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97" t="s">
        <x:v>827</x:v>
      </x:c>
      <x:c r="B10" s="122" t="s">
        <x:v>461</x:v>
      </x:c>
      <x:c r="C10" s="157"/>
      <x:c r="D10" s="158"/>
      <x:c r="E10" s="158"/>
      <x:c r="F10" s="158"/>
      <x:c r="G10" s="158"/>
      <x:c r="H10" s="197"/>
      <x:c r="I10" s="33"/>
      <x:c r="J10" s="185"/>
      <x:c r="K10" s="185"/>
      <x:c r="L10" s="185"/>
      <x:c r="M10" s="185"/>
      <x:c r="N10" s="36"/>
      <x:c r="O10" s="33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x14ac:dyDescent="0.25">
      <x:c r="A11" s="97" t="s">
        <x:v>824</x:v>
      </x:c>
      <x:c r="B11" s="122" t="s">
        <x:v>459</x:v>
      </x:c>
      <x:c r="C11" s="157"/>
      <x:c r="D11" s="158"/>
      <x:c r="E11" s="158"/>
      <x:c r="F11" s="158"/>
      <x:c r="G11" s="158"/>
      <x:c r="H11" s="197"/>
      <x:c r="I11" s="33"/>
      <x:c r="J11" s="185"/>
      <x:c r="K11" s="185"/>
      <x:c r="L11" s="185"/>
      <x:c r="M11" s="185"/>
      <x:c r="N11" s="36"/>
      <x:c r="O11" s="33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100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x14ac:dyDescent="0.25">
      <x:c r="A12" s="97" t="s">
        <x:v>828</x:v>
      </x:c>
      <x:c r="B12" s="122" t="s">
        <x:v>461</x:v>
      </x:c>
      <x:c r="C12" s="157"/>
      <x:c r="D12" s="158"/>
      <x:c r="E12" s="158"/>
      <x:c r="F12" s="158"/>
      <x:c r="G12" s="158"/>
      <x:c r="H12" s="197"/>
      <x:c r="I12" s="33"/>
      <x:c r="J12" s="185"/>
      <x:c r="K12" s="185"/>
      <x:c r="L12" s="185"/>
      <x:c r="M12" s="185"/>
      <x:c r="N12" s="36"/>
      <x:c r="O12" s="33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100</x:v>
      </x:c>
      <x:c r="AQ12" s="158">
        <x:v>100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97" t="s">
        <x:v>822</x:v>
      </x:c>
      <x:c r="B13" s="122" t="s">
        <x:v>459</x:v>
      </x:c>
      <x:c r="C13" s="157"/>
      <x:c r="D13" s="158"/>
      <x:c r="E13" s="158"/>
      <x:c r="F13" s="158"/>
      <x:c r="G13" s="158"/>
      <x:c r="H13" s="197"/>
      <x:c r="I13" s="33"/>
      <x:c r="J13" s="185"/>
      <x:c r="K13" s="185"/>
      <x:c r="L13" s="185"/>
      <x:c r="M13" s="185"/>
      <x:c r="N13" s="36"/>
      <x:c r="O13" s="33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100</x:v>
      </x:c>
      <x:c r="AP13" s="158">
        <x:v>100</x:v>
      </x:c>
      <x:c r="AQ13" s="158">
        <x:v>100</x:v>
      </x:c>
      <x:c r="AR13" s="620" t="s">
        <x:v>1102</x:v>
      </x:c>
      <x:c r="AS13" s="175">
        <x:v>100</x:v>
      </x:c>
      <x:c r="AT13" s="158">
        <x:v>100</x:v>
      </x:c>
      <x:c r="AU13" s="158">
        <x:v>100</x:v>
      </x:c>
      <x:c r="AV13" s="158">
        <x:v>100</x:v>
      </x:c>
      <x:c r="AW13" s="158">
        <x:v>100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97" t="s">
        <x:v>833</x:v>
      </x:c>
      <x:c r="B14" s="122" t="s">
        <x:v>461</x:v>
      </x:c>
      <x:c r="C14" s="157"/>
      <x:c r="D14" s="158"/>
      <x:c r="E14" s="158"/>
      <x:c r="F14" s="158"/>
      <x:c r="G14" s="158"/>
      <x:c r="H14" s="197"/>
      <x:c r="I14" s="33"/>
      <x:c r="J14" s="185"/>
      <x:c r="K14" s="185"/>
      <x:c r="L14" s="185"/>
      <x:c r="M14" s="185"/>
      <x:c r="N14" s="36"/>
      <x:c r="O14" s="33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158">
        <x:v>100</x:v>
      </x:c>
      <x:c r="AR14" s="620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97" t="s">
        <x:v>831</x:v>
      </x:c>
      <x:c r="B15" s="122" t="s">
        <x:v>461</x:v>
      </x:c>
      <x:c r="C15" s="157"/>
      <x:c r="D15" s="158"/>
      <x:c r="E15" s="158"/>
      <x:c r="F15" s="158"/>
      <x:c r="G15" s="158"/>
      <x:c r="H15" s="197"/>
      <x:c r="I15" s="33"/>
      <x:c r="J15" s="185"/>
      <x:c r="K15" s="185"/>
      <x:c r="L15" s="185"/>
      <x:c r="M15" s="185"/>
      <x:c r="N15" s="36"/>
      <x:c r="O15" s="33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x14ac:dyDescent="0.25">
      <x:c r="A16" s="97" t="s">
        <x:v>823</x:v>
      </x:c>
      <x:c r="B16" s="122" t="s">
        <x:v>459</x:v>
      </x:c>
      <x:c r="C16" s="157"/>
      <x:c r="D16" s="158"/>
      <x:c r="E16" s="158"/>
      <x:c r="F16" s="158"/>
      <x:c r="G16" s="158"/>
      <x:c r="H16" s="197"/>
      <x:c r="I16" s="33"/>
      <x:c r="J16" s="185"/>
      <x:c r="K16" s="185"/>
      <x:c r="L16" s="185"/>
      <x:c r="M16" s="185"/>
      <x:c r="N16" s="36"/>
      <x:c r="O16" s="33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15.75" customHeight="1" x14ac:dyDescent="0.3">
      <x:c r="A17" s="51" t="s">
        <x:v>821</x:v>
      </x:c>
      <x:c r="B17" s="100" t="s">
        <x:v>459</x:v>
      </x:c>
      <x:c r="C17" s="160"/>
      <x:c r="D17" s="161"/>
      <x:c r="E17" s="161"/>
      <x:c r="F17" s="161"/>
      <x:c r="G17" s="161"/>
      <x:c r="H17" s="204"/>
      <x:c r="I17" s="38"/>
      <x:c r="J17" s="39"/>
      <x:c r="K17" s="39"/>
      <x:c r="L17" s="39"/>
      <x:c r="M17" s="39"/>
      <x:c r="N17" s="42"/>
      <x:c r="O17" s="38"/>
      <x:c r="P17" s="39"/>
      <x:c r="Q17" s="39"/>
      <x:c r="R17" s="39"/>
      <x:c r="S17" s="39"/>
      <x:c r="T17" s="42"/>
      <x:c r="U17" s="38"/>
      <x:c r="V17" s="39"/>
      <x:c r="W17" s="39"/>
      <x:c r="X17" s="39"/>
      <x:c r="Y17" s="39"/>
      <x:c r="Z17" s="42"/>
      <x:c r="AA17" s="38"/>
      <x:c r="AB17" s="39"/>
      <x:c r="AC17" s="39"/>
      <x:c r="AD17" s="39"/>
      <x:c r="AE17" s="39"/>
      <x:c r="AF17" s="42"/>
      <x:c r="AG17" s="38"/>
      <x:c r="AH17" s="39"/>
      <x:c r="AI17" s="39"/>
      <x:c r="AJ17" s="39"/>
      <x:c r="AK17" s="39"/>
      <x:c r="AL17" s="42"/>
      <x:c r="AM17" s="160">
        <x:v>100</x:v>
      </x:c>
      <x:c r="AN17" s="161">
        <x:v>100</x:v>
      </x:c>
      <x:c r="AO17" s="161">
        <x:v>100</x:v>
      </x:c>
      <x:c r="AP17" s="161">
        <x:v>100</x:v>
      </x:c>
      <x:c r="AQ17" s="161">
        <x:v>100</x:v>
      </x:c>
      <x:c r="AR17" s="631" t="s">
        <x:v>1102</x:v>
      </x:c>
      <x:c r="AS17" s="160">
        <x:v>100</x:v>
      </x:c>
      <x:c r="AT17" s="161">
        <x:v>100</x:v>
      </x:c>
      <x:c r="AU17" s="161">
        <x:v>100</x:v>
      </x:c>
      <x:c r="AV17" s="161">
        <x:v>100</x:v>
      </x:c>
      <x:c r="AW17" s="161">
        <x:v>100</x:v>
      </x:c>
      <x:c r="AX17" s="594" t="s">
        <x:v>1102</x:v>
      </x:c>
      <x:c r="AY17" s="38"/>
      <x:c r="AZ17" s="39"/>
      <x:c r="BA17" s="39"/>
      <x:c r="BB17" s="39"/>
      <x:c r="BC17" s="39"/>
      <x:c r="BD17" s="42"/>
      <x:c r="BE17" s="38"/>
      <x:c r="BF17" s="39"/>
      <x:c r="BG17" s="39"/>
      <x:c r="BH17" s="39"/>
      <x:c r="BI17" s="39"/>
      <x:c r="BJ17" s="42"/>
      <x:c r="BK17" s="38"/>
      <x:c r="BL17" s="39"/>
      <x:c r="BM17" s="39"/>
      <x:c r="BN17" s="39"/>
      <x:c r="BO17" s="39"/>
      <x:c r="BP17" s="42"/>
      <x:c r="BQ17" s="38"/>
      <x:c r="BR17" s="39"/>
      <x:c r="BS17" s="39"/>
      <x:c r="BT17" s="39"/>
      <x:c r="BU17" s="39"/>
      <x:c r="BV17" s="42"/>
    </x:row>
    <x:row r="18" spans="1:74" x14ac:dyDescent="0.25">
      <x:c r="C18" s="498">
        <x:f t="array" ref="C18:C18">SUMPRODUCT((C3:C17&gt;=10)*(D3:D17&gt;=10)*(E3:E17&gt;=10)*(F3:F17&gt;=10)*(G3:G17&gt;=10))</x:f>
      </x:c>
      <x:c r="H18" s="227">
        <x:f>COUNTIF(H3:H17,"Да")</x:f>
      </x:c>
      <x:c r="I18" s="498">
        <x:f t="array" ref="I18:I18">SUMPRODUCT((I3:I17&gt;=10)*(J3:J17&gt;=10)*(K3:K17&gt;=10)*(L3:L17&gt;=10)*(M3:M17&gt;=10))</x:f>
      </x:c>
      <x:c r="N18" s="227">
        <x:f>COUNTIF(N3:N17,"Да")</x:f>
      </x:c>
      <x:c r="O18" s="498">
        <x:f t="array" ref="O18:O18">SUMPRODUCT((O3:O17&gt;=10)*(P3:P17&gt;=10)*(Q3:Q17&gt;=10)*(R3:R17&gt;=10)*(S3:S17&gt;=10))</x:f>
      </x:c>
      <x:c r="T18" s="227">
        <x:f>COUNTIF(T3:T17,"Да")</x:f>
      </x:c>
      <x:c r="U18" s="498">
        <x:f t="array" ref="U18:U18">SUMPRODUCT((U3:U17&gt;=10)*(V3:V17&gt;=10)*(W3:W17&gt;=10)*(X3:X17&gt;=10)*(Y3:Y17&gt;=10))</x:f>
      </x:c>
      <x:c r="Z18" s="227">
        <x:f>COUNTIF(Z3:Z17,"Да")</x:f>
      </x:c>
      <x:c r="AA18" s="498">
        <x:f t="array" ref="AA18:AA18">SUMPRODUCT((AA3:AA17&gt;=10)*(AB3:AB17&gt;=10)*(AC3:AC17&gt;=10)*(AD3:AD17&gt;=10)*(AE3:AE17&gt;=10))</x:f>
      </x:c>
      <x:c r="AF18" s="227">
        <x:f>COUNTIF(AF3:AF17,"Да")</x:f>
      </x:c>
      <x:c r="AG18" s="498">
        <x:f t="array" ref="AG18:AG18">SUMPRODUCT((AG3:AG17&gt;=10)*(AH3:AH17&gt;=10)*(AI3:AI17&gt;=10)*(AJ3:AJ17&gt;=10)*(AK3:AK17&gt;=10))</x:f>
      </x:c>
      <x:c r="AL18" s="227">
        <x:f>COUNTIF(AL3:AL17,"Да")</x:f>
      </x:c>
      <x:c r="AM18" s="498">
        <x:f t="array" ref="AM18:AM18">SUMPRODUCT((AM3:AM17&gt;=10)*(AN3:AN17&gt;=10)*(AO3:AO17&gt;=10)*(AP3:AP17&gt;=10)*(AQ3:AQ17&gt;=10))</x:f>
      </x:c>
      <x:c r="AR18" s="227">
        <x:f>COUNTIF(AR3:AR17,"Да")</x:f>
      </x:c>
      <x:c r="AS18" s="498">
        <x:f t="array" ref="AS18:AS18">SUMPRODUCT((AS3:AS17&gt;=10)*(AT3:AT17&gt;=10)*(AU3:AU17&gt;=10)*(AV3:AV17&gt;=10)*(AW3:AW17&gt;=10))</x:f>
      </x:c>
      <x:c r="AX18" s="227">
        <x:f>COUNTIF(AX3:AX17,"Да")</x:f>
      </x:c>
      <x:c r="AY18" s="498">
        <x:f t="array" ref="AY18:AY18">SUMPRODUCT((AY3:AY17&gt;=10)*(AZ3:AZ17&gt;=10)*(BA3:BA17&gt;=10)*(BB3:BB17&gt;=10)*(BC3:BC17&gt;=10))</x:f>
      </x:c>
      <x:c r="BD18" s="227">
        <x:f>COUNTIF(BD3:BD17,"Да")</x:f>
      </x:c>
      <x:c r="BE18" s="498">
        <x:f t="array" ref="BE18:BE18">SUMPRODUCT((BE3:BE17&gt;=10)*(BF3:BF17&gt;=10)*(BG3:BG17&gt;=10)*(BH3:BH17&gt;=10)*(BI3:BI17&gt;=10))</x:f>
      </x:c>
      <x:c r="BJ18" s="227">
        <x:f>COUNTIF(BJ3:BJ17,"Да")</x:f>
      </x:c>
      <x:c r="BK18" s="498">
        <x:f t="array" ref="BK18:BK18">SUMPRODUCT((BK3:BK17&gt;=10)*(BL3:BL17&gt;=10)*(BM3:BM17&gt;=10)*(BN3:BN17&gt;=10)*(BO3:BO17&gt;=10))</x:f>
      </x:c>
      <x:c r="BP18" s="227">
        <x:f>COUNTIF(BP3:BP17,"Да")</x:f>
      </x:c>
      <x:c r="BQ18" s="498">
        <x:f t="array" ref="BQ18:BQ18">SUMPRODUCT((BQ3:BQ17&gt;=10)*(BR3:BR17&gt;=10)*(BS3:BS17&gt;=10)*(BT3:BT17&gt;=10)*(BU3:BU17&gt;=10))</x:f>
      </x:c>
      <x:c r="BV18" s="227">
        <x:f>COUNTIF(BV3:BV17,"Да")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18:G18"/>
    <x:mergeCell ref="I18:M18"/>
    <x:mergeCell ref="O18:S18"/>
    <x:mergeCell ref="U18:Y18"/>
    <x:mergeCell ref="AA18:AE18"/>
    <x:mergeCell ref="AG18:AK18"/>
    <x:mergeCell ref="AM18:AQ18"/>
    <x:mergeCell ref="AS18:AW18"/>
    <x:mergeCell ref="AY18:BC18"/>
    <x:mergeCell ref="BE18:BI18"/>
    <x:mergeCell ref="BK18:BO18"/>
    <x:mergeCell ref="BQ18:BU18"/>
  </x:mergeCells>
  <x:conditionalFormatting sqref="C3:BV17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17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outlinePr summaryBelow="1" summaryRight="1"/>
  </x:sheetPr>
  <x:dimension ref="A1:BV58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9.140625" style="0" customWidth="1"/>
    <x:col min="2" max="2" width="29.710938" style="0" customWidth="1"/>
    <x:col min="3" max="7" width="9.140625" style="0" customWidth="1"/>
    <x:col min="8" max="8" width="9.570312" style="0" customWidth="1"/>
    <x:col min="9" max="37" width="9.140625" style="0" customWidth="1"/>
    <x:col min="38" max="38" width="10.140625" style="0" customWidth="1"/>
    <x:col min="39" max="43" width="9.140625" style="0" customWidth="1"/>
    <x:col min="44" max="44" width="9.855469" style="0" customWidth="1"/>
    <x:col min="45" max="49" width="9.140625" style="0" customWidth="1"/>
    <x:col min="50" max="50" width="10" style="0" customWidth="1"/>
    <x:col min="51" max="55" width="9.140625" style="0" customWidth="1"/>
    <x:col min="56" max="56" width="10" style="0" customWidth="1"/>
    <x:col min="57" max="61" width="9.140625" style="0" customWidth="1"/>
    <x:col min="62" max="62" width="10.425781" style="0" customWidth="1"/>
    <x:col min="63" max="67" width="9.140625" style="0" customWidth="1"/>
    <x:col min="68" max="68" width="9.570312" style="0" customWidth="1"/>
    <x:col min="69" max="73" width="9.140625" style="0" customWidth="1"/>
    <x:col min="74" max="74" width="9.710938" style="0" customWidth="1"/>
  </x:cols>
  <x:sheetData>
    <x:row r="1" spans="1:74" ht="28.5" customHeight="1" x14ac:dyDescent="0.3">
      <x:c r="A1" s="22" t="s">
        <x:v>1093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x14ac:dyDescent="0.25">
      <x:c r="A3" s="638" t="s">
        <x:v>479</x:v>
      </x:c>
      <x:c r="B3" s="53" t="s">
        <x:v>480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639">
        <x:v>0</x:v>
      </x:c>
      <x:c r="AN3" s="640">
        <x:v>0</x:v>
      </x:c>
      <x:c r="AO3" s="640">
        <x:v>0</x:v>
      </x:c>
      <x:c r="AP3" s="640">
        <x:v>0</x:v>
      </x:c>
      <x:c r="AQ3" s="640">
        <x:v>0</x:v>
      </x:c>
      <x:c r="AR3" s="641" t="s">
        <x:v>1103</x:v>
      </x:c>
      <x:c r="AS3" s="639">
        <x:v>0</x:v>
      </x:c>
      <x:c r="AT3" s="640">
        <x:v>0</x:v>
      </x:c>
      <x:c r="AU3" s="640">
        <x:v>0</x:v>
      </x:c>
      <x:c r="AV3" s="640">
        <x:v>0</x:v>
      </x:c>
      <x:c r="AW3" s="640">
        <x:v>0</x:v>
      </x:c>
      <x:c r="AX3" s="641" t="s">
        <x:v>1103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x14ac:dyDescent="0.25">
      <x:c r="A4" s="619" t="s">
        <x:v>1139</x:v>
      </x:c>
      <x:c r="B4" s="57"/>
      <x:c r="C4" s="157"/>
      <x:c r="D4" s="158"/>
      <x:c r="E4" s="158"/>
      <x:c r="F4" s="158"/>
      <x:c r="G4" s="158"/>
      <x:c r="H4" s="197"/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588"/>
      <x:c r="AN4" s="589"/>
      <x:c r="AO4" s="589"/>
      <x:c r="AP4" s="589"/>
      <x:c r="AQ4" s="589"/>
      <x:c r="AR4" s="591"/>
      <x:c r="AS4" s="175">
        <x:v>100</x:v>
      </x:c>
      <x:c r="AT4" s="158">
        <x:v>100</x:v>
      </x:c>
      <x:c r="AU4" s="158">
        <x:v>97.18</x:v>
      </x:c>
      <x:c r="AV4" s="158">
        <x:v>97.01</x:v>
      </x:c>
      <x:c r="AW4" s="600">
        <x:v>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x14ac:dyDescent="0.25">
      <x:c r="A5" s="618" t="s">
        <x:v>455</x:v>
      </x:c>
      <x:c r="B5" s="57" t="s">
        <x:v>11</x:v>
      </x:c>
      <x:c r="C5" s="157"/>
      <x:c r="D5" s="158"/>
      <x:c r="E5" s="158"/>
      <x:c r="F5" s="158"/>
      <x:c r="G5" s="158"/>
      <x:c r="H5" s="197"/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588">
        <x:v>0</x:v>
      </x:c>
      <x:c r="AN5" s="589">
        <x:v>0</x:v>
      </x:c>
      <x:c r="AO5" s="589">
        <x:v>0</x:v>
      </x:c>
      <x:c r="AP5" s="589">
        <x:v>0</x:v>
      </x:c>
      <x:c r="AQ5" s="589">
        <x:v>0</x:v>
      </x:c>
      <x:c r="AR5" s="591" t="s">
        <x:v>1103</x:v>
      </x:c>
      <x:c r="AS5" s="617">
        <x:v>0</x:v>
      </x:c>
      <x:c r="AT5" s="589">
        <x:v>0</x:v>
      </x:c>
      <x:c r="AU5" s="589">
        <x:v>0</x:v>
      </x:c>
      <x:c r="AV5" s="589">
        <x:v>0</x:v>
      </x:c>
      <x:c r="AW5" s="589">
        <x:v>0</x:v>
      </x:c>
      <x:c r="AX5" s="591" t="s">
        <x:v>1103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x14ac:dyDescent="0.25">
      <x:c r="A6" s="97" t="s">
        <x:v>468</x:v>
      </x:c>
      <x:c r="B6" s="60" t="s">
        <x:v>461</x:v>
      </x:c>
      <x:c r="C6" s="157"/>
      <x:c r="D6" s="158"/>
      <x:c r="E6" s="158"/>
      <x:c r="F6" s="158"/>
      <x:c r="G6" s="158"/>
      <x:c r="H6" s="197"/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100</x:v>
      </x:c>
      <x:c r="AO6" s="158">
        <x:v>100</x:v>
      </x:c>
      <x:c r="AP6" s="158">
        <x:v>100</x:v>
      </x:c>
      <x:c r="AQ6" s="158">
        <x:v>100</x:v>
      </x:c>
      <x:c r="AR6" s="620" t="s">
        <x:v>1102</x:v>
      </x:c>
      <x:c r="AS6" s="175">
        <x:v>100</x:v>
      </x:c>
      <x:c r="AT6" s="158">
        <x:v>100</x:v>
      </x:c>
      <x:c r="AU6" s="600">
        <x:v>0</x:v>
      </x:c>
      <x:c r="AV6" s="600">
        <x:v>0</x:v>
      </x:c>
      <x:c r="AW6" s="600">
        <x:v>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x14ac:dyDescent="0.25">
      <x:c r="A7" s="97" t="s">
        <x:v>463</x:v>
      </x:c>
      <x:c r="B7" s="57" t="s">
        <x:v>459</x:v>
      </x:c>
      <x:c r="C7" s="157"/>
      <x:c r="D7" s="158"/>
      <x:c r="E7" s="158"/>
      <x:c r="F7" s="158"/>
      <x:c r="G7" s="158"/>
      <x:c r="H7" s="197"/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589">
        <x:v>0</x:v>
      </x:c>
      <x:c r="AQ7" s="589">
        <x:v>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96.55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x14ac:dyDescent="0.25">
      <x:c r="A8" s="97" t="s">
        <x:v>512</x:v>
      </x:c>
      <x:c r="B8" s="60" t="s">
        <x:v>461</x:v>
      </x:c>
      <x:c r="C8" s="157"/>
      <x:c r="D8" s="158"/>
      <x:c r="E8" s="158"/>
      <x:c r="F8" s="158"/>
      <x:c r="G8" s="158"/>
      <x:c r="H8" s="197"/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158">
        <x:v>100</x:v>
      </x:c>
      <x:c r="AP8" s="158">
        <x:v>100</x:v>
      </x:c>
      <x:c r="AQ8" s="158">
        <x:v>88.89</x:v>
      </x:c>
      <x:c r="AR8" s="620" t="s">
        <x:v>1102</x:v>
      </x:c>
      <x:c r="AS8" s="175">
        <x:v>100</x:v>
      </x:c>
      <x:c r="AT8" s="158">
        <x:v>100</x:v>
      </x:c>
      <x:c r="AU8" s="600">
        <x:v>0</x:v>
      </x:c>
      <x:c r="AV8" s="600">
        <x:v>0</x:v>
      </x:c>
      <x:c r="AW8" s="600">
        <x:v>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x14ac:dyDescent="0.25">
      <x:c r="A9" s="97" t="s">
        <x:v>458</x:v>
      </x:c>
      <x:c r="B9" s="57" t="s">
        <x:v>459</x:v>
      </x:c>
      <x:c r="C9" s="157"/>
      <x:c r="D9" s="158"/>
      <x:c r="E9" s="158"/>
      <x:c r="F9" s="158"/>
      <x:c r="G9" s="158"/>
      <x:c r="H9" s="197"/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100</x:v>
      </x:c>
      <x:c r="AQ9" s="158">
        <x:v>100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600">
        <x:v>0</x:v>
      </x:c>
      <x:c r="AW9" s="600">
        <x:v>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x14ac:dyDescent="0.25">
      <x:c r="A10" s="97" t="s">
        <x:v>489</x:v>
      </x:c>
      <x:c r="B10" s="60" t="s">
        <x:v>461</x:v>
      </x:c>
      <x:c r="C10" s="157"/>
      <x:c r="D10" s="158"/>
      <x:c r="E10" s="158"/>
      <x:c r="F10" s="158"/>
      <x:c r="G10" s="158"/>
      <x:c r="H10" s="197"/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158">
        <x:v>100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600">
        <x:v>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x14ac:dyDescent="0.25">
      <x:c r="A11" s="618" t="s">
        <x:v>503</x:v>
      </x:c>
      <x:c r="B11" s="57" t="s">
        <x:v>461</x:v>
      </x:c>
      <x:c r="C11" s="157"/>
      <x:c r="D11" s="158"/>
      <x:c r="E11" s="158"/>
      <x:c r="F11" s="158"/>
      <x:c r="G11" s="158"/>
      <x:c r="H11" s="197"/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57">
        <x:v>100</x:v>
      </x:c>
      <x:c r="AN11" s="158">
        <x:v>100</x:v>
      </x:c>
      <x:c r="AO11" s="158">
        <x:v>100</x:v>
      </x:c>
      <x:c r="AP11" s="158">
        <x:v>100</x:v>
      </x:c>
      <x:c r="AQ11" s="158">
        <x:v>87.27</x:v>
      </x:c>
      <x:c r="AR11" s="620" t="s">
        <x:v>1102</x:v>
      </x:c>
      <x:c r="AS11" s="617">
        <x:v>0</x:v>
      </x:c>
      <x:c r="AT11" s="589">
        <x:v>0</x:v>
      </x:c>
      <x:c r="AU11" s="589">
        <x:v>0</x:v>
      </x:c>
      <x:c r="AV11" s="589">
        <x:v>0</x:v>
      </x:c>
      <x:c r="AW11" s="589">
        <x:v>0</x:v>
      </x:c>
      <x:c r="AX11" s="591" t="s">
        <x:v>1103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x14ac:dyDescent="0.25">
      <x:c r="A12" s="97" t="s">
        <x:v>462</x:v>
      </x:c>
      <x:c r="B12" s="60" t="s">
        <x:v>459</x:v>
      </x:c>
      <x:c r="C12" s="157"/>
      <x:c r="D12" s="158"/>
      <x:c r="E12" s="158"/>
      <x:c r="F12" s="158"/>
      <x:c r="G12" s="158"/>
      <x:c r="H12" s="197"/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589">
        <x:v>0</x:v>
      </x:c>
      <x:c r="AP12" s="589">
        <x:v>0</x:v>
      </x:c>
      <x:c r="AQ12" s="589">
        <x:v>0</x:v>
      </x:c>
      <x:c r="AR12" s="620" t="s">
        <x:v>1102</x:v>
      </x:c>
      <x:c r="AS12" s="175">
        <x:v>100</x:v>
      </x:c>
      <x:c r="AT12" s="158">
        <x:v>100</x:v>
      </x:c>
      <x:c r="AU12" s="600">
        <x:v>0</x:v>
      </x:c>
      <x:c r="AV12" s="600">
        <x:v>0</x:v>
      </x:c>
      <x:c r="AW12" s="600">
        <x:v>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x14ac:dyDescent="0.25">
      <x:c r="A13" s="97" t="s">
        <x:v>460</x:v>
      </x:c>
      <x:c r="B13" s="57" t="s">
        <x:v>461</x:v>
      </x:c>
      <x:c r="C13" s="157"/>
      <x:c r="D13" s="158"/>
      <x:c r="E13" s="158"/>
      <x:c r="F13" s="158"/>
      <x:c r="G13" s="158"/>
      <x:c r="H13" s="197"/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589">
        <x:v>0</x:v>
      </x:c>
      <x:c r="AP13" s="589">
        <x:v>0</x:v>
      </x:c>
      <x:c r="AQ13" s="589">
        <x:v>0</x:v>
      </x:c>
      <x:c r="AR13" s="620" t="s">
        <x:v>1102</x:v>
      </x:c>
      <x:c r="AS13" s="175">
        <x:v>100</x:v>
      </x:c>
      <x:c r="AT13" s="158">
        <x:v>100</x:v>
      </x:c>
      <x:c r="AU13" s="600">
        <x:v>0</x:v>
      </x:c>
      <x:c r="AV13" s="600">
        <x:v>0</x:v>
      </x:c>
      <x:c r="AW13" s="600">
        <x:v>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x14ac:dyDescent="0.25">
      <x:c r="A14" s="97" t="s">
        <x:v>485</x:v>
      </x:c>
      <x:c r="B14" s="60" t="s">
        <x:v>461</x:v>
      </x:c>
      <x:c r="C14" s="157"/>
      <x:c r="D14" s="158"/>
      <x:c r="E14" s="158"/>
      <x:c r="F14" s="158"/>
      <x:c r="G14" s="158"/>
      <x:c r="H14" s="197"/>
      <x:c r="I14" s="167"/>
      <x:c r="J14" s="185"/>
      <x:c r="K14" s="185"/>
      <x:c r="L14" s="185"/>
      <x:c r="M14" s="185"/>
      <x:c r="N14" s="36"/>
      <x:c r="O14" s="167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589">
        <x:v>0</x:v>
      </x:c>
      <x:c r="AP14" s="589">
        <x:v>0</x:v>
      </x:c>
      <x:c r="AQ14" s="589">
        <x:v>0</x:v>
      </x:c>
      <x:c r="AR14" s="620" t="s">
        <x:v>1102</x:v>
      </x:c>
      <x:c r="AS14" s="175">
        <x:v>100</x:v>
      </x:c>
      <x:c r="AT14" s="158">
        <x:v>94.44</x:v>
      </x:c>
      <x:c r="AU14" s="600">
        <x:v>0</x:v>
      </x:c>
      <x:c r="AV14" s="600">
        <x:v>0</x:v>
      </x:c>
      <x:c r="AW14" s="600">
        <x:v>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x14ac:dyDescent="0.25">
      <x:c r="A15" s="97" t="s">
        <x:v>499</x:v>
      </x:c>
      <x:c r="B15" s="57" t="s">
        <x:v>461</x:v>
      </x:c>
      <x:c r="C15" s="157"/>
      <x:c r="D15" s="158"/>
      <x:c r="E15" s="158"/>
      <x:c r="F15" s="158"/>
      <x:c r="G15" s="158"/>
      <x:c r="H15" s="197"/>
      <x:c r="I15" s="167"/>
      <x:c r="J15" s="185"/>
      <x:c r="K15" s="185"/>
      <x:c r="L15" s="185"/>
      <x:c r="M15" s="185"/>
      <x:c r="N15" s="36"/>
      <x:c r="O15" s="167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600">
        <x:v>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x14ac:dyDescent="0.25">
      <x:c r="A16" s="97" t="s">
        <x:v>494</x:v>
      </x:c>
      <x:c r="B16" s="60" t="s">
        <x:v>480</x:v>
      </x:c>
      <x:c r="C16" s="157"/>
      <x:c r="D16" s="158"/>
      <x:c r="E16" s="158"/>
      <x:c r="F16" s="158"/>
      <x:c r="G16" s="158"/>
      <x:c r="H16" s="197"/>
      <x:c r="I16" s="167"/>
      <x:c r="J16" s="185"/>
      <x:c r="K16" s="185"/>
      <x:c r="L16" s="185"/>
      <x:c r="M16" s="185"/>
      <x:c r="N16" s="36"/>
      <x:c r="O16" s="167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158">
        <x:v>100</x:v>
      </x:c>
      <x:c r="AR16" s="620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600">
        <x:v>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x14ac:dyDescent="0.25">
      <x:c r="A17" s="97" t="s">
        <x:v>486</x:v>
      </x:c>
      <x:c r="B17" s="57" t="s">
        <x:v>461</x:v>
      </x:c>
      <x:c r="C17" s="157"/>
      <x:c r="D17" s="158"/>
      <x:c r="E17" s="158"/>
      <x:c r="F17" s="158"/>
      <x:c r="G17" s="158"/>
      <x:c r="H17" s="197"/>
      <x:c r="I17" s="167"/>
      <x:c r="J17" s="185"/>
      <x:c r="K17" s="185"/>
      <x:c r="L17" s="185"/>
      <x:c r="M17" s="185"/>
      <x:c r="N17" s="36"/>
      <x:c r="O17" s="167"/>
      <x:c r="P17" s="185"/>
      <x:c r="Q17" s="185"/>
      <x:c r="R17" s="185"/>
      <x:c r="S17" s="185"/>
      <x:c r="T17" s="36"/>
      <x:c r="U17" s="167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158">
        <x:v>100</x:v>
      </x:c>
      <x:c r="AR17" s="620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x14ac:dyDescent="0.25">
      <x:c r="A18" s="619" t="s">
        <x:v>473</x:v>
      </x:c>
      <x:c r="B18" s="60" t="s">
        <x:v>461</x:v>
      </x:c>
      <x:c r="C18" s="157"/>
      <x:c r="D18" s="158"/>
      <x:c r="E18" s="158"/>
      <x:c r="F18" s="158"/>
      <x:c r="G18" s="158"/>
      <x:c r="H18" s="197"/>
      <x:c r="I18" s="167"/>
      <x:c r="J18" s="185"/>
      <x:c r="K18" s="185"/>
      <x:c r="L18" s="185"/>
      <x:c r="M18" s="185"/>
      <x:c r="N18" s="36"/>
      <x:c r="O18" s="167"/>
      <x:c r="P18" s="185"/>
      <x:c r="Q18" s="185"/>
      <x:c r="R18" s="185"/>
      <x:c r="S18" s="185"/>
      <x:c r="T18" s="36"/>
      <x:c r="U18" s="167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588">
        <x:v>0</x:v>
      </x:c>
      <x:c r="AN18" s="589">
        <x:v>0</x:v>
      </x:c>
      <x:c r="AO18" s="589">
        <x:v>0</x:v>
      </x:c>
      <x:c r="AP18" s="589">
        <x:v>0</x:v>
      </x:c>
      <x:c r="AQ18" s="589">
        <x:v>0</x:v>
      </x:c>
      <x:c r="AR18" s="591" t="s">
        <x:v>1103</x:v>
      </x:c>
      <x:c r="AS18" s="175">
        <x:v>100</x:v>
      </x:c>
      <x:c r="AT18" s="158">
        <x:v>100</x:v>
      </x:c>
      <x:c r="AU18" s="600">
        <x:v>0</x:v>
      </x:c>
      <x:c r="AV18" s="600">
        <x:v>0</x:v>
      </x:c>
      <x:c r="AW18" s="600">
        <x:v>0</x:v>
      </x:c>
      <x:c r="AX18" s="585" t="s">
        <x:v>1102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x14ac:dyDescent="0.25">
      <x:c r="A19" s="97" t="s">
        <x:v>508</x:v>
      </x:c>
      <x:c r="B19" s="57" t="s">
        <x:v>480</x:v>
      </x:c>
      <x:c r="C19" s="157"/>
      <x:c r="D19" s="158"/>
      <x:c r="E19" s="158"/>
      <x:c r="F19" s="158"/>
      <x:c r="G19" s="158"/>
      <x:c r="H19" s="197"/>
      <x:c r="I19" s="167"/>
      <x:c r="J19" s="185"/>
      <x:c r="K19" s="185"/>
      <x:c r="L19" s="185"/>
      <x:c r="M19" s="185"/>
      <x:c r="N19" s="36"/>
      <x:c r="O19" s="167"/>
      <x:c r="P19" s="185"/>
      <x:c r="Q19" s="185"/>
      <x:c r="R19" s="185"/>
      <x:c r="S19" s="185"/>
      <x:c r="T19" s="36"/>
      <x:c r="U19" s="167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100</x:v>
      </x:c>
      <x:c r="AQ19" s="158">
        <x:v>100</x:v>
      </x:c>
      <x:c r="AR19" s="620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x14ac:dyDescent="0.25">
      <x:c r="A20" s="618" t="s">
        <x:v>506</x:v>
      </x:c>
      <x:c r="B20" s="60" t="s">
        <x:v>461</x:v>
      </x:c>
      <x:c r="C20" s="157"/>
      <x:c r="D20" s="158"/>
      <x:c r="E20" s="158"/>
      <x:c r="F20" s="158"/>
      <x:c r="G20" s="158"/>
      <x:c r="H20" s="197"/>
      <x:c r="I20" s="167"/>
      <x:c r="J20" s="185"/>
      <x:c r="K20" s="185"/>
      <x:c r="L20" s="185"/>
      <x:c r="M20" s="185"/>
      <x:c r="N20" s="36"/>
      <x:c r="O20" s="167"/>
      <x:c r="P20" s="185"/>
      <x:c r="Q20" s="185"/>
      <x:c r="R20" s="185"/>
      <x:c r="S20" s="185"/>
      <x:c r="T20" s="36"/>
      <x:c r="U20" s="167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588">
        <x:v>0</x:v>
      </x:c>
      <x:c r="AN20" s="589">
        <x:v>0</x:v>
      </x:c>
      <x:c r="AO20" s="589">
        <x:v>0</x:v>
      </x:c>
      <x:c r="AP20" s="589">
        <x:v>0</x:v>
      </x:c>
      <x:c r="AQ20" s="589">
        <x:v>0</x:v>
      </x:c>
      <x:c r="AR20" s="591" t="s">
        <x:v>1103</x:v>
      </x:c>
      <x:c r="AS20" s="617">
        <x:v>0</x:v>
      </x:c>
      <x:c r="AT20" s="589">
        <x:v>0</x:v>
      </x:c>
      <x:c r="AU20" s="589">
        <x:v>0</x:v>
      </x:c>
      <x:c r="AV20" s="589">
        <x:v>0</x:v>
      </x:c>
      <x:c r="AW20" s="589">
        <x:v>0</x:v>
      </x:c>
      <x:c r="AX20" s="591" t="s">
        <x:v>1103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x14ac:dyDescent="0.25">
      <x:c r="A21" s="618" t="s">
        <x:v>395</x:v>
      </x:c>
      <x:c r="B21" s="57" t="s">
        <x:v>11</x:v>
      </x:c>
      <x:c r="C21" s="157"/>
      <x:c r="D21" s="158"/>
      <x:c r="E21" s="158"/>
      <x:c r="F21" s="158"/>
      <x:c r="G21" s="158"/>
      <x:c r="H21" s="197"/>
      <x:c r="I21" s="167"/>
      <x:c r="J21" s="185"/>
      <x:c r="K21" s="185"/>
      <x:c r="L21" s="185"/>
      <x:c r="M21" s="185"/>
      <x:c r="N21" s="36"/>
      <x:c r="O21" s="167"/>
      <x:c r="P21" s="185"/>
      <x:c r="Q21" s="185"/>
      <x:c r="R21" s="185"/>
      <x:c r="S21" s="185"/>
      <x:c r="T21" s="36"/>
      <x:c r="U21" s="167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588">
        <x:v>0</x:v>
      </x:c>
      <x:c r="AN21" s="589">
        <x:v>0</x:v>
      </x:c>
      <x:c r="AO21" s="589">
        <x:v>0</x:v>
      </x:c>
      <x:c r="AP21" s="589">
        <x:v>0</x:v>
      </x:c>
      <x:c r="AQ21" s="589">
        <x:v>0</x:v>
      </x:c>
      <x:c r="AR21" s="591" t="s">
        <x:v>1103</x:v>
      </x:c>
      <x:c r="AS21" s="617">
        <x:v>0</x:v>
      </x:c>
      <x:c r="AT21" s="589">
        <x:v>0</x:v>
      </x:c>
      <x:c r="AU21" s="589">
        <x:v>0</x:v>
      </x:c>
      <x:c r="AV21" s="589">
        <x:v>0</x:v>
      </x:c>
      <x:c r="AW21" s="589">
        <x:v>0</x:v>
      </x:c>
      <x:c r="AX21" s="591" t="s">
        <x:v>1103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x14ac:dyDescent="0.25">
      <x:c r="A22" s="97" t="s">
        <x:v>482</x:v>
      </x:c>
      <x:c r="B22" s="60" t="s">
        <x:v>480</x:v>
      </x:c>
      <x:c r="C22" s="157"/>
      <x:c r="D22" s="158"/>
      <x:c r="E22" s="158"/>
      <x:c r="F22" s="158"/>
      <x:c r="G22" s="158"/>
      <x:c r="H22" s="197"/>
      <x:c r="I22" s="167"/>
      <x:c r="J22" s="185"/>
      <x:c r="K22" s="185"/>
      <x:c r="L22" s="185"/>
      <x:c r="M22" s="185"/>
      <x:c r="N22" s="36"/>
      <x:c r="O22" s="167"/>
      <x:c r="P22" s="185"/>
      <x:c r="Q22" s="185"/>
      <x:c r="R22" s="185"/>
      <x:c r="S22" s="185"/>
      <x:c r="T22" s="36"/>
      <x:c r="U22" s="167"/>
      <x:c r="V22" s="185"/>
      <x:c r="W22" s="185"/>
      <x:c r="X22" s="185"/>
      <x:c r="Y22" s="185"/>
      <x:c r="Z22" s="36"/>
      <x:c r="AA22" s="167"/>
      <x:c r="AB22" s="185"/>
      <x:c r="AC22" s="185"/>
      <x:c r="AD22" s="185"/>
      <x:c r="AE22" s="185"/>
      <x:c r="AF22" s="36"/>
      <x:c r="AG22" s="167"/>
      <x:c r="AH22" s="185"/>
      <x:c r="AI22" s="185"/>
      <x:c r="AJ22" s="185"/>
      <x:c r="AK22" s="185"/>
      <x:c r="AL22" s="36"/>
      <x:c r="AM22" s="157">
        <x:v>100</x:v>
      </x:c>
      <x:c r="AN22" s="158">
        <x:v>100</x:v>
      </x:c>
      <x:c r="AO22" s="158">
        <x:v>100</x:v>
      </x:c>
      <x:c r="AP22" s="158">
        <x:v>100</x:v>
      </x:c>
      <x:c r="AQ22" s="158">
        <x:v>83.33</x:v>
      </x:c>
      <x:c r="AR22" s="620" t="s">
        <x:v>1102</x:v>
      </x:c>
      <x:c r="AS22" s="175">
        <x:v>100</x:v>
      </x:c>
      <x:c r="AT22" s="158">
        <x:v>100</x:v>
      </x:c>
      <x:c r="AU22" s="158">
        <x:v>100</x:v>
      </x:c>
      <x:c r="AV22" s="158">
        <x:v>100</x:v>
      </x:c>
      <x:c r="AW22" s="600">
        <x:v>0</x:v>
      </x:c>
      <x:c r="AX22" s="585" t="s">
        <x:v>1102</x:v>
      </x:c>
      <x:c r="AY22" s="167"/>
      <x:c r="AZ22" s="185"/>
      <x:c r="BA22" s="185"/>
      <x:c r="BB22" s="185"/>
      <x:c r="BC22" s="185"/>
      <x:c r="BD22" s="36"/>
      <x:c r="BE22" s="167"/>
      <x:c r="BF22" s="185"/>
      <x:c r="BG22" s="185"/>
      <x:c r="BH22" s="185"/>
      <x:c r="BI22" s="185"/>
      <x:c r="BJ22" s="36"/>
      <x:c r="BK22" s="167"/>
      <x:c r="BL22" s="185"/>
      <x:c r="BM22" s="185"/>
      <x:c r="BN22" s="185"/>
      <x:c r="BO22" s="185"/>
      <x:c r="BP22" s="36"/>
      <x:c r="BQ22" s="167"/>
      <x:c r="BR22" s="185"/>
      <x:c r="BS22" s="185"/>
      <x:c r="BT22" s="185"/>
      <x:c r="BU22" s="185"/>
      <x:c r="BV22" s="36"/>
    </x:row>
    <x:row r="23" spans="1:74" x14ac:dyDescent="0.25">
      <x:c r="A23" s="97" t="s">
        <x:v>488</x:v>
      </x:c>
      <x:c r="B23" s="57" t="s">
        <x:v>461</x:v>
      </x:c>
      <x:c r="C23" s="157"/>
      <x:c r="D23" s="158"/>
      <x:c r="E23" s="158"/>
      <x:c r="F23" s="158"/>
      <x:c r="G23" s="158"/>
      <x:c r="H23" s="197"/>
      <x:c r="I23" s="167"/>
      <x:c r="J23" s="185"/>
      <x:c r="K23" s="185"/>
      <x:c r="L23" s="185"/>
      <x:c r="M23" s="185"/>
      <x:c r="N23" s="36"/>
      <x:c r="O23" s="167"/>
      <x:c r="P23" s="185"/>
      <x:c r="Q23" s="185"/>
      <x:c r="R23" s="185"/>
      <x:c r="S23" s="185"/>
      <x:c r="T23" s="36"/>
      <x:c r="U23" s="167"/>
      <x:c r="V23" s="185"/>
      <x:c r="W23" s="185"/>
      <x:c r="X23" s="185"/>
      <x:c r="Y23" s="185"/>
      <x:c r="Z23" s="36"/>
      <x:c r="AA23" s="167"/>
      <x:c r="AB23" s="185"/>
      <x:c r="AC23" s="185"/>
      <x:c r="AD23" s="185"/>
      <x:c r="AE23" s="185"/>
      <x:c r="AF23" s="36"/>
      <x:c r="AG23" s="167"/>
      <x:c r="AH23" s="185"/>
      <x:c r="AI23" s="185"/>
      <x:c r="AJ23" s="185"/>
      <x:c r="AK23" s="185"/>
      <x:c r="AL23" s="36"/>
      <x:c r="AM23" s="157">
        <x:v>100</x:v>
      </x:c>
      <x:c r="AN23" s="158">
        <x:v>100</x:v>
      </x:c>
      <x:c r="AO23" s="158">
        <x:v>100</x:v>
      </x:c>
      <x:c r="AP23" s="158">
        <x:v>100</x:v>
      </x:c>
      <x:c r="AQ23" s="158">
        <x:v>100</x:v>
      </x:c>
      <x:c r="AR23" s="620" t="s">
        <x:v>1102</x:v>
      </x:c>
      <x:c r="AS23" s="175">
        <x:v>100</x:v>
      </x:c>
      <x:c r="AT23" s="158">
        <x:v>100</x:v>
      </x:c>
      <x:c r="AU23" s="600">
        <x:v>0</x:v>
      </x:c>
      <x:c r="AV23" s="600">
        <x:v>0</x:v>
      </x:c>
      <x:c r="AW23" s="600">
        <x:v>0</x:v>
      </x:c>
      <x:c r="AX23" s="585" t="s">
        <x:v>1102</x:v>
      </x:c>
      <x:c r="AY23" s="167"/>
      <x:c r="AZ23" s="185"/>
      <x:c r="BA23" s="185"/>
      <x:c r="BB23" s="185"/>
      <x:c r="BC23" s="185"/>
      <x:c r="BD23" s="36"/>
      <x:c r="BE23" s="167"/>
      <x:c r="BF23" s="185"/>
      <x:c r="BG23" s="185"/>
      <x:c r="BH23" s="185"/>
      <x:c r="BI23" s="185"/>
      <x:c r="BJ23" s="36"/>
      <x:c r="BK23" s="167"/>
      <x:c r="BL23" s="185"/>
      <x:c r="BM23" s="185"/>
      <x:c r="BN23" s="185"/>
      <x:c r="BO23" s="185"/>
      <x:c r="BP23" s="36"/>
      <x:c r="BQ23" s="167"/>
      <x:c r="BR23" s="185"/>
      <x:c r="BS23" s="185"/>
      <x:c r="BT23" s="185"/>
      <x:c r="BU23" s="185"/>
      <x:c r="BV23" s="36"/>
    </x:row>
    <x:row r="24" spans="1:74" x14ac:dyDescent="0.25">
      <x:c r="A24" s="97" t="s">
        <x:v>466</x:v>
      </x:c>
      <x:c r="B24" s="60" t="s">
        <x:v>459</x:v>
      </x:c>
      <x:c r="C24" s="157"/>
      <x:c r="D24" s="158"/>
      <x:c r="E24" s="158"/>
      <x:c r="F24" s="158"/>
      <x:c r="G24" s="158"/>
      <x:c r="H24" s="197"/>
      <x:c r="I24" s="167"/>
      <x:c r="J24" s="185"/>
      <x:c r="K24" s="185"/>
      <x:c r="L24" s="185"/>
      <x:c r="M24" s="185"/>
      <x:c r="N24" s="36"/>
      <x:c r="O24" s="167"/>
      <x:c r="P24" s="185"/>
      <x:c r="Q24" s="185"/>
      <x:c r="R24" s="185"/>
      <x:c r="S24" s="185"/>
      <x:c r="T24" s="36"/>
      <x:c r="U24" s="167"/>
      <x:c r="V24" s="185"/>
      <x:c r="W24" s="185"/>
      <x:c r="X24" s="185"/>
      <x:c r="Y24" s="185"/>
      <x:c r="Z24" s="36"/>
      <x:c r="AA24" s="167"/>
      <x:c r="AB24" s="185"/>
      <x:c r="AC24" s="185"/>
      <x:c r="AD24" s="185"/>
      <x:c r="AE24" s="185"/>
      <x:c r="AF24" s="36"/>
      <x:c r="AG24" s="167"/>
      <x:c r="AH24" s="185"/>
      <x:c r="AI24" s="185"/>
      <x:c r="AJ24" s="185"/>
      <x:c r="AK24" s="185"/>
      <x:c r="AL24" s="36"/>
      <x:c r="AM24" s="157">
        <x:v>100</x:v>
      </x:c>
      <x:c r="AN24" s="158">
        <x:v>100</x:v>
      </x:c>
      <x:c r="AO24" s="589">
        <x:v>0</x:v>
      </x:c>
      <x:c r="AP24" s="589">
        <x:v>0</x:v>
      </x:c>
      <x:c r="AQ24" s="589">
        <x:v>0</x:v>
      </x:c>
      <x:c r="AR24" s="620" t="s">
        <x:v>1102</x:v>
      </x:c>
      <x:c r="AS24" s="175">
        <x:v>100</x:v>
      </x:c>
      <x:c r="AT24" s="158">
        <x:v>100</x:v>
      </x:c>
      <x:c r="AU24" s="600">
        <x:v>0</x:v>
      </x:c>
      <x:c r="AV24" s="600">
        <x:v>0</x:v>
      </x:c>
      <x:c r="AW24" s="600">
        <x:v>0</x:v>
      </x:c>
      <x:c r="AX24" s="585" t="s">
        <x:v>1102</x:v>
      </x:c>
      <x:c r="AY24" s="167"/>
      <x:c r="AZ24" s="185"/>
      <x:c r="BA24" s="185"/>
      <x:c r="BB24" s="185"/>
      <x:c r="BC24" s="185"/>
      <x:c r="BD24" s="36"/>
      <x:c r="BE24" s="167"/>
      <x:c r="BF24" s="185"/>
      <x:c r="BG24" s="185"/>
      <x:c r="BH24" s="185"/>
      <x:c r="BI24" s="185"/>
      <x:c r="BJ24" s="36"/>
      <x:c r="BK24" s="167"/>
      <x:c r="BL24" s="185"/>
      <x:c r="BM24" s="185"/>
      <x:c r="BN24" s="185"/>
      <x:c r="BO24" s="185"/>
      <x:c r="BP24" s="36"/>
      <x:c r="BQ24" s="167"/>
      <x:c r="BR24" s="185"/>
      <x:c r="BS24" s="185"/>
      <x:c r="BT24" s="185"/>
      <x:c r="BU24" s="185"/>
      <x:c r="BV24" s="36"/>
    </x:row>
    <x:row r="25" spans="1:74" ht="22.5" customHeight="1" x14ac:dyDescent="0.25">
      <x:c r="A25" s="97" t="s">
        <x:v>478</x:v>
      </x:c>
      <x:c r="B25" s="57" t="s">
        <x:v>461</x:v>
      </x:c>
      <x:c r="C25" s="157"/>
      <x:c r="D25" s="158"/>
      <x:c r="E25" s="158"/>
      <x:c r="F25" s="158"/>
      <x:c r="G25" s="158"/>
      <x:c r="H25" s="197"/>
      <x:c r="I25" s="167"/>
      <x:c r="J25" s="185"/>
      <x:c r="K25" s="185"/>
      <x:c r="L25" s="185"/>
      <x:c r="M25" s="185"/>
      <x:c r="N25" s="36"/>
      <x:c r="O25" s="167"/>
      <x:c r="P25" s="185"/>
      <x:c r="Q25" s="185"/>
      <x:c r="R25" s="185"/>
      <x:c r="S25" s="185"/>
      <x:c r="T25" s="36"/>
      <x:c r="U25" s="167"/>
      <x:c r="V25" s="185"/>
      <x:c r="W25" s="185"/>
      <x:c r="X25" s="185"/>
      <x:c r="Y25" s="185"/>
      <x:c r="Z25" s="36"/>
      <x:c r="AA25" s="167"/>
      <x:c r="AB25" s="185"/>
      <x:c r="AC25" s="185"/>
      <x:c r="AD25" s="185"/>
      <x:c r="AE25" s="185"/>
      <x:c r="AF25" s="36"/>
      <x:c r="AG25" s="167"/>
      <x:c r="AH25" s="185"/>
      <x:c r="AI25" s="185"/>
      <x:c r="AJ25" s="185"/>
      <x:c r="AK25" s="185"/>
      <x:c r="AL25" s="36"/>
      <x:c r="AM25" s="157">
        <x:v>100</x:v>
      </x:c>
      <x:c r="AN25" s="158">
        <x:v>90.91</x:v>
      </x:c>
      <x:c r="AO25" s="589">
        <x:v>0</x:v>
      </x:c>
      <x:c r="AP25" s="589">
        <x:v>0</x:v>
      </x:c>
      <x:c r="AQ25" s="589">
        <x:v>0</x:v>
      </x:c>
      <x:c r="AR25" s="620" t="s">
        <x:v>1102</x:v>
      </x:c>
      <x:c r="AS25" s="175">
        <x:v>100</x:v>
      </x:c>
      <x:c r="AT25" s="158">
        <x:v>61.11</x:v>
      </x:c>
      <x:c r="AU25" s="600">
        <x:v>0</x:v>
      </x:c>
      <x:c r="AV25" s="600">
        <x:v>0</x:v>
      </x:c>
      <x:c r="AW25" s="600">
        <x:v>0</x:v>
      </x:c>
      <x:c r="AX25" s="585" t="s">
        <x:v>1102</x:v>
      </x:c>
      <x:c r="AY25" s="167"/>
      <x:c r="AZ25" s="185"/>
      <x:c r="BA25" s="185"/>
      <x:c r="BB25" s="185"/>
      <x:c r="BC25" s="185"/>
      <x:c r="BD25" s="36"/>
      <x:c r="BE25" s="167"/>
      <x:c r="BF25" s="185"/>
      <x:c r="BG25" s="185"/>
      <x:c r="BH25" s="185"/>
      <x:c r="BI25" s="185"/>
      <x:c r="BJ25" s="36"/>
      <x:c r="BK25" s="167"/>
      <x:c r="BL25" s="185"/>
      <x:c r="BM25" s="185"/>
      <x:c r="BN25" s="185"/>
      <x:c r="BO25" s="185"/>
      <x:c r="BP25" s="36"/>
      <x:c r="BQ25" s="167"/>
      <x:c r="BR25" s="185"/>
      <x:c r="BS25" s="185"/>
      <x:c r="BT25" s="185"/>
      <x:c r="BU25" s="185"/>
      <x:c r="BV25" s="36"/>
    </x:row>
    <x:row r="26" spans="1:74" ht="22.5" customHeight="1" x14ac:dyDescent="0.25">
      <x:c r="A26" s="618" t="s">
        <x:v>509</x:v>
      </x:c>
      <x:c r="B26" s="60" t="s">
        <x:v>510</x:v>
      </x:c>
      <x:c r="C26" s="157"/>
      <x:c r="D26" s="158"/>
      <x:c r="E26" s="158"/>
      <x:c r="F26" s="158"/>
      <x:c r="G26" s="158"/>
      <x:c r="H26" s="197"/>
      <x:c r="I26" s="167"/>
      <x:c r="J26" s="185"/>
      <x:c r="K26" s="185"/>
      <x:c r="L26" s="185"/>
      <x:c r="M26" s="185"/>
      <x:c r="N26" s="36"/>
      <x:c r="O26" s="167"/>
      <x:c r="P26" s="185"/>
      <x:c r="Q26" s="185"/>
      <x:c r="R26" s="185"/>
      <x:c r="S26" s="185"/>
      <x:c r="T26" s="36"/>
      <x:c r="U26" s="167"/>
      <x:c r="V26" s="185"/>
      <x:c r="W26" s="185"/>
      <x:c r="X26" s="185"/>
      <x:c r="Y26" s="185"/>
      <x:c r="Z26" s="36"/>
      <x:c r="AA26" s="167"/>
      <x:c r="AB26" s="185"/>
      <x:c r="AC26" s="185"/>
      <x:c r="AD26" s="185"/>
      <x:c r="AE26" s="185"/>
      <x:c r="AF26" s="36"/>
      <x:c r="AG26" s="167"/>
      <x:c r="AH26" s="185"/>
      <x:c r="AI26" s="185"/>
      <x:c r="AJ26" s="185"/>
      <x:c r="AK26" s="185"/>
      <x:c r="AL26" s="36"/>
      <x:c r="AM26" s="588">
        <x:v>0</x:v>
      </x:c>
      <x:c r="AN26" s="589">
        <x:v>0</x:v>
      </x:c>
      <x:c r="AO26" s="589">
        <x:v>0</x:v>
      </x:c>
      <x:c r="AP26" s="589">
        <x:v>0</x:v>
      </x:c>
      <x:c r="AQ26" s="589">
        <x:v>0</x:v>
      </x:c>
      <x:c r="AR26" s="591" t="s">
        <x:v>1103</x:v>
      </x:c>
      <x:c r="AS26" s="617">
        <x:v>0</x:v>
      </x:c>
      <x:c r="AT26" s="589">
        <x:v>0</x:v>
      </x:c>
      <x:c r="AU26" s="589">
        <x:v>0</x:v>
      </x:c>
      <x:c r="AV26" s="589">
        <x:v>0</x:v>
      </x:c>
      <x:c r="AW26" s="589">
        <x:v>0</x:v>
      </x:c>
      <x:c r="AX26" s="591" t="s">
        <x:v>1103</x:v>
      </x:c>
      <x:c r="AY26" s="167"/>
      <x:c r="AZ26" s="185"/>
      <x:c r="BA26" s="185"/>
      <x:c r="BB26" s="185"/>
      <x:c r="BC26" s="185"/>
      <x:c r="BD26" s="36"/>
      <x:c r="BE26" s="167"/>
      <x:c r="BF26" s="185"/>
      <x:c r="BG26" s="185"/>
      <x:c r="BH26" s="185"/>
      <x:c r="BI26" s="185"/>
      <x:c r="BJ26" s="36"/>
      <x:c r="BK26" s="167"/>
      <x:c r="BL26" s="185"/>
      <x:c r="BM26" s="185"/>
      <x:c r="BN26" s="185"/>
      <x:c r="BO26" s="185"/>
      <x:c r="BP26" s="36"/>
      <x:c r="BQ26" s="167"/>
      <x:c r="BR26" s="185"/>
      <x:c r="BS26" s="185"/>
      <x:c r="BT26" s="185"/>
      <x:c r="BU26" s="185"/>
      <x:c r="BV26" s="36"/>
    </x:row>
    <x:row r="27" spans="1:74" x14ac:dyDescent="0.25">
      <x:c r="A27" s="97" t="s">
        <x:v>498</x:v>
      </x:c>
      <x:c r="B27" s="57" t="s">
        <x:v>461</x:v>
      </x:c>
      <x:c r="C27" s="157"/>
      <x:c r="D27" s="158"/>
      <x:c r="E27" s="158"/>
      <x:c r="F27" s="158"/>
      <x:c r="G27" s="158"/>
      <x:c r="H27" s="197"/>
      <x:c r="I27" s="167"/>
      <x:c r="J27" s="185"/>
      <x:c r="K27" s="185"/>
      <x:c r="L27" s="185"/>
      <x:c r="M27" s="185"/>
      <x:c r="N27" s="36"/>
      <x:c r="O27" s="167"/>
      <x:c r="P27" s="185"/>
      <x:c r="Q27" s="185"/>
      <x:c r="R27" s="185"/>
      <x:c r="S27" s="185"/>
      <x:c r="T27" s="36"/>
      <x:c r="U27" s="167"/>
      <x:c r="V27" s="185"/>
      <x:c r="W27" s="185"/>
      <x:c r="X27" s="185"/>
      <x:c r="Y27" s="185"/>
      <x:c r="Z27" s="36"/>
      <x:c r="AA27" s="167"/>
      <x:c r="AB27" s="185"/>
      <x:c r="AC27" s="185"/>
      <x:c r="AD27" s="185"/>
      <x:c r="AE27" s="185"/>
      <x:c r="AF27" s="36"/>
      <x:c r="AG27" s="167"/>
      <x:c r="AH27" s="185"/>
      <x:c r="AI27" s="185"/>
      <x:c r="AJ27" s="185"/>
      <x:c r="AK27" s="185"/>
      <x:c r="AL27" s="36"/>
      <x:c r="AM27" s="157">
        <x:v>100</x:v>
      </x:c>
      <x:c r="AN27" s="158">
        <x:v>100</x:v>
      </x:c>
      <x:c r="AO27" s="589">
        <x:v>0</x:v>
      </x:c>
      <x:c r="AP27" s="589">
        <x:v>0</x:v>
      </x:c>
      <x:c r="AQ27" s="589">
        <x:v>0</x:v>
      </x:c>
      <x:c r="AR27" s="620" t="s">
        <x:v>1102</x:v>
      </x:c>
      <x:c r="AS27" s="175">
        <x:v>100</x:v>
      </x:c>
      <x:c r="AT27" s="158">
        <x:v>100</x:v>
      </x:c>
      <x:c r="AU27" s="600">
        <x:v>0</x:v>
      </x:c>
      <x:c r="AV27" s="600">
        <x:v>0</x:v>
      </x:c>
      <x:c r="AW27" s="600">
        <x:v>0</x:v>
      </x:c>
      <x:c r="AX27" s="585" t="s">
        <x:v>1102</x:v>
      </x:c>
      <x:c r="AY27" s="167"/>
      <x:c r="AZ27" s="185"/>
      <x:c r="BA27" s="185"/>
      <x:c r="BB27" s="185"/>
      <x:c r="BC27" s="185"/>
      <x:c r="BD27" s="36"/>
      <x:c r="BE27" s="167"/>
      <x:c r="BF27" s="185"/>
      <x:c r="BG27" s="185"/>
      <x:c r="BH27" s="185"/>
      <x:c r="BI27" s="185"/>
      <x:c r="BJ27" s="36"/>
      <x:c r="BK27" s="167"/>
      <x:c r="BL27" s="185"/>
      <x:c r="BM27" s="185"/>
      <x:c r="BN27" s="185"/>
      <x:c r="BO27" s="185"/>
      <x:c r="BP27" s="36"/>
      <x:c r="BQ27" s="167"/>
      <x:c r="BR27" s="185"/>
      <x:c r="BS27" s="185"/>
      <x:c r="BT27" s="185"/>
      <x:c r="BU27" s="185"/>
      <x:c r="BV27" s="36"/>
    </x:row>
    <x:row r="28" spans="1:74" x14ac:dyDescent="0.25">
      <x:c r="A28" s="97" t="s">
        <x:v>469</x:v>
      </x:c>
      <x:c r="B28" s="60" t="s">
        <x:v>461</x:v>
      </x:c>
      <x:c r="C28" s="181"/>
      <x:c r="D28" s="182"/>
      <x:c r="E28" s="182"/>
      <x:c r="F28" s="182"/>
      <x:c r="G28" s="182"/>
      <x:c r="H28" s="206"/>
      <x:c r="I28" s="44"/>
      <x:c r="J28" s="45"/>
      <x:c r="K28" s="45"/>
      <x:c r="L28" s="45"/>
      <x:c r="M28" s="45"/>
      <x:c r="N28" s="48"/>
      <x:c r="O28" s="44"/>
      <x:c r="P28" s="45"/>
      <x:c r="Q28" s="45"/>
      <x:c r="R28" s="45"/>
      <x:c r="S28" s="45"/>
      <x:c r="T28" s="48"/>
      <x:c r="U28" s="44"/>
      <x:c r="V28" s="45"/>
      <x:c r="W28" s="45"/>
      <x:c r="X28" s="45"/>
      <x:c r="Y28" s="45"/>
      <x:c r="Z28" s="48"/>
      <x:c r="AA28" s="44"/>
      <x:c r="AB28" s="45"/>
      <x:c r="AC28" s="45"/>
      <x:c r="AD28" s="45"/>
      <x:c r="AE28" s="45"/>
      <x:c r="AF28" s="48"/>
      <x:c r="AG28" s="44"/>
      <x:c r="AH28" s="45"/>
      <x:c r="AI28" s="45"/>
      <x:c r="AJ28" s="45"/>
      <x:c r="AK28" s="45"/>
      <x:c r="AL28" s="48"/>
      <x:c r="AM28" s="181">
        <x:v>100</x:v>
      </x:c>
      <x:c r="AN28" s="182">
        <x:v>100</x:v>
      </x:c>
      <x:c r="AO28" s="182">
        <x:v>100</x:v>
      </x:c>
      <x:c r="AP28" s="182">
        <x:v>100</x:v>
      </x:c>
      <x:c r="AQ28" s="182">
        <x:v>100</x:v>
      </x:c>
      <x:c r="AR28" s="632" t="s">
        <x:v>1102</x:v>
      </x:c>
      <x:c r="AS28" s="181">
        <x:v>100</x:v>
      </x:c>
      <x:c r="AT28" s="182">
        <x:v>100</x:v>
      </x:c>
      <x:c r="AU28" s="651">
        <x:v>0</x:v>
      </x:c>
      <x:c r="AV28" s="651">
        <x:v>0</x:v>
      </x:c>
      <x:c r="AW28" s="651">
        <x:v>0</x:v>
      </x:c>
      <x:c r="AX28" s="608" t="s">
        <x:v>1102</x:v>
      </x:c>
      <x:c r="AY28" s="44"/>
      <x:c r="AZ28" s="45"/>
      <x:c r="BA28" s="45"/>
      <x:c r="BB28" s="45"/>
      <x:c r="BC28" s="45"/>
      <x:c r="BD28" s="48"/>
      <x:c r="BE28" s="44"/>
      <x:c r="BF28" s="45"/>
      <x:c r="BG28" s="45"/>
      <x:c r="BH28" s="45"/>
      <x:c r="BI28" s="45"/>
      <x:c r="BJ28" s="48"/>
      <x:c r="BK28" s="44"/>
      <x:c r="BL28" s="45"/>
      <x:c r="BM28" s="45"/>
      <x:c r="BN28" s="45"/>
      <x:c r="BO28" s="45"/>
      <x:c r="BP28" s="48"/>
      <x:c r="BQ28" s="44"/>
      <x:c r="BR28" s="45"/>
      <x:c r="BS28" s="45"/>
      <x:c r="BT28" s="45"/>
      <x:c r="BU28" s="45"/>
      <x:c r="BV28" s="48"/>
    </x:row>
    <x:row r="29" spans="1:74" x14ac:dyDescent="0.25">
      <x:c r="A29" s="618" t="s">
        <x:v>456</x:v>
      </x:c>
      <x:c r="B29" s="3" t="s">
        <x:v>457</x:v>
      </x:c>
      <x:c r="C29" s="181"/>
      <x:c r="D29" s="182"/>
      <x:c r="E29" s="182"/>
      <x:c r="F29" s="182"/>
      <x:c r="G29" s="182"/>
      <x:c r="H29" s="206"/>
      <x:c r="I29" s="44"/>
      <x:c r="J29" s="45"/>
      <x:c r="K29" s="45"/>
      <x:c r="L29" s="45"/>
      <x:c r="M29" s="45"/>
      <x:c r="N29" s="48"/>
      <x:c r="O29" s="44"/>
      <x:c r="P29" s="45"/>
      <x:c r="Q29" s="45"/>
      <x:c r="R29" s="45"/>
      <x:c r="S29" s="45"/>
      <x:c r="T29" s="48"/>
      <x:c r="U29" s="44"/>
      <x:c r="V29" s="45"/>
      <x:c r="W29" s="45"/>
      <x:c r="X29" s="45"/>
      <x:c r="Y29" s="45"/>
      <x:c r="Z29" s="48"/>
      <x:c r="AA29" s="44"/>
      <x:c r="AB29" s="45"/>
      <x:c r="AC29" s="45"/>
      <x:c r="AD29" s="45"/>
      <x:c r="AE29" s="45"/>
      <x:c r="AF29" s="48"/>
      <x:c r="AG29" s="44"/>
      <x:c r="AH29" s="45"/>
      <x:c r="AI29" s="45"/>
      <x:c r="AJ29" s="45"/>
      <x:c r="AK29" s="45"/>
      <x:c r="AL29" s="48"/>
      <x:c r="AM29" s="609">
        <x:v>0</x:v>
      </x:c>
      <x:c r="AN29" s="649">
        <x:v>0</x:v>
      </x:c>
      <x:c r="AO29" s="649">
        <x:v>0</x:v>
      </x:c>
      <x:c r="AP29" s="649">
        <x:v>0</x:v>
      </x:c>
      <x:c r="AQ29" s="649">
        <x:v>0</x:v>
      </x:c>
      <x:c r="AR29" s="650" t="s">
        <x:v>1103</x:v>
      </x:c>
      <x:c r="AS29" s="609">
        <x:v>0</x:v>
      </x:c>
      <x:c r="AT29" s="649">
        <x:v>0</x:v>
      </x:c>
      <x:c r="AU29" s="649">
        <x:v>0</x:v>
      </x:c>
      <x:c r="AV29" s="649">
        <x:v>0</x:v>
      </x:c>
      <x:c r="AW29" s="649">
        <x:v>0</x:v>
      </x:c>
      <x:c r="AX29" s="650" t="s">
        <x:v>1103</x:v>
      </x:c>
      <x:c r="AY29" s="44"/>
      <x:c r="AZ29" s="45"/>
      <x:c r="BA29" s="45"/>
      <x:c r="BB29" s="45"/>
      <x:c r="BC29" s="45"/>
      <x:c r="BD29" s="48"/>
      <x:c r="BE29" s="44"/>
      <x:c r="BF29" s="45"/>
      <x:c r="BG29" s="45"/>
      <x:c r="BH29" s="45"/>
      <x:c r="BI29" s="45"/>
      <x:c r="BJ29" s="48"/>
      <x:c r="BK29" s="44"/>
      <x:c r="BL29" s="45"/>
      <x:c r="BM29" s="45"/>
      <x:c r="BN29" s="45"/>
      <x:c r="BO29" s="45"/>
      <x:c r="BP29" s="48"/>
      <x:c r="BQ29" s="44"/>
      <x:c r="BR29" s="45"/>
      <x:c r="BS29" s="45"/>
      <x:c r="BT29" s="45"/>
      <x:c r="BU29" s="45"/>
      <x:c r="BV29" s="48"/>
    </x:row>
    <x:row r="30" spans="1:74" x14ac:dyDescent="0.25">
      <x:c r="A30" s="97" t="s">
        <x:v>470</x:v>
      </x:c>
      <x:c r="B30" s="60" t="s">
        <x:v>461</x:v>
      </x:c>
      <x:c r="C30" s="181"/>
      <x:c r="D30" s="182"/>
      <x:c r="E30" s="182"/>
      <x:c r="F30" s="182"/>
      <x:c r="G30" s="182"/>
      <x:c r="H30" s="206"/>
      <x:c r="I30" s="44"/>
      <x:c r="J30" s="45"/>
      <x:c r="K30" s="45"/>
      <x:c r="L30" s="45"/>
      <x:c r="M30" s="45"/>
      <x:c r="N30" s="48"/>
      <x:c r="O30" s="44"/>
      <x:c r="P30" s="45"/>
      <x:c r="Q30" s="45"/>
      <x:c r="R30" s="45"/>
      <x:c r="S30" s="45"/>
      <x:c r="T30" s="48"/>
      <x:c r="U30" s="44"/>
      <x:c r="V30" s="45"/>
      <x:c r="W30" s="45"/>
      <x:c r="X30" s="45"/>
      <x:c r="Y30" s="45"/>
      <x:c r="Z30" s="48"/>
      <x:c r="AA30" s="44"/>
      <x:c r="AB30" s="45"/>
      <x:c r="AC30" s="45"/>
      <x:c r="AD30" s="45"/>
      <x:c r="AE30" s="45"/>
      <x:c r="AF30" s="48"/>
      <x:c r="AG30" s="44"/>
      <x:c r="AH30" s="45"/>
      <x:c r="AI30" s="45"/>
      <x:c r="AJ30" s="45"/>
      <x:c r="AK30" s="45"/>
      <x:c r="AL30" s="48"/>
      <x:c r="AM30" s="181">
        <x:v>100</x:v>
      </x:c>
      <x:c r="AN30" s="182">
        <x:v>100</x:v>
      </x:c>
      <x:c r="AO30" s="182">
        <x:v>100</x:v>
      </x:c>
      <x:c r="AP30" s="649">
        <x:v>0</x:v>
      </x:c>
      <x:c r="AQ30" s="649">
        <x:v>0</x:v>
      </x:c>
      <x:c r="AR30" s="632" t="s">
        <x:v>1102</x:v>
      </x:c>
      <x:c r="AS30" s="181">
        <x:v>100</x:v>
      </x:c>
      <x:c r="AT30" s="182">
        <x:v>100</x:v>
      </x:c>
      <x:c r="AU30" s="651">
        <x:v>0</x:v>
      </x:c>
      <x:c r="AV30" s="651">
        <x:v>0</x:v>
      </x:c>
      <x:c r="AW30" s="651">
        <x:v>0</x:v>
      </x:c>
      <x:c r="AX30" s="608" t="s">
        <x:v>1102</x:v>
      </x:c>
      <x:c r="AY30" s="44"/>
      <x:c r="AZ30" s="45"/>
      <x:c r="BA30" s="45"/>
      <x:c r="BB30" s="45"/>
      <x:c r="BC30" s="45"/>
      <x:c r="BD30" s="48"/>
      <x:c r="BE30" s="44"/>
      <x:c r="BF30" s="45"/>
      <x:c r="BG30" s="45"/>
      <x:c r="BH30" s="45"/>
      <x:c r="BI30" s="45"/>
      <x:c r="BJ30" s="48"/>
      <x:c r="BK30" s="44"/>
      <x:c r="BL30" s="45"/>
      <x:c r="BM30" s="45"/>
      <x:c r="BN30" s="45"/>
      <x:c r="BO30" s="45"/>
      <x:c r="BP30" s="48"/>
      <x:c r="BQ30" s="44"/>
      <x:c r="BR30" s="45"/>
      <x:c r="BS30" s="45"/>
      <x:c r="BT30" s="45"/>
      <x:c r="BU30" s="45"/>
      <x:c r="BV30" s="48"/>
    </x:row>
    <x:row r="31" spans="1:74" x14ac:dyDescent="0.25">
      <x:c r="A31" s="619" t="s">
        <x:v>491</x:v>
      </x:c>
      <x:c r="B31" s="3" t="s">
        <x:v>461</x:v>
      </x:c>
      <x:c r="C31" s="181"/>
      <x:c r="D31" s="182"/>
      <x:c r="E31" s="182"/>
      <x:c r="F31" s="182"/>
      <x:c r="G31" s="182"/>
      <x:c r="H31" s="206"/>
      <x:c r="I31" s="44"/>
      <x:c r="J31" s="45"/>
      <x:c r="K31" s="45"/>
      <x:c r="L31" s="45"/>
      <x:c r="M31" s="45"/>
      <x:c r="N31" s="48"/>
      <x:c r="O31" s="44"/>
      <x:c r="P31" s="45"/>
      <x:c r="Q31" s="45"/>
      <x:c r="R31" s="45"/>
      <x:c r="S31" s="45"/>
      <x:c r="T31" s="48"/>
      <x:c r="U31" s="44"/>
      <x:c r="V31" s="45"/>
      <x:c r="W31" s="45"/>
      <x:c r="X31" s="45"/>
      <x:c r="Y31" s="45"/>
      <x:c r="Z31" s="48"/>
      <x:c r="AA31" s="44"/>
      <x:c r="AB31" s="45"/>
      <x:c r="AC31" s="45"/>
      <x:c r="AD31" s="45"/>
      <x:c r="AE31" s="45"/>
      <x:c r="AF31" s="48"/>
      <x:c r="AG31" s="44"/>
      <x:c r="AH31" s="45"/>
      <x:c r="AI31" s="45"/>
      <x:c r="AJ31" s="45"/>
      <x:c r="AK31" s="45"/>
      <x:c r="AL31" s="48"/>
      <x:c r="AM31" s="609">
        <x:v>0</x:v>
      </x:c>
      <x:c r="AN31" s="649">
        <x:v>0</x:v>
      </x:c>
      <x:c r="AO31" s="649">
        <x:v>0</x:v>
      </x:c>
      <x:c r="AP31" s="649">
        <x:v>0</x:v>
      </x:c>
      <x:c r="AQ31" s="649">
        <x:v>0</x:v>
      </x:c>
      <x:c r="AR31" s="650" t="s">
        <x:v>1103</x:v>
      </x:c>
      <x:c r="AS31" s="181">
        <x:v>100</x:v>
      </x:c>
      <x:c r="AT31" s="182">
        <x:v>100</x:v>
      </x:c>
      <x:c r="AU31" s="182">
        <x:v>100</x:v>
      </x:c>
      <x:c r="AV31" s="182">
        <x:v>100</x:v>
      </x:c>
      <x:c r="AW31" s="651">
        <x:v>0</x:v>
      </x:c>
      <x:c r="AX31" s="608" t="s">
        <x:v>1102</x:v>
      </x:c>
      <x:c r="AY31" s="44"/>
      <x:c r="AZ31" s="45"/>
      <x:c r="BA31" s="45"/>
      <x:c r="BB31" s="45"/>
      <x:c r="BC31" s="45"/>
      <x:c r="BD31" s="48"/>
      <x:c r="BE31" s="44"/>
      <x:c r="BF31" s="45"/>
      <x:c r="BG31" s="45"/>
      <x:c r="BH31" s="45"/>
      <x:c r="BI31" s="45"/>
      <x:c r="BJ31" s="48"/>
      <x:c r="BK31" s="44"/>
      <x:c r="BL31" s="45"/>
      <x:c r="BM31" s="45"/>
      <x:c r="BN31" s="45"/>
      <x:c r="BO31" s="45"/>
      <x:c r="BP31" s="48"/>
      <x:c r="BQ31" s="44"/>
      <x:c r="BR31" s="45"/>
      <x:c r="BS31" s="45"/>
      <x:c r="BT31" s="45"/>
      <x:c r="BU31" s="45"/>
      <x:c r="BV31" s="48"/>
    </x:row>
    <x:row r="32" spans="1:74" x14ac:dyDescent="0.25">
      <x:c r="A32" s="618" t="s">
        <x:v>505</x:v>
      </x:c>
      <x:c r="B32" s="60" t="s">
        <x:v>461</x:v>
      </x:c>
      <x:c r="C32" s="181"/>
      <x:c r="D32" s="182"/>
      <x:c r="E32" s="182"/>
      <x:c r="F32" s="182"/>
      <x:c r="G32" s="182"/>
      <x:c r="H32" s="206"/>
      <x:c r="I32" s="44"/>
      <x:c r="J32" s="45"/>
      <x:c r="K32" s="45"/>
      <x:c r="L32" s="45"/>
      <x:c r="M32" s="45"/>
      <x:c r="N32" s="48"/>
      <x:c r="O32" s="44"/>
      <x:c r="P32" s="45"/>
      <x:c r="Q32" s="45"/>
      <x:c r="R32" s="45"/>
      <x:c r="S32" s="45"/>
      <x:c r="T32" s="48"/>
      <x:c r="U32" s="44"/>
      <x:c r="V32" s="45"/>
      <x:c r="W32" s="45"/>
      <x:c r="X32" s="45"/>
      <x:c r="Y32" s="45"/>
      <x:c r="Z32" s="48"/>
      <x:c r="AA32" s="44"/>
      <x:c r="AB32" s="45"/>
      <x:c r="AC32" s="45"/>
      <x:c r="AD32" s="45"/>
      <x:c r="AE32" s="45"/>
      <x:c r="AF32" s="48"/>
      <x:c r="AG32" s="44"/>
      <x:c r="AH32" s="45"/>
      <x:c r="AI32" s="45"/>
      <x:c r="AJ32" s="45"/>
      <x:c r="AK32" s="45"/>
      <x:c r="AL32" s="48"/>
      <x:c r="AM32" s="609">
        <x:v>0</x:v>
      </x:c>
      <x:c r="AN32" s="649">
        <x:v>0</x:v>
      </x:c>
      <x:c r="AO32" s="649">
        <x:v>0</x:v>
      </x:c>
      <x:c r="AP32" s="649">
        <x:v>0</x:v>
      </x:c>
      <x:c r="AQ32" s="649">
        <x:v>0</x:v>
      </x:c>
      <x:c r="AR32" s="650" t="s">
        <x:v>1103</x:v>
      </x:c>
      <x:c r="AS32" s="609">
        <x:v>0</x:v>
      </x:c>
      <x:c r="AT32" s="649">
        <x:v>0</x:v>
      </x:c>
      <x:c r="AU32" s="649">
        <x:v>0</x:v>
      </x:c>
      <x:c r="AV32" s="649">
        <x:v>0</x:v>
      </x:c>
      <x:c r="AW32" s="649">
        <x:v>0</x:v>
      </x:c>
      <x:c r="AX32" s="650" t="s">
        <x:v>1103</x:v>
      </x:c>
      <x:c r="AY32" s="44"/>
      <x:c r="AZ32" s="45"/>
      <x:c r="BA32" s="45"/>
      <x:c r="BB32" s="45"/>
      <x:c r="BC32" s="45"/>
      <x:c r="BD32" s="48"/>
      <x:c r="BE32" s="44"/>
      <x:c r="BF32" s="45"/>
      <x:c r="BG32" s="45"/>
      <x:c r="BH32" s="45"/>
      <x:c r="BI32" s="45"/>
      <x:c r="BJ32" s="48"/>
      <x:c r="BK32" s="44"/>
      <x:c r="BL32" s="45"/>
      <x:c r="BM32" s="45"/>
      <x:c r="BN32" s="45"/>
      <x:c r="BO32" s="45"/>
      <x:c r="BP32" s="48"/>
      <x:c r="BQ32" s="44"/>
      <x:c r="BR32" s="45"/>
      <x:c r="BS32" s="45"/>
      <x:c r="BT32" s="45"/>
      <x:c r="BU32" s="45"/>
      <x:c r="BV32" s="48"/>
    </x:row>
    <x:row r="33" spans="1:74" x14ac:dyDescent="0.25">
      <x:c r="A33" s="97" t="s">
        <x:v>476</x:v>
      </x:c>
      <x:c r="B33" s="3" t="s">
        <x:v>461</x:v>
      </x:c>
      <x:c r="C33" s="181"/>
      <x:c r="D33" s="182"/>
      <x:c r="E33" s="182"/>
      <x:c r="F33" s="182"/>
      <x:c r="G33" s="182"/>
      <x:c r="H33" s="206"/>
      <x:c r="I33" s="44"/>
      <x:c r="J33" s="45"/>
      <x:c r="K33" s="45"/>
      <x:c r="L33" s="45"/>
      <x:c r="M33" s="45"/>
      <x:c r="N33" s="48"/>
      <x:c r="O33" s="44"/>
      <x:c r="P33" s="45"/>
      <x:c r="Q33" s="45"/>
      <x:c r="R33" s="45"/>
      <x:c r="S33" s="45"/>
      <x:c r="T33" s="48"/>
      <x:c r="U33" s="44"/>
      <x:c r="V33" s="45"/>
      <x:c r="W33" s="45"/>
      <x:c r="X33" s="45"/>
      <x:c r="Y33" s="45"/>
      <x:c r="Z33" s="48"/>
      <x:c r="AA33" s="44"/>
      <x:c r="AB33" s="45"/>
      <x:c r="AC33" s="45"/>
      <x:c r="AD33" s="45"/>
      <x:c r="AE33" s="45"/>
      <x:c r="AF33" s="48"/>
      <x:c r="AG33" s="44"/>
      <x:c r="AH33" s="45"/>
      <x:c r="AI33" s="45"/>
      <x:c r="AJ33" s="45"/>
      <x:c r="AK33" s="45"/>
      <x:c r="AL33" s="48"/>
      <x:c r="AM33" s="181">
        <x:v>100</x:v>
      </x:c>
      <x:c r="AN33" s="182">
        <x:v>100</x:v>
      </x:c>
      <x:c r="AO33" s="649">
        <x:v>0</x:v>
      </x:c>
      <x:c r="AP33" s="649">
        <x:v>0</x:v>
      </x:c>
      <x:c r="AQ33" s="649">
        <x:v>0</x:v>
      </x:c>
      <x:c r="AR33" s="632" t="s">
        <x:v>1102</x:v>
      </x:c>
      <x:c r="AS33" s="181">
        <x:v>100</x:v>
      </x:c>
      <x:c r="AT33" s="182">
        <x:v>100</x:v>
      </x:c>
      <x:c r="AU33" s="651">
        <x:v>0</x:v>
      </x:c>
      <x:c r="AV33" s="651">
        <x:v>0</x:v>
      </x:c>
      <x:c r="AW33" s="651">
        <x:v>0</x:v>
      </x:c>
      <x:c r="AX33" s="608" t="s">
        <x:v>1102</x:v>
      </x:c>
      <x:c r="AY33" s="44"/>
      <x:c r="AZ33" s="45"/>
      <x:c r="BA33" s="45"/>
      <x:c r="BB33" s="45"/>
      <x:c r="BC33" s="45"/>
      <x:c r="BD33" s="48"/>
      <x:c r="BE33" s="44"/>
      <x:c r="BF33" s="45"/>
      <x:c r="BG33" s="45"/>
      <x:c r="BH33" s="45"/>
      <x:c r="BI33" s="45"/>
      <x:c r="BJ33" s="48"/>
      <x:c r="BK33" s="44"/>
      <x:c r="BL33" s="45"/>
      <x:c r="BM33" s="45"/>
      <x:c r="BN33" s="45"/>
      <x:c r="BO33" s="45"/>
      <x:c r="BP33" s="48"/>
      <x:c r="BQ33" s="44"/>
      <x:c r="BR33" s="45"/>
      <x:c r="BS33" s="45"/>
      <x:c r="BT33" s="45"/>
      <x:c r="BU33" s="45"/>
      <x:c r="BV33" s="48"/>
    </x:row>
    <x:row r="34" spans="1:74" x14ac:dyDescent="0.25">
      <x:c r="A34" s="618" t="s">
        <x:v>487</x:v>
      </x:c>
      <x:c r="B34" s="60" t="s">
        <x:v>461</x:v>
      </x:c>
      <x:c r="C34" s="181"/>
      <x:c r="D34" s="182"/>
      <x:c r="E34" s="182"/>
      <x:c r="F34" s="182"/>
      <x:c r="G34" s="182"/>
      <x:c r="H34" s="206"/>
      <x:c r="I34" s="44"/>
      <x:c r="J34" s="45"/>
      <x:c r="K34" s="45"/>
      <x:c r="L34" s="45"/>
      <x:c r="M34" s="45"/>
      <x:c r="N34" s="48"/>
      <x:c r="O34" s="44"/>
      <x:c r="P34" s="45"/>
      <x:c r="Q34" s="45"/>
      <x:c r="R34" s="45"/>
      <x:c r="S34" s="45"/>
      <x:c r="T34" s="48"/>
      <x:c r="U34" s="44"/>
      <x:c r="V34" s="45"/>
      <x:c r="W34" s="45"/>
      <x:c r="X34" s="45"/>
      <x:c r="Y34" s="45"/>
      <x:c r="Z34" s="48"/>
      <x:c r="AA34" s="44"/>
      <x:c r="AB34" s="45"/>
      <x:c r="AC34" s="45"/>
      <x:c r="AD34" s="45"/>
      <x:c r="AE34" s="45"/>
      <x:c r="AF34" s="48"/>
      <x:c r="AG34" s="44"/>
      <x:c r="AH34" s="45"/>
      <x:c r="AI34" s="45"/>
      <x:c r="AJ34" s="45"/>
      <x:c r="AK34" s="45"/>
      <x:c r="AL34" s="48"/>
      <x:c r="AM34" s="609">
        <x:v>0</x:v>
      </x:c>
      <x:c r="AN34" s="649">
        <x:v>0</x:v>
      </x:c>
      <x:c r="AO34" s="649">
        <x:v>0</x:v>
      </x:c>
      <x:c r="AP34" s="649">
        <x:v>0</x:v>
      </x:c>
      <x:c r="AQ34" s="649">
        <x:v>0</x:v>
      </x:c>
      <x:c r="AR34" s="650" t="s">
        <x:v>1103</x:v>
      </x:c>
      <x:c r="AS34" s="609">
        <x:v>0</x:v>
      </x:c>
      <x:c r="AT34" s="649">
        <x:v>0</x:v>
      </x:c>
      <x:c r="AU34" s="649">
        <x:v>0</x:v>
      </x:c>
      <x:c r="AV34" s="649">
        <x:v>0</x:v>
      </x:c>
      <x:c r="AW34" s="649">
        <x:v>0</x:v>
      </x:c>
      <x:c r="AX34" s="650" t="s">
        <x:v>1103</x:v>
      </x:c>
      <x:c r="AY34" s="44"/>
      <x:c r="AZ34" s="45"/>
      <x:c r="BA34" s="45"/>
      <x:c r="BB34" s="45"/>
      <x:c r="BC34" s="45"/>
      <x:c r="BD34" s="48"/>
      <x:c r="BE34" s="44"/>
      <x:c r="BF34" s="45"/>
      <x:c r="BG34" s="45"/>
      <x:c r="BH34" s="45"/>
      <x:c r="BI34" s="45"/>
      <x:c r="BJ34" s="48"/>
      <x:c r="BK34" s="44"/>
      <x:c r="BL34" s="45"/>
      <x:c r="BM34" s="45"/>
      <x:c r="BN34" s="45"/>
      <x:c r="BO34" s="45"/>
      <x:c r="BP34" s="48"/>
      <x:c r="BQ34" s="44"/>
      <x:c r="BR34" s="45"/>
      <x:c r="BS34" s="45"/>
      <x:c r="BT34" s="45"/>
      <x:c r="BU34" s="45"/>
      <x:c r="BV34" s="48"/>
    </x:row>
    <x:row r="35" spans="1:74" x14ac:dyDescent="0.25">
      <x:c r="A35" s="97" t="s">
        <x:v>501</x:v>
      </x:c>
      <x:c r="B35" s="3" t="s">
        <x:v>461</x:v>
      </x:c>
      <x:c r="C35" s="181"/>
      <x:c r="D35" s="182"/>
      <x:c r="E35" s="182"/>
      <x:c r="F35" s="182"/>
      <x:c r="G35" s="182"/>
      <x:c r="H35" s="206"/>
      <x:c r="I35" s="44"/>
      <x:c r="J35" s="45"/>
      <x:c r="K35" s="45"/>
      <x:c r="L35" s="45"/>
      <x:c r="M35" s="45"/>
      <x:c r="N35" s="48"/>
      <x:c r="O35" s="44"/>
      <x:c r="P35" s="45"/>
      <x:c r="Q35" s="45"/>
      <x:c r="R35" s="45"/>
      <x:c r="S35" s="45"/>
      <x:c r="T35" s="48"/>
      <x:c r="U35" s="44"/>
      <x:c r="V35" s="45"/>
      <x:c r="W35" s="45"/>
      <x:c r="X35" s="45"/>
      <x:c r="Y35" s="45"/>
      <x:c r="Z35" s="48"/>
      <x:c r="AA35" s="44"/>
      <x:c r="AB35" s="45"/>
      <x:c r="AC35" s="45"/>
      <x:c r="AD35" s="45"/>
      <x:c r="AE35" s="45"/>
      <x:c r="AF35" s="48"/>
      <x:c r="AG35" s="44"/>
      <x:c r="AH35" s="45"/>
      <x:c r="AI35" s="45"/>
      <x:c r="AJ35" s="45"/>
      <x:c r="AK35" s="45"/>
      <x:c r="AL35" s="48"/>
      <x:c r="AM35" s="181">
        <x:v>100</x:v>
      </x:c>
      <x:c r="AN35" s="182">
        <x:v>100</x:v>
      </x:c>
      <x:c r="AO35" s="649">
        <x:v>0</x:v>
      </x:c>
      <x:c r="AP35" s="649">
        <x:v>0</x:v>
      </x:c>
      <x:c r="AQ35" s="649">
        <x:v>0</x:v>
      </x:c>
      <x:c r="AR35" s="632" t="s">
        <x:v>1102</x:v>
      </x:c>
      <x:c r="AS35" s="181">
        <x:v>100</x:v>
      </x:c>
      <x:c r="AT35" s="182">
        <x:v>100</x:v>
      </x:c>
      <x:c r="AU35" s="651">
        <x:v>0</x:v>
      </x:c>
      <x:c r="AV35" s="651">
        <x:v>0</x:v>
      </x:c>
      <x:c r="AW35" s="651">
        <x:v>0</x:v>
      </x:c>
      <x:c r="AX35" s="608" t="s">
        <x:v>1102</x:v>
      </x:c>
      <x:c r="AY35" s="44"/>
      <x:c r="AZ35" s="45"/>
      <x:c r="BA35" s="45"/>
      <x:c r="BB35" s="45"/>
      <x:c r="BC35" s="45"/>
      <x:c r="BD35" s="48"/>
      <x:c r="BE35" s="44"/>
      <x:c r="BF35" s="45"/>
      <x:c r="BG35" s="45"/>
      <x:c r="BH35" s="45"/>
      <x:c r="BI35" s="45"/>
      <x:c r="BJ35" s="48"/>
      <x:c r="BK35" s="44"/>
      <x:c r="BL35" s="45"/>
      <x:c r="BM35" s="45"/>
      <x:c r="BN35" s="45"/>
      <x:c r="BO35" s="45"/>
      <x:c r="BP35" s="48"/>
      <x:c r="BQ35" s="44"/>
      <x:c r="BR35" s="45"/>
      <x:c r="BS35" s="45"/>
      <x:c r="BT35" s="45"/>
      <x:c r="BU35" s="45"/>
      <x:c r="BV35" s="48"/>
    </x:row>
    <x:row r="36" spans="1:74" x14ac:dyDescent="0.25">
      <x:c r="A36" s="97" t="s">
        <x:v>475</x:v>
      </x:c>
      <x:c r="B36" s="60" t="s">
        <x:v>461</x:v>
      </x:c>
      <x:c r="C36" s="181"/>
      <x:c r="D36" s="182"/>
      <x:c r="E36" s="182"/>
      <x:c r="F36" s="182"/>
      <x:c r="G36" s="182"/>
      <x:c r="H36" s="206"/>
      <x:c r="I36" s="44"/>
      <x:c r="J36" s="45"/>
      <x:c r="K36" s="45"/>
      <x:c r="L36" s="45"/>
      <x:c r="M36" s="45"/>
      <x:c r="N36" s="48"/>
      <x:c r="O36" s="44"/>
      <x:c r="P36" s="45"/>
      <x:c r="Q36" s="45"/>
      <x:c r="R36" s="45"/>
      <x:c r="S36" s="45"/>
      <x:c r="T36" s="48"/>
      <x:c r="U36" s="44"/>
      <x:c r="V36" s="45"/>
      <x:c r="W36" s="45"/>
      <x:c r="X36" s="45"/>
      <x:c r="Y36" s="45"/>
      <x:c r="Z36" s="48"/>
      <x:c r="AA36" s="44"/>
      <x:c r="AB36" s="45"/>
      <x:c r="AC36" s="45"/>
      <x:c r="AD36" s="45"/>
      <x:c r="AE36" s="45"/>
      <x:c r="AF36" s="48"/>
      <x:c r="AG36" s="44"/>
      <x:c r="AH36" s="45"/>
      <x:c r="AI36" s="45"/>
      <x:c r="AJ36" s="45"/>
      <x:c r="AK36" s="45"/>
      <x:c r="AL36" s="48"/>
      <x:c r="AM36" s="181">
        <x:v>100</x:v>
      </x:c>
      <x:c r="AN36" s="182">
        <x:v>100</x:v>
      </x:c>
      <x:c r="AO36" s="182">
        <x:v>100</x:v>
      </x:c>
      <x:c r="AP36" s="182">
        <x:v>100</x:v>
      </x:c>
      <x:c r="AQ36" s="182">
        <x:v>100</x:v>
      </x:c>
      <x:c r="AR36" s="632" t="s">
        <x:v>1102</x:v>
      </x:c>
      <x:c r="AS36" s="181">
        <x:v>100</x:v>
      </x:c>
      <x:c r="AT36" s="182">
        <x:v>100</x:v>
      </x:c>
      <x:c r="AU36" s="182">
        <x:v>100</x:v>
      </x:c>
      <x:c r="AV36" s="182">
        <x:v>100</x:v>
      </x:c>
      <x:c r="AW36" s="182">
        <x:v>100</x:v>
      </x:c>
      <x:c r="AX36" s="608" t="s">
        <x:v>1102</x:v>
      </x:c>
      <x:c r="AY36" s="44"/>
      <x:c r="AZ36" s="45"/>
      <x:c r="BA36" s="45"/>
      <x:c r="BB36" s="45"/>
      <x:c r="BC36" s="45"/>
      <x:c r="BD36" s="48"/>
      <x:c r="BE36" s="44"/>
      <x:c r="BF36" s="45"/>
      <x:c r="BG36" s="45"/>
      <x:c r="BH36" s="45"/>
      <x:c r="BI36" s="45"/>
      <x:c r="BJ36" s="48"/>
      <x:c r="BK36" s="44"/>
      <x:c r="BL36" s="45"/>
      <x:c r="BM36" s="45"/>
      <x:c r="BN36" s="45"/>
      <x:c r="BO36" s="45"/>
      <x:c r="BP36" s="48"/>
      <x:c r="BQ36" s="44"/>
      <x:c r="BR36" s="45"/>
      <x:c r="BS36" s="45"/>
      <x:c r="BT36" s="45"/>
      <x:c r="BU36" s="45"/>
      <x:c r="BV36" s="48"/>
    </x:row>
    <x:row r="37" spans="1:74" x14ac:dyDescent="0.25">
      <x:c r="A37" s="618" t="s">
        <x:v>472</x:v>
      </x:c>
      <x:c r="B37" s="3" t="s">
        <x:v>461</x:v>
      </x:c>
      <x:c r="C37" s="181"/>
      <x:c r="D37" s="182"/>
      <x:c r="E37" s="182"/>
      <x:c r="F37" s="182"/>
      <x:c r="G37" s="182"/>
      <x:c r="H37" s="206"/>
      <x:c r="I37" s="44"/>
      <x:c r="J37" s="45"/>
      <x:c r="K37" s="45"/>
      <x:c r="L37" s="45"/>
      <x:c r="M37" s="45"/>
      <x:c r="N37" s="48"/>
      <x:c r="O37" s="44"/>
      <x:c r="P37" s="45"/>
      <x:c r="Q37" s="45"/>
      <x:c r="R37" s="45"/>
      <x:c r="S37" s="45"/>
      <x:c r="T37" s="48"/>
      <x:c r="U37" s="44"/>
      <x:c r="V37" s="45"/>
      <x:c r="W37" s="45"/>
      <x:c r="X37" s="45"/>
      <x:c r="Y37" s="45"/>
      <x:c r="Z37" s="48"/>
      <x:c r="AA37" s="44"/>
      <x:c r="AB37" s="45"/>
      <x:c r="AC37" s="45"/>
      <x:c r="AD37" s="45"/>
      <x:c r="AE37" s="45"/>
      <x:c r="AF37" s="48"/>
      <x:c r="AG37" s="44"/>
      <x:c r="AH37" s="45"/>
      <x:c r="AI37" s="45"/>
      <x:c r="AJ37" s="45"/>
      <x:c r="AK37" s="45"/>
      <x:c r="AL37" s="48"/>
      <x:c r="AM37" s="609">
        <x:v>0</x:v>
      </x:c>
      <x:c r="AN37" s="649">
        <x:v>0</x:v>
      </x:c>
      <x:c r="AO37" s="649">
        <x:v>0</x:v>
      </x:c>
      <x:c r="AP37" s="649">
        <x:v>0</x:v>
      </x:c>
      <x:c r="AQ37" s="649">
        <x:v>0</x:v>
      </x:c>
      <x:c r="AR37" s="650" t="s">
        <x:v>1103</x:v>
      </x:c>
      <x:c r="AS37" s="609">
        <x:v>0</x:v>
      </x:c>
      <x:c r="AT37" s="649">
        <x:v>0</x:v>
      </x:c>
      <x:c r="AU37" s="649">
        <x:v>0</x:v>
      </x:c>
      <x:c r="AV37" s="649">
        <x:v>0</x:v>
      </x:c>
      <x:c r="AW37" s="649">
        <x:v>0</x:v>
      </x:c>
      <x:c r="AX37" s="650" t="s">
        <x:v>1103</x:v>
      </x:c>
      <x:c r="AY37" s="44"/>
      <x:c r="AZ37" s="45"/>
      <x:c r="BA37" s="45"/>
      <x:c r="BB37" s="45"/>
      <x:c r="BC37" s="45"/>
      <x:c r="BD37" s="48"/>
      <x:c r="BE37" s="44"/>
      <x:c r="BF37" s="45"/>
      <x:c r="BG37" s="45"/>
      <x:c r="BH37" s="45"/>
      <x:c r="BI37" s="45"/>
      <x:c r="BJ37" s="48"/>
      <x:c r="BK37" s="44"/>
      <x:c r="BL37" s="45"/>
      <x:c r="BM37" s="45"/>
      <x:c r="BN37" s="45"/>
      <x:c r="BO37" s="45"/>
      <x:c r="BP37" s="48"/>
      <x:c r="BQ37" s="44"/>
      <x:c r="BR37" s="45"/>
      <x:c r="BS37" s="45"/>
      <x:c r="BT37" s="45"/>
      <x:c r="BU37" s="45"/>
      <x:c r="BV37" s="48"/>
    </x:row>
    <x:row r="38" spans="1:74" x14ac:dyDescent="0.25">
      <x:c r="A38" s="97" t="s">
        <x:v>490</x:v>
      </x:c>
      <x:c r="B38" s="60" t="s">
        <x:v>461</x:v>
      </x:c>
      <x:c r="C38" s="181"/>
      <x:c r="D38" s="182"/>
      <x:c r="E38" s="182"/>
      <x:c r="F38" s="182"/>
      <x:c r="G38" s="182"/>
      <x:c r="H38" s="206"/>
      <x:c r="I38" s="44"/>
      <x:c r="J38" s="45"/>
      <x:c r="K38" s="45"/>
      <x:c r="L38" s="45"/>
      <x:c r="M38" s="45"/>
      <x:c r="N38" s="48"/>
      <x:c r="O38" s="44"/>
      <x:c r="P38" s="45"/>
      <x:c r="Q38" s="45"/>
      <x:c r="R38" s="45"/>
      <x:c r="S38" s="45"/>
      <x:c r="T38" s="48"/>
      <x:c r="U38" s="44"/>
      <x:c r="V38" s="45"/>
      <x:c r="W38" s="45"/>
      <x:c r="X38" s="45"/>
      <x:c r="Y38" s="45"/>
      <x:c r="Z38" s="48"/>
      <x:c r="AA38" s="44"/>
      <x:c r="AB38" s="45"/>
      <x:c r="AC38" s="45"/>
      <x:c r="AD38" s="45"/>
      <x:c r="AE38" s="45"/>
      <x:c r="AF38" s="48"/>
      <x:c r="AG38" s="44"/>
      <x:c r="AH38" s="45"/>
      <x:c r="AI38" s="45"/>
      <x:c r="AJ38" s="45"/>
      <x:c r="AK38" s="45"/>
      <x:c r="AL38" s="48"/>
      <x:c r="AM38" s="181">
        <x:v>100</x:v>
      </x:c>
      <x:c r="AN38" s="182">
        <x:v>100</x:v>
      </x:c>
      <x:c r="AO38" s="182">
        <x:v>100</x:v>
      </x:c>
      <x:c r="AP38" s="182">
        <x:v>100</x:v>
      </x:c>
      <x:c r="AQ38" s="182">
        <x:v>100</x:v>
      </x:c>
      <x:c r="AR38" s="632" t="s">
        <x:v>1102</x:v>
      </x:c>
      <x:c r="AS38" s="181">
        <x:v>88.89</x:v>
      </x:c>
      <x:c r="AT38" s="651">
        <x:v>0</x:v>
      </x:c>
      <x:c r="AU38" s="651">
        <x:v>0</x:v>
      </x:c>
      <x:c r="AV38" s="651">
        <x:v>0</x:v>
      </x:c>
      <x:c r="AW38" s="651">
        <x:v>0</x:v>
      </x:c>
      <x:c r="AX38" s="608" t="s">
        <x:v>1102</x:v>
      </x:c>
      <x:c r="AY38" s="44"/>
      <x:c r="AZ38" s="45"/>
      <x:c r="BA38" s="45"/>
      <x:c r="BB38" s="45"/>
      <x:c r="BC38" s="45"/>
      <x:c r="BD38" s="48"/>
      <x:c r="BE38" s="44"/>
      <x:c r="BF38" s="45"/>
      <x:c r="BG38" s="45"/>
      <x:c r="BH38" s="45"/>
      <x:c r="BI38" s="45"/>
      <x:c r="BJ38" s="48"/>
      <x:c r="BK38" s="44"/>
      <x:c r="BL38" s="45"/>
      <x:c r="BM38" s="45"/>
      <x:c r="BN38" s="45"/>
      <x:c r="BO38" s="45"/>
      <x:c r="BP38" s="48"/>
      <x:c r="BQ38" s="44"/>
      <x:c r="BR38" s="45"/>
      <x:c r="BS38" s="45"/>
      <x:c r="BT38" s="45"/>
      <x:c r="BU38" s="45"/>
      <x:c r="BV38" s="48"/>
    </x:row>
    <x:row r="39" spans="1:74" ht="22.5" customHeight="1" x14ac:dyDescent="0.25">
      <x:c r="A39" s="97" t="s">
        <x:v>471</x:v>
      </x:c>
      <x:c r="B39" s="3" t="s">
        <x:v>461</x:v>
      </x:c>
      <x:c r="C39" s="181"/>
      <x:c r="D39" s="182"/>
      <x:c r="E39" s="182"/>
      <x:c r="F39" s="182"/>
      <x:c r="G39" s="182"/>
      <x:c r="H39" s="206"/>
      <x:c r="I39" s="44"/>
      <x:c r="J39" s="45"/>
      <x:c r="K39" s="45"/>
      <x:c r="L39" s="45"/>
      <x:c r="M39" s="45"/>
      <x:c r="N39" s="48"/>
      <x:c r="O39" s="44"/>
      <x:c r="P39" s="45"/>
      <x:c r="Q39" s="45"/>
      <x:c r="R39" s="45"/>
      <x:c r="S39" s="45"/>
      <x:c r="T39" s="48"/>
      <x:c r="U39" s="44"/>
      <x:c r="V39" s="45"/>
      <x:c r="W39" s="45"/>
      <x:c r="X39" s="45"/>
      <x:c r="Y39" s="45"/>
      <x:c r="Z39" s="48"/>
      <x:c r="AA39" s="44"/>
      <x:c r="AB39" s="45"/>
      <x:c r="AC39" s="45"/>
      <x:c r="AD39" s="45"/>
      <x:c r="AE39" s="45"/>
      <x:c r="AF39" s="48"/>
      <x:c r="AG39" s="44"/>
      <x:c r="AH39" s="45"/>
      <x:c r="AI39" s="45"/>
      <x:c r="AJ39" s="45"/>
      <x:c r="AK39" s="45"/>
      <x:c r="AL39" s="48"/>
      <x:c r="AM39" s="181">
        <x:v>100</x:v>
      </x:c>
      <x:c r="AN39" s="182">
        <x:v>100</x:v>
      </x:c>
      <x:c r="AO39" s="649">
        <x:v>0</x:v>
      </x:c>
      <x:c r="AP39" s="649">
        <x:v>0</x:v>
      </x:c>
      <x:c r="AQ39" s="649">
        <x:v>0</x:v>
      </x:c>
      <x:c r="AR39" s="632" t="s">
        <x:v>1102</x:v>
      </x:c>
      <x:c r="AS39" s="181">
        <x:v>100</x:v>
      </x:c>
      <x:c r="AT39" s="182">
        <x:v>100</x:v>
      </x:c>
      <x:c r="AU39" s="182">
        <x:v>100</x:v>
      </x:c>
      <x:c r="AV39" s="182">
        <x:v>100</x:v>
      </x:c>
      <x:c r="AW39" s="667">
        <x:v>0</x:v>
      </x:c>
      <x:c r="AX39" s="608" t="s">
        <x:v>1102</x:v>
      </x:c>
      <x:c r="AY39" s="44"/>
      <x:c r="AZ39" s="45"/>
      <x:c r="BA39" s="45"/>
      <x:c r="BB39" s="45"/>
      <x:c r="BC39" s="45"/>
      <x:c r="BD39" s="48"/>
      <x:c r="BE39" s="44"/>
      <x:c r="BF39" s="45"/>
      <x:c r="BG39" s="45"/>
      <x:c r="BH39" s="45"/>
      <x:c r="BI39" s="45"/>
      <x:c r="BJ39" s="48"/>
      <x:c r="BK39" s="44"/>
      <x:c r="BL39" s="45"/>
      <x:c r="BM39" s="45"/>
      <x:c r="BN39" s="45"/>
      <x:c r="BO39" s="45"/>
      <x:c r="BP39" s="48"/>
      <x:c r="BQ39" s="44"/>
      <x:c r="BR39" s="45"/>
      <x:c r="BS39" s="45"/>
      <x:c r="BT39" s="45"/>
      <x:c r="BU39" s="45"/>
      <x:c r="BV39" s="48"/>
    </x:row>
    <x:row r="40" spans="1:74" x14ac:dyDescent="0.25">
      <x:c r="A40" s="97" t="s">
        <x:v>477</x:v>
      </x:c>
      <x:c r="B40" s="60" t="s">
        <x:v>461</x:v>
      </x:c>
      <x:c r="C40" s="181"/>
      <x:c r="D40" s="182"/>
      <x:c r="E40" s="182"/>
      <x:c r="F40" s="182"/>
      <x:c r="G40" s="182"/>
      <x:c r="H40" s="206"/>
      <x:c r="I40" s="44"/>
      <x:c r="J40" s="45"/>
      <x:c r="K40" s="45"/>
      <x:c r="L40" s="45"/>
      <x:c r="M40" s="45"/>
      <x:c r="N40" s="48"/>
      <x:c r="O40" s="44"/>
      <x:c r="P40" s="45"/>
      <x:c r="Q40" s="45"/>
      <x:c r="R40" s="45"/>
      <x:c r="S40" s="45"/>
      <x:c r="T40" s="48"/>
      <x:c r="U40" s="44"/>
      <x:c r="V40" s="45"/>
      <x:c r="W40" s="45"/>
      <x:c r="X40" s="45"/>
      <x:c r="Y40" s="45"/>
      <x:c r="Z40" s="48"/>
      <x:c r="AA40" s="44"/>
      <x:c r="AB40" s="45"/>
      <x:c r="AC40" s="45"/>
      <x:c r="AD40" s="45"/>
      <x:c r="AE40" s="45"/>
      <x:c r="AF40" s="48"/>
      <x:c r="AG40" s="44"/>
      <x:c r="AH40" s="45"/>
      <x:c r="AI40" s="45"/>
      <x:c r="AJ40" s="45"/>
      <x:c r="AK40" s="45"/>
      <x:c r="AL40" s="48"/>
      <x:c r="AM40" s="181">
        <x:v>100</x:v>
      </x:c>
      <x:c r="AN40" s="182">
        <x:v>100</x:v>
      </x:c>
      <x:c r="AO40" s="649">
        <x:v>0</x:v>
      </x:c>
      <x:c r="AP40" s="649">
        <x:v>0</x:v>
      </x:c>
      <x:c r="AQ40" s="649">
        <x:v>0</x:v>
      </x:c>
      <x:c r="AR40" s="632" t="s">
        <x:v>1102</x:v>
      </x:c>
      <x:c r="AS40" s="181">
        <x:v>100</x:v>
      </x:c>
      <x:c r="AT40" s="182">
        <x:v>100</x:v>
      </x:c>
      <x:c r="AU40" s="651">
        <x:v>0</x:v>
      </x:c>
      <x:c r="AV40" s="651">
        <x:v>0</x:v>
      </x:c>
      <x:c r="AW40" s="651">
        <x:v>0</x:v>
      </x:c>
      <x:c r="AX40" s="608" t="s">
        <x:v>1102</x:v>
      </x:c>
      <x:c r="AY40" s="44"/>
      <x:c r="AZ40" s="45"/>
      <x:c r="BA40" s="45"/>
      <x:c r="BB40" s="45"/>
      <x:c r="BC40" s="45"/>
      <x:c r="BD40" s="48"/>
      <x:c r="BE40" s="44"/>
      <x:c r="BF40" s="45"/>
      <x:c r="BG40" s="45"/>
      <x:c r="BH40" s="45"/>
      <x:c r="BI40" s="45"/>
      <x:c r="BJ40" s="48"/>
      <x:c r="BK40" s="44"/>
      <x:c r="BL40" s="45"/>
      <x:c r="BM40" s="45"/>
      <x:c r="BN40" s="45"/>
      <x:c r="BO40" s="45"/>
      <x:c r="BP40" s="48"/>
      <x:c r="BQ40" s="44"/>
      <x:c r="BR40" s="45"/>
      <x:c r="BS40" s="45"/>
      <x:c r="BT40" s="45"/>
      <x:c r="BU40" s="45"/>
      <x:c r="BV40" s="48"/>
    </x:row>
    <x:row r="41" spans="1:74" x14ac:dyDescent="0.25">
      <x:c r="A41" s="97" t="s">
        <x:v>502</x:v>
      </x:c>
      <x:c r="B41" s="3" t="s">
        <x:v>461</x:v>
      </x:c>
      <x:c r="C41" s="181"/>
      <x:c r="D41" s="182"/>
      <x:c r="E41" s="182"/>
      <x:c r="F41" s="182"/>
      <x:c r="G41" s="182"/>
      <x:c r="H41" s="206"/>
      <x:c r="I41" s="44"/>
      <x:c r="J41" s="45"/>
      <x:c r="K41" s="45"/>
      <x:c r="L41" s="45"/>
      <x:c r="M41" s="45"/>
      <x:c r="N41" s="48"/>
      <x:c r="O41" s="44"/>
      <x:c r="P41" s="45"/>
      <x:c r="Q41" s="45"/>
      <x:c r="R41" s="45"/>
      <x:c r="S41" s="45"/>
      <x:c r="T41" s="48"/>
      <x:c r="U41" s="44"/>
      <x:c r="V41" s="45"/>
      <x:c r="W41" s="45"/>
      <x:c r="X41" s="45"/>
      <x:c r="Y41" s="45"/>
      <x:c r="Z41" s="48"/>
      <x:c r="AA41" s="44"/>
      <x:c r="AB41" s="45"/>
      <x:c r="AC41" s="45"/>
      <x:c r="AD41" s="45"/>
      <x:c r="AE41" s="45"/>
      <x:c r="AF41" s="48"/>
      <x:c r="AG41" s="44"/>
      <x:c r="AH41" s="45"/>
      <x:c r="AI41" s="45"/>
      <x:c r="AJ41" s="45"/>
      <x:c r="AK41" s="45"/>
      <x:c r="AL41" s="48"/>
      <x:c r="AM41" s="181">
        <x:v>100</x:v>
      </x:c>
      <x:c r="AN41" s="182">
        <x:v>100</x:v>
      </x:c>
      <x:c r="AO41" s="182">
        <x:v>100</x:v>
      </x:c>
      <x:c r="AP41" s="182">
        <x:v>100</x:v>
      </x:c>
      <x:c r="AQ41" s="182">
        <x:v>100</x:v>
      </x:c>
      <x:c r="AR41" s="632" t="s">
        <x:v>1102</x:v>
      </x:c>
      <x:c r="AS41" s="181">
        <x:v>100</x:v>
      </x:c>
      <x:c r="AT41" s="182">
        <x:v>100</x:v>
      </x:c>
      <x:c r="AU41" s="651">
        <x:v>0</x:v>
      </x:c>
      <x:c r="AV41" s="651">
        <x:v>0</x:v>
      </x:c>
      <x:c r="AW41" s="651">
        <x:v>0</x:v>
      </x:c>
      <x:c r="AX41" s="608" t="s">
        <x:v>1102</x:v>
      </x:c>
      <x:c r="AY41" s="44"/>
      <x:c r="AZ41" s="45"/>
      <x:c r="BA41" s="45"/>
      <x:c r="BB41" s="45"/>
      <x:c r="BC41" s="45"/>
      <x:c r="BD41" s="48"/>
      <x:c r="BE41" s="44"/>
      <x:c r="BF41" s="45"/>
      <x:c r="BG41" s="45"/>
      <x:c r="BH41" s="45"/>
      <x:c r="BI41" s="45"/>
      <x:c r="BJ41" s="48"/>
      <x:c r="BK41" s="44"/>
      <x:c r="BL41" s="45"/>
      <x:c r="BM41" s="45"/>
      <x:c r="BN41" s="45"/>
      <x:c r="BO41" s="45"/>
      <x:c r="BP41" s="48"/>
      <x:c r="BQ41" s="44"/>
      <x:c r="BR41" s="45"/>
      <x:c r="BS41" s="45"/>
      <x:c r="BT41" s="45"/>
      <x:c r="BU41" s="45"/>
      <x:c r="BV41" s="48"/>
    </x:row>
    <x:row r="42" spans="1:74" x14ac:dyDescent="0.25">
      <x:c r="A42" s="619" t="s">
        <x:v>507</x:v>
      </x:c>
      <x:c r="B42" s="60" t="s">
        <x:v>461</x:v>
      </x:c>
      <x:c r="C42" s="181"/>
      <x:c r="D42" s="182"/>
      <x:c r="E42" s="182"/>
      <x:c r="F42" s="182"/>
      <x:c r="G42" s="182"/>
      <x:c r="H42" s="206"/>
      <x:c r="I42" s="44"/>
      <x:c r="J42" s="45"/>
      <x:c r="K42" s="45"/>
      <x:c r="L42" s="45"/>
      <x:c r="M42" s="45"/>
      <x:c r="N42" s="48"/>
      <x:c r="O42" s="44"/>
      <x:c r="P42" s="45"/>
      <x:c r="Q42" s="45"/>
      <x:c r="R42" s="45"/>
      <x:c r="S42" s="45"/>
      <x:c r="T42" s="48"/>
      <x:c r="U42" s="44"/>
      <x:c r="V42" s="45"/>
      <x:c r="W42" s="45"/>
      <x:c r="X42" s="45"/>
      <x:c r="Y42" s="45"/>
      <x:c r="Z42" s="48"/>
      <x:c r="AA42" s="44"/>
      <x:c r="AB42" s="45"/>
      <x:c r="AC42" s="45"/>
      <x:c r="AD42" s="45"/>
      <x:c r="AE42" s="45"/>
      <x:c r="AF42" s="48"/>
      <x:c r="AG42" s="44"/>
      <x:c r="AH42" s="45"/>
      <x:c r="AI42" s="45"/>
      <x:c r="AJ42" s="45"/>
      <x:c r="AK42" s="45"/>
      <x:c r="AL42" s="48"/>
      <x:c r="AM42" s="609">
        <x:v>0</x:v>
      </x:c>
      <x:c r="AN42" s="649">
        <x:v>0</x:v>
      </x:c>
      <x:c r="AO42" s="649">
        <x:v>0</x:v>
      </x:c>
      <x:c r="AP42" s="649">
        <x:v>0</x:v>
      </x:c>
      <x:c r="AQ42" s="649">
        <x:v>0</x:v>
      </x:c>
      <x:c r="AR42" s="650" t="s">
        <x:v>1103</x:v>
      </x:c>
      <x:c r="AS42" s="181">
        <x:v>100</x:v>
      </x:c>
      <x:c r="AT42" s="182">
        <x:v>100</x:v>
      </x:c>
      <x:c r="AU42" s="182">
        <x:v>100</x:v>
      </x:c>
      <x:c r="AV42" s="182">
        <x:v>100</x:v>
      </x:c>
      <x:c r="AW42" s="651">
        <x:v>0</x:v>
      </x:c>
      <x:c r="AX42" s="608" t="s">
        <x:v>1102</x:v>
      </x:c>
      <x:c r="AY42" s="44"/>
      <x:c r="AZ42" s="45"/>
      <x:c r="BA42" s="45"/>
      <x:c r="BB42" s="45"/>
      <x:c r="BC42" s="45"/>
      <x:c r="BD42" s="48"/>
      <x:c r="BE42" s="44"/>
      <x:c r="BF42" s="45"/>
      <x:c r="BG42" s="45"/>
      <x:c r="BH42" s="45"/>
      <x:c r="BI42" s="45"/>
      <x:c r="BJ42" s="48"/>
      <x:c r="BK42" s="44"/>
      <x:c r="BL42" s="45"/>
      <x:c r="BM42" s="45"/>
      <x:c r="BN42" s="45"/>
      <x:c r="BO42" s="45"/>
      <x:c r="BP42" s="48"/>
      <x:c r="BQ42" s="44"/>
      <x:c r="BR42" s="45"/>
      <x:c r="BS42" s="45"/>
      <x:c r="BT42" s="45"/>
      <x:c r="BU42" s="45"/>
      <x:c r="BV42" s="48"/>
    </x:row>
    <x:row r="43" spans="1:74" x14ac:dyDescent="0.25">
      <x:c r="A43" s="97" t="s">
        <x:v>474</x:v>
      </x:c>
      <x:c r="B43" s="3" t="s">
        <x:v>461</x:v>
      </x:c>
      <x:c r="C43" s="181"/>
      <x:c r="D43" s="182"/>
      <x:c r="E43" s="182"/>
      <x:c r="F43" s="182"/>
      <x:c r="G43" s="182"/>
      <x:c r="H43" s="206"/>
      <x:c r="I43" s="44"/>
      <x:c r="J43" s="45"/>
      <x:c r="K43" s="45"/>
      <x:c r="L43" s="45"/>
      <x:c r="M43" s="45"/>
      <x:c r="N43" s="48"/>
      <x:c r="O43" s="44"/>
      <x:c r="P43" s="45"/>
      <x:c r="Q43" s="45"/>
      <x:c r="R43" s="45"/>
      <x:c r="S43" s="45"/>
      <x:c r="T43" s="48"/>
      <x:c r="U43" s="44"/>
      <x:c r="V43" s="45"/>
      <x:c r="W43" s="45"/>
      <x:c r="X43" s="45"/>
      <x:c r="Y43" s="45"/>
      <x:c r="Z43" s="48"/>
      <x:c r="AA43" s="44"/>
      <x:c r="AB43" s="45"/>
      <x:c r="AC43" s="45"/>
      <x:c r="AD43" s="45"/>
      <x:c r="AE43" s="45"/>
      <x:c r="AF43" s="48"/>
      <x:c r="AG43" s="44"/>
      <x:c r="AH43" s="45"/>
      <x:c r="AI43" s="45"/>
      <x:c r="AJ43" s="45"/>
      <x:c r="AK43" s="45"/>
      <x:c r="AL43" s="48"/>
      <x:c r="AM43" s="181">
        <x:v>100</x:v>
      </x:c>
      <x:c r="AN43" s="182">
        <x:v>100</x:v>
      </x:c>
      <x:c r="AO43" s="182">
        <x:v>100</x:v>
      </x:c>
      <x:c r="AP43" s="182">
        <x:v>100</x:v>
      </x:c>
      <x:c r="AQ43" s="182">
        <x:v>100</x:v>
      </x:c>
      <x:c r="AR43" s="632" t="s">
        <x:v>1102</x:v>
      </x:c>
      <x:c r="AS43" s="181">
        <x:v>100</x:v>
      </x:c>
      <x:c r="AT43" s="182">
        <x:v>100</x:v>
      </x:c>
      <x:c r="AU43" s="182">
        <x:v>100</x:v>
      </x:c>
      <x:c r="AV43" s="182">
        <x:v>100</x:v>
      </x:c>
      <x:c r="AW43" s="182">
        <x:v>76.92</x:v>
      </x:c>
      <x:c r="AX43" s="608" t="s">
        <x:v>1102</x:v>
      </x:c>
      <x:c r="AY43" s="44"/>
      <x:c r="AZ43" s="45"/>
      <x:c r="BA43" s="45"/>
      <x:c r="BB43" s="45"/>
      <x:c r="BC43" s="45"/>
      <x:c r="BD43" s="48"/>
      <x:c r="BE43" s="44"/>
      <x:c r="BF43" s="45"/>
      <x:c r="BG43" s="45"/>
      <x:c r="BH43" s="45"/>
      <x:c r="BI43" s="45"/>
      <x:c r="BJ43" s="48"/>
      <x:c r="BK43" s="44"/>
      <x:c r="BL43" s="45"/>
      <x:c r="BM43" s="45"/>
      <x:c r="BN43" s="45"/>
      <x:c r="BO43" s="45"/>
      <x:c r="BP43" s="48"/>
      <x:c r="BQ43" s="44"/>
      <x:c r="BR43" s="45"/>
      <x:c r="BS43" s="45"/>
      <x:c r="BT43" s="45"/>
      <x:c r="BU43" s="45"/>
      <x:c r="BV43" s="48"/>
    </x:row>
    <x:row r="44" spans="1:74" x14ac:dyDescent="0.25">
      <x:c r="A44" s="97" t="s">
        <x:v>500</x:v>
      </x:c>
      <x:c r="B44" s="60" t="s">
        <x:v>461</x:v>
      </x:c>
      <x:c r="C44" s="181"/>
      <x:c r="D44" s="182"/>
      <x:c r="E44" s="182"/>
      <x:c r="F44" s="182"/>
      <x:c r="G44" s="182"/>
      <x:c r="H44" s="206"/>
      <x:c r="I44" s="44"/>
      <x:c r="J44" s="45"/>
      <x:c r="K44" s="45"/>
      <x:c r="L44" s="45"/>
      <x:c r="M44" s="45"/>
      <x:c r="N44" s="48"/>
      <x:c r="O44" s="44"/>
      <x:c r="P44" s="45"/>
      <x:c r="Q44" s="45"/>
      <x:c r="R44" s="45"/>
      <x:c r="S44" s="45"/>
      <x:c r="T44" s="48"/>
      <x:c r="U44" s="44"/>
      <x:c r="V44" s="45"/>
      <x:c r="W44" s="45"/>
      <x:c r="X44" s="45"/>
      <x:c r="Y44" s="45"/>
      <x:c r="Z44" s="48"/>
      <x:c r="AA44" s="44"/>
      <x:c r="AB44" s="45"/>
      <x:c r="AC44" s="45"/>
      <x:c r="AD44" s="45"/>
      <x:c r="AE44" s="45"/>
      <x:c r="AF44" s="48"/>
      <x:c r="AG44" s="44"/>
      <x:c r="AH44" s="45"/>
      <x:c r="AI44" s="45"/>
      <x:c r="AJ44" s="45"/>
      <x:c r="AK44" s="45"/>
      <x:c r="AL44" s="48"/>
      <x:c r="AM44" s="181">
        <x:v>100</x:v>
      </x:c>
      <x:c r="AN44" s="182">
        <x:v>100</x:v>
      </x:c>
      <x:c r="AO44" s="182">
        <x:v>100</x:v>
      </x:c>
      <x:c r="AP44" s="182">
        <x:v>100</x:v>
      </x:c>
      <x:c r="AQ44" s="182">
        <x:v>100</x:v>
      </x:c>
      <x:c r="AR44" s="632" t="s">
        <x:v>1102</x:v>
      </x:c>
      <x:c r="AS44" s="181">
        <x:v>100</x:v>
      </x:c>
      <x:c r="AT44" s="182">
        <x:v>100</x:v>
      </x:c>
      <x:c r="AU44" s="651">
        <x:v>0</x:v>
      </x:c>
      <x:c r="AV44" s="651">
        <x:v>0</x:v>
      </x:c>
      <x:c r="AW44" s="651">
        <x:v>0</x:v>
      </x:c>
      <x:c r="AX44" s="608" t="s">
        <x:v>1102</x:v>
      </x:c>
      <x:c r="AY44" s="44"/>
      <x:c r="AZ44" s="45"/>
      <x:c r="BA44" s="45"/>
      <x:c r="BB44" s="45"/>
      <x:c r="BC44" s="45"/>
      <x:c r="BD44" s="48"/>
      <x:c r="BE44" s="44"/>
      <x:c r="BF44" s="45"/>
      <x:c r="BG44" s="45"/>
      <x:c r="BH44" s="45"/>
      <x:c r="BI44" s="45"/>
      <x:c r="BJ44" s="48"/>
      <x:c r="BK44" s="44"/>
      <x:c r="BL44" s="45"/>
      <x:c r="BM44" s="45"/>
      <x:c r="BN44" s="45"/>
      <x:c r="BO44" s="45"/>
      <x:c r="BP44" s="48"/>
      <x:c r="BQ44" s="44"/>
      <x:c r="BR44" s="45"/>
      <x:c r="BS44" s="45"/>
      <x:c r="BT44" s="45"/>
      <x:c r="BU44" s="45"/>
      <x:c r="BV44" s="48"/>
    </x:row>
    <x:row r="45" spans="1:74" ht="22.5" customHeight="1" x14ac:dyDescent="0.25">
      <x:c r="A45" s="97" t="s">
        <x:v>467</x:v>
      </x:c>
      <x:c r="B45" s="3" t="s">
        <x:v>461</x:v>
      </x:c>
      <x:c r="C45" s="181"/>
      <x:c r="D45" s="182"/>
      <x:c r="E45" s="182"/>
      <x:c r="F45" s="182"/>
      <x:c r="G45" s="182"/>
      <x:c r="H45" s="206"/>
      <x:c r="I45" s="44"/>
      <x:c r="J45" s="45"/>
      <x:c r="K45" s="45"/>
      <x:c r="L45" s="45"/>
      <x:c r="M45" s="45"/>
      <x:c r="N45" s="48"/>
      <x:c r="O45" s="44"/>
      <x:c r="P45" s="45"/>
      <x:c r="Q45" s="45"/>
      <x:c r="R45" s="45"/>
      <x:c r="S45" s="45"/>
      <x:c r="T45" s="48"/>
      <x:c r="U45" s="44"/>
      <x:c r="V45" s="45"/>
      <x:c r="W45" s="45"/>
      <x:c r="X45" s="45"/>
      <x:c r="Y45" s="45"/>
      <x:c r="Z45" s="48"/>
      <x:c r="AA45" s="44"/>
      <x:c r="AB45" s="45"/>
      <x:c r="AC45" s="45"/>
      <x:c r="AD45" s="45"/>
      <x:c r="AE45" s="45"/>
      <x:c r="AF45" s="48"/>
      <x:c r="AG45" s="44"/>
      <x:c r="AH45" s="45"/>
      <x:c r="AI45" s="45"/>
      <x:c r="AJ45" s="45"/>
      <x:c r="AK45" s="45"/>
      <x:c r="AL45" s="48"/>
      <x:c r="AM45" s="181">
        <x:v>100</x:v>
      </x:c>
      <x:c r="AN45" s="182">
        <x:v>100</x:v>
      </x:c>
      <x:c r="AO45" s="182">
        <x:v>100</x:v>
      </x:c>
      <x:c r="AP45" s="182">
        <x:v>100</x:v>
      </x:c>
      <x:c r="AQ45" s="182">
        <x:v>100</x:v>
      </x:c>
      <x:c r="AR45" s="632" t="s">
        <x:v>1102</x:v>
      </x:c>
      <x:c r="AS45" s="181">
        <x:v>100</x:v>
      </x:c>
      <x:c r="AT45" s="182">
        <x:v>100</x:v>
      </x:c>
      <x:c r="AU45" s="651">
        <x:v>0</x:v>
      </x:c>
      <x:c r="AV45" s="651">
        <x:v>0</x:v>
      </x:c>
      <x:c r="AW45" s="651">
        <x:v>0</x:v>
      </x:c>
      <x:c r="AX45" s="608" t="s">
        <x:v>1102</x:v>
      </x:c>
      <x:c r="AY45" s="44"/>
      <x:c r="AZ45" s="45"/>
      <x:c r="BA45" s="45"/>
      <x:c r="BB45" s="45"/>
      <x:c r="BC45" s="45"/>
      <x:c r="BD45" s="48"/>
      <x:c r="BE45" s="44"/>
      <x:c r="BF45" s="45"/>
      <x:c r="BG45" s="45"/>
      <x:c r="BH45" s="45"/>
      <x:c r="BI45" s="45"/>
      <x:c r="BJ45" s="48"/>
      <x:c r="BK45" s="44"/>
      <x:c r="BL45" s="45"/>
      <x:c r="BM45" s="45"/>
      <x:c r="BN45" s="45"/>
      <x:c r="BO45" s="45"/>
      <x:c r="BP45" s="48"/>
      <x:c r="BQ45" s="44"/>
      <x:c r="BR45" s="45"/>
      <x:c r="BS45" s="45"/>
      <x:c r="BT45" s="45"/>
      <x:c r="BU45" s="45"/>
      <x:c r="BV45" s="48"/>
    </x:row>
    <x:row r="46" spans="1:74" ht="22.5" customHeight="1" x14ac:dyDescent="0.25">
      <x:c r="A46" s="618" t="s">
        <x:v>495</x:v>
      </x:c>
      <x:c r="B46" s="60" t="s">
        <x:v>496</x:v>
      </x:c>
      <x:c r="C46" s="158"/>
      <x:c r="D46" s="158"/>
      <x:c r="E46" s="158"/>
      <x:c r="F46" s="158"/>
      <x:c r="G46" s="158"/>
      <x:c r="H46" s="206"/>
      <x:c r="I46" s="44"/>
      <x:c r="J46" s="45"/>
      <x:c r="K46" s="45"/>
      <x:c r="L46" s="45"/>
      <x:c r="M46" s="45"/>
      <x:c r="N46" s="48"/>
      <x:c r="O46" s="44"/>
      <x:c r="P46" s="45"/>
      <x:c r="Q46" s="45"/>
      <x:c r="R46" s="45"/>
      <x:c r="S46" s="45"/>
      <x:c r="T46" s="48"/>
      <x:c r="U46" s="44"/>
      <x:c r="V46" s="45"/>
      <x:c r="W46" s="45"/>
      <x:c r="X46" s="45"/>
      <x:c r="Y46" s="45"/>
      <x:c r="Z46" s="48"/>
      <x:c r="AA46" s="44"/>
      <x:c r="AB46" s="45"/>
      <x:c r="AC46" s="45"/>
      <x:c r="AD46" s="45"/>
      <x:c r="AE46" s="45"/>
      <x:c r="AF46" s="48"/>
      <x:c r="AG46" s="44"/>
      <x:c r="AH46" s="45"/>
      <x:c r="AI46" s="45"/>
      <x:c r="AJ46" s="45"/>
      <x:c r="AK46" s="45"/>
      <x:c r="AL46" s="48"/>
      <x:c r="AM46" s="589">
        <x:v>0</x:v>
      </x:c>
      <x:c r="AN46" s="589">
        <x:v>0</x:v>
      </x:c>
      <x:c r="AO46" s="589">
        <x:v>0</x:v>
      </x:c>
      <x:c r="AP46" s="589">
        <x:v>0</x:v>
      </x:c>
      <x:c r="AQ46" s="589">
        <x:v>0</x:v>
      </x:c>
      <x:c r="AR46" s="650" t="s">
        <x:v>1103</x:v>
      </x:c>
      <x:c r="AS46" s="609">
        <x:v>0</x:v>
      </x:c>
      <x:c r="AT46" s="649">
        <x:v>0</x:v>
      </x:c>
      <x:c r="AU46" s="649">
        <x:v>0</x:v>
      </x:c>
      <x:c r="AV46" s="649">
        <x:v>0</x:v>
      </x:c>
      <x:c r="AW46" s="649">
        <x:v>0</x:v>
      </x:c>
      <x:c r="AX46" s="650" t="s">
        <x:v>1103</x:v>
      </x:c>
      <x:c r="AY46" s="44"/>
      <x:c r="AZ46" s="45"/>
      <x:c r="BA46" s="45"/>
      <x:c r="BB46" s="45"/>
      <x:c r="BC46" s="45"/>
      <x:c r="BD46" s="48"/>
      <x:c r="BE46" s="44"/>
      <x:c r="BF46" s="45"/>
      <x:c r="BG46" s="45"/>
      <x:c r="BH46" s="45"/>
      <x:c r="BI46" s="45"/>
      <x:c r="BJ46" s="48"/>
      <x:c r="BK46" s="44"/>
      <x:c r="BL46" s="45"/>
      <x:c r="BM46" s="45"/>
      <x:c r="BN46" s="45"/>
      <x:c r="BO46" s="45"/>
      <x:c r="BP46" s="48"/>
      <x:c r="BQ46" s="44"/>
      <x:c r="BR46" s="45"/>
      <x:c r="BS46" s="45"/>
      <x:c r="BT46" s="45"/>
      <x:c r="BU46" s="45"/>
      <x:c r="BV46" s="48"/>
    </x:row>
    <x:row r="47" spans="1:74" x14ac:dyDescent="0.25">
      <x:c r="A47" s="668" t="s">
        <x:v>1140</x:v>
      </x:c>
      <x:c r="B47" s="57" t="s">
        <x:v>480</x:v>
      </x:c>
      <x:c r="C47" s="158"/>
      <x:c r="D47" s="158"/>
      <x:c r="E47" s="158"/>
      <x:c r="F47" s="158"/>
      <x:c r="G47" s="158"/>
      <x:c r="H47" s="206"/>
      <x:c r="I47" s="44"/>
      <x:c r="J47" s="45"/>
      <x:c r="K47" s="45"/>
      <x:c r="L47" s="45"/>
      <x:c r="M47" s="45"/>
      <x:c r="N47" s="48"/>
      <x:c r="O47" s="44"/>
      <x:c r="P47" s="45"/>
      <x:c r="Q47" s="45"/>
      <x:c r="R47" s="45"/>
      <x:c r="S47" s="45"/>
      <x:c r="T47" s="48"/>
      <x:c r="U47" s="44"/>
      <x:c r="V47" s="45"/>
      <x:c r="W47" s="45"/>
      <x:c r="X47" s="45"/>
      <x:c r="Y47" s="45"/>
      <x:c r="Z47" s="48"/>
      <x:c r="AA47" s="44"/>
      <x:c r="AB47" s="45"/>
      <x:c r="AC47" s="45"/>
      <x:c r="AD47" s="45"/>
      <x:c r="AE47" s="45"/>
      <x:c r="AF47" s="48"/>
      <x:c r="AG47" s="44"/>
      <x:c r="AH47" s="45"/>
      <x:c r="AI47" s="45"/>
      <x:c r="AJ47" s="45"/>
      <x:c r="AK47" s="45"/>
      <x:c r="AL47" s="48"/>
      <x:c r="AM47" s="158">
        <x:v>100</x:v>
      </x:c>
      <x:c r="AN47" s="158">
        <x:v>100</x:v>
      </x:c>
      <x:c r="AO47" s="158">
        <x:v>100</x:v>
      </x:c>
      <x:c r="AP47" s="158">
        <x:v>100</x:v>
      </x:c>
      <x:c r="AQ47" s="158">
        <x:v>100</x:v>
      </x:c>
      <x:c r="AR47" s="632" t="s">
        <x:v>1102</x:v>
      </x:c>
      <x:c r="AS47" s="609">
        <x:v>0</x:v>
      </x:c>
      <x:c r="AT47" s="649">
        <x:v>0</x:v>
      </x:c>
      <x:c r="AU47" s="649">
        <x:v>0</x:v>
      </x:c>
      <x:c r="AV47" s="649">
        <x:v>0</x:v>
      </x:c>
      <x:c r="AW47" s="649">
        <x:v>0</x:v>
      </x:c>
      <x:c r="AX47" s="650" t="s">
        <x:v>1103</x:v>
      </x:c>
      <x:c r="AY47" s="44"/>
      <x:c r="AZ47" s="45"/>
      <x:c r="BA47" s="45"/>
      <x:c r="BB47" s="45"/>
      <x:c r="BC47" s="45"/>
      <x:c r="BD47" s="48"/>
      <x:c r="BE47" s="44"/>
      <x:c r="BF47" s="45"/>
      <x:c r="BG47" s="45"/>
      <x:c r="BH47" s="45"/>
      <x:c r="BI47" s="45"/>
      <x:c r="BJ47" s="48"/>
      <x:c r="BK47" s="44"/>
      <x:c r="BL47" s="45"/>
      <x:c r="BM47" s="45"/>
      <x:c r="BN47" s="45"/>
      <x:c r="BO47" s="45"/>
      <x:c r="BP47" s="48"/>
      <x:c r="BQ47" s="44"/>
      <x:c r="BR47" s="45"/>
      <x:c r="BS47" s="45"/>
      <x:c r="BT47" s="45"/>
      <x:c r="BU47" s="45"/>
      <x:c r="BV47" s="48"/>
    </x:row>
    <x:row r="48" spans="1:74" x14ac:dyDescent="0.25">
      <x:c r="A48" s="97" t="s">
        <x:v>464</x:v>
      </x:c>
      <x:c r="B48" s="3" t="s">
        <x:v>461</x:v>
      </x:c>
      <x:c r="C48" s="181"/>
      <x:c r="D48" s="182"/>
      <x:c r="E48" s="182"/>
      <x:c r="F48" s="182"/>
      <x:c r="G48" s="182"/>
      <x:c r="H48" s="206"/>
      <x:c r="I48" s="44"/>
      <x:c r="J48" s="45"/>
      <x:c r="K48" s="45"/>
      <x:c r="L48" s="45"/>
      <x:c r="M48" s="45"/>
      <x:c r="N48" s="48"/>
      <x:c r="O48" s="44"/>
      <x:c r="P48" s="45"/>
      <x:c r="Q48" s="45"/>
      <x:c r="R48" s="45"/>
      <x:c r="S48" s="45"/>
      <x:c r="T48" s="48"/>
      <x:c r="U48" s="44"/>
      <x:c r="V48" s="45"/>
      <x:c r="W48" s="45"/>
      <x:c r="X48" s="45"/>
      <x:c r="Y48" s="45"/>
      <x:c r="Z48" s="48"/>
      <x:c r="AA48" s="44"/>
      <x:c r="AB48" s="45"/>
      <x:c r="AC48" s="45"/>
      <x:c r="AD48" s="45"/>
      <x:c r="AE48" s="45"/>
      <x:c r="AF48" s="48"/>
      <x:c r="AG48" s="44"/>
      <x:c r="AH48" s="45"/>
      <x:c r="AI48" s="45"/>
      <x:c r="AJ48" s="45"/>
      <x:c r="AK48" s="45"/>
      <x:c r="AL48" s="48"/>
      <x:c r="AM48" s="181">
        <x:v>100</x:v>
      </x:c>
      <x:c r="AN48" s="182">
        <x:v>100</x:v>
      </x:c>
      <x:c r="AO48" s="182">
        <x:v>100</x:v>
      </x:c>
      <x:c r="AP48" s="182">
        <x:v>100</x:v>
      </x:c>
      <x:c r="AQ48" s="182">
        <x:v>100</x:v>
      </x:c>
      <x:c r="AR48" s="632" t="s">
        <x:v>1102</x:v>
      </x:c>
      <x:c r="AS48" s="181">
        <x:v>96.64</x:v>
      </x:c>
      <x:c r="AT48" s="182">
        <x:v>81.82</x:v>
      </x:c>
      <x:c r="AU48" s="182">
        <x:v>77.78</x:v>
      </x:c>
      <x:c r="AV48" s="651">
        <x:v>0</x:v>
      </x:c>
      <x:c r="AW48" s="651">
        <x:v>0</x:v>
      </x:c>
      <x:c r="AX48" s="608" t="s">
        <x:v>1102</x:v>
      </x:c>
      <x:c r="AY48" s="44"/>
      <x:c r="AZ48" s="45"/>
      <x:c r="BA48" s="45"/>
      <x:c r="BB48" s="45"/>
      <x:c r="BC48" s="45"/>
      <x:c r="BD48" s="48"/>
      <x:c r="BE48" s="44"/>
      <x:c r="BF48" s="45"/>
      <x:c r="BG48" s="45"/>
      <x:c r="BH48" s="45"/>
      <x:c r="BI48" s="45"/>
      <x:c r="BJ48" s="48"/>
      <x:c r="BK48" s="44"/>
      <x:c r="BL48" s="45"/>
      <x:c r="BM48" s="45"/>
      <x:c r="BN48" s="45"/>
      <x:c r="BO48" s="45"/>
      <x:c r="BP48" s="48"/>
      <x:c r="BQ48" s="44"/>
      <x:c r="BR48" s="45"/>
      <x:c r="BS48" s="45"/>
      <x:c r="BT48" s="45"/>
      <x:c r="BU48" s="45"/>
      <x:c r="BV48" s="48"/>
    </x:row>
    <x:row r="49" spans="1:74" x14ac:dyDescent="0.25">
      <x:c r="A49" s="97" t="s">
        <x:v>465</x:v>
      </x:c>
      <x:c r="B49" s="60" t="s">
        <x:v>461</x:v>
      </x:c>
      <x:c r="C49" s="181"/>
      <x:c r="D49" s="182"/>
      <x:c r="E49" s="182"/>
      <x:c r="F49" s="182"/>
      <x:c r="G49" s="182"/>
      <x:c r="H49" s="206"/>
      <x:c r="I49" s="44"/>
      <x:c r="J49" s="45"/>
      <x:c r="K49" s="45"/>
      <x:c r="L49" s="45"/>
      <x:c r="M49" s="45"/>
      <x:c r="N49" s="48"/>
      <x:c r="O49" s="44"/>
      <x:c r="P49" s="45"/>
      <x:c r="Q49" s="45"/>
      <x:c r="R49" s="45"/>
      <x:c r="S49" s="45"/>
      <x:c r="T49" s="48"/>
      <x:c r="U49" s="44"/>
      <x:c r="V49" s="45"/>
      <x:c r="W49" s="45"/>
      <x:c r="X49" s="45"/>
      <x:c r="Y49" s="45"/>
      <x:c r="Z49" s="48"/>
      <x:c r="AA49" s="44"/>
      <x:c r="AB49" s="45"/>
      <x:c r="AC49" s="45"/>
      <x:c r="AD49" s="45"/>
      <x:c r="AE49" s="45"/>
      <x:c r="AF49" s="48"/>
      <x:c r="AG49" s="44"/>
      <x:c r="AH49" s="45"/>
      <x:c r="AI49" s="45"/>
      <x:c r="AJ49" s="45"/>
      <x:c r="AK49" s="45"/>
      <x:c r="AL49" s="48"/>
      <x:c r="AM49" s="181">
        <x:v>100</x:v>
      </x:c>
      <x:c r="AN49" s="182">
        <x:v>100</x:v>
      </x:c>
      <x:c r="AO49" s="649">
        <x:v>0</x:v>
      </x:c>
      <x:c r="AP49" s="649">
        <x:v>0</x:v>
      </x:c>
      <x:c r="AQ49" s="649">
        <x:v>0</x:v>
      </x:c>
      <x:c r="AR49" s="632" t="s">
        <x:v>1102</x:v>
      </x:c>
      <x:c r="AS49" s="181">
        <x:v>100</x:v>
      </x:c>
      <x:c r="AT49" s="182">
        <x:v>100</x:v>
      </x:c>
      <x:c r="AU49" s="651">
        <x:v>0</x:v>
      </x:c>
      <x:c r="AV49" s="651">
        <x:v>0</x:v>
      </x:c>
      <x:c r="AW49" s="651">
        <x:v>0</x:v>
      </x:c>
      <x:c r="AX49" s="608" t="s">
        <x:v>1102</x:v>
      </x:c>
      <x:c r="AY49" s="44"/>
      <x:c r="AZ49" s="45"/>
      <x:c r="BA49" s="45"/>
      <x:c r="BB49" s="45"/>
      <x:c r="BC49" s="45"/>
      <x:c r="BD49" s="48"/>
      <x:c r="BE49" s="44"/>
      <x:c r="BF49" s="45"/>
      <x:c r="BG49" s="45"/>
      <x:c r="BH49" s="45"/>
      <x:c r="BI49" s="45"/>
      <x:c r="BJ49" s="48"/>
      <x:c r="BK49" s="44"/>
      <x:c r="BL49" s="45"/>
      <x:c r="BM49" s="45"/>
      <x:c r="BN49" s="45"/>
      <x:c r="BO49" s="45"/>
      <x:c r="BP49" s="48"/>
      <x:c r="BQ49" s="44"/>
      <x:c r="BR49" s="45"/>
      <x:c r="BS49" s="45"/>
      <x:c r="BT49" s="45"/>
      <x:c r="BU49" s="45"/>
      <x:c r="BV49" s="48"/>
    </x:row>
    <x:row r="50" spans="1:74" x14ac:dyDescent="0.25">
      <x:c r="A50" s="97" t="s">
        <x:v>481</x:v>
      </x:c>
      <x:c r="B50" s="3" t="s">
        <x:v>480</x:v>
      </x:c>
      <x:c r="C50" s="181"/>
      <x:c r="D50" s="182"/>
      <x:c r="E50" s="182"/>
      <x:c r="F50" s="182"/>
      <x:c r="G50" s="182"/>
      <x:c r="H50" s="206"/>
      <x:c r="I50" s="44"/>
      <x:c r="J50" s="45"/>
      <x:c r="K50" s="45"/>
      <x:c r="L50" s="45"/>
      <x:c r="M50" s="45"/>
      <x:c r="N50" s="48"/>
      <x:c r="O50" s="44"/>
      <x:c r="P50" s="45"/>
      <x:c r="Q50" s="45"/>
      <x:c r="R50" s="45"/>
      <x:c r="S50" s="45"/>
      <x:c r="T50" s="48"/>
      <x:c r="U50" s="44"/>
      <x:c r="V50" s="45"/>
      <x:c r="W50" s="45"/>
      <x:c r="X50" s="45"/>
      <x:c r="Y50" s="45"/>
      <x:c r="Z50" s="48"/>
      <x:c r="AA50" s="44"/>
      <x:c r="AB50" s="45"/>
      <x:c r="AC50" s="45"/>
      <x:c r="AD50" s="45"/>
      <x:c r="AE50" s="45"/>
      <x:c r="AF50" s="48"/>
      <x:c r="AG50" s="44"/>
      <x:c r="AH50" s="45"/>
      <x:c r="AI50" s="45"/>
      <x:c r="AJ50" s="45"/>
      <x:c r="AK50" s="45"/>
      <x:c r="AL50" s="48"/>
      <x:c r="AM50" s="181">
        <x:v>100</x:v>
      </x:c>
      <x:c r="AN50" s="182">
        <x:v>100</x:v>
      </x:c>
      <x:c r="AO50" s="182">
        <x:v>100</x:v>
      </x:c>
      <x:c r="AP50" s="182">
        <x:v>100</x:v>
      </x:c>
      <x:c r="AQ50" s="182">
        <x:v>100</x:v>
      </x:c>
      <x:c r="AR50" s="632" t="s">
        <x:v>1102</x:v>
      </x:c>
      <x:c r="AS50" s="181">
        <x:v>100</x:v>
      </x:c>
      <x:c r="AT50" s="182">
        <x:v>100</x:v>
      </x:c>
      <x:c r="AU50" s="651">
        <x:v>0</x:v>
      </x:c>
      <x:c r="AV50" s="651">
        <x:v>0</x:v>
      </x:c>
      <x:c r="AW50" s="651">
        <x:v>0</x:v>
      </x:c>
      <x:c r="AX50" s="608" t="s">
        <x:v>1102</x:v>
      </x:c>
      <x:c r="AY50" s="44"/>
      <x:c r="AZ50" s="45"/>
      <x:c r="BA50" s="45"/>
      <x:c r="BB50" s="45"/>
      <x:c r="BC50" s="45"/>
      <x:c r="BD50" s="48"/>
      <x:c r="BE50" s="44"/>
      <x:c r="BF50" s="45"/>
      <x:c r="BG50" s="45"/>
      <x:c r="BH50" s="45"/>
      <x:c r="BI50" s="45"/>
      <x:c r="BJ50" s="48"/>
      <x:c r="BK50" s="44"/>
      <x:c r="BL50" s="45"/>
      <x:c r="BM50" s="45"/>
      <x:c r="BN50" s="45"/>
      <x:c r="BO50" s="45"/>
      <x:c r="BP50" s="48"/>
      <x:c r="BQ50" s="44"/>
      <x:c r="BR50" s="45"/>
      <x:c r="BS50" s="45"/>
      <x:c r="BT50" s="45"/>
      <x:c r="BU50" s="45"/>
      <x:c r="BV50" s="48"/>
    </x:row>
    <x:row r="51" spans="1:74" x14ac:dyDescent="0.25">
      <x:c r="A51" s="619" t="s">
        <x:v>504</x:v>
      </x:c>
      <x:c r="B51" s="60" t="s">
        <x:v>461</x:v>
      </x:c>
      <x:c r="C51" s="181"/>
      <x:c r="D51" s="182"/>
      <x:c r="E51" s="182"/>
      <x:c r="F51" s="182"/>
      <x:c r="G51" s="182"/>
      <x:c r="H51" s="206"/>
      <x:c r="I51" s="44"/>
      <x:c r="J51" s="45"/>
      <x:c r="K51" s="45"/>
      <x:c r="L51" s="45"/>
      <x:c r="M51" s="45"/>
      <x:c r="N51" s="48"/>
      <x:c r="O51" s="44"/>
      <x:c r="P51" s="45"/>
      <x:c r="Q51" s="45"/>
      <x:c r="R51" s="45"/>
      <x:c r="S51" s="45"/>
      <x:c r="T51" s="48"/>
      <x:c r="U51" s="44"/>
      <x:c r="V51" s="45"/>
      <x:c r="W51" s="45"/>
      <x:c r="X51" s="45"/>
      <x:c r="Y51" s="45"/>
      <x:c r="Z51" s="48"/>
      <x:c r="AA51" s="44"/>
      <x:c r="AB51" s="45"/>
      <x:c r="AC51" s="45"/>
      <x:c r="AD51" s="45"/>
      <x:c r="AE51" s="45"/>
      <x:c r="AF51" s="48"/>
      <x:c r="AG51" s="44"/>
      <x:c r="AH51" s="45"/>
      <x:c r="AI51" s="45"/>
      <x:c r="AJ51" s="45"/>
      <x:c r="AK51" s="45"/>
      <x:c r="AL51" s="48"/>
      <x:c r="AM51" s="609">
        <x:v>0</x:v>
      </x:c>
      <x:c r="AN51" s="649">
        <x:v>0</x:v>
      </x:c>
      <x:c r="AO51" s="649">
        <x:v>0</x:v>
      </x:c>
      <x:c r="AP51" s="649">
        <x:v>0</x:v>
      </x:c>
      <x:c r="AQ51" s="649">
        <x:v>0</x:v>
      </x:c>
      <x:c r="AR51" s="650" t="s">
        <x:v>1103</x:v>
      </x:c>
      <x:c r="AS51" s="181">
        <x:v>100</x:v>
      </x:c>
      <x:c r="AT51" s="182">
        <x:v>100</x:v>
      </x:c>
      <x:c r="AU51" s="182">
        <x:v>100</x:v>
      </x:c>
      <x:c r="AV51" s="182">
        <x:v>100</x:v>
      </x:c>
      <x:c r="AW51" s="182">
        <x:v>100</x:v>
      </x:c>
      <x:c r="AX51" s="608" t="s">
        <x:v>1102</x:v>
      </x:c>
      <x:c r="AY51" s="44"/>
      <x:c r="AZ51" s="45"/>
      <x:c r="BA51" s="45"/>
      <x:c r="BB51" s="45"/>
      <x:c r="BC51" s="45"/>
      <x:c r="BD51" s="48"/>
      <x:c r="BE51" s="44"/>
      <x:c r="BF51" s="45"/>
      <x:c r="BG51" s="45"/>
      <x:c r="BH51" s="45"/>
      <x:c r="BI51" s="45"/>
      <x:c r="BJ51" s="48"/>
      <x:c r="BK51" s="44"/>
      <x:c r="BL51" s="45"/>
      <x:c r="BM51" s="45"/>
      <x:c r="BN51" s="45"/>
      <x:c r="BO51" s="45"/>
      <x:c r="BP51" s="48"/>
      <x:c r="BQ51" s="44"/>
      <x:c r="BR51" s="45"/>
      <x:c r="BS51" s="45"/>
      <x:c r="BT51" s="45"/>
      <x:c r="BU51" s="45"/>
      <x:c r="BV51" s="48"/>
    </x:row>
    <x:row r="52" spans="1:74" x14ac:dyDescent="0.25">
      <x:c r="A52" s="618" t="s">
        <x:v>511</x:v>
      </x:c>
      <x:c r="B52" s="3" t="s">
        <x:v>461</x:v>
      </x:c>
      <x:c r="C52" s="181"/>
      <x:c r="D52" s="182"/>
      <x:c r="E52" s="182"/>
      <x:c r="F52" s="182"/>
      <x:c r="G52" s="182"/>
      <x:c r="H52" s="206"/>
      <x:c r="I52" s="44"/>
      <x:c r="J52" s="45"/>
      <x:c r="K52" s="45"/>
      <x:c r="L52" s="45"/>
      <x:c r="M52" s="45"/>
      <x:c r="N52" s="48"/>
      <x:c r="O52" s="44"/>
      <x:c r="P52" s="45"/>
      <x:c r="Q52" s="45"/>
      <x:c r="R52" s="45"/>
      <x:c r="S52" s="45"/>
      <x:c r="T52" s="48"/>
      <x:c r="U52" s="44"/>
      <x:c r="V52" s="45"/>
      <x:c r="W52" s="45"/>
      <x:c r="X52" s="45"/>
      <x:c r="Y52" s="45"/>
      <x:c r="Z52" s="48"/>
      <x:c r="AA52" s="44"/>
      <x:c r="AB52" s="45"/>
      <x:c r="AC52" s="45"/>
      <x:c r="AD52" s="45"/>
      <x:c r="AE52" s="45"/>
      <x:c r="AF52" s="48"/>
      <x:c r="AG52" s="44"/>
      <x:c r="AH52" s="45"/>
      <x:c r="AI52" s="45"/>
      <x:c r="AJ52" s="45"/>
      <x:c r="AK52" s="45"/>
      <x:c r="AL52" s="48"/>
      <x:c r="AM52" s="609">
        <x:v>0</x:v>
      </x:c>
      <x:c r="AN52" s="649">
        <x:v>0</x:v>
      </x:c>
      <x:c r="AO52" s="649">
        <x:v>0</x:v>
      </x:c>
      <x:c r="AP52" s="649">
        <x:v>0</x:v>
      </x:c>
      <x:c r="AQ52" s="649">
        <x:v>0</x:v>
      </x:c>
      <x:c r="AR52" s="650" t="s">
        <x:v>1103</x:v>
      </x:c>
      <x:c r="AS52" s="609">
        <x:v>0</x:v>
      </x:c>
      <x:c r="AT52" s="649">
        <x:v>0</x:v>
      </x:c>
      <x:c r="AU52" s="649">
        <x:v>0</x:v>
      </x:c>
      <x:c r="AV52" s="649">
        <x:v>0</x:v>
      </x:c>
      <x:c r="AW52" s="649">
        <x:v>0</x:v>
      </x:c>
      <x:c r="AX52" s="650" t="s">
        <x:v>1103</x:v>
      </x:c>
      <x:c r="AY52" s="44"/>
      <x:c r="AZ52" s="45"/>
      <x:c r="BA52" s="45"/>
      <x:c r="BB52" s="45"/>
      <x:c r="BC52" s="45"/>
      <x:c r="BD52" s="48"/>
      <x:c r="BE52" s="44"/>
      <x:c r="BF52" s="45"/>
      <x:c r="BG52" s="45"/>
      <x:c r="BH52" s="45"/>
      <x:c r="BI52" s="45"/>
      <x:c r="BJ52" s="48"/>
      <x:c r="BK52" s="44"/>
      <x:c r="BL52" s="45"/>
      <x:c r="BM52" s="45"/>
      <x:c r="BN52" s="45"/>
      <x:c r="BO52" s="45"/>
      <x:c r="BP52" s="48"/>
      <x:c r="BQ52" s="44"/>
      <x:c r="BR52" s="45"/>
      <x:c r="BS52" s="45"/>
      <x:c r="BT52" s="45"/>
      <x:c r="BU52" s="45"/>
      <x:c r="BV52" s="48"/>
    </x:row>
    <x:row r="53" spans="1:74" ht="22.5" customHeight="1" x14ac:dyDescent="0.25">
      <x:c r="A53" s="97" t="s">
        <x:v>483</x:v>
      </x:c>
      <x:c r="B53" s="60" t="s">
        <x:v>461</x:v>
      </x:c>
      <x:c r="C53" s="181"/>
      <x:c r="D53" s="182"/>
      <x:c r="E53" s="182"/>
      <x:c r="F53" s="182"/>
      <x:c r="G53" s="182"/>
      <x:c r="H53" s="206"/>
      <x:c r="I53" s="44"/>
      <x:c r="J53" s="45"/>
      <x:c r="K53" s="45"/>
      <x:c r="L53" s="45"/>
      <x:c r="M53" s="45"/>
      <x:c r="N53" s="48"/>
      <x:c r="O53" s="44"/>
      <x:c r="P53" s="45"/>
      <x:c r="Q53" s="45"/>
      <x:c r="R53" s="45"/>
      <x:c r="S53" s="45"/>
      <x:c r="T53" s="48"/>
      <x:c r="U53" s="44"/>
      <x:c r="V53" s="45"/>
      <x:c r="W53" s="45"/>
      <x:c r="X53" s="45"/>
      <x:c r="Y53" s="45"/>
      <x:c r="Z53" s="48"/>
      <x:c r="AA53" s="44"/>
      <x:c r="AB53" s="45"/>
      <x:c r="AC53" s="45"/>
      <x:c r="AD53" s="45"/>
      <x:c r="AE53" s="45"/>
      <x:c r="AF53" s="48"/>
      <x:c r="AG53" s="44"/>
      <x:c r="AH53" s="45"/>
      <x:c r="AI53" s="45"/>
      <x:c r="AJ53" s="45"/>
      <x:c r="AK53" s="45"/>
      <x:c r="AL53" s="48"/>
      <x:c r="AM53" s="181">
        <x:v>100</x:v>
      </x:c>
      <x:c r="AN53" s="182">
        <x:v>100</x:v>
      </x:c>
      <x:c r="AO53" s="182">
        <x:v>100</x:v>
      </x:c>
      <x:c r="AP53" s="182">
        <x:v>100</x:v>
      </x:c>
      <x:c r="AQ53" s="182">
        <x:v>100</x:v>
      </x:c>
      <x:c r="AR53" s="632" t="s">
        <x:v>1102</x:v>
      </x:c>
      <x:c r="AS53" s="181">
        <x:v>100</x:v>
      </x:c>
      <x:c r="AT53" s="182">
        <x:v>100</x:v>
      </x:c>
      <x:c r="AU53" s="182">
        <x:v>100</x:v>
      </x:c>
      <x:c r="AV53" s="182">
        <x:v>100</x:v>
      </x:c>
      <x:c r="AW53" s="182">
        <x:v>100</x:v>
      </x:c>
      <x:c r="AX53" s="608" t="s">
        <x:v>1102</x:v>
      </x:c>
      <x:c r="AY53" s="44"/>
      <x:c r="AZ53" s="45"/>
      <x:c r="BA53" s="45"/>
      <x:c r="BB53" s="45"/>
      <x:c r="BC53" s="45"/>
      <x:c r="BD53" s="48"/>
      <x:c r="BE53" s="44"/>
      <x:c r="BF53" s="45"/>
      <x:c r="BG53" s="45"/>
      <x:c r="BH53" s="45"/>
      <x:c r="BI53" s="45"/>
      <x:c r="BJ53" s="48"/>
      <x:c r="BK53" s="44"/>
      <x:c r="BL53" s="45"/>
      <x:c r="BM53" s="45"/>
      <x:c r="BN53" s="45"/>
      <x:c r="BO53" s="45"/>
      <x:c r="BP53" s="48"/>
      <x:c r="BQ53" s="44"/>
      <x:c r="BR53" s="45"/>
      <x:c r="BS53" s="45"/>
      <x:c r="BT53" s="45"/>
      <x:c r="BU53" s="45"/>
      <x:c r="BV53" s="48"/>
    </x:row>
    <x:row r="54" spans="1:74" x14ac:dyDescent="0.25">
      <x:c r="A54" s="618" t="s">
        <x:v>497</x:v>
      </x:c>
      <x:c r="B54" s="3" t="s">
        <x:v>480</x:v>
      </x:c>
      <x:c r="C54" s="181"/>
      <x:c r="D54" s="182"/>
      <x:c r="E54" s="182"/>
      <x:c r="F54" s="182"/>
      <x:c r="G54" s="182"/>
      <x:c r="H54" s="206"/>
      <x:c r="I54" s="44"/>
      <x:c r="J54" s="45"/>
      <x:c r="K54" s="45"/>
      <x:c r="L54" s="45"/>
      <x:c r="M54" s="45"/>
      <x:c r="N54" s="48"/>
      <x:c r="O54" s="44"/>
      <x:c r="P54" s="45"/>
      <x:c r="Q54" s="45"/>
      <x:c r="R54" s="45"/>
      <x:c r="S54" s="45"/>
      <x:c r="T54" s="48"/>
      <x:c r="U54" s="44"/>
      <x:c r="V54" s="45"/>
      <x:c r="W54" s="45"/>
      <x:c r="X54" s="45"/>
      <x:c r="Y54" s="45"/>
      <x:c r="Z54" s="48"/>
      <x:c r="AA54" s="44"/>
      <x:c r="AB54" s="45"/>
      <x:c r="AC54" s="45"/>
      <x:c r="AD54" s="45"/>
      <x:c r="AE54" s="45"/>
      <x:c r="AF54" s="48"/>
      <x:c r="AG54" s="44"/>
      <x:c r="AH54" s="45"/>
      <x:c r="AI54" s="45"/>
      <x:c r="AJ54" s="45"/>
      <x:c r="AK54" s="45"/>
      <x:c r="AL54" s="48"/>
      <x:c r="AM54" s="609">
        <x:v>0</x:v>
      </x:c>
      <x:c r="AN54" s="649">
        <x:v>0</x:v>
      </x:c>
      <x:c r="AO54" s="649">
        <x:v>0</x:v>
      </x:c>
      <x:c r="AP54" s="649">
        <x:v>0</x:v>
      </x:c>
      <x:c r="AQ54" s="649">
        <x:v>0</x:v>
      </x:c>
      <x:c r="AR54" s="650" t="s">
        <x:v>1103</x:v>
      </x:c>
      <x:c r="AS54" s="609">
        <x:v>0</x:v>
      </x:c>
      <x:c r="AT54" s="649">
        <x:v>0</x:v>
      </x:c>
      <x:c r="AU54" s="649">
        <x:v>0</x:v>
      </x:c>
      <x:c r="AV54" s="649">
        <x:v>0</x:v>
      </x:c>
      <x:c r="AW54" s="649">
        <x:v>0</x:v>
      </x:c>
      <x:c r="AX54" s="650" t="s">
        <x:v>1103</x:v>
      </x:c>
      <x:c r="AY54" s="44"/>
      <x:c r="AZ54" s="45"/>
      <x:c r="BA54" s="45"/>
      <x:c r="BB54" s="45"/>
      <x:c r="BC54" s="45"/>
      <x:c r="BD54" s="48"/>
      <x:c r="BE54" s="44"/>
      <x:c r="BF54" s="45"/>
      <x:c r="BG54" s="45"/>
      <x:c r="BH54" s="45"/>
      <x:c r="BI54" s="45"/>
      <x:c r="BJ54" s="48"/>
      <x:c r="BK54" s="44"/>
      <x:c r="BL54" s="45"/>
      <x:c r="BM54" s="45"/>
      <x:c r="BN54" s="45"/>
      <x:c r="BO54" s="45"/>
      <x:c r="BP54" s="48"/>
      <x:c r="BQ54" s="44"/>
      <x:c r="BR54" s="45"/>
      <x:c r="BS54" s="45"/>
      <x:c r="BT54" s="45"/>
      <x:c r="BU54" s="45"/>
      <x:c r="BV54" s="48"/>
    </x:row>
    <x:row r="55" spans="1:74" x14ac:dyDescent="0.25">
      <x:c r="A55" s="97" t="s">
        <x:v>493</x:v>
      </x:c>
      <x:c r="B55" s="60" t="s">
        <x:v>480</x:v>
      </x:c>
      <x:c r="C55" s="181"/>
      <x:c r="D55" s="182"/>
      <x:c r="E55" s="182"/>
      <x:c r="F55" s="182"/>
      <x:c r="G55" s="182"/>
      <x:c r="H55" s="206"/>
      <x:c r="I55" s="44"/>
      <x:c r="J55" s="45"/>
      <x:c r="K55" s="45"/>
      <x:c r="L55" s="45"/>
      <x:c r="M55" s="45"/>
      <x:c r="N55" s="48"/>
      <x:c r="O55" s="44"/>
      <x:c r="P55" s="45"/>
      <x:c r="Q55" s="45"/>
      <x:c r="R55" s="45"/>
      <x:c r="S55" s="45"/>
      <x:c r="T55" s="48"/>
      <x:c r="U55" s="44"/>
      <x:c r="V55" s="45"/>
      <x:c r="W55" s="45"/>
      <x:c r="X55" s="45"/>
      <x:c r="Y55" s="45"/>
      <x:c r="Z55" s="48"/>
      <x:c r="AA55" s="44"/>
      <x:c r="AB55" s="45"/>
      <x:c r="AC55" s="45"/>
      <x:c r="AD55" s="45"/>
      <x:c r="AE55" s="45"/>
      <x:c r="AF55" s="48"/>
      <x:c r="AG55" s="44"/>
      <x:c r="AH55" s="45"/>
      <x:c r="AI55" s="45"/>
      <x:c r="AJ55" s="45"/>
      <x:c r="AK55" s="45"/>
      <x:c r="AL55" s="48"/>
      <x:c r="AM55" s="181">
        <x:v>100</x:v>
      </x:c>
      <x:c r="AN55" s="182">
        <x:v>100</x:v>
      </x:c>
      <x:c r="AO55" s="182">
        <x:v>100</x:v>
      </x:c>
      <x:c r="AP55" s="182">
        <x:v>100</x:v>
      </x:c>
      <x:c r="AQ55" s="182">
        <x:v>98.32</x:v>
      </x:c>
      <x:c r="AR55" s="632" t="s">
        <x:v>1102</x:v>
      </x:c>
      <x:c r="AS55" s="181">
        <x:v>100</x:v>
      </x:c>
      <x:c r="AT55" s="182">
        <x:v>100</x:v>
      </x:c>
      <x:c r="AU55" s="651">
        <x:v>0</x:v>
      </x:c>
      <x:c r="AV55" s="651">
        <x:v>0</x:v>
      </x:c>
      <x:c r="AW55" s="651">
        <x:v>0</x:v>
      </x:c>
      <x:c r="AX55" s="608" t="s">
        <x:v>1102</x:v>
      </x:c>
      <x:c r="AY55" s="44"/>
      <x:c r="AZ55" s="45"/>
      <x:c r="BA55" s="45"/>
      <x:c r="BB55" s="45"/>
      <x:c r="BC55" s="45"/>
      <x:c r="BD55" s="48"/>
      <x:c r="BE55" s="44"/>
      <x:c r="BF55" s="45"/>
      <x:c r="BG55" s="45"/>
      <x:c r="BH55" s="45"/>
      <x:c r="BI55" s="45"/>
      <x:c r="BJ55" s="48"/>
      <x:c r="BK55" s="44"/>
      <x:c r="BL55" s="45"/>
      <x:c r="BM55" s="45"/>
      <x:c r="BN55" s="45"/>
      <x:c r="BO55" s="45"/>
      <x:c r="BP55" s="48"/>
      <x:c r="BQ55" s="44"/>
      <x:c r="BR55" s="45"/>
      <x:c r="BS55" s="45"/>
      <x:c r="BT55" s="45"/>
      <x:c r="BU55" s="45"/>
      <x:c r="BV55" s="48"/>
    </x:row>
    <x:row r="56" spans="1:74" ht="15.75" customHeight="1" x14ac:dyDescent="0.3">
      <x:c r="A56" s="619" t="s">
        <x:v>492</x:v>
      </x:c>
      <x:c r="B56" s="3" t="s">
        <x:v>461</x:v>
      </x:c>
      <x:c r="C56" s="181"/>
      <x:c r="D56" s="182"/>
      <x:c r="E56" s="182"/>
      <x:c r="F56" s="182"/>
      <x:c r="G56" s="182"/>
      <x:c r="H56" s="206"/>
      <x:c r="I56" s="44"/>
      <x:c r="J56" s="45"/>
      <x:c r="K56" s="45"/>
      <x:c r="L56" s="45"/>
      <x:c r="M56" s="45"/>
      <x:c r="N56" s="48"/>
      <x:c r="O56" s="44"/>
      <x:c r="P56" s="45"/>
      <x:c r="Q56" s="45"/>
      <x:c r="R56" s="45"/>
      <x:c r="S56" s="45"/>
      <x:c r="T56" s="48"/>
      <x:c r="U56" s="44"/>
      <x:c r="V56" s="45"/>
      <x:c r="W56" s="45"/>
      <x:c r="X56" s="45"/>
      <x:c r="Y56" s="45"/>
      <x:c r="Z56" s="48"/>
      <x:c r="AA56" s="44"/>
      <x:c r="AB56" s="45"/>
      <x:c r="AC56" s="45"/>
      <x:c r="AD56" s="45"/>
      <x:c r="AE56" s="45"/>
      <x:c r="AF56" s="48"/>
      <x:c r="AG56" s="44"/>
      <x:c r="AH56" s="45"/>
      <x:c r="AI56" s="45"/>
      <x:c r="AJ56" s="45"/>
      <x:c r="AK56" s="45"/>
      <x:c r="AL56" s="48"/>
      <x:c r="AM56" s="609">
        <x:v>0</x:v>
      </x:c>
      <x:c r="AN56" s="649">
        <x:v>0</x:v>
      </x:c>
      <x:c r="AO56" s="649">
        <x:v>0</x:v>
      </x:c>
      <x:c r="AP56" s="649">
        <x:v>0</x:v>
      </x:c>
      <x:c r="AQ56" s="649">
        <x:v>0</x:v>
      </x:c>
      <x:c r="AR56" s="650" t="s">
        <x:v>1103</x:v>
      </x:c>
      <x:c r="AS56" s="181">
        <x:v>100</x:v>
      </x:c>
      <x:c r="AT56" s="182">
        <x:v>100</x:v>
      </x:c>
      <x:c r="AU56" s="182">
        <x:v>100</x:v>
      </x:c>
      <x:c r="AV56" s="182">
        <x:v>94.44</x:v>
      </x:c>
      <x:c r="AW56" s="182">
        <x:v>90.91</x:v>
      </x:c>
      <x:c r="AX56" s="608" t="s">
        <x:v>1102</x:v>
      </x:c>
      <x:c r="AY56" s="44"/>
      <x:c r="AZ56" s="45"/>
      <x:c r="BA56" s="45"/>
      <x:c r="BB56" s="45"/>
      <x:c r="BC56" s="45"/>
      <x:c r="BD56" s="48"/>
      <x:c r="BE56" s="44"/>
      <x:c r="BF56" s="45"/>
      <x:c r="BG56" s="45"/>
      <x:c r="BH56" s="45"/>
      <x:c r="BI56" s="45"/>
      <x:c r="BJ56" s="48"/>
      <x:c r="BK56" s="44"/>
      <x:c r="BL56" s="45"/>
      <x:c r="BM56" s="45"/>
      <x:c r="BN56" s="45"/>
      <x:c r="BO56" s="45"/>
      <x:c r="BP56" s="48"/>
      <x:c r="BQ56" s="44"/>
      <x:c r="BR56" s="45"/>
      <x:c r="BS56" s="45"/>
      <x:c r="BT56" s="45"/>
      <x:c r="BU56" s="45"/>
      <x:c r="BV56" s="48"/>
    </x:row>
    <x:row r="57" spans="1:74" x14ac:dyDescent="0.25">
      <x:c r="A57" s="669" t="s">
        <x:v>513</x:v>
      </x:c>
      <x:c r="B57" s="115" t="s">
        <x:v>461</x:v>
      </x:c>
      <x:c r="C57" s="160"/>
      <x:c r="D57" s="161"/>
      <x:c r="E57" s="161"/>
      <x:c r="F57" s="161"/>
      <x:c r="G57" s="161"/>
      <x:c r="H57" s="204"/>
      <x:c r="I57" s="38"/>
      <x:c r="J57" s="39"/>
      <x:c r="K57" s="39"/>
      <x:c r="L57" s="39"/>
      <x:c r="M57" s="39"/>
      <x:c r="N57" s="42"/>
      <x:c r="O57" s="38"/>
      <x:c r="P57" s="39"/>
      <x:c r="Q57" s="39"/>
      <x:c r="R57" s="39"/>
      <x:c r="S57" s="39"/>
      <x:c r="T57" s="42"/>
      <x:c r="U57" s="38"/>
      <x:c r="V57" s="39"/>
      <x:c r="W57" s="39"/>
      <x:c r="X57" s="39"/>
      <x:c r="Y57" s="39"/>
      <x:c r="Z57" s="42"/>
      <x:c r="AA57" s="38"/>
      <x:c r="AB57" s="39"/>
      <x:c r="AC57" s="39"/>
      <x:c r="AD57" s="39"/>
      <x:c r="AE57" s="39"/>
      <x:c r="AF57" s="42"/>
      <x:c r="AG57" s="38"/>
      <x:c r="AH57" s="39"/>
      <x:c r="AI57" s="39"/>
      <x:c r="AJ57" s="39"/>
      <x:c r="AK57" s="39"/>
      <x:c r="AL57" s="42"/>
      <x:c r="AM57" s="612">
        <x:v>0</x:v>
      </x:c>
      <x:c r="AN57" s="613">
        <x:v>0</x:v>
      </x:c>
      <x:c r="AO57" s="613">
        <x:v>0</x:v>
      </x:c>
      <x:c r="AP57" s="613">
        <x:v>0</x:v>
      </x:c>
      <x:c r="AQ57" s="613">
        <x:v>0</x:v>
      </x:c>
      <x:c r="AR57" s="645" t="s">
        <x:v>1103</x:v>
      </x:c>
      <x:c r="AS57" s="160">
        <x:v>100</x:v>
      </x:c>
      <x:c r="AT57" s="161">
        <x:v>100</x:v>
      </x:c>
      <x:c r="AU57" s="670">
        <x:v>0</x:v>
      </x:c>
      <x:c r="AV57" s="670">
        <x:v>0</x:v>
      </x:c>
      <x:c r="AW57" s="670">
        <x:v>0</x:v>
      </x:c>
      <x:c r="AX57" s="594" t="s">
        <x:v>1102</x:v>
      </x:c>
      <x:c r="AY57" s="38"/>
      <x:c r="AZ57" s="39"/>
      <x:c r="BA57" s="39"/>
      <x:c r="BB57" s="39"/>
      <x:c r="BC57" s="39"/>
      <x:c r="BD57" s="42"/>
      <x:c r="BE57" s="38"/>
      <x:c r="BF57" s="39"/>
      <x:c r="BG57" s="39"/>
      <x:c r="BH57" s="39"/>
      <x:c r="BI57" s="39"/>
      <x:c r="BJ57" s="42"/>
      <x:c r="BK57" s="38"/>
      <x:c r="BL57" s="39"/>
      <x:c r="BM57" s="39"/>
      <x:c r="BN57" s="39"/>
      <x:c r="BO57" s="39"/>
      <x:c r="BP57" s="42"/>
      <x:c r="BQ57" s="38"/>
      <x:c r="BR57" s="39"/>
      <x:c r="BS57" s="39"/>
      <x:c r="BT57" s="39"/>
      <x:c r="BU57" s="39"/>
      <x:c r="BV57" s="42"/>
    </x:row>
    <x:row r="58" spans="1:74" x14ac:dyDescent="0.25">
      <x:c r="C58" s="498">
        <x:f>SUMPRODUCT((C3:C57&gt;=10)*(D3:D57&gt;=10)*(E3:E57&gt;=10)*(F3:F57&gt;=10)*(G3:G57&gt;=10))</x:f>
      </x:c>
      <x:c r="H58" s="227">
        <x:f>COUNTIF(H3:H57,"Да")</x:f>
      </x:c>
      <x:c r="I58" s="498">
        <x:f>SUMPRODUCT((I3:I57&gt;=10)*(J3:J57&gt;=10)*(K3:K57&gt;=10)*(L3:L57&gt;=10)*(M3:M57&gt;=10))</x:f>
      </x:c>
      <x:c r="N58" s="227">
        <x:f>COUNTIF(N3:N57,"Да")</x:f>
      </x:c>
      <x:c r="O58" s="498">
        <x:f>SUMPRODUCT((O3:O57&gt;=10)*(P3:P57&gt;=10)*(Q3:Q57&gt;=10)*(R3:R57&gt;=10)*(S3:S57&gt;=10))</x:f>
      </x:c>
      <x:c r="T58" s="227">
        <x:f>COUNTIF(T3:T57,"Да")</x:f>
      </x:c>
      <x:c r="U58" s="498">
        <x:f>SUMPRODUCT((U3:U57&gt;=10)*(V3:V57&gt;=10)*(W3:W57&gt;=10)*(X3:X57&gt;=10)*(Y3:Y57&gt;=10))</x:f>
      </x:c>
      <x:c r="Z58" s="227">
        <x:f>COUNTIF(Z3:Z57,"Да")</x:f>
      </x:c>
      <x:c r="AA58" s="498">
        <x:f>SUMPRODUCT((AA3:AA57&gt;=10)*(AB3:AB57&gt;=10)*(AC3:AC57&gt;=10)*(AD3:AD57&gt;=10)*(AE3:AE57&gt;=10))</x:f>
      </x:c>
      <x:c r="AF58" s="227">
        <x:f>COUNTIF(AF3:AF57,"Да")</x:f>
      </x:c>
      <x:c r="AG58" s="498">
        <x:f>SUMPRODUCT((AG3:AG57&gt;=10)*(AH3:AH57&gt;=10)*(AI3:AI57&gt;=10)*(AJ3:AJ57&gt;=10)*(AK3:AK57&gt;=10))</x:f>
      </x:c>
      <x:c r="AL58" s="227">
        <x:f>COUNTIF(AL3:AL57,"Да")</x:f>
      </x:c>
      <x:c r="AM58" s="498">
        <x:f>SUMPRODUCT((AM3:AM57&gt;=10)*(AN3:AN57&gt;=10)*(AO3:AO57&gt;=10)*(AP3:AP57&gt;=10)*(AQ3:AQ57&gt;=10))</x:f>
      </x:c>
      <x:c r="AR58" s="227">
        <x:f>COUNTIF(AR3:AR57,"Да")</x:f>
      </x:c>
      <x:c r="AS58" s="498">
        <x:f>SUMPRODUCT((AS3:AS57&gt;=10)*(AT3:AT57&gt;=10)*(AU3:AU57&gt;=10)*(AV3:AV57&gt;=10)*(AW3:AW57&gt;=10))</x:f>
      </x:c>
      <x:c r="AX58" s="227">
        <x:f>COUNTIF(AX3:AX57,"Да")</x:f>
      </x:c>
      <x:c r="AY58" s="498">
        <x:f>SUMPRODUCT((AY3:AY57&gt;=10)*(AZ3:AZ57&gt;=10)*(BA3:BA57&gt;=10)*(BB3:BB57&gt;=10)*(BC3:BC57&gt;=10))</x:f>
      </x:c>
      <x:c r="BD58" s="227">
        <x:f>COUNTIF(BD3:BD57,"Да")</x:f>
      </x:c>
      <x:c r="BE58" s="498">
        <x:f>SUMPRODUCT((BE3:BE57&gt;=10)*(BF3:BF57&gt;=10)*(BG3:BG57&gt;=10)*(BH3:BH57&gt;=10)*(BI3:BI57&gt;=10))</x:f>
      </x:c>
      <x:c r="BJ58" s="227">
        <x:f>COUNTIF(BJ3:BJ57,"Да")</x:f>
      </x:c>
      <x:c r="BK58" s="498">
        <x:f>SUMPRODUCT((BK3:BK57&gt;=10)*(BL3:BL57&gt;=10)*(BM3:BM57&gt;=10)*(BN3:BN57&gt;=10)*(BO3:BO57&gt;=10))</x:f>
      </x:c>
      <x:c r="BP58" s="227">
        <x:f>COUNTIF(BP3:BP57,"Да")</x:f>
      </x:c>
      <x:c r="BQ58" s="498">
        <x:f>SUMPRODUCT((BQ3:BQ57&gt;=10)*(BR3:BR57&gt;=10)*(BS3:BS57&gt;=10)*(BT3:BT57&gt;=10)*(BU3:BU57&gt;=10))</x:f>
      </x:c>
      <x:c r="BV58" s="227">
        <x:f>COUNTIF(BV3:BV57,"Да")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58:G58"/>
    <x:mergeCell ref="I58:M58"/>
    <x:mergeCell ref="O58:S58"/>
    <x:mergeCell ref="U58:Y58"/>
    <x:mergeCell ref="AA58:AE58"/>
    <x:mergeCell ref="AG58:AK58"/>
    <x:mergeCell ref="AM58:AQ58"/>
    <x:mergeCell ref="AS58:AW58"/>
    <x:mergeCell ref="AY58:BC58"/>
    <x:mergeCell ref="BE58:BI58"/>
    <x:mergeCell ref="BK58:BO58"/>
    <x:mergeCell ref="BQ58:BU58"/>
  </x:mergeCells>
  <x:conditionalFormatting sqref="C3:BV57">
    <x:cfRule type="containsBlanks" dxfId="8" priority="1">
      <x:formula>LEN(TRIM(C3))=0</x:formula>
    </x:cfRule>
    <x:cfRule type="expression" priority="10" stopIfTrue="1" operator="equal">
      <x:formula>LEN(TRIM(C3&amp;""))=0</x:formula>
    </x:cfRule>
  </x:conditionalFormatting>
  <x:conditionalFormatting sqref="A3:A45 A47:A56">
    <x:cfRule type="duplicateValues" dxfId="0" priority="2"/>
    <x:cfRule type="duplicateValues" dxfId="0" priority="8"/>
    <x:cfRule type="duplicateValues" dxfId="0" priority="9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outlinePr summaryBelow="1" summaryRight="1"/>
  </x:sheetPr>
  <x:dimension ref="A1:BV50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9.140625" style="0" customWidth="1"/>
    <x:col min="2" max="2" width="29.710938" style="0" customWidth="1"/>
    <x:col min="3" max="7" width="9.140625" style="0" customWidth="1"/>
    <x:col min="8" max="8" width="9.710938" style="0" customWidth="1"/>
    <x:col min="9" max="13" width="9.140625" style="0" customWidth="1"/>
    <x:col min="14" max="14" width="10.140625" style="0" customWidth="1"/>
    <x:col min="15" max="31" width="9.140625" style="0" customWidth="1"/>
    <x:col min="32" max="32" width="10.570312" style="0" customWidth="1"/>
    <x:col min="33" max="37" width="9.140625" style="0" customWidth="1"/>
    <x:col min="38" max="38" width="11.425781" style="0" customWidth="1"/>
    <x:col min="39" max="43" width="9.140625" style="0" customWidth="1"/>
    <x:col min="44" max="44" width="10.425781" style="0" customWidth="1"/>
    <x:col min="45" max="49" width="9.140625" style="0" customWidth="1"/>
    <x:col min="50" max="50" width="10.140625" style="0" customWidth="1"/>
    <x:col min="51" max="55" width="9.140625" style="0" customWidth="1"/>
    <x:col min="56" max="56" width="9.570312" style="0" customWidth="1"/>
    <x:col min="57" max="61" width="9.140625" style="0" customWidth="1"/>
    <x:col min="62" max="62" width="10.425781" style="0" customWidth="1"/>
    <x:col min="63" max="67" width="9.140625" style="0" customWidth="1"/>
    <x:col min="68" max="68" width="10" style="0" customWidth="1"/>
    <x:col min="69" max="73" width="9.140625" style="0" customWidth="1"/>
    <x:col min="74" max="74" width="10.140625" style="0" customWidth="1"/>
  </x:cols>
  <x:sheetData>
    <x:row r="1" spans="1:74" ht="28.5" customHeight="1" x14ac:dyDescent="0.3">
      <x:c r="A1" s="22" t="s">
        <x:v>1094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61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33.75" customHeight="1" x14ac:dyDescent="0.25">
      <x:c r="A3" s="97" t="s">
        <x:v>405</x:v>
      </x:c>
      <x:c r="B3" s="118" t="s">
        <x:v>406</x:v>
      </x:c>
      <x:c r="C3" s="201"/>
      <x:c r="D3" s="202"/>
      <x:c r="E3" s="202"/>
      <x:c r="F3" s="202"/>
      <x:c r="G3" s="202"/>
      <x:c r="H3" s="203"/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640">
        <x:v>0</x:v>
      </x:c>
      <x:c r="AO3" s="640">
        <x:v>0</x:v>
      </x:c>
      <x:c r="AP3" s="640">
        <x:v>0</x:v>
      </x:c>
      <x:c r="AQ3" s="640">
        <x:v>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97" t="s">
        <x:v>416</x:v>
      </x:c>
      <x:c r="B4" s="122" t="s">
        <x:v>408</x:v>
      </x:c>
      <x:c r="C4" s="157"/>
      <x:c r="D4" s="158"/>
      <x:c r="E4" s="158"/>
      <x:c r="F4" s="158"/>
      <x:c r="G4" s="158"/>
      <x:c r="H4" s="197"/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57">
        <x:v>100</x:v>
      </x:c>
      <x:c r="AN4" s="589">
        <x:v>0</x:v>
      </x:c>
      <x:c r="AO4" s="589">
        <x:v>0</x:v>
      </x:c>
      <x:c r="AP4" s="589">
        <x:v>0</x:v>
      </x:c>
      <x:c r="AQ4" s="589">
        <x:v>0</x:v>
      </x:c>
      <x:c r="AR4" s="620" t="s">
        <x:v>1102</x:v>
      </x:c>
      <x:c r="AS4" s="175">
        <x:v>100</x:v>
      </x:c>
      <x:c r="AT4" s="158">
        <x:v>100</x:v>
      </x:c>
      <x:c r="AU4" s="600">
        <x:v>0</x:v>
      </x:c>
      <x:c r="AV4" s="600">
        <x:v>0</x:v>
      </x:c>
      <x:c r="AW4" s="600">
        <x:v>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97" t="s">
        <x:v>433</x:v>
      </x:c>
      <x:c r="B5" s="119" t="s">
        <x:v>403</x:v>
      </x:c>
      <x:c r="C5" s="157"/>
      <x:c r="D5" s="158"/>
      <x:c r="E5" s="158"/>
      <x:c r="F5" s="158"/>
      <x:c r="G5" s="158"/>
      <x:c r="H5" s="197"/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157">
        <x:v>100</x:v>
      </x:c>
      <x:c r="AN5" s="589">
        <x:v>0</x:v>
      </x:c>
      <x:c r="AO5" s="589">
        <x:v>0</x:v>
      </x:c>
      <x:c r="AP5" s="589">
        <x:v>0</x:v>
      </x:c>
      <x:c r="AQ5" s="589">
        <x:v>0</x:v>
      </x:c>
      <x:c r="AR5" s="620" t="s">
        <x:v>1102</x:v>
      </x:c>
      <x:c r="AS5" s="175">
        <x:v>100</x:v>
      </x:c>
      <x:c r="AT5" s="158">
        <x:v>100</x:v>
      </x:c>
      <x:c r="AU5" s="600">
        <x:v>0</x:v>
      </x:c>
      <x:c r="AV5" s="600">
        <x:v>0</x:v>
      </x:c>
      <x:c r="AW5" s="600">
        <x:v>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22.5" customHeight="1" x14ac:dyDescent="0.25">
      <x:c r="A6" s="97" t="s">
        <x:v>440</x:v>
      </x:c>
      <x:c r="B6" s="122" t="s">
        <x:v>408</x:v>
      </x:c>
      <x:c r="C6" s="157"/>
      <x:c r="D6" s="158"/>
      <x:c r="E6" s="158"/>
      <x:c r="F6" s="158"/>
      <x:c r="G6" s="158"/>
      <x:c r="H6" s="197"/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75</x:v>
      </x:c>
      <x:c r="AO6" s="589">
        <x:v>0</x:v>
      </x:c>
      <x:c r="AP6" s="589">
        <x:v>0</x:v>
      </x:c>
      <x:c r="AQ6" s="589">
        <x:v>0</x:v>
      </x:c>
      <x:c r="AR6" s="620" t="s">
        <x:v>1102</x:v>
      </x:c>
      <x:c r="AS6" s="175">
        <x:v>100</x:v>
      </x:c>
      <x:c r="AT6" s="158">
        <x:v>100</x:v>
      </x:c>
      <x:c r="AU6" s="158">
        <x:v>100</x:v>
      </x:c>
      <x:c r="AV6" s="158">
        <x:v>100</x:v>
      </x:c>
      <x:c r="AW6" s="158">
        <x:v>100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33.75" customHeight="1" x14ac:dyDescent="0.25">
      <x:c r="A7" s="97" t="s">
        <x:v>402</x:v>
      </x:c>
      <x:c r="B7" s="119" t="s">
        <x:v>403</x:v>
      </x:c>
      <x:c r="C7" s="157"/>
      <x:c r="D7" s="158"/>
      <x:c r="E7" s="158"/>
      <x:c r="F7" s="158"/>
      <x:c r="G7" s="158"/>
      <x:c r="H7" s="197"/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57">
        <x:v>100</x:v>
      </x:c>
      <x:c r="AN7" s="589">
        <x:v>0</x:v>
      </x:c>
      <x:c r="AO7" s="589">
        <x:v>0</x:v>
      </x:c>
      <x:c r="AP7" s="589">
        <x:v>0</x:v>
      </x:c>
      <x:c r="AQ7" s="589">
        <x:v>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158">
        <x:v>100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97" t="s">
        <x:v>413</x:v>
      </x:c>
      <x:c r="B8" s="122" t="s">
        <x:v>408</x:v>
      </x:c>
      <x:c r="C8" s="157"/>
      <x:c r="D8" s="158"/>
      <x:c r="E8" s="158"/>
      <x:c r="F8" s="158"/>
      <x:c r="G8" s="158"/>
      <x:c r="H8" s="197"/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157">
        <x:v>100</x:v>
      </x:c>
      <x:c r="AN8" s="158">
        <x:v>100</x:v>
      </x:c>
      <x:c r="AO8" s="589">
        <x:v>0</x:v>
      </x:c>
      <x:c r="AP8" s="589">
        <x:v>0</x:v>
      </x:c>
      <x:c r="AQ8" s="589">
        <x:v>0</x:v>
      </x:c>
      <x:c r="AR8" s="620" t="s">
        <x:v>1102</x:v>
      </x:c>
      <x:c r="AS8" s="175">
        <x:v>100</x:v>
      </x:c>
      <x:c r="AT8" s="158">
        <x:v>100</x:v>
      </x:c>
      <x:c r="AU8" s="158">
        <x:v>100</x:v>
      </x:c>
      <x:c r="AV8" s="158">
        <x:v>100</x:v>
      </x:c>
      <x:c r="AW8" s="158">
        <x:v>100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97" t="s">
        <x:v>414</x:v>
      </x:c>
      <x:c r="B9" s="119" t="s">
        <x:v>408</x:v>
      </x:c>
      <x:c r="C9" s="157"/>
      <x:c r="D9" s="158"/>
      <x:c r="E9" s="158"/>
      <x:c r="F9" s="158"/>
      <x:c r="G9" s="158"/>
      <x:c r="H9" s="197"/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75</x:v>
      </x:c>
      <x:c r="AO9" s="589">
        <x:v>0</x:v>
      </x:c>
      <x:c r="AP9" s="589">
        <x:v>0</x:v>
      </x:c>
      <x:c r="AQ9" s="589">
        <x:v>0</x:v>
      </x:c>
      <x:c r="AR9" s="620" t="s">
        <x:v>1102</x:v>
      </x:c>
      <x:c r="AS9" s="175">
        <x:v>100</x:v>
      </x:c>
      <x:c r="AT9" s="158">
        <x:v>100</x:v>
      </x:c>
      <x:c r="AU9" s="158">
        <x:v>100</x:v>
      </x:c>
      <x:c r="AV9" s="158">
        <x:v>100</x:v>
      </x:c>
      <x:c r="AW9" s="158">
        <x:v>100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97" t="s">
        <x:v>449</x:v>
      </x:c>
      <x:c r="B10" s="122" t="s">
        <x:v>403</x:v>
      </x:c>
      <x:c r="C10" s="157"/>
      <x:c r="D10" s="158"/>
      <x:c r="E10" s="158"/>
      <x:c r="F10" s="158"/>
      <x:c r="G10" s="158"/>
      <x:c r="H10" s="197"/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589">
        <x:v>0</x:v>
      </x:c>
      <x:c r="AO10" s="589">
        <x:v>0</x:v>
      </x:c>
      <x:c r="AP10" s="589">
        <x:v>0</x:v>
      </x:c>
      <x:c r="AQ10" s="589">
        <x:v>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158">
        <x:v>100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97" t="s">
        <x:v>434</x:v>
      </x:c>
      <x:c r="B11" s="119" t="s">
        <x:v>403</x:v>
      </x:c>
      <x:c r="C11" s="157"/>
      <x:c r="D11" s="158"/>
      <x:c r="E11" s="158"/>
      <x:c r="F11" s="158"/>
      <x:c r="G11" s="158"/>
      <x:c r="H11" s="197"/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157">
        <x:v>100</x:v>
      </x:c>
      <x:c r="AN11" s="589">
        <x:v>0</x:v>
      </x:c>
      <x:c r="AO11" s="589">
        <x:v>0</x:v>
      </x:c>
      <x:c r="AP11" s="589">
        <x:v>0</x:v>
      </x:c>
      <x:c r="AQ11" s="589">
        <x:v>0</x:v>
      </x:c>
      <x:c r="AR11" s="620" t="s">
        <x:v>1102</x:v>
      </x:c>
      <x:c r="AS11" s="175">
        <x:v>100</x:v>
      </x:c>
      <x:c r="AT11" s="158">
        <x:v>100</x:v>
      </x:c>
      <x:c r="AU11" s="158">
        <x:v>100</x:v>
      </x:c>
      <x:c r="AV11" s="158">
        <x:v>100</x:v>
      </x:c>
      <x:c r="AW11" s="158">
        <x:v>100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97" t="s">
        <x:v>407</x:v>
      </x:c>
      <x:c r="B12" s="122" t="s">
        <x:v>408</x:v>
      </x:c>
      <x:c r="C12" s="157"/>
      <x:c r="D12" s="158"/>
      <x:c r="E12" s="158"/>
      <x:c r="F12" s="158"/>
      <x:c r="G12" s="158"/>
      <x:c r="H12" s="197"/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589">
        <x:v>0</x:v>
      </x:c>
      <x:c r="AP12" s="589">
        <x:v>0</x:v>
      </x:c>
      <x:c r="AQ12" s="589">
        <x:v>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618" t="s">
        <x:v>441</x:v>
      </x:c>
      <x:c r="B13" s="119" t="s">
        <x:v>408</x:v>
      </x:c>
      <x:c r="C13" s="157"/>
      <x:c r="D13" s="158"/>
      <x:c r="E13" s="158"/>
      <x:c r="F13" s="158"/>
      <x:c r="G13" s="158"/>
      <x:c r="H13" s="197"/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589">
        <x:v>0</x:v>
      </x:c>
      <x:c r="AP13" s="589">
        <x:v>0</x:v>
      </x:c>
      <x:c r="AQ13" s="589">
        <x:v>0</x:v>
      </x:c>
      <x:c r="AR13" s="620" t="s">
        <x:v>1102</x:v>
      </x:c>
      <x:c r="AS13" s="617">
        <x:v>0</x:v>
      </x:c>
      <x:c r="AT13" s="589">
        <x:v>0</x:v>
      </x:c>
      <x:c r="AU13" s="589">
        <x:v>0</x:v>
      </x:c>
      <x:c r="AV13" s="589">
        <x:v>0</x:v>
      </x:c>
      <x:c r="AW13" s="589">
        <x:v>0</x:v>
      </x:c>
      <x:c r="AX13" s="591" t="s">
        <x:v>1103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97" t="s">
        <x:v>415</x:v>
      </x:c>
      <x:c r="B14" s="122" t="s">
        <x:v>401</x:v>
      </x:c>
      <x:c r="C14" s="157"/>
      <x:c r="D14" s="158"/>
      <x:c r="E14" s="158"/>
      <x:c r="F14" s="158"/>
      <x:c r="G14" s="158"/>
      <x:c r="H14" s="197"/>
      <x:c r="I14" s="167"/>
      <x:c r="J14" s="185"/>
      <x:c r="K14" s="185"/>
      <x:c r="L14" s="185"/>
      <x:c r="M14" s="185"/>
      <x:c r="N14" s="36"/>
      <x:c r="O14" s="167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57">
        <x:v>100</x:v>
      </x:c>
      <x:c r="AN14" s="589">
        <x:v>0</x:v>
      </x:c>
      <x:c r="AO14" s="589">
        <x:v>0</x:v>
      </x:c>
      <x:c r="AP14" s="589">
        <x:v>0</x:v>
      </x:c>
      <x:c r="AQ14" s="589">
        <x:v>0</x:v>
      </x:c>
      <x:c r="AR14" s="620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97" t="s">
        <x:v>451</x:v>
      </x:c>
      <x:c r="B15" s="119" t="s">
        <x:v>403</x:v>
      </x:c>
      <x:c r="C15" s="157"/>
      <x:c r="D15" s="158"/>
      <x:c r="E15" s="158"/>
      <x:c r="F15" s="158"/>
      <x:c r="G15" s="158"/>
      <x:c r="H15" s="197"/>
      <x:c r="I15" s="167"/>
      <x:c r="J15" s="185"/>
      <x:c r="K15" s="185"/>
      <x:c r="L15" s="185"/>
      <x:c r="M15" s="185"/>
      <x:c r="N15" s="36"/>
      <x:c r="O15" s="167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57">
        <x:v>100</x:v>
      </x:c>
      <x:c r="AN15" s="589">
        <x:v>0</x:v>
      </x:c>
      <x:c r="AO15" s="589">
        <x:v>0</x:v>
      </x:c>
      <x:c r="AP15" s="589">
        <x:v>0</x:v>
      </x:c>
      <x:c r="AQ15" s="589">
        <x:v>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97" t="s">
        <x:v>424</x:v>
      </x:c>
      <x:c r="B16" s="122" t="s">
        <x:v>408</x:v>
      </x:c>
      <x:c r="C16" s="157"/>
      <x:c r="D16" s="158"/>
      <x:c r="E16" s="158"/>
      <x:c r="F16" s="158"/>
      <x:c r="G16" s="158"/>
      <x:c r="H16" s="197"/>
      <x:c r="I16" s="167"/>
      <x:c r="J16" s="185"/>
      <x:c r="K16" s="185"/>
      <x:c r="L16" s="185"/>
      <x:c r="M16" s="185"/>
      <x:c r="N16" s="36"/>
      <x:c r="O16" s="167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57">
        <x:v>100</x:v>
      </x:c>
      <x:c r="AN16" s="158">
        <x:v>75</x:v>
      </x:c>
      <x:c r="AO16" s="589">
        <x:v>0</x:v>
      </x:c>
      <x:c r="AP16" s="589">
        <x:v>0</x:v>
      </x:c>
      <x:c r="AQ16" s="589">
        <x:v>0</x:v>
      </x:c>
      <x:c r="AR16" s="620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100</x:v>
      </x:c>
      <x:c r="AW16" s="158">
        <x:v>100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33.75" customHeight="1" x14ac:dyDescent="0.25">
      <x:c r="A17" s="97" t="s">
        <x:v>442</x:v>
      </x:c>
      <x:c r="B17" s="119" t="s">
        <x:v>403</x:v>
      </x:c>
      <x:c r="C17" s="157"/>
      <x:c r="D17" s="158"/>
      <x:c r="E17" s="158"/>
      <x:c r="F17" s="158"/>
      <x:c r="G17" s="158"/>
      <x:c r="H17" s="197"/>
      <x:c r="I17" s="167"/>
      <x:c r="J17" s="185"/>
      <x:c r="K17" s="185"/>
      <x:c r="L17" s="185"/>
      <x:c r="M17" s="185"/>
      <x:c r="N17" s="36"/>
      <x:c r="O17" s="167"/>
      <x:c r="P17" s="185"/>
      <x:c r="Q17" s="185"/>
      <x:c r="R17" s="185"/>
      <x:c r="S17" s="185"/>
      <x:c r="T17" s="36"/>
      <x:c r="U17" s="167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157">
        <x:v>100</x:v>
      </x:c>
      <x:c r="AN17" s="589">
        <x:v>0</x:v>
      </x:c>
      <x:c r="AO17" s="589">
        <x:v>0</x:v>
      </x:c>
      <x:c r="AP17" s="589">
        <x:v>0</x:v>
      </x:c>
      <x:c r="AQ17" s="589">
        <x:v>0</x:v>
      </x:c>
      <x:c r="AR17" s="620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22.5" customHeight="1" x14ac:dyDescent="0.25">
      <x:c r="A18" s="97" t="s">
        <x:v>400</x:v>
      </x:c>
      <x:c r="B18" s="122" t="s">
        <x:v>401</x:v>
      </x:c>
      <x:c r="C18" s="157"/>
      <x:c r="D18" s="158"/>
      <x:c r="E18" s="158"/>
      <x:c r="F18" s="158"/>
      <x:c r="G18" s="158"/>
      <x:c r="H18" s="197"/>
      <x:c r="I18" s="167"/>
      <x:c r="J18" s="185"/>
      <x:c r="K18" s="185"/>
      <x:c r="L18" s="185"/>
      <x:c r="M18" s="185"/>
      <x:c r="N18" s="36"/>
      <x:c r="O18" s="167"/>
      <x:c r="P18" s="185"/>
      <x:c r="Q18" s="185"/>
      <x:c r="R18" s="185"/>
      <x:c r="S18" s="185"/>
      <x:c r="T18" s="36"/>
      <x:c r="U18" s="167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157">
        <x:v>100</x:v>
      </x:c>
      <x:c r="AN18" s="589">
        <x:v>0</x:v>
      </x:c>
      <x:c r="AO18" s="589">
        <x:v>0</x:v>
      </x:c>
      <x:c r="AP18" s="589">
        <x:v>0</x:v>
      </x:c>
      <x:c r="AQ18" s="589">
        <x:v>0</x:v>
      </x:c>
      <x:c r="AR18" s="620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158">
        <x:v>100</x:v>
      </x:c>
      <x:c r="AX18" s="585" t="s">
        <x:v>1102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ht="22.5" customHeight="1" x14ac:dyDescent="0.25">
      <x:c r="A19" s="97" t="s">
        <x:v>447</x:v>
      </x:c>
      <x:c r="B19" s="119" t="s">
        <x:v>403</x:v>
      </x:c>
      <x:c r="C19" s="157"/>
      <x:c r="D19" s="158"/>
      <x:c r="E19" s="158"/>
      <x:c r="F19" s="158"/>
      <x:c r="G19" s="158"/>
      <x:c r="H19" s="197"/>
      <x:c r="I19" s="167"/>
      <x:c r="J19" s="185"/>
      <x:c r="K19" s="185"/>
      <x:c r="L19" s="185"/>
      <x:c r="M19" s="185"/>
      <x:c r="N19" s="36"/>
      <x:c r="O19" s="167"/>
      <x:c r="P19" s="185"/>
      <x:c r="Q19" s="185"/>
      <x:c r="R19" s="185"/>
      <x:c r="S19" s="185"/>
      <x:c r="T19" s="36"/>
      <x:c r="U19" s="167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57">
        <x:v>100</x:v>
      </x:c>
      <x:c r="AN19" s="589">
        <x:v>0</x:v>
      </x:c>
      <x:c r="AO19" s="589">
        <x:v>0</x:v>
      </x:c>
      <x:c r="AP19" s="589">
        <x:v>0</x:v>
      </x:c>
      <x:c r="AQ19" s="589">
        <x:v>0</x:v>
      </x:c>
      <x:c r="AR19" s="620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ht="22.5" customHeight="1" x14ac:dyDescent="0.25">
      <x:c r="A20" s="97" t="s">
        <x:v>421</x:v>
      </x:c>
      <x:c r="B20" s="122" t="s">
        <x:v>408</x:v>
      </x:c>
      <x:c r="C20" s="157"/>
      <x:c r="D20" s="158"/>
      <x:c r="E20" s="158"/>
      <x:c r="F20" s="158"/>
      <x:c r="G20" s="158"/>
      <x:c r="H20" s="197"/>
      <x:c r="I20" s="167"/>
      <x:c r="J20" s="185"/>
      <x:c r="K20" s="185"/>
      <x:c r="L20" s="185"/>
      <x:c r="M20" s="185"/>
      <x:c r="N20" s="36"/>
      <x:c r="O20" s="167"/>
      <x:c r="P20" s="185"/>
      <x:c r="Q20" s="185"/>
      <x:c r="R20" s="185"/>
      <x:c r="S20" s="185"/>
      <x:c r="T20" s="36"/>
      <x:c r="U20" s="167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157">
        <x:v>100</x:v>
      </x:c>
      <x:c r="AN20" s="158">
        <x:v>75</x:v>
      </x:c>
      <x:c r="AO20" s="589">
        <x:v>0</x:v>
      </x:c>
      <x:c r="AP20" s="589">
        <x:v>0</x:v>
      </x:c>
      <x:c r="AQ20" s="589">
        <x:v>0</x:v>
      </x:c>
      <x:c r="AR20" s="620" t="s">
        <x:v>1102</x:v>
      </x:c>
      <x:c r="AS20" s="175">
        <x:v>100</x:v>
      </x:c>
      <x:c r="AT20" s="158">
        <x:v>100</x:v>
      </x:c>
      <x:c r="AU20" s="158">
        <x:v>100</x:v>
      </x:c>
      <x:c r="AV20" s="158">
        <x:v>100</x:v>
      </x:c>
      <x:c r="AW20" s="158">
        <x:v>100</x:v>
      </x:c>
      <x:c r="AX20" s="585" t="s">
        <x:v>1102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ht="22.5" customHeight="1" x14ac:dyDescent="0.25">
      <x:c r="A21" s="270" t="s">
        <x:v>395</x:v>
      </x:c>
      <x:c r="B21" s="119"/>
      <x:c r="C21" s="157"/>
      <x:c r="D21" s="158"/>
      <x:c r="E21" s="158"/>
      <x:c r="F21" s="158"/>
      <x:c r="G21" s="158"/>
      <x:c r="H21" s="197"/>
      <x:c r="I21" s="167"/>
      <x:c r="J21" s="185"/>
      <x:c r="K21" s="185"/>
      <x:c r="L21" s="185"/>
      <x:c r="M21" s="185"/>
      <x:c r="N21" s="36"/>
      <x:c r="O21" s="167"/>
      <x:c r="P21" s="185"/>
      <x:c r="Q21" s="185"/>
      <x:c r="R21" s="185"/>
      <x:c r="S21" s="185"/>
      <x:c r="T21" s="36"/>
      <x:c r="U21" s="167"/>
      <x:c r="V21" s="185"/>
      <x:c r="W21" s="185"/>
      <x:c r="X21" s="185"/>
      <x:c r="Y21" s="185"/>
      <x:c r="Z21" s="36"/>
      <x:c r="AA21" s="167"/>
      <x:c r="AB21" s="185"/>
      <x:c r="AC21" s="185"/>
      <x:c r="AD21" s="185"/>
      <x:c r="AE21" s="185"/>
      <x:c r="AF21" s="36"/>
      <x:c r="AG21" s="167"/>
      <x:c r="AH21" s="185"/>
      <x:c r="AI21" s="185"/>
      <x:c r="AJ21" s="185"/>
      <x:c r="AK21" s="185"/>
      <x:c r="AL21" s="36"/>
      <x:c r="AM21" s="157"/>
      <x:c r="AN21" s="158"/>
      <x:c r="AO21" s="589"/>
      <x:c r="AP21" s="589"/>
      <x:c r="AQ21" s="589"/>
      <x:c r="AR21" s="620"/>
      <x:c r="AS21" s="671">
        <x:v>7.89</x:v>
      </x:c>
      <x:c r="AT21" s="600">
        <x:v>0</x:v>
      </x:c>
      <x:c r="AU21" s="600">
        <x:v>0</x:v>
      </x:c>
      <x:c r="AV21" s="600">
        <x:v>0</x:v>
      </x:c>
      <x:c r="AW21" s="600">
        <x:v>0</x:v>
      </x:c>
      <x:c r="AX21" s="585" t="s">
        <x:v>1102</x:v>
      </x:c>
      <x:c r="AY21" s="167"/>
      <x:c r="AZ21" s="185"/>
      <x:c r="BA21" s="185"/>
      <x:c r="BB21" s="185"/>
      <x:c r="BC21" s="185"/>
      <x:c r="BD21" s="36"/>
      <x:c r="BE21" s="167"/>
      <x:c r="BF21" s="185"/>
      <x:c r="BG21" s="185"/>
      <x:c r="BH21" s="185"/>
      <x:c r="BI21" s="185"/>
      <x:c r="BJ21" s="36"/>
      <x:c r="BK21" s="167"/>
      <x:c r="BL21" s="185"/>
      <x:c r="BM21" s="185"/>
      <x:c r="BN21" s="185"/>
      <x:c r="BO21" s="185"/>
      <x:c r="BP21" s="36"/>
      <x:c r="BQ21" s="167"/>
      <x:c r="BR21" s="185"/>
      <x:c r="BS21" s="185"/>
      <x:c r="BT21" s="185"/>
      <x:c r="BU21" s="185"/>
      <x:c r="BV21" s="36"/>
    </x:row>
    <x:row r="22" spans="1:74" ht="22.5" customHeight="1" x14ac:dyDescent="0.25">
      <x:c r="A22" s="97" t="s">
        <x:v>412</x:v>
      </x:c>
      <x:c r="B22" s="119" t="s">
        <x:v>408</x:v>
      </x:c>
      <x:c r="C22" s="157"/>
      <x:c r="D22" s="158"/>
      <x:c r="E22" s="158"/>
      <x:c r="F22" s="158"/>
      <x:c r="G22" s="158"/>
      <x:c r="H22" s="197"/>
      <x:c r="I22" s="167"/>
      <x:c r="J22" s="185"/>
      <x:c r="K22" s="185"/>
      <x:c r="L22" s="185"/>
      <x:c r="M22" s="185"/>
      <x:c r="N22" s="36"/>
      <x:c r="O22" s="167"/>
      <x:c r="P22" s="185"/>
      <x:c r="Q22" s="185"/>
      <x:c r="R22" s="185"/>
      <x:c r="S22" s="185"/>
      <x:c r="T22" s="36"/>
      <x:c r="U22" s="167"/>
      <x:c r="V22" s="185"/>
      <x:c r="W22" s="185"/>
      <x:c r="X22" s="185"/>
      <x:c r="Y22" s="185"/>
      <x:c r="Z22" s="36"/>
      <x:c r="AA22" s="167"/>
      <x:c r="AB22" s="185"/>
      <x:c r="AC22" s="185"/>
      <x:c r="AD22" s="185"/>
      <x:c r="AE22" s="185"/>
      <x:c r="AF22" s="36"/>
      <x:c r="AG22" s="167"/>
      <x:c r="AH22" s="185"/>
      <x:c r="AI22" s="185"/>
      <x:c r="AJ22" s="185"/>
      <x:c r="AK22" s="185"/>
      <x:c r="AL22" s="36"/>
      <x:c r="AM22" s="157">
        <x:v>100</x:v>
      </x:c>
      <x:c r="AN22" s="158">
        <x:v>75</x:v>
      </x:c>
      <x:c r="AO22" s="589">
        <x:v>0</x:v>
      </x:c>
      <x:c r="AP22" s="589">
        <x:v>0</x:v>
      </x:c>
      <x:c r="AQ22" s="589">
        <x:v>0</x:v>
      </x:c>
      <x:c r="AR22" s="620" t="s">
        <x:v>1102</x:v>
      </x:c>
      <x:c r="AS22" s="175">
        <x:v>100</x:v>
      </x:c>
      <x:c r="AT22" s="158">
        <x:v>100</x:v>
      </x:c>
      <x:c r="AU22" s="158">
        <x:v>100</x:v>
      </x:c>
      <x:c r="AV22" s="158">
        <x:v>100</x:v>
      </x:c>
      <x:c r="AW22" s="158">
        <x:v>100</x:v>
      </x:c>
      <x:c r="AX22" s="585" t="s">
        <x:v>1102</x:v>
      </x:c>
      <x:c r="AY22" s="167"/>
      <x:c r="AZ22" s="185"/>
      <x:c r="BA22" s="185"/>
      <x:c r="BB22" s="185"/>
      <x:c r="BC22" s="185"/>
      <x:c r="BD22" s="36"/>
      <x:c r="BE22" s="167"/>
      <x:c r="BF22" s="185"/>
      <x:c r="BG22" s="185"/>
      <x:c r="BH22" s="185"/>
      <x:c r="BI22" s="185"/>
      <x:c r="BJ22" s="36"/>
      <x:c r="BK22" s="167"/>
      <x:c r="BL22" s="185"/>
      <x:c r="BM22" s="185"/>
      <x:c r="BN22" s="185"/>
      <x:c r="BO22" s="185"/>
      <x:c r="BP22" s="36"/>
      <x:c r="BQ22" s="167"/>
      <x:c r="BR22" s="185"/>
      <x:c r="BS22" s="185"/>
      <x:c r="BT22" s="185"/>
      <x:c r="BU22" s="185"/>
      <x:c r="BV22" s="36"/>
    </x:row>
    <x:row r="23" spans="1:74" ht="22.5" customHeight="1" x14ac:dyDescent="0.25">
      <x:c r="A23" s="97" t="s">
        <x:v>423</x:v>
      </x:c>
      <x:c r="B23" s="122" t="s">
        <x:v>420</x:v>
      </x:c>
      <x:c r="C23" s="157"/>
      <x:c r="D23" s="158"/>
      <x:c r="E23" s="158"/>
      <x:c r="F23" s="158"/>
      <x:c r="G23" s="158"/>
      <x:c r="H23" s="197"/>
      <x:c r="I23" s="167"/>
      <x:c r="J23" s="185"/>
      <x:c r="K23" s="185"/>
      <x:c r="L23" s="185"/>
      <x:c r="M23" s="185"/>
      <x:c r="N23" s="36"/>
      <x:c r="O23" s="167"/>
      <x:c r="P23" s="185"/>
      <x:c r="Q23" s="185"/>
      <x:c r="R23" s="185"/>
      <x:c r="S23" s="185"/>
      <x:c r="T23" s="36"/>
      <x:c r="U23" s="167"/>
      <x:c r="V23" s="185"/>
      <x:c r="W23" s="185"/>
      <x:c r="X23" s="185"/>
      <x:c r="Y23" s="185"/>
      <x:c r="Z23" s="36"/>
      <x:c r="AA23" s="167"/>
      <x:c r="AB23" s="185"/>
      <x:c r="AC23" s="185"/>
      <x:c r="AD23" s="185"/>
      <x:c r="AE23" s="185"/>
      <x:c r="AF23" s="36"/>
      <x:c r="AG23" s="167"/>
      <x:c r="AH23" s="185"/>
      <x:c r="AI23" s="185"/>
      <x:c r="AJ23" s="185"/>
      <x:c r="AK23" s="185"/>
      <x:c r="AL23" s="36"/>
      <x:c r="AM23" s="157">
        <x:v>100</x:v>
      </x:c>
      <x:c r="AN23" s="158">
        <x:v>75</x:v>
      </x:c>
      <x:c r="AO23" s="589">
        <x:v>0</x:v>
      </x:c>
      <x:c r="AP23" s="589">
        <x:v>0</x:v>
      </x:c>
      <x:c r="AQ23" s="589">
        <x:v>0</x:v>
      </x:c>
      <x:c r="AR23" s="620" t="s">
        <x:v>1102</x:v>
      </x:c>
      <x:c r="AS23" s="175">
        <x:v>100</x:v>
      </x:c>
      <x:c r="AT23" s="158">
        <x:v>100</x:v>
      </x:c>
      <x:c r="AU23" s="158">
        <x:v>100</x:v>
      </x:c>
      <x:c r="AV23" s="158">
        <x:v>100</x:v>
      </x:c>
      <x:c r="AW23" s="158">
        <x:v>100</x:v>
      </x:c>
      <x:c r="AX23" s="585" t="s">
        <x:v>1102</x:v>
      </x:c>
      <x:c r="AY23" s="167"/>
      <x:c r="AZ23" s="185"/>
      <x:c r="BA23" s="185"/>
      <x:c r="BB23" s="185"/>
      <x:c r="BC23" s="185"/>
      <x:c r="BD23" s="36"/>
      <x:c r="BE23" s="167"/>
      <x:c r="BF23" s="185"/>
      <x:c r="BG23" s="185"/>
      <x:c r="BH23" s="185"/>
      <x:c r="BI23" s="185"/>
      <x:c r="BJ23" s="36"/>
      <x:c r="BK23" s="167"/>
      <x:c r="BL23" s="185"/>
      <x:c r="BM23" s="185"/>
      <x:c r="BN23" s="185"/>
      <x:c r="BO23" s="185"/>
      <x:c r="BP23" s="36"/>
      <x:c r="BQ23" s="167"/>
      <x:c r="BR23" s="185"/>
      <x:c r="BS23" s="185"/>
      <x:c r="BT23" s="185"/>
      <x:c r="BU23" s="185"/>
      <x:c r="BV23" s="36"/>
    </x:row>
    <x:row r="24" spans="1:74" ht="22.5" customHeight="1" x14ac:dyDescent="0.25">
      <x:c r="A24" s="97" t="s">
        <x:v>448</x:v>
      </x:c>
      <x:c r="B24" s="119" t="s">
        <x:v>403</x:v>
      </x:c>
      <x:c r="C24" s="157"/>
      <x:c r="D24" s="158"/>
      <x:c r="E24" s="158"/>
      <x:c r="F24" s="158"/>
      <x:c r="G24" s="158"/>
      <x:c r="H24" s="197"/>
      <x:c r="I24" s="167"/>
      <x:c r="J24" s="185"/>
      <x:c r="K24" s="185"/>
      <x:c r="L24" s="185"/>
      <x:c r="M24" s="185"/>
      <x:c r="N24" s="36"/>
      <x:c r="O24" s="167"/>
      <x:c r="P24" s="185"/>
      <x:c r="Q24" s="185"/>
      <x:c r="R24" s="185"/>
      <x:c r="S24" s="185"/>
      <x:c r="T24" s="36"/>
      <x:c r="U24" s="167"/>
      <x:c r="V24" s="185"/>
      <x:c r="W24" s="185"/>
      <x:c r="X24" s="185"/>
      <x:c r="Y24" s="185"/>
      <x:c r="Z24" s="36"/>
      <x:c r="AA24" s="167"/>
      <x:c r="AB24" s="185"/>
      <x:c r="AC24" s="185"/>
      <x:c r="AD24" s="185"/>
      <x:c r="AE24" s="185"/>
      <x:c r="AF24" s="36"/>
      <x:c r="AG24" s="167"/>
      <x:c r="AH24" s="185"/>
      <x:c r="AI24" s="185"/>
      <x:c r="AJ24" s="185"/>
      <x:c r="AK24" s="185"/>
      <x:c r="AL24" s="36"/>
      <x:c r="AM24" s="157">
        <x:v>100</x:v>
      </x:c>
      <x:c r="AN24" s="589">
        <x:v>0</x:v>
      </x:c>
      <x:c r="AO24" s="589">
        <x:v>0</x:v>
      </x:c>
      <x:c r="AP24" s="589">
        <x:v>0</x:v>
      </x:c>
      <x:c r="AQ24" s="589">
        <x:v>0</x:v>
      </x:c>
      <x:c r="AR24" s="620" t="s">
        <x:v>1102</x:v>
      </x:c>
      <x:c r="AS24" s="175">
        <x:v>100</x:v>
      </x:c>
      <x:c r="AT24" s="158">
        <x:v>100</x:v>
      </x:c>
      <x:c r="AU24" s="158">
        <x:v>100</x:v>
      </x:c>
      <x:c r="AV24" s="158">
        <x:v>100</x:v>
      </x:c>
      <x:c r="AW24" s="158">
        <x:v>100</x:v>
      </x:c>
      <x:c r="AX24" s="585" t="s">
        <x:v>1102</x:v>
      </x:c>
      <x:c r="AY24" s="167"/>
      <x:c r="AZ24" s="185"/>
      <x:c r="BA24" s="185"/>
      <x:c r="BB24" s="185"/>
      <x:c r="BC24" s="185"/>
      <x:c r="BD24" s="36"/>
      <x:c r="BE24" s="167"/>
      <x:c r="BF24" s="185"/>
      <x:c r="BG24" s="185"/>
      <x:c r="BH24" s="185"/>
      <x:c r="BI24" s="185"/>
      <x:c r="BJ24" s="36"/>
      <x:c r="BK24" s="167"/>
      <x:c r="BL24" s="185"/>
      <x:c r="BM24" s="185"/>
      <x:c r="BN24" s="185"/>
      <x:c r="BO24" s="185"/>
      <x:c r="BP24" s="36"/>
      <x:c r="BQ24" s="167"/>
      <x:c r="BR24" s="185"/>
      <x:c r="BS24" s="185"/>
      <x:c r="BT24" s="185"/>
      <x:c r="BU24" s="185"/>
      <x:c r="BV24" s="36"/>
    </x:row>
    <x:row r="25" spans="1:74" ht="22.5" customHeight="1" x14ac:dyDescent="0.25">
      <x:c r="A25" s="97" t="s">
        <x:v>429</x:v>
      </x:c>
      <x:c r="B25" s="122" t="s">
        <x:v>420</x:v>
      </x:c>
      <x:c r="C25" s="157"/>
      <x:c r="D25" s="158"/>
      <x:c r="E25" s="158"/>
      <x:c r="F25" s="158"/>
      <x:c r="G25" s="158"/>
      <x:c r="H25" s="197"/>
      <x:c r="I25" s="167"/>
      <x:c r="J25" s="185"/>
      <x:c r="K25" s="185"/>
      <x:c r="L25" s="185"/>
      <x:c r="M25" s="185"/>
      <x:c r="N25" s="36"/>
      <x:c r="O25" s="167"/>
      <x:c r="P25" s="185"/>
      <x:c r="Q25" s="185"/>
      <x:c r="R25" s="185"/>
      <x:c r="S25" s="185"/>
      <x:c r="T25" s="36"/>
      <x:c r="U25" s="167"/>
      <x:c r="V25" s="185"/>
      <x:c r="W25" s="185"/>
      <x:c r="X25" s="185"/>
      <x:c r="Y25" s="185"/>
      <x:c r="Z25" s="36"/>
      <x:c r="AA25" s="167"/>
      <x:c r="AB25" s="185"/>
      <x:c r="AC25" s="185"/>
      <x:c r="AD25" s="185"/>
      <x:c r="AE25" s="185"/>
      <x:c r="AF25" s="36"/>
      <x:c r="AG25" s="167"/>
      <x:c r="AH25" s="185"/>
      <x:c r="AI25" s="185"/>
      <x:c r="AJ25" s="185"/>
      <x:c r="AK25" s="185"/>
      <x:c r="AL25" s="36"/>
      <x:c r="AM25" s="157">
        <x:v>100</x:v>
      </x:c>
      <x:c r="AN25" s="158">
        <x:v>100</x:v>
      </x:c>
      <x:c r="AO25" s="589">
        <x:v>0</x:v>
      </x:c>
      <x:c r="AP25" s="589">
        <x:v>0</x:v>
      </x:c>
      <x:c r="AQ25" s="589">
        <x:v>0</x:v>
      </x:c>
      <x:c r="AR25" s="620" t="s">
        <x:v>1102</x:v>
      </x:c>
      <x:c r="AS25" s="175">
        <x:v>100</x:v>
      </x:c>
      <x:c r="AT25" s="158">
        <x:v>100</x:v>
      </x:c>
      <x:c r="AU25" s="158">
        <x:v>100</x:v>
      </x:c>
      <x:c r="AV25" s="158">
        <x:v>100</x:v>
      </x:c>
      <x:c r="AW25" s="158">
        <x:v>100</x:v>
      </x:c>
      <x:c r="AX25" s="585" t="s">
        <x:v>1102</x:v>
      </x:c>
      <x:c r="AY25" s="167"/>
      <x:c r="AZ25" s="185"/>
      <x:c r="BA25" s="185"/>
      <x:c r="BB25" s="185"/>
      <x:c r="BC25" s="185"/>
      <x:c r="BD25" s="36"/>
      <x:c r="BE25" s="167"/>
      <x:c r="BF25" s="185"/>
      <x:c r="BG25" s="185"/>
      <x:c r="BH25" s="185"/>
      <x:c r="BI25" s="185"/>
      <x:c r="BJ25" s="36"/>
      <x:c r="BK25" s="167"/>
      <x:c r="BL25" s="185"/>
      <x:c r="BM25" s="185"/>
      <x:c r="BN25" s="185"/>
      <x:c r="BO25" s="185"/>
      <x:c r="BP25" s="36"/>
      <x:c r="BQ25" s="167"/>
      <x:c r="BR25" s="185"/>
      <x:c r="BS25" s="185"/>
      <x:c r="BT25" s="185"/>
      <x:c r="BU25" s="185"/>
      <x:c r="BV25" s="36"/>
    </x:row>
    <x:row r="26" spans="1:74" ht="22.5" customHeight="1" x14ac:dyDescent="0.25">
      <x:c r="A26" s="97" t="s">
        <x:v>444</x:v>
      </x:c>
      <x:c r="B26" s="119" t="s">
        <x:v>408</x:v>
      </x:c>
      <x:c r="C26" s="157"/>
      <x:c r="D26" s="158"/>
      <x:c r="E26" s="158"/>
      <x:c r="F26" s="158"/>
      <x:c r="G26" s="158"/>
      <x:c r="H26" s="197"/>
      <x:c r="I26" s="167"/>
      <x:c r="J26" s="185"/>
      <x:c r="K26" s="185"/>
      <x:c r="L26" s="185"/>
      <x:c r="M26" s="185"/>
      <x:c r="N26" s="36"/>
      <x:c r="O26" s="167"/>
      <x:c r="P26" s="185"/>
      <x:c r="Q26" s="185"/>
      <x:c r="R26" s="185"/>
      <x:c r="S26" s="185"/>
      <x:c r="T26" s="36"/>
      <x:c r="U26" s="167"/>
      <x:c r="V26" s="185"/>
      <x:c r="W26" s="185"/>
      <x:c r="X26" s="185"/>
      <x:c r="Y26" s="185"/>
      <x:c r="Z26" s="36"/>
      <x:c r="AA26" s="167"/>
      <x:c r="AB26" s="185"/>
      <x:c r="AC26" s="185"/>
      <x:c r="AD26" s="185"/>
      <x:c r="AE26" s="185"/>
      <x:c r="AF26" s="36"/>
      <x:c r="AG26" s="167"/>
      <x:c r="AH26" s="185"/>
      <x:c r="AI26" s="185"/>
      <x:c r="AJ26" s="185"/>
      <x:c r="AK26" s="185"/>
      <x:c r="AL26" s="36"/>
      <x:c r="AM26" s="157">
        <x:v>100</x:v>
      </x:c>
      <x:c r="AN26" s="623">
        <x:v>0</x:v>
      </x:c>
      <x:c r="AO26" s="589">
        <x:v>0</x:v>
      </x:c>
      <x:c r="AP26" s="589">
        <x:v>0</x:v>
      </x:c>
      <x:c r="AQ26" s="589">
        <x:v>0</x:v>
      </x:c>
      <x:c r="AR26" s="620" t="s">
        <x:v>1102</x:v>
      </x:c>
      <x:c r="AS26" s="175">
        <x:v>100</x:v>
      </x:c>
      <x:c r="AT26" s="158">
        <x:v>100</x:v>
      </x:c>
      <x:c r="AU26" s="158">
        <x:v>100</x:v>
      </x:c>
      <x:c r="AV26" s="158">
        <x:v>100</x:v>
      </x:c>
      <x:c r="AW26" s="158">
        <x:v>100</x:v>
      </x:c>
      <x:c r="AX26" s="585" t="s">
        <x:v>1102</x:v>
      </x:c>
      <x:c r="AY26" s="167"/>
      <x:c r="AZ26" s="185"/>
      <x:c r="BA26" s="185"/>
      <x:c r="BB26" s="185"/>
      <x:c r="BC26" s="185"/>
      <x:c r="BD26" s="36"/>
      <x:c r="BE26" s="167"/>
      <x:c r="BF26" s="185"/>
      <x:c r="BG26" s="185"/>
      <x:c r="BH26" s="185"/>
      <x:c r="BI26" s="185"/>
      <x:c r="BJ26" s="36"/>
      <x:c r="BK26" s="167"/>
      <x:c r="BL26" s="185"/>
      <x:c r="BM26" s="185"/>
      <x:c r="BN26" s="185"/>
      <x:c r="BO26" s="185"/>
      <x:c r="BP26" s="36"/>
      <x:c r="BQ26" s="167"/>
      <x:c r="BR26" s="185"/>
      <x:c r="BS26" s="185"/>
      <x:c r="BT26" s="185"/>
      <x:c r="BU26" s="185"/>
      <x:c r="BV26" s="36"/>
    </x:row>
    <x:row r="27" spans="1:74" ht="22.5" customHeight="1" x14ac:dyDescent="0.25">
      <x:c r="A27" s="97" t="s">
        <x:v>428</x:v>
      </x:c>
      <x:c r="B27" s="122" t="s">
        <x:v>408</x:v>
      </x:c>
      <x:c r="C27" s="157"/>
      <x:c r="D27" s="158"/>
      <x:c r="E27" s="158"/>
      <x:c r="F27" s="158"/>
      <x:c r="G27" s="158"/>
      <x:c r="H27" s="197"/>
      <x:c r="I27" s="167"/>
      <x:c r="J27" s="185"/>
      <x:c r="K27" s="185"/>
      <x:c r="L27" s="185"/>
      <x:c r="M27" s="185"/>
      <x:c r="N27" s="36"/>
      <x:c r="O27" s="167"/>
      <x:c r="P27" s="185"/>
      <x:c r="Q27" s="185"/>
      <x:c r="R27" s="185"/>
      <x:c r="S27" s="185"/>
      <x:c r="T27" s="36"/>
      <x:c r="U27" s="167"/>
      <x:c r="V27" s="185"/>
      <x:c r="W27" s="185"/>
      <x:c r="X27" s="185"/>
      <x:c r="Y27" s="185"/>
      <x:c r="Z27" s="36"/>
      <x:c r="AA27" s="167"/>
      <x:c r="AB27" s="185"/>
      <x:c r="AC27" s="185"/>
      <x:c r="AD27" s="185"/>
      <x:c r="AE27" s="185"/>
      <x:c r="AF27" s="36"/>
      <x:c r="AG27" s="167"/>
      <x:c r="AH27" s="185"/>
      <x:c r="AI27" s="185"/>
      <x:c r="AJ27" s="185"/>
      <x:c r="AK27" s="185"/>
      <x:c r="AL27" s="36"/>
      <x:c r="AM27" s="157">
        <x:v>100</x:v>
      </x:c>
      <x:c r="AN27" s="158">
        <x:v>100</x:v>
      </x:c>
      <x:c r="AO27" s="589">
        <x:v>0</x:v>
      </x:c>
      <x:c r="AP27" s="589">
        <x:v>0</x:v>
      </x:c>
      <x:c r="AQ27" s="589">
        <x:v>0</x:v>
      </x:c>
      <x:c r="AR27" s="620" t="s">
        <x:v>1102</x:v>
      </x:c>
      <x:c r="AS27" s="175">
        <x:v>100</x:v>
      </x:c>
      <x:c r="AT27" s="158">
        <x:v>100</x:v>
      </x:c>
      <x:c r="AU27" s="158">
        <x:v>100</x:v>
      </x:c>
      <x:c r="AV27" s="158">
        <x:v>100</x:v>
      </x:c>
      <x:c r="AW27" s="158">
        <x:v>100</x:v>
      </x:c>
      <x:c r="AX27" s="585" t="s">
        <x:v>1102</x:v>
      </x:c>
      <x:c r="AY27" s="167"/>
      <x:c r="AZ27" s="185"/>
      <x:c r="BA27" s="185"/>
      <x:c r="BB27" s="185"/>
      <x:c r="BC27" s="185"/>
      <x:c r="BD27" s="36"/>
      <x:c r="BE27" s="167"/>
      <x:c r="BF27" s="185"/>
      <x:c r="BG27" s="185"/>
      <x:c r="BH27" s="185"/>
      <x:c r="BI27" s="185"/>
      <x:c r="BJ27" s="36"/>
      <x:c r="BK27" s="167"/>
      <x:c r="BL27" s="185"/>
      <x:c r="BM27" s="185"/>
      <x:c r="BN27" s="185"/>
      <x:c r="BO27" s="185"/>
      <x:c r="BP27" s="36"/>
      <x:c r="BQ27" s="167"/>
      <x:c r="BR27" s="185"/>
      <x:c r="BS27" s="185"/>
      <x:c r="BT27" s="185"/>
      <x:c r="BU27" s="185"/>
      <x:c r="BV27" s="36"/>
    </x:row>
    <x:row r="28" spans="1:74" ht="22.5" customHeight="1" x14ac:dyDescent="0.25">
      <x:c r="A28" s="97" t="s">
        <x:v>446</x:v>
      </x:c>
      <x:c r="B28" s="119" t="s">
        <x:v>408</x:v>
      </x:c>
      <x:c r="C28" s="157"/>
      <x:c r="D28" s="158"/>
      <x:c r="E28" s="158"/>
      <x:c r="F28" s="158"/>
      <x:c r="G28" s="158"/>
      <x:c r="H28" s="197"/>
      <x:c r="I28" s="167"/>
      <x:c r="J28" s="185"/>
      <x:c r="K28" s="185"/>
      <x:c r="L28" s="185"/>
      <x:c r="M28" s="185"/>
      <x:c r="N28" s="36"/>
      <x:c r="O28" s="167"/>
      <x:c r="P28" s="185"/>
      <x:c r="Q28" s="185"/>
      <x:c r="R28" s="185"/>
      <x:c r="S28" s="185"/>
      <x:c r="T28" s="36"/>
      <x:c r="U28" s="167"/>
      <x:c r="V28" s="185"/>
      <x:c r="W28" s="185"/>
      <x:c r="X28" s="185"/>
      <x:c r="Y28" s="185"/>
      <x:c r="Z28" s="36"/>
      <x:c r="AA28" s="167"/>
      <x:c r="AB28" s="185"/>
      <x:c r="AC28" s="185"/>
      <x:c r="AD28" s="185"/>
      <x:c r="AE28" s="185"/>
      <x:c r="AF28" s="36"/>
      <x:c r="AG28" s="167"/>
      <x:c r="AH28" s="185"/>
      <x:c r="AI28" s="185"/>
      <x:c r="AJ28" s="185"/>
      <x:c r="AK28" s="185"/>
      <x:c r="AL28" s="36"/>
      <x:c r="AM28" s="157">
        <x:v>100</x:v>
      </x:c>
      <x:c r="AN28" s="158">
        <x:v>50</x:v>
      </x:c>
      <x:c r="AO28" s="589">
        <x:v>0</x:v>
      </x:c>
      <x:c r="AP28" s="589">
        <x:v>0</x:v>
      </x:c>
      <x:c r="AQ28" s="589">
        <x:v>0</x:v>
      </x:c>
      <x:c r="AR28" s="620" t="s">
        <x:v>1102</x:v>
      </x:c>
      <x:c r="AS28" s="175">
        <x:v>100</x:v>
      </x:c>
      <x:c r="AT28" s="158">
        <x:v>100</x:v>
      </x:c>
      <x:c r="AU28" s="158">
        <x:v>100</x:v>
      </x:c>
      <x:c r="AV28" s="158">
        <x:v>100</x:v>
      </x:c>
      <x:c r="AW28" s="158">
        <x:v>100</x:v>
      </x:c>
      <x:c r="AX28" s="585" t="s">
        <x:v>1102</x:v>
      </x:c>
      <x:c r="AY28" s="167"/>
      <x:c r="AZ28" s="185"/>
      <x:c r="BA28" s="185"/>
      <x:c r="BB28" s="185"/>
      <x:c r="BC28" s="185"/>
      <x:c r="BD28" s="36"/>
      <x:c r="BE28" s="167"/>
      <x:c r="BF28" s="185"/>
      <x:c r="BG28" s="185"/>
      <x:c r="BH28" s="185"/>
      <x:c r="BI28" s="185"/>
      <x:c r="BJ28" s="36"/>
      <x:c r="BK28" s="167"/>
      <x:c r="BL28" s="185"/>
      <x:c r="BM28" s="185"/>
      <x:c r="BN28" s="185"/>
      <x:c r="BO28" s="185"/>
      <x:c r="BP28" s="36"/>
      <x:c r="BQ28" s="167"/>
      <x:c r="BR28" s="185"/>
      <x:c r="BS28" s="185"/>
      <x:c r="BT28" s="185"/>
      <x:c r="BU28" s="185"/>
      <x:c r="BV28" s="36"/>
    </x:row>
    <x:row r="29" spans="1:74" ht="22.5" customHeight="1" x14ac:dyDescent="0.25">
      <x:c r="A29" s="97" t="s">
        <x:v>410</x:v>
      </x:c>
      <x:c r="B29" s="122" t="s">
        <x:v>408</x:v>
      </x:c>
      <x:c r="C29" s="157"/>
      <x:c r="D29" s="158"/>
      <x:c r="E29" s="158"/>
      <x:c r="F29" s="158"/>
      <x:c r="G29" s="158"/>
      <x:c r="H29" s="197"/>
      <x:c r="I29" s="167"/>
      <x:c r="J29" s="185"/>
      <x:c r="K29" s="185"/>
      <x:c r="L29" s="185"/>
      <x:c r="M29" s="185"/>
      <x:c r="N29" s="36"/>
      <x:c r="O29" s="167"/>
      <x:c r="P29" s="185"/>
      <x:c r="Q29" s="185"/>
      <x:c r="R29" s="185"/>
      <x:c r="S29" s="185"/>
      <x:c r="T29" s="36"/>
      <x:c r="U29" s="167"/>
      <x:c r="V29" s="185"/>
      <x:c r="W29" s="185"/>
      <x:c r="X29" s="185"/>
      <x:c r="Y29" s="185"/>
      <x:c r="Z29" s="36"/>
      <x:c r="AA29" s="167"/>
      <x:c r="AB29" s="185"/>
      <x:c r="AC29" s="185"/>
      <x:c r="AD29" s="185"/>
      <x:c r="AE29" s="185"/>
      <x:c r="AF29" s="36"/>
      <x:c r="AG29" s="167"/>
      <x:c r="AH29" s="185"/>
      <x:c r="AI29" s="185"/>
      <x:c r="AJ29" s="185"/>
      <x:c r="AK29" s="185"/>
      <x:c r="AL29" s="36"/>
      <x:c r="AM29" s="157">
        <x:v>100</x:v>
      </x:c>
      <x:c r="AN29" s="158">
        <x:v>75</x:v>
      </x:c>
      <x:c r="AO29" s="589">
        <x:v>0</x:v>
      </x:c>
      <x:c r="AP29" s="589">
        <x:v>0</x:v>
      </x:c>
      <x:c r="AQ29" s="589">
        <x:v>0</x:v>
      </x:c>
      <x:c r="AR29" s="620" t="s">
        <x:v>1102</x:v>
      </x:c>
      <x:c r="AS29" s="175">
        <x:v>100</x:v>
      </x:c>
      <x:c r="AT29" s="158">
        <x:v>100</x:v>
      </x:c>
      <x:c r="AU29" s="158">
        <x:v>100</x:v>
      </x:c>
      <x:c r="AV29" s="158">
        <x:v>100</x:v>
      </x:c>
      <x:c r="AW29" s="158">
        <x:v>100</x:v>
      </x:c>
      <x:c r="AX29" s="585" t="s">
        <x:v>1102</x:v>
      </x:c>
      <x:c r="AY29" s="167"/>
      <x:c r="AZ29" s="185"/>
      <x:c r="BA29" s="185"/>
      <x:c r="BB29" s="185"/>
      <x:c r="BC29" s="185"/>
      <x:c r="BD29" s="36"/>
      <x:c r="BE29" s="167"/>
      <x:c r="BF29" s="185"/>
      <x:c r="BG29" s="185"/>
      <x:c r="BH29" s="185"/>
      <x:c r="BI29" s="185"/>
      <x:c r="BJ29" s="36"/>
      <x:c r="BK29" s="167"/>
      <x:c r="BL29" s="185"/>
      <x:c r="BM29" s="185"/>
      <x:c r="BN29" s="185"/>
      <x:c r="BO29" s="185"/>
      <x:c r="BP29" s="36"/>
      <x:c r="BQ29" s="167"/>
      <x:c r="BR29" s="185"/>
      <x:c r="BS29" s="185"/>
      <x:c r="BT29" s="185"/>
      <x:c r="BU29" s="185"/>
      <x:c r="BV29" s="36"/>
    </x:row>
    <x:row r="30" spans="1:74" ht="22.5" customHeight="1" x14ac:dyDescent="0.25">
      <x:c r="A30" s="97" t="s">
        <x:v>397</x:v>
      </x:c>
      <x:c r="B30" s="119" t="s">
        <x:v>399</x:v>
      </x:c>
      <x:c r="C30" s="157"/>
      <x:c r="D30" s="158"/>
      <x:c r="E30" s="158"/>
      <x:c r="F30" s="158"/>
      <x:c r="G30" s="158"/>
      <x:c r="H30" s="197"/>
      <x:c r="I30" s="167"/>
      <x:c r="J30" s="185"/>
      <x:c r="K30" s="185"/>
      <x:c r="L30" s="185"/>
      <x:c r="M30" s="185"/>
      <x:c r="N30" s="36"/>
      <x:c r="O30" s="167"/>
      <x:c r="P30" s="185"/>
      <x:c r="Q30" s="185"/>
      <x:c r="R30" s="185"/>
      <x:c r="S30" s="185"/>
      <x:c r="T30" s="36"/>
      <x:c r="U30" s="167"/>
      <x:c r="V30" s="185"/>
      <x:c r="W30" s="185"/>
      <x:c r="X30" s="185"/>
      <x:c r="Y30" s="185"/>
      <x:c r="Z30" s="36"/>
      <x:c r="AA30" s="167"/>
      <x:c r="AB30" s="185"/>
      <x:c r="AC30" s="185"/>
      <x:c r="AD30" s="185"/>
      <x:c r="AE30" s="185"/>
      <x:c r="AF30" s="36"/>
      <x:c r="AG30" s="167"/>
      <x:c r="AH30" s="185"/>
      <x:c r="AI30" s="185"/>
      <x:c r="AJ30" s="185"/>
      <x:c r="AK30" s="185"/>
      <x:c r="AL30" s="36"/>
      <x:c r="AM30" s="157">
        <x:v>100</x:v>
      </x:c>
      <x:c r="AN30" s="589">
        <x:v>0</x:v>
      </x:c>
      <x:c r="AO30" s="589">
        <x:v>0</x:v>
      </x:c>
      <x:c r="AP30" s="589">
        <x:v>0</x:v>
      </x:c>
      <x:c r="AQ30" s="589">
        <x:v>0</x:v>
      </x:c>
      <x:c r="AR30" s="620" t="s">
        <x:v>1102</x:v>
      </x:c>
      <x:c r="AS30" s="175">
        <x:v>100</x:v>
      </x:c>
      <x:c r="AT30" s="158">
        <x:v>100</x:v>
      </x:c>
      <x:c r="AU30" s="158">
        <x:v>100</x:v>
      </x:c>
      <x:c r="AV30" s="158">
        <x:v>100</x:v>
      </x:c>
      <x:c r="AW30" s="158">
        <x:v>100</x:v>
      </x:c>
      <x:c r="AX30" s="585" t="s">
        <x:v>1102</x:v>
      </x:c>
      <x:c r="AY30" s="167"/>
      <x:c r="AZ30" s="185"/>
      <x:c r="BA30" s="185"/>
      <x:c r="BB30" s="185"/>
      <x:c r="BC30" s="185"/>
      <x:c r="BD30" s="36"/>
      <x:c r="BE30" s="167"/>
      <x:c r="BF30" s="185"/>
      <x:c r="BG30" s="185"/>
      <x:c r="BH30" s="185"/>
      <x:c r="BI30" s="185"/>
      <x:c r="BJ30" s="36"/>
      <x:c r="BK30" s="167"/>
      <x:c r="BL30" s="185"/>
      <x:c r="BM30" s="185"/>
      <x:c r="BN30" s="185"/>
      <x:c r="BO30" s="185"/>
      <x:c r="BP30" s="36"/>
      <x:c r="BQ30" s="167"/>
      <x:c r="BR30" s="185"/>
      <x:c r="BS30" s="185"/>
      <x:c r="BT30" s="185"/>
      <x:c r="BU30" s="185"/>
      <x:c r="BV30" s="36"/>
    </x:row>
    <x:row r="31" spans="1:74" ht="22.5" customHeight="1" x14ac:dyDescent="0.25">
      <x:c r="A31" s="97" t="s">
        <x:v>417</x:v>
      </x:c>
      <x:c r="B31" s="122" t="s">
        <x:v>418</x:v>
      </x:c>
      <x:c r="C31" s="157"/>
      <x:c r="D31" s="158"/>
      <x:c r="E31" s="158"/>
      <x:c r="F31" s="158"/>
      <x:c r="G31" s="158"/>
      <x:c r="H31" s="197"/>
      <x:c r="I31" s="167"/>
      <x:c r="J31" s="185"/>
      <x:c r="K31" s="185"/>
      <x:c r="L31" s="185"/>
      <x:c r="M31" s="185"/>
      <x:c r="N31" s="36"/>
      <x:c r="O31" s="167"/>
      <x:c r="P31" s="185"/>
      <x:c r="Q31" s="185"/>
      <x:c r="R31" s="185"/>
      <x:c r="S31" s="185"/>
      <x:c r="T31" s="36"/>
      <x:c r="U31" s="167"/>
      <x:c r="V31" s="185"/>
      <x:c r="W31" s="185"/>
      <x:c r="X31" s="185"/>
      <x:c r="Y31" s="185"/>
      <x:c r="Z31" s="36"/>
      <x:c r="AA31" s="167"/>
      <x:c r="AB31" s="185"/>
      <x:c r="AC31" s="185"/>
      <x:c r="AD31" s="185"/>
      <x:c r="AE31" s="185"/>
      <x:c r="AF31" s="36"/>
      <x:c r="AG31" s="167"/>
      <x:c r="AH31" s="185"/>
      <x:c r="AI31" s="185"/>
      <x:c r="AJ31" s="185"/>
      <x:c r="AK31" s="185"/>
      <x:c r="AL31" s="36"/>
      <x:c r="AM31" s="157">
        <x:v>100</x:v>
      </x:c>
      <x:c r="AN31" s="158">
        <x:v>100</x:v>
      </x:c>
      <x:c r="AO31" s="589">
        <x:v>0</x:v>
      </x:c>
      <x:c r="AP31" s="589">
        <x:v>0</x:v>
      </x:c>
      <x:c r="AQ31" s="589">
        <x:v>0</x:v>
      </x:c>
      <x:c r="AR31" s="620" t="s">
        <x:v>1102</x:v>
      </x:c>
      <x:c r="AS31" s="175">
        <x:v>100</x:v>
      </x:c>
      <x:c r="AT31" s="158">
        <x:v>100</x:v>
      </x:c>
      <x:c r="AU31" s="158">
        <x:v>100</x:v>
      </x:c>
      <x:c r="AV31" s="158">
        <x:v>100</x:v>
      </x:c>
      <x:c r="AW31" s="158">
        <x:v>100</x:v>
      </x:c>
      <x:c r="AX31" s="585" t="s">
        <x:v>1102</x:v>
      </x:c>
      <x:c r="AY31" s="167"/>
      <x:c r="AZ31" s="185"/>
      <x:c r="BA31" s="185"/>
      <x:c r="BB31" s="185"/>
      <x:c r="BC31" s="185"/>
      <x:c r="BD31" s="36"/>
      <x:c r="BE31" s="167"/>
      <x:c r="BF31" s="185"/>
      <x:c r="BG31" s="185"/>
      <x:c r="BH31" s="185"/>
      <x:c r="BI31" s="185"/>
      <x:c r="BJ31" s="36"/>
      <x:c r="BK31" s="167"/>
      <x:c r="BL31" s="185"/>
      <x:c r="BM31" s="185"/>
      <x:c r="BN31" s="185"/>
      <x:c r="BO31" s="185"/>
      <x:c r="BP31" s="36"/>
      <x:c r="BQ31" s="167"/>
      <x:c r="BR31" s="185"/>
      <x:c r="BS31" s="185"/>
      <x:c r="BT31" s="185"/>
      <x:c r="BU31" s="185"/>
      <x:c r="BV31" s="36"/>
    </x:row>
    <x:row r="32" spans="1:74" ht="22.5" customHeight="1" x14ac:dyDescent="0.25">
      <x:c r="A32" s="97" t="s">
        <x:v>450</x:v>
      </x:c>
      <x:c r="B32" s="119" t="s">
        <x:v>426</x:v>
      </x:c>
      <x:c r="C32" s="157"/>
      <x:c r="D32" s="158"/>
      <x:c r="E32" s="158"/>
      <x:c r="F32" s="158"/>
      <x:c r="G32" s="158"/>
      <x:c r="H32" s="197"/>
      <x:c r="I32" s="167"/>
      <x:c r="J32" s="185"/>
      <x:c r="K32" s="185"/>
      <x:c r="L32" s="185"/>
      <x:c r="M32" s="185"/>
      <x:c r="N32" s="36"/>
      <x:c r="O32" s="167"/>
      <x:c r="P32" s="185"/>
      <x:c r="Q32" s="185"/>
      <x:c r="R32" s="185"/>
      <x:c r="S32" s="185"/>
      <x:c r="T32" s="36"/>
      <x:c r="U32" s="167"/>
      <x:c r="V32" s="185"/>
      <x:c r="W32" s="185"/>
      <x:c r="X32" s="185"/>
      <x:c r="Y32" s="185"/>
      <x:c r="Z32" s="36"/>
      <x:c r="AA32" s="167"/>
      <x:c r="AB32" s="185"/>
      <x:c r="AC32" s="185"/>
      <x:c r="AD32" s="185"/>
      <x:c r="AE32" s="185"/>
      <x:c r="AF32" s="36"/>
      <x:c r="AG32" s="167"/>
      <x:c r="AH32" s="185"/>
      <x:c r="AI32" s="185"/>
      <x:c r="AJ32" s="185"/>
      <x:c r="AK32" s="185"/>
      <x:c r="AL32" s="36"/>
      <x:c r="AM32" s="157">
        <x:v>100</x:v>
      </x:c>
      <x:c r="AN32" s="158">
        <x:v>100</x:v>
      </x:c>
      <x:c r="AO32" s="158">
        <x:v>100</x:v>
      </x:c>
      <x:c r="AP32" s="158">
        <x:v>100</x:v>
      </x:c>
      <x:c r="AQ32" s="589">
        <x:v>0</x:v>
      </x:c>
      <x:c r="AR32" s="620" t="s">
        <x:v>1102</x:v>
      </x:c>
      <x:c r="AS32" s="175">
        <x:v>100</x:v>
      </x:c>
      <x:c r="AT32" s="158">
        <x:v>100</x:v>
      </x:c>
      <x:c r="AU32" s="158">
        <x:v>100</x:v>
      </x:c>
      <x:c r="AV32" s="158">
        <x:v>100</x:v>
      </x:c>
      <x:c r="AW32" s="158">
        <x:v>100</x:v>
      </x:c>
      <x:c r="AX32" s="585" t="s">
        <x:v>1102</x:v>
      </x:c>
      <x:c r="AY32" s="167"/>
      <x:c r="AZ32" s="185"/>
      <x:c r="BA32" s="185"/>
      <x:c r="BB32" s="185"/>
      <x:c r="BC32" s="185"/>
      <x:c r="BD32" s="36"/>
      <x:c r="BE32" s="167"/>
      <x:c r="BF32" s="185"/>
      <x:c r="BG32" s="185"/>
      <x:c r="BH32" s="185"/>
      <x:c r="BI32" s="185"/>
      <x:c r="BJ32" s="36"/>
      <x:c r="BK32" s="167"/>
      <x:c r="BL32" s="185"/>
      <x:c r="BM32" s="185"/>
      <x:c r="BN32" s="185"/>
      <x:c r="BO32" s="185"/>
      <x:c r="BP32" s="36"/>
      <x:c r="BQ32" s="167"/>
      <x:c r="BR32" s="185"/>
      <x:c r="BS32" s="185"/>
      <x:c r="BT32" s="185"/>
      <x:c r="BU32" s="185"/>
      <x:c r="BV32" s="36"/>
    </x:row>
    <x:row r="33" spans="1:74" ht="22.5" customHeight="1" x14ac:dyDescent="0.25">
      <x:c r="A33" s="97" t="s">
        <x:v>436</x:v>
      </x:c>
      <x:c r="B33" s="122" t="s">
        <x:v>403</x:v>
      </x:c>
      <x:c r="C33" s="157"/>
      <x:c r="D33" s="158"/>
      <x:c r="E33" s="158"/>
      <x:c r="F33" s="158"/>
      <x:c r="G33" s="158"/>
      <x:c r="H33" s="197"/>
      <x:c r="I33" s="167"/>
      <x:c r="J33" s="185"/>
      <x:c r="K33" s="185"/>
      <x:c r="L33" s="185"/>
      <x:c r="M33" s="185"/>
      <x:c r="N33" s="36"/>
      <x:c r="O33" s="167"/>
      <x:c r="P33" s="185"/>
      <x:c r="Q33" s="185"/>
      <x:c r="R33" s="185"/>
      <x:c r="S33" s="185"/>
      <x:c r="T33" s="36"/>
      <x:c r="U33" s="167"/>
      <x:c r="V33" s="185"/>
      <x:c r="W33" s="185"/>
      <x:c r="X33" s="185"/>
      <x:c r="Y33" s="185"/>
      <x:c r="Z33" s="36"/>
      <x:c r="AA33" s="167"/>
      <x:c r="AB33" s="185"/>
      <x:c r="AC33" s="185"/>
      <x:c r="AD33" s="185"/>
      <x:c r="AE33" s="185"/>
      <x:c r="AF33" s="36"/>
      <x:c r="AG33" s="167"/>
      <x:c r="AH33" s="185"/>
      <x:c r="AI33" s="185"/>
      <x:c r="AJ33" s="185"/>
      <x:c r="AK33" s="185"/>
      <x:c r="AL33" s="36"/>
      <x:c r="AM33" s="157">
        <x:v>100</x:v>
      </x:c>
      <x:c r="AN33" s="589">
        <x:v>0</x:v>
      </x:c>
      <x:c r="AO33" s="589">
        <x:v>0</x:v>
      </x:c>
      <x:c r="AP33" s="589">
        <x:v>0</x:v>
      </x:c>
      <x:c r="AQ33" s="589">
        <x:v>0</x:v>
      </x:c>
      <x:c r="AR33" s="620" t="s">
        <x:v>1102</x:v>
      </x:c>
      <x:c r="AS33" s="175">
        <x:v>100</x:v>
      </x:c>
      <x:c r="AT33" s="158">
        <x:v>100</x:v>
      </x:c>
      <x:c r="AU33" s="158">
        <x:v>100</x:v>
      </x:c>
      <x:c r="AV33" s="158">
        <x:v>100</x:v>
      </x:c>
      <x:c r="AW33" s="158">
        <x:v>100</x:v>
      </x:c>
      <x:c r="AX33" s="585" t="s">
        <x:v>1102</x:v>
      </x:c>
      <x:c r="AY33" s="167"/>
      <x:c r="AZ33" s="185"/>
      <x:c r="BA33" s="185"/>
      <x:c r="BB33" s="185"/>
      <x:c r="BC33" s="185"/>
      <x:c r="BD33" s="36"/>
      <x:c r="BE33" s="167"/>
      <x:c r="BF33" s="185"/>
      <x:c r="BG33" s="185"/>
      <x:c r="BH33" s="185"/>
      <x:c r="BI33" s="185"/>
      <x:c r="BJ33" s="36"/>
      <x:c r="BK33" s="167"/>
      <x:c r="BL33" s="185"/>
      <x:c r="BM33" s="185"/>
      <x:c r="BN33" s="185"/>
      <x:c r="BO33" s="185"/>
      <x:c r="BP33" s="36"/>
      <x:c r="BQ33" s="167"/>
      <x:c r="BR33" s="185"/>
      <x:c r="BS33" s="185"/>
      <x:c r="BT33" s="185"/>
      <x:c r="BU33" s="185"/>
      <x:c r="BV33" s="36"/>
    </x:row>
    <x:row r="34" spans="1:74" ht="22.5" customHeight="1" x14ac:dyDescent="0.25">
      <x:c r="A34" s="97" t="s">
        <x:v>439</x:v>
      </x:c>
      <x:c r="B34" s="119" t="s">
        <x:v>408</x:v>
      </x:c>
      <x:c r="C34" s="157"/>
      <x:c r="D34" s="158"/>
      <x:c r="E34" s="158"/>
      <x:c r="F34" s="158"/>
      <x:c r="G34" s="158"/>
      <x:c r="H34" s="197"/>
      <x:c r="I34" s="167"/>
      <x:c r="J34" s="185"/>
      <x:c r="K34" s="185"/>
      <x:c r="L34" s="185"/>
      <x:c r="M34" s="185"/>
      <x:c r="N34" s="36"/>
      <x:c r="O34" s="167"/>
      <x:c r="P34" s="185"/>
      <x:c r="Q34" s="185"/>
      <x:c r="R34" s="185"/>
      <x:c r="S34" s="185"/>
      <x:c r="T34" s="36"/>
      <x:c r="U34" s="167"/>
      <x:c r="V34" s="185"/>
      <x:c r="W34" s="185"/>
      <x:c r="X34" s="185"/>
      <x:c r="Y34" s="185"/>
      <x:c r="Z34" s="36"/>
      <x:c r="AA34" s="167"/>
      <x:c r="AB34" s="185"/>
      <x:c r="AC34" s="185"/>
      <x:c r="AD34" s="185"/>
      <x:c r="AE34" s="185"/>
      <x:c r="AF34" s="36"/>
      <x:c r="AG34" s="167"/>
      <x:c r="AH34" s="185"/>
      <x:c r="AI34" s="185"/>
      <x:c r="AJ34" s="185"/>
      <x:c r="AK34" s="185"/>
      <x:c r="AL34" s="36"/>
      <x:c r="AM34" s="157">
        <x:v>100</x:v>
      </x:c>
      <x:c r="AN34" s="158">
        <x:v>50</x:v>
      </x:c>
      <x:c r="AO34" s="589">
        <x:v>0</x:v>
      </x:c>
      <x:c r="AP34" s="589">
        <x:v>0</x:v>
      </x:c>
      <x:c r="AQ34" s="589">
        <x:v>0</x:v>
      </x:c>
      <x:c r="AR34" s="620" t="s">
        <x:v>1102</x:v>
      </x:c>
      <x:c r="AS34" s="175">
        <x:v>100</x:v>
      </x:c>
      <x:c r="AT34" s="158">
        <x:v>100</x:v>
      </x:c>
      <x:c r="AU34" s="158">
        <x:v>100</x:v>
      </x:c>
      <x:c r="AV34" s="158">
        <x:v>100</x:v>
      </x:c>
      <x:c r="AW34" s="158">
        <x:v>100</x:v>
      </x:c>
      <x:c r="AX34" s="585" t="s">
        <x:v>1102</x:v>
      </x:c>
      <x:c r="AY34" s="167"/>
      <x:c r="AZ34" s="185"/>
      <x:c r="BA34" s="185"/>
      <x:c r="BB34" s="185"/>
      <x:c r="BC34" s="185"/>
      <x:c r="BD34" s="36"/>
      <x:c r="BE34" s="167"/>
      <x:c r="BF34" s="185"/>
      <x:c r="BG34" s="185"/>
      <x:c r="BH34" s="185"/>
      <x:c r="BI34" s="185"/>
      <x:c r="BJ34" s="36"/>
      <x:c r="BK34" s="167"/>
      <x:c r="BL34" s="185"/>
      <x:c r="BM34" s="185"/>
      <x:c r="BN34" s="185"/>
      <x:c r="BO34" s="185"/>
      <x:c r="BP34" s="36"/>
      <x:c r="BQ34" s="167"/>
      <x:c r="BR34" s="185"/>
      <x:c r="BS34" s="185"/>
      <x:c r="BT34" s="185"/>
      <x:c r="BU34" s="185"/>
      <x:c r="BV34" s="36"/>
    </x:row>
    <x:row r="35" spans="1:74" ht="22.5" customHeight="1" x14ac:dyDescent="0.25">
      <x:c r="A35" s="97" t="s">
        <x:v>419</x:v>
      </x:c>
      <x:c r="B35" s="122" t="s">
        <x:v>420</x:v>
      </x:c>
      <x:c r="C35" s="157"/>
      <x:c r="D35" s="158"/>
      <x:c r="E35" s="158"/>
      <x:c r="F35" s="158"/>
      <x:c r="G35" s="158"/>
      <x:c r="H35" s="197"/>
      <x:c r="I35" s="167"/>
      <x:c r="J35" s="185"/>
      <x:c r="K35" s="185"/>
      <x:c r="L35" s="185"/>
      <x:c r="M35" s="185"/>
      <x:c r="N35" s="36"/>
      <x:c r="O35" s="167"/>
      <x:c r="P35" s="185"/>
      <x:c r="Q35" s="185"/>
      <x:c r="R35" s="185"/>
      <x:c r="S35" s="185"/>
      <x:c r="T35" s="36"/>
      <x:c r="U35" s="167"/>
      <x:c r="V35" s="185"/>
      <x:c r="W35" s="185"/>
      <x:c r="X35" s="185"/>
      <x:c r="Y35" s="185"/>
      <x:c r="Z35" s="36"/>
      <x:c r="AA35" s="167"/>
      <x:c r="AB35" s="185"/>
      <x:c r="AC35" s="185"/>
      <x:c r="AD35" s="185"/>
      <x:c r="AE35" s="185"/>
      <x:c r="AF35" s="36"/>
      <x:c r="AG35" s="167"/>
      <x:c r="AH35" s="185"/>
      <x:c r="AI35" s="185"/>
      <x:c r="AJ35" s="185"/>
      <x:c r="AK35" s="185"/>
      <x:c r="AL35" s="36"/>
      <x:c r="AM35" s="157">
        <x:v>100</x:v>
      </x:c>
      <x:c r="AN35" s="158">
        <x:v>100</x:v>
      </x:c>
      <x:c r="AO35" s="589">
        <x:v>0</x:v>
      </x:c>
      <x:c r="AP35" s="589">
        <x:v>0</x:v>
      </x:c>
      <x:c r="AQ35" s="589">
        <x:v>0</x:v>
      </x:c>
      <x:c r="AR35" s="620" t="s">
        <x:v>1102</x:v>
      </x:c>
      <x:c r="AS35" s="175">
        <x:v>100</x:v>
      </x:c>
      <x:c r="AT35" s="158">
        <x:v>100</x:v>
      </x:c>
      <x:c r="AU35" s="158">
        <x:v>100</x:v>
      </x:c>
      <x:c r="AV35" s="158">
        <x:v>100</x:v>
      </x:c>
      <x:c r="AW35" s="158">
        <x:v>100</x:v>
      </x:c>
      <x:c r="AX35" s="585" t="s">
        <x:v>1102</x:v>
      </x:c>
      <x:c r="AY35" s="167"/>
      <x:c r="AZ35" s="185"/>
      <x:c r="BA35" s="185"/>
      <x:c r="BB35" s="185"/>
      <x:c r="BC35" s="185"/>
      <x:c r="BD35" s="36"/>
      <x:c r="BE35" s="167"/>
      <x:c r="BF35" s="185"/>
      <x:c r="BG35" s="185"/>
      <x:c r="BH35" s="185"/>
      <x:c r="BI35" s="185"/>
      <x:c r="BJ35" s="36"/>
      <x:c r="BK35" s="167"/>
      <x:c r="BL35" s="185"/>
      <x:c r="BM35" s="185"/>
      <x:c r="BN35" s="185"/>
      <x:c r="BO35" s="185"/>
      <x:c r="BP35" s="36"/>
      <x:c r="BQ35" s="167"/>
      <x:c r="BR35" s="185"/>
      <x:c r="BS35" s="185"/>
      <x:c r="BT35" s="185"/>
      <x:c r="BU35" s="185"/>
      <x:c r="BV35" s="36"/>
    </x:row>
    <x:row r="36" spans="1:74" ht="22.5" customHeight="1" x14ac:dyDescent="0.25">
      <x:c r="A36" s="97" t="s">
        <x:v>437</x:v>
      </x:c>
      <x:c r="B36" s="119" t="s">
        <x:v>403</x:v>
      </x:c>
      <x:c r="C36" s="157"/>
      <x:c r="D36" s="158"/>
      <x:c r="E36" s="158"/>
      <x:c r="F36" s="158"/>
      <x:c r="G36" s="158"/>
      <x:c r="H36" s="197"/>
      <x:c r="I36" s="167"/>
      <x:c r="J36" s="185"/>
      <x:c r="K36" s="185"/>
      <x:c r="L36" s="185"/>
      <x:c r="M36" s="185"/>
      <x:c r="N36" s="36"/>
      <x:c r="O36" s="167"/>
      <x:c r="P36" s="185"/>
      <x:c r="Q36" s="185"/>
      <x:c r="R36" s="185"/>
      <x:c r="S36" s="185"/>
      <x:c r="T36" s="36"/>
      <x:c r="U36" s="167"/>
      <x:c r="V36" s="185"/>
      <x:c r="W36" s="185"/>
      <x:c r="X36" s="185"/>
      <x:c r="Y36" s="185"/>
      <x:c r="Z36" s="36"/>
      <x:c r="AA36" s="167"/>
      <x:c r="AB36" s="185"/>
      <x:c r="AC36" s="185"/>
      <x:c r="AD36" s="185"/>
      <x:c r="AE36" s="185"/>
      <x:c r="AF36" s="36"/>
      <x:c r="AG36" s="167"/>
      <x:c r="AH36" s="185"/>
      <x:c r="AI36" s="185"/>
      <x:c r="AJ36" s="185"/>
      <x:c r="AK36" s="185"/>
      <x:c r="AL36" s="36"/>
      <x:c r="AM36" s="157">
        <x:v>100</x:v>
      </x:c>
      <x:c r="AN36" s="589">
        <x:v>0</x:v>
      </x:c>
      <x:c r="AO36" s="589">
        <x:v>0</x:v>
      </x:c>
      <x:c r="AP36" s="589">
        <x:v>0</x:v>
      </x:c>
      <x:c r="AQ36" s="589">
        <x:v>0</x:v>
      </x:c>
      <x:c r="AR36" s="620" t="s">
        <x:v>1102</x:v>
      </x:c>
      <x:c r="AS36" s="175">
        <x:v>100</x:v>
      </x:c>
      <x:c r="AT36" s="158">
        <x:v>100</x:v>
      </x:c>
      <x:c r="AU36" s="158">
        <x:v>100</x:v>
      </x:c>
      <x:c r="AV36" s="158">
        <x:v>100</x:v>
      </x:c>
      <x:c r="AW36" s="158">
        <x:v>100</x:v>
      </x:c>
      <x:c r="AX36" s="585" t="s">
        <x:v>1102</x:v>
      </x:c>
      <x:c r="AY36" s="167"/>
      <x:c r="AZ36" s="185"/>
      <x:c r="BA36" s="185"/>
      <x:c r="BB36" s="185"/>
      <x:c r="BC36" s="185"/>
      <x:c r="BD36" s="36"/>
      <x:c r="BE36" s="167"/>
      <x:c r="BF36" s="185"/>
      <x:c r="BG36" s="185"/>
      <x:c r="BH36" s="185"/>
      <x:c r="BI36" s="185"/>
      <x:c r="BJ36" s="36"/>
      <x:c r="BK36" s="167"/>
      <x:c r="BL36" s="185"/>
      <x:c r="BM36" s="185"/>
      <x:c r="BN36" s="185"/>
      <x:c r="BO36" s="185"/>
      <x:c r="BP36" s="36"/>
      <x:c r="BQ36" s="167"/>
      <x:c r="BR36" s="185"/>
      <x:c r="BS36" s="185"/>
      <x:c r="BT36" s="185"/>
      <x:c r="BU36" s="185"/>
      <x:c r="BV36" s="36"/>
    </x:row>
    <x:row r="37" spans="1:74" ht="22.5" customHeight="1" x14ac:dyDescent="0.25">
      <x:c r="A37" s="97" t="s">
        <x:v>427</x:v>
      </x:c>
      <x:c r="B37" s="122" t="s">
        <x:v>408</x:v>
      </x:c>
      <x:c r="C37" s="157"/>
      <x:c r="D37" s="158"/>
      <x:c r="E37" s="158"/>
      <x:c r="F37" s="158"/>
      <x:c r="G37" s="158"/>
      <x:c r="H37" s="197"/>
      <x:c r="I37" s="167"/>
      <x:c r="J37" s="185"/>
      <x:c r="K37" s="185"/>
      <x:c r="L37" s="185"/>
      <x:c r="M37" s="185"/>
      <x:c r="N37" s="36"/>
      <x:c r="O37" s="167"/>
      <x:c r="P37" s="185"/>
      <x:c r="Q37" s="185"/>
      <x:c r="R37" s="185"/>
      <x:c r="S37" s="185"/>
      <x:c r="T37" s="36"/>
      <x:c r="U37" s="167"/>
      <x:c r="V37" s="185"/>
      <x:c r="W37" s="185"/>
      <x:c r="X37" s="185"/>
      <x:c r="Y37" s="185"/>
      <x:c r="Z37" s="36"/>
      <x:c r="AA37" s="167"/>
      <x:c r="AB37" s="185"/>
      <x:c r="AC37" s="185"/>
      <x:c r="AD37" s="185"/>
      <x:c r="AE37" s="185"/>
      <x:c r="AF37" s="36"/>
      <x:c r="AG37" s="167"/>
      <x:c r="AH37" s="185"/>
      <x:c r="AI37" s="185"/>
      <x:c r="AJ37" s="185"/>
      <x:c r="AK37" s="185"/>
      <x:c r="AL37" s="36"/>
      <x:c r="AM37" s="157">
        <x:v>100</x:v>
      </x:c>
      <x:c r="AN37" s="158">
        <x:v>100</x:v>
      </x:c>
      <x:c r="AO37" s="589">
        <x:v>0</x:v>
      </x:c>
      <x:c r="AP37" s="589">
        <x:v>0</x:v>
      </x:c>
      <x:c r="AQ37" s="589">
        <x:v>0</x:v>
      </x:c>
      <x:c r="AR37" s="620" t="s">
        <x:v>1102</x:v>
      </x:c>
      <x:c r="AS37" s="175">
        <x:v>100</x:v>
      </x:c>
      <x:c r="AT37" s="158">
        <x:v>100</x:v>
      </x:c>
      <x:c r="AU37" s="158">
        <x:v>100</x:v>
      </x:c>
      <x:c r="AV37" s="158">
        <x:v>100</x:v>
      </x:c>
      <x:c r="AW37" s="158">
        <x:v>100</x:v>
      </x:c>
      <x:c r="AX37" s="585" t="s">
        <x:v>1102</x:v>
      </x:c>
      <x:c r="AY37" s="167"/>
      <x:c r="AZ37" s="185"/>
      <x:c r="BA37" s="185"/>
      <x:c r="BB37" s="185"/>
      <x:c r="BC37" s="185"/>
      <x:c r="BD37" s="36"/>
      <x:c r="BE37" s="167"/>
      <x:c r="BF37" s="185"/>
      <x:c r="BG37" s="185"/>
      <x:c r="BH37" s="185"/>
      <x:c r="BI37" s="185"/>
      <x:c r="BJ37" s="36"/>
      <x:c r="BK37" s="167"/>
      <x:c r="BL37" s="185"/>
      <x:c r="BM37" s="185"/>
      <x:c r="BN37" s="185"/>
      <x:c r="BO37" s="185"/>
      <x:c r="BP37" s="36"/>
      <x:c r="BQ37" s="167"/>
      <x:c r="BR37" s="185"/>
      <x:c r="BS37" s="185"/>
      <x:c r="BT37" s="185"/>
      <x:c r="BU37" s="185"/>
      <x:c r="BV37" s="36"/>
    </x:row>
    <x:row r="38" spans="1:74" ht="22.5" customHeight="1" x14ac:dyDescent="0.25">
      <x:c r="A38" s="97" t="s">
        <x:v>422</x:v>
      </x:c>
      <x:c r="B38" s="119" t="s">
        <x:v>420</x:v>
      </x:c>
      <x:c r="C38" s="157"/>
      <x:c r="D38" s="158"/>
      <x:c r="E38" s="158"/>
      <x:c r="F38" s="158"/>
      <x:c r="G38" s="158"/>
      <x:c r="H38" s="197"/>
      <x:c r="I38" s="167"/>
      <x:c r="J38" s="185"/>
      <x:c r="K38" s="185"/>
      <x:c r="L38" s="185"/>
      <x:c r="M38" s="185"/>
      <x:c r="N38" s="36"/>
      <x:c r="O38" s="167"/>
      <x:c r="P38" s="185"/>
      <x:c r="Q38" s="185"/>
      <x:c r="R38" s="185"/>
      <x:c r="S38" s="185"/>
      <x:c r="T38" s="36"/>
      <x:c r="U38" s="167"/>
      <x:c r="V38" s="185"/>
      <x:c r="W38" s="185"/>
      <x:c r="X38" s="185"/>
      <x:c r="Y38" s="185"/>
      <x:c r="Z38" s="36"/>
      <x:c r="AA38" s="167"/>
      <x:c r="AB38" s="185"/>
      <x:c r="AC38" s="185"/>
      <x:c r="AD38" s="185"/>
      <x:c r="AE38" s="185"/>
      <x:c r="AF38" s="36"/>
      <x:c r="AG38" s="167"/>
      <x:c r="AH38" s="185"/>
      <x:c r="AI38" s="185"/>
      <x:c r="AJ38" s="185"/>
      <x:c r="AK38" s="185"/>
      <x:c r="AL38" s="36"/>
      <x:c r="AM38" s="157">
        <x:v>100</x:v>
      </x:c>
      <x:c r="AN38" s="158">
        <x:v>100</x:v>
      </x:c>
      <x:c r="AO38" s="589">
        <x:v>0</x:v>
      </x:c>
      <x:c r="AP38" s="589">
        <x:v>0</x:v>
      </x:c>
      <x:c r="AQ38" s="589">
        <x:v>0</x:v>
      </x:c>
      <x:c r="AR38" s="620" t="s">
        <x:v>1102</x:v>
      </x:c>
      <x:c r="AS38" s="175">
        <x:v>100</x:v>
      </x:c>
      <x:c r="AT38" s="158">
        <x:v>100</x:v>
      </x:c>
      <x:c r="AU38" s="158">
        <x:v>100</x:v>
      </x:c>
      <x:c r="AV38" s="158">
        <x:v>100</x:v>
      </x:c>
      <x:c r="AW38" s="158">
        <x:v>100</x:v>
      </x:c>
      <x:c r="AX38" s="585" t="s">
        <x:v>1102</x:v>
      </x:c>
      <x:c r="AY38" s="167"/>
      <x:c r="AZ38" s="185"/>
      <x:c r="BA38" s="185"/>
      <x:c r="BB38" s="185"/>
      <x:c r="BC38" s="185"/>
      <x:c r="BD38" s="36"/>
      <x:c r="BE38" s="167"/>
      <x:c r="BF38" s="185"/>
      <x:c r="BG38" s="185"/>
      <x:c r="BH38" s="185"/>
      <x:c r="BI38" s="185"/>
      <x:c r="BJ38" s="36"/>
      <x:c r="BK38" s="167"/>
      <x:c r="BL38" s="185"/>
      <x:c r="BM38" s="185"/>
      <x:c r="BN38" s="185"/>
      <x:c r="BO38" s="185"/>
      <x:c r="BP38" s="36"/>
      <x:c r="BQ38" s="167"/>
      <x:c r="BR38" s="185"/>
      <x:c r="BS38" s="185"/>
      <x:c r="BT38" s="185"/>
      <x:c r="BU38" s="185"/>
      <x:c r="BV38" s="36"/>
    </x:row>
    <x:row r="39" spans="1:74" ht="22.5" customHeight="1" x14ac:dyDescent="0.25">
      <x:c r="A39" s="97" t="s">
        <x:v>435</x:v>
      </x:c>
      <x:c r="B39" s="122" t="s">
        <x:v>403</x:v>
      </x:c>
      <x:c r="C39" s="157"/>
      <x:c r="D39" s="158"/>
      <x:c r="E39" s="158"/>
      <x:c r="F39" s="158"/>
      <x:c r="G39" s="158"/>
      <x:c r="H39" s="197"/>
      <x:c r="I39" s="167"/>
      <x:c r="J39" s="185"/>
      <x:c r="K39" s="185"/>
      <x:c r="L39" s="185"/>
      <x:c r="M39" s="185"/>
      <x:c r="N39" s="36"/>
      <x:c r="O39" s="167"/>
      <x:c r="P39" s="185"/>
      <x:c r="Q39" s="185"/>
      <x:c r="R39" s="185"/>
      <x:c r="S39" s="185"/>
      <x:c r="T39" s="36"/>
      <x:c r="U39" s="167"/>
      <x:c r="V39" s="185"/>
      <x:c r="W39" s="185"/>
      <x:c r="X39" s="185"/>
      <x:c r="Y39" s="185"/>
      <x:c r="Z39" s="36"/>
      <x:c r="AA39" s="167"/>
      <x:c r="AB39" s="185"/>
      <x:c r="AC39" s="185"/>
      <x:c r="AD39" s="185"/>
      <x:c r="AE39" s="185"/>
      <x:c r="AF39" s="36"/>
      <x:c r="AG39" s="167"/>
      <x:c r="AH39" s="185"/>
      <x:c r="AI39" s="185"/>
      <x:c r="AJ39" s="185"/>
      <x:c r="AK39" s="185"/>
      <x:c r="AL39" s="36"/>
      <x:c r="AM39" s="157">
        <x:v>100</x:v>
      </x:c>
      <x:c r="AN39" s="589">
        <x:v>0</x:v>
      </x:c>
      <x:c r="AO39" s="589">
        <x:v>0</x:v>
      </x:c>
      <x:c r="AP39" s="589">
        <x:v>0</x:v>
      </x:c>
      <x:c r="AQ39" s="589">
        <x:v>0</x:v>
      </x:c>
      <x:c r="AR39" s="620" t="s">
        <x:v>1102</x:v>
      </x:c>
      <x:c r="AS39" s="175">
        <x:v>100</x:v>
      </x:c>
      <x:c r="AT39" s="158">
        <x:v>100</x:v>
      </x:c>
      <x:c r="AU39" s="158">
        <x:v>100</x:v>
      </x:c>
      <x:c r="AV39" s="158">
        <x:v>100</x:v>
      </x:c>
      <x:c r="AW39" s="158">
        <x:v>100</x:v>
      </x:c>
      <x:c r="AX39" s="585" t="s">
        <x:v>1102</x:v>
      </x:c>
      <x:c r="AY39" s="167"/>
      <x:c r="AZ39" s="185"/>
      <x:c r="BA39" s="185"/>
      <x:c r="BB39" s="185"/>
      <x:c r="BC39" s="185"/>
      <x:c r="BD39" s="36"/>
      <x:c r="BE39" s="167"/>
      <x:c r="BF39" s="185"/>
      <x:c r="BG39" s="185"/>
      <x:c r="BH39" s="185"/>
      <x:c r="BI39" s="185"/>
      <x:c r="BJ39" s="36"/>
      <x:c r="BK39" s="167"/>
      <x:c r="BL39" s="185"/>
      <x:c r="BM39" s="185"/>
      <x:c r="BN39" s="185"/>
      <x:c r="BO39" s="185"/>
      <x:c r="BP39" s="36"/>
      <x:c r="BQ39" s="167"/>
      <x:c r="BR39" s="185"/>
      <x:c r="BS39" s="185"/>
      <x:c r="BT39" s="185"/>
      <x:c r="BU39" s="185"/>
      <x:c r="BV39" s="36"/>
    </x:row>
    <x:row r="40" spans="1:74" ht="22.5" customHeight="1" x14ac:dyDescent="0.25">
      <x:c r="A40" s="97" t="s">
        <x:v>443</x:v>
      </x:c>
      <x:c r="B40" s="119" t="s">
        <x:v>408</x:v>
      </x:c>
      <x:c r="C40" s="157"/>
      <x:c r="D40" s="158"/>
      <x:c r="E40" s="158"/>
      <x:c r="F40" s="158"/>
      <x:c r="G40" s="158"/>
      <x:c r="H40" s="197"/>
      <x:c r="I40" s="167"/>
      <x:c r="J40" s="185"/>
      <x:c r="K40" s="185"/>
      <x:c r="L40" s="185"/>
      <x:c r="M40" s="185"/>
      <x:c r="N40" s="36"/>
      <x:c r="O40" s="167"/>
      <x:c r="P40" s="185"/>
      <x:c r="Q40" s="185"/>
      <x:c r="R40" s="185"/>
      <x:c r="S40" s="185"/>
      <x:c r="T40" s="36"/>
      <x:c r="U40" s="167"/>
      <x:c r="V40" s="185"/>
      <x:c r="W40" s="185"/>
      <x:c r="X40" s="185"/>
      <x:c r="Y40" s="185"/>
      <x:c r="Z40" s="36"/>
      <x:c r="AA40" s="167"/>
      <x:c r="AB40" s="185"/>
      <x:c r="AC40" s="185"/>
      <x:c r="AD40" s="185"/>
      <x:c r="AE40" s="185"/>
      <x:c r="AF40" s="36"/>
      <x:c r="AG40" s="167"/>
      <x:c r="AH40" s="185"/>
      <x:c r="AI40" s="185"/>
      <x:c r="AJ40" s="185"/>
      <x:c r="AK40" s="185"/>
      <x:c r="AL40" s="36"/>
      <x:c r="AM40" s="157">
        <x:v>100</x:v>
      </x:c>
      <x:c r="AN40" s="158">
        <x:v>75</x:v>
      </x:c>
      <x:c r="AO40" s="589">
        <x:v>0</x:v>
      </x:c>
      <x:c r="AP40" s="589">
        <x:v>0</x:v>
      </x:c>
      <x:c r="AQ40" s="589">
        <x:v>0</x:v>
      </x:c>
      <x:c r="AR40" s="620" t="s">
        <x:v>1102</x:v>
      </x:c>
      <x:c r="AS40" s="175">
        <x:v>100</x:v>
      </x:c>
      <x:c r="AT40" s="158">
        <x:v>100</x:v>
      </x:c>
      <x:c r="AU40" s="158">
        <x:v>100</x:v>
      </x:c>
      <x:c r="AV40" s="158">
        <x:v>100</x:v>
      </x:c>
      <x:c r="AW40" s="158">
        <x:v>100</x:v>
      </x:c>
      <x:c r="AX40" s="585" t="s">
        <x:v>1102</x:v>
      </x:c>
      <x:c r="AY40" s="167"/>
      <x:c r="AZ40" s="185"/>
      <x:c r="BA40" s="185"/>
      <x:c r="BB40" s="185"/>
      <x:c r="BC40" s="185"/>
      <x:c r="BD40" s="36"/>
      <x:c r="BE40" s="167"/>
      <x:c r="BF40" s="185"/>
      <x:c r="BG40" s="185"/>
      <x:c r="BH40" s="185"/>
      <x:c r="BI40" s="185"/>
      <x:c r="BJ40" s="36"/>
      <x:c r="BK40" s="167"/>
      <x:c r="BL40" s="185"/>
      <x:c r="BM40" s="185"/>
      <x:c r="BN40" s="185"/>
      <x:c r="BO40" s="185"/>
      <x:c r="BP40" s="36"/>
      <x:c r="BQ40" s="167"/>
      <x:c r="BR40" s="185"/>
      <x:c r="BS40" s="185"/>
      <x:c r="BT40" s="185"/>
      <x:c r="BU40" s="185"/>
      <x:c r="BV40" s="36"/>
    </x:row>
    <x:row r="41" spans="1:74" ht="22.5" customHeight="1" x14ac:dyDescent="0.25">
      <x:c r="A41" s="97" t="s">
        <x:v>404</x:v>
      </x:c>
      <x:c r="B41" s="122" t="s">
        <x:v>401</x:v>
      </x:c>
      <x:c r="C41" s="157"/>
      <x:c r="D41" s="158"/>
      <x:c r="E41" s="158"/>
      <x:c r="F41" s="158"/>
      <x:c r="G41" s="158"/>
      <x:c r="H41" s="197"/>
      <x:c r="I41" s="167"/>
      <x:c r="J41" s="185"/>
      <x:c r="K41" s="185"/>
      <x:c r="L41" s="185"/>
      <x:c r="M41" s="185"/>
      <x:c r="N41" s="36"/>
      <x:c r="O41" s="167"/>
      <x:c r="P41" s="185"/>
      <x:c r="Q41" s="185"/>
      <x:c r="R41" s="185"/>
      <x:c r="S41" s="185"/>
      <x:c r="T41" s="36"/>
      <x:c r="U41" s="167"/>
      <x:c r="V41" s="185"/>
      <x:c r="W41" s="185"/>
      <x:c r="X41" s="185"/>
      <x:c r="Y41" s="185"/>
      <x:c r="Z41" s="36"/>
      <x:c r="AA41" s="167"/>
      <x:c r="AB41" s="185"/>
      <x:c r="AC41" s="185"/>
      <x:c r="AD41" s="185"/>
      <x:c r="AE41" s="185"/>
      <x:c r="AF41" s="36"/>
      <x:c r="AG41" s="167"/>
      <x:c r="AH41" s="185"/>
      <x:c r="AI41" s="185"/>
      <x:c r="AJ41" s="185"/>
      <x:c r="AK41" s="185"/>
      <x:c r="AL41" s="36"/>
      <x:c r="AM41" s="157">
        <x:v>100</x:v>
      </x:c>
      <x:c r="AN41" s="589">
        <x:v>0</x:v>
      </x:c>
      <x:c r="AO41" s="589">
        <x:v>0</x:v>
      </x:c>
      <x:c r="AP41" s="589">
        <x:v>0</x:v>
      </x:c>
      <x:c r="AQ41" s="589">
        <x:v>0</x:v>
      </x:c>
      <x:c r="AR41" s="620" t="s">
        <x:v>1102</x:v>
      </x:c>
      <x:c r="AS41" s="175">
        <x:v>100</x:v>
      </x:c>
      <x:c r="AT41" s="158">
        <x:v>100</x:v>
      </x:c>
      <x:c r="AU41" s="158">
        <x:v>100</x:v>
      </x:c>
      <x:c r="AV41" s="158">
        <x:v>100</x:v>
      </x:c>
      <x:c r="AW41" s="158">
        <x:v>100</x:v>
      </x:c>
      <x:c r="AX41" s="585" t="s">
        <x:v>1102</x:v>
      </x:c>
      <x:c r="AY41" s="167"/>
      <x:c r="AZ41" s="185"/>
      <x:c r="BA41" s="185"/>
      <x:c r="BB41" s="185"/>
      <x:c r="BC41" s="185"/>
      <x:c r="BD41" s="36"/>
      <x:c r="BE41" s="167"/>
      <x:c r="BF41" s="185"/>
      <x:c r="BG41" s="185"/>
      <x:c r="BH41" s="185"/>
      <x:c r="BI41" s="185"/>
      <x:c r="BJ41" s="36"/>
      <x:c r="BK41" s="167"/>
      <x:c r="BL41" s="185"/>
      <x:c r="BM41" s="185"/>
      <x:c r="BN41" s="185"/>
      <x:c r="BO41" s="185"/>
      <x:c r="BP41" s="36"/>
      <x:c r="BQ41" s="167"/>
      <x:c r="BR41" s="185"/>
      <x:c r="BS41" s="185"/>
      <x:c r="BT41" s="185"/>
      <x:c r="BU41" s="185"/>
      <x:c r="BV41" s="36"/>
    </x:row>
    <x:row r="42" spans="1:74" ht="22.5" customHeight="1" x14ac:dyDescent="0.25">
      <x:c r="A42" s="97" t="s">
        <x:v>411</x:v>
      </x:c>
      <x:c r="B42" s="119" t="s">
        <x:v>408</x:v>
      </x:c>
      <x:c r="C42" s="157"/>
      <x:c r="D42" s="158"/>
      <x:c r="E42" s="158"/>
      <x:c r="F42" s="158"/>
      <x:c r="G42" s="158"/>
      <x:c r="H42" s="197"/>
      <x:c r="I42" s="167"/>
      <x:c r="J42" s="185"/>
      <x:c r="K42" s="185"/>
      <x:c r="L42" s="185"/>
      <x:c r="M42" s="185"/>
      <x:c r="N42" s="36"/>
      <x:c r="O42" s="167"/>
      <x:c r="P42" s="185"/>
      <x:c r="Q42" s="185"/>
      <x:c r="R42" s="185"/>
      <x:c r="S42" s="185"/>
      <x:c r="T42" s="36"/>
      <x:c r="U42" s="167"/>
      <x:c r="V42" s="185"/>
      <x:c r="W42" s="185"/>
      <x:c r="X42" s="185"/>
      <x:c r="Y42" s="185"/>
      <x:c r="Z42" s="36"/>
      <x:c r="AA42" s="167"/>
      <x:c r="AB42" s="185"/>
      <x:c r="AC42" s="185"/>
      <x:c r="AD42" s="185"/>
      <x:c r="AE42" s="185"/>
      <x:c r="AF42" s="36"/>
      <x:c r="AG42" s="167"/>
      <x:c r="AH42" s="185"/>
      <x:c r="AI42" s="185"/>
      <x:c r="AJ42" s="185"/>
      <x:c r="AK42" s="185"/>
      <x:c r="AL42" s="36"/>
      <x:c r="AM42" s="157">
        <x:v>100</x:v>
      </x:c>
      <x:c r="AN42" s="589">
        <x:v>0</x:v>
      </x:c>
      <x:c r="AO42" s="589">
        <x:v>0</x:v>
      </x:c>
      <x:c r="AP42" s="589">
        <x:v>0</x:v>
      </x:c>
      <x:c r="AQ42" s="589">
        <x:v>0</x:v>
      </x:c>
      <x:c r="AR42" s="620" t="s">
        <x:v>1102</x:v>
      </x:c>
      <x:c r="AS42" s="175">
        <x:v>100</x:v>
      </x:c>
      <x:c r="AT42" s="158">
        <x:v>100</x:v>
      </x:c>
      <x:c r="AU42" s="158">
        <x:v>100</x:v>
      </x:c>
      <x:c r="AV42" s="158">
        <x:v>100</x:v>
      </x:c>
      <x:c r="AW42" s="158">
        <x:v>100</x:v>
      </x:c>
      <x:c r="AX42" s="585" t="s">
        <x:v>1102</x:v>
      </x:c>
      <x:c r="AY42" s="167"/>
      <x:c r="AZ42" s="185"/>
      <x:c r="BA42" s="185"/>
      <x:c r="BB42" s="185"/>
      <x:c r="BC42" s="185"/>
      <x:c r="BD42" s="36"/>
      <x:c r="BE42" s="167"/>
      <x:c r="BF42" s="185"/>
      <x:c r="BG42" s="185"/>
      <x:c r="BH42" s="185"/>
      <x:c r="BI42" s="185"/>
      <x:c r="BJ42" s="36"/>
      <x:c r="BK42" s="167"/>
      <x:c r="BL42" s="185"/>
      <x:c r="BM42" s="185"/>
      <x:c r="BN42" s="185"/>
      <x:c r="BO42" s="185"/>
      <x:c r="BP42" s="36"/>
      <x:c r="BQ42" s="167"/>
      <x:c r="BR42" s="185"/>
      <x:c r="BS42" s="185"/>
      <x:c r="BT42" s="185"/>
      <x:c r="BU42" s="185"/>
      <x:c r="BV42" s="36"/>
    </x:row>
    <x:row r="43" spans="1:74" ht="22.5" customHeight="1" x14ac:dyDescent="0.25">
      <x:c r="A43" s="97" t="s">
        <x:v>452</x:v>
      </x:c>
      <x:c r="B43" s="122" t="s">
        <x:v>426</x:v>
      </x:c>
      <x:c r="C43" s="157"/>
      <x:c r="D43" s="158"/>
      <x:c r="E43" s="158"/>
      <x:c r="F43" s="158"/>
      <x:c r="G43" s="158"/>
      <x:c r="H43" s="197"/>
      <x:c r="I43" s="167"/>
      <x:c r="J43" s="185"/>
      <x:c r="K43" s="185"/>
      <x:c r="L43" s="185"/>
      <x:c r="M43" s="185"/>
      <x:c r="N43" s="36"/>
      <x:c r="O43" s="167"/>
      <x:c r="P43" s="185"/>
      <x:c r="Q43" s="185"/>
      <x:c r="R43" s="185"/>
      <x:c r="S43" s="185"/>
      <x:c r="T43" s="36"/>
      <x:c r="U43" s="167"/>
      <x:c r="V43" s="185"/>
      <x:c r="W43" s="185"/>
      <x:c r="X43" s="185"/>
      <x:c r="Y43" s="185"/>
      <x:c r="Z43" s="36"/>
      <x:c r="AA43" s="167"/>
      <x:c r="AB43" s="185"/>
      <x:c r="AC43" s="185"/>
      <x:c r="AD43" s="185"/>
      <x:c r="AE43" s="185"/>
      <x:c r="AF43" s="36"/>
      <x:c r="AG43" s="167"/>
      <x:c r="AH43" s="185"/>
      <x:c r="AI43" s="185"/>
      <x:c r="AJ43" s="185"/>
      <x:c r="AK43" s="185"/>
      <x:c r="AL43" s="36"/>
      <x:c r="AM43" s="157">
        <x:v>100</x:v>
      </x:c>
      <x:c r="AN43" s="158">
        <x:v>100</x:v>
      </x:c>
      <x:c r="AO43" s="158">
        <x:v>50</x:v>
      </x:c>
      <x:c r="AP43" s="589">
        <x:v>0</x:v>
      </x:c>
      <x:c r="AQ43" s="589">
        <x:v>0</x:v>
      </x:c>
      <x:c r="AR43" s="620" t="s">
        <x:v>1102</x:v>
      </x:c>
      <x:c r="AS43" s="175">
        <x:v>100</x:v>
      </x:c>
      <x:c r="AT43" s="158">
        <x:v>100</x:v>
      </x:c>
      <x:c r="AU43" s="158">
        <x:v>100</x:v>
      </x:c>
      <x:c r="AV43" s="158">
        <x:v>100</x:v>
      </x:c>
      <x:c r="AW43" s="158">
        <x:v>100</x:v>
      </x:c>
      <x:c r="AX43" s="585" t="s">
        <x:v>1102</x:v>
      </x:c>
      <x:c r="AY43" s="167"/>
      <x:c r="AZ43" s="185"/>
      <x:c r="BA43" s="185"/>
      <x:c r="BB43" s="185"/>
      <x:c r="BC43" s="185"/>
      <x:c r="BD43" s="36"/>
      <x:c r="BE43" s="167"/>
      <x:c r="BF43" s="185"/>
      <x:c r="BG43" s="185"/>
      <x:c r="BH43" s="185"/>
      <x:c r="BI43" s="185"/>
      <x:c r="BJ43" s="36"/>
      <x:c r="BK43" s="167"/>
      <x:c r="BL43" s="185"/>
      <x:c r="BM43" s="185"/>
      <x:c r="BN43" s="185"/>
      <x:c r="BO43" s="185"/>
      <x:c r="BP43" s="36"/>
      <x:c r="BQ43" s="167"/>
      <x:c r="BR43" s="185"/>
      <x:c r="BS43" s="185"/>
      <x:c r="BT43" s="185"/>
      <x:c r="BU43" s="185"/>
      <x:c r="BV43" s="36"/>
    </x:row>
    <x:row r="44" spans="1:74" ht="22.5" customHeight="1" x14ac:dyDescent="0.25">
      <x:c r="A44" s="97" t="s">
        <x:v>438</x:v>
      </x:c>
      <x:c r="B44" s="119" t="s">
        <x:v>408</x:v>
      </x:c>
      <x:c r="C44" s="157"/>
      <x:c r="D44" s="158"/>
      <x:c r="E44" s="158"/>
      <x:c r="F44" s="158"/>
      <x:c r="G44" s="158"/>
      <x:c r="H44" s="197"/>
      <x:c r="I44" s="167"/>
      <x:c r="J44" s="185"/>
      <x:c r="K44" s="185"/>
      <x:c r="L44" s="185"/>
      <x:c r="M44" s="185"/>
      <x:c r="N44" s="36"/>
      <x:c r="O44" s="167"/>
      <x:c r="P44" s="185"/>
      <x:c r="Q44" s="185"/>
      <x:c r="R44" s="185"/>
      <x:c r="S44" s="185"/>
      <x:c r="T44" s="36"/>
      <x:c r="U44" s="167"/>
      <x:c r="V44" s="185"/>
      <x:c r="W44" s="185"/>
      <x:c r="X44" s="185"/>
      <x:c r="Y44" s="185"/>
      <x:c r="Z44" s="36"/>
      <x:c r="AA44" s="167"/>
      <x:c r="AB44" s="185"/>
      <x:c r="AC44" s="185"/>
      <x:c r="AD44" s="185"/>
      <x:c r="AE44" s="185"/>
      <x:c r="AF44" s="36"/>
      <x:c r="AG44" s="167"/>
      <x:c r="AH44" s="185"/>
      <x:c r="AI44" s="185"/>
      <x:c r="AJ44" s="185"/>
      <x:c r="AK44" s="185"/>
      <x:c r="AL44" s="36"/>
      <x:c r="AM44" s="157">
        <x:v>100</x:v>
      </x:c>
      <x:c r="AN44" s="158">
        <x:v>75</x:v>
      </x:c>
      <x:c r="AO44" s="589">
        <x:v>0</x:v>
      </x:c>
      <x:c r="AP44" s="589">
        <x:v>0</x:v>
      </x:c>
      <x:c r="AQ44" s="589">
        <x:v>0</x:v>
      </x:c>
      <x:c r="AR44" s="620" t="s">
        <x:v>1102</x:v>
      </x:c>
      <x:c r="AS44" s="175">
        <x:v>100</x:v>
      </x:c>
      <x:c r="AT44" s="158">
        <x:v>100</x:v>
      </x:c>
      <x:c r="AU44" s="158">
        <x:v>100</x:v>
      </x:c>
      <x:c r="AV44" s="158">
        <x:v>100</x:v>
      </x:c>
      <x:c r="AW44" s="158">
        <x:v>100</x:v>
      </x:c>
      <x:c r="AX44" s="585" t="s">
        <x:v>1102</x:v>
      </x:c>
      <x:c r="AY44" s="167"/>
      <x:c r="AZ44" s="185"/>
      <x:c r="BA44" s="185"/>
      <x:c r="BB44" s="185"/>
      <x:c r="BC44" s="185"/>
      <x:c r="BD44" s="36"/>
      <x:c r="BE44" s="167"/>
      <x:c r="BF44" s="185"/>
      <x:c r="BG44" s="185"/>
      <x:c r="BH44" s="185"/>
      <x:c r="BI44" s="185"/>
      <x:c r="BJ44" s="36"/>
      <x:c r="BK44" s="167"/>
      <x:c r="BL44" s="185"/>
      <x:c r="BM44" s="185"/>
      <x:c r="BN44" s="185"/>
      <x:c r="BO44" s="185"/>
      <x:c r="BP44" s="36"/>
      <x:c r="BQ44" s="167"/>
      <x:c r="BR44" s="185"/>
      <x:c r="BS44" s="185"/>
      <x:c r="BT44" s="185"/>
      <x:c r="BU44" s="185"/>
      <x:c r="BV44" s="36"/>
    </x:row>
    <x:row r="45" spans="1:74" ht="22.5" customHeight="1" x14ac:dyDescent="0.25">
      <x:c r="A45" s="97" t="s">
        <x:v>409</x:v>
      </x:c>
      <x:c r="B45" s="122" t="s">
        <x:v>408</x:v>
      </x:c>
      <x:c r="C45" s="157"/>
      <x:c r="D45" s="158"/>
      <x:c r="E45" s="158"/>
      <x:c r="F45" s="158"/>
      <x:c r="G45" s="158"/>
      <x:c r="H45" s="197"/>
      <x:c r="I45" s="167"/>
      <x:c r="J45" s="185"/>
      <x:c r="K45" s="185"/>
      <x:c r="L45" s="185"/>
      <x:c r="M45" s="185"/>
      <x:c r="N45" s="36"/>
      <x:c r="O45" s="167"/>
      <x:c r="P45" s="185"/>
      <x:c r="Q45" s="185"/>
      <x:c r="R45" s="185"/>
      <x:c r="S45" s="185"/>
      <x:c r="T45" s="36"/>
      <x:c r="U45" s="167"/>
      <x:c r="V45" s="185"/>
      <x:c r="W45" s="185"/>
      <x:c r="X45" s="185"/>
      <x:c r="Y45" s="185"/>
      <x:c r="Z45" s="36"/>
      <x:c r="AA45" s="167"/>
      <x:c r="AB45" s="185"/>
      <x:c r="AC45" s="185"/>
      <x:c r="AD45" s="185"/>
      <x:c r="AE45" s="185"/>
      <x:c r="AF45" s="36"/>
      <x:c r="AG45" s="167"/>
      <x:c r="AH45" s="185"/>
      <x:c r="AI45" s="185"/>
      <x:c r="AJ45" s="185"/>
      <x:c r="AK45" s="185"/>
      <x:c r="AL45" s="36"/>
      <x:c r="AM45" s="157">
        <x:v>100</x:v>
      </x:c>
      <x:c r="AN45" s="158">
        <x:v>100</x:v>
      </x:c>
      <x:c r="AO45" s="158">
        <x:v>13.16</x:v>
      </x:c>
      <x:c r="AP45" s="589">
        <x:v>0</x:v>
      </x:c>
      <x:c r="AQ45" s="589">
        <x:v>0</x:v>
      </x:c>
      <x:c r="AR45" s="620" t="s">
        <x:v>1102</x:v>
      </x:c>
      <x:c r="AS45" s="175">
        <x:v>100</x:v>
      </x:c>
      <x:c r="AT45" s="158">
        <x:v>100</x:v>
      </x:c>
      <x:c r="AU45" s="158">
        <x:v>100</x:v>
      </x:c>
      <x:c r="AV45" s="158">
        <x:v>100</x:v>
      </x:c>
      <x:c r="AW45" s="158">
        <x:v>100</x:v>
      </x:c>
      <x:c r="AX45" s="585" t="s">
        <x:v>1102</x:v>
      </x:c>
      <x:c r="AY45" s="167"/>
      <x:c r="AZ45" s="185"/>
      <x:c r="BA45" s="185"/>
      <x:c r="BB45" s="185"/>
      <x:c r="BC45" s="185"/>
      <x:c r="BD45" s="36"/>
      <x:c r="BE45" s="167"/>
      <x:c r="BF45" s="185"/>
      <x:c r="BG45" s="185"/>
      <x:c r="BH45" s="185"/>
      <x:c r="BI45" s="185"/>
      <x:c r="BJ45" s="36"/>
      <x:c r="BK45" s="167"/>
      <x:c r="BL45" s="185"/>
      <x:c r="BM45" s="185"/>
      <x:c r="BN45" s="185"/>
      <x:c r="BO45" s="185"/>
      <x:c r="BP45" s="36"/>
      <x:c r="BQ45" s="167"/>
      <x:c r="BR45" s="185"/>
      <x:c r="BS45" s="185"/>
      <x:c r="BT45" s="185"/>
      <x:c r="BU45" s="185"/>
      <x:c r="BV45" s="36"/>
    </x:row>
    <x:row r="46" spans="1:74" ht="22.5" customHeight="1" x14ac:dyDescent="0.25">
      <x:c r="A46" s="97" t="s">
        <x:v>432</x:v>
      </x:c>
      <x:c r="B46" s="119" t="s">
        <x:v>431</x:v>
      </x:c>
      <x:c r="C46" s="157"/>
      <x:c r="D46" s="158"/>
      <x:c r="E46" s="158"/>
      <x:c r="F46" s="158"/>
      <x:c r="G46" s="158"/>
      <x:c r="H46" s="197"/>
      <x:c r="I46" s="167"/>
      <x:c r="J46" s="185"/>
      <x:c r="K46" s="185"/>
      <x:c r="L46" s="185"/>
      <x:c r="M46" s="185"/>
      <x:c r="N46" s="36"/>
      <x:c r="O46" s="167"/>
      <x:c r="P46" s="185"/>
      <x:c r="Q46" s="185"/>
      <x:c r="R46" s="185"/>
      <x:c r="S46" s="185"/>
      <x:c r="T46" s="36"/>
      <x:c r="U46" s="167"/>
      <x:c r="V46" s="185"/>
      <x:c r="W46" s="185"/>
      <x:c r="X46" s="185"/>
      <x:c r="Y46" s="185"/>
      <x:c r="Z46" s="36"/>
      <x:c r="AA46" s="167"/>
      <x:c r="AB46" s="185"/>
      <x:c r="AC46" s="185"/>
      <x:c r="AD46" s="185"/>
      <x:c r="AE46" s="185"/>
      <x:c r="AF46" s="36"/>
      <x:c r="AG46" s="167"/>
      <x:c r="AH46" s="185"/>
      <x:c r="AI46" s="185"/>
      <x:c r="AJ46" s="185"/>
      <x:c r="AK46" s="185"/>
      <x:c r="AL46" s="36"/>
      <x:c r="AM46" s="157">
        <x:v>100</x:v>
      </x:c>
      <x:c r="AN46" s="589">
        <x:v>0</x:v>
      </x:c>
      <x:c r="AO46" s="589">
        <x:v>0</x:v>
      </x:c>
      <x:c r="AP46" s="589">
        <x:v>0</x:v>
      </x:c>
      <x:c r="AQ46" s="589">
        <x:v>0</x:v>
      </x:c>
      <x:c r="AR46" s="620" t="s">
        <x:v>1102</x:v>
      </x:c>
      <x:c r="AS46" s="175">
        <x:v>100</x:v>
      </x:c>
      <x:c r="AT46" s="158">
        <x:v>100</x:v>
      </x:c>
      <x:c r="AU46" s="158">
        <x:v>100</x:v>
      </x:c>
      <x:c r="AV46" s="158">
        <x:v>100</x:v>
      </x:c>
      <x:c r="AW46" s="158">
        <x:v>100</x:v>
      </x:c>
      <x:c r="AX46" s="585" t="s">
        <x:v>1102</x:v>
      </x:c>
      <x:c r="AY46" s="167"/>
      <x:c r="AZ46" s="185"/>
      <x:c r="BA46" s="185"/>
      <x:c r="BB46" s="185"/>
      <x:c r="BC46" s="185"/>
      <x:c r="BD46" s="36"/>
      <x:c r="BE46" s="167"/>
      <x:c r="BF46" s="185"/>
      <x:c r="BG46" s="185"/>
      <x:c r="BH46" s="185"/>
      <x:c r="BI46" s="185"/>
      <x:c r="BJ46" s="36"/>
      <x:c r="BK46" s="167"/>
      <x:c r="BL46" s="185"/>
      <x:c r="BM46" s="185"/>
      <x:c r="BN46" s="185"/>
      <x:c r="BO46" s="185"/>
      <x:c r="BP46" s="36"/>
      <x:c r="BQ46" s="167"/>
      <x:c r="BR46" s="185"/>
      <x:c r="BS46" s="185"/>
      <x:c r="BT46" s="185"/>
      <x:c r="BU46" s="185"/>
      <x:c r="BV46" s="36"/>
    </x:row>
    <x:row r="47" spans="1:74" ht="22.5" customHeight="1" x14ac:dyDescent="0.25">
      <x:c r="A47" s="97" t="s">
        <x:v>425</x:v>
      </x:c>
      <x:c r="B47" s="122" t="s">
        <x:v>426</x:v>
      </x:c>
      <x:c r="C47" s="157"/>
      <x:c r="D47" s="158"/>
      <x:c r="E47" s="158"/>
      <x:c r="F47" s="158"/>
      <x:c r="G47" s="158"/>
      <x:c r="H47" s="197"/>
      <x:c r="I47" s="167"/>
      <x:c r="J47" s="185"/>
      <x:c r="K47" s="185"/>
      <x:c r="L47" s="185"/>
      <x:c r="M47" s="185"/>
      <x:c r="N47" s="36"/>
      <x:c r="O47" s="167"/>
      <x:c r="P47" s="185"/>
      <x:c r="Q47" s="185"/>
      <x:c r="R47" s="185"/>
      <x:c r="S47" s="185"/>
      <x:c r="T47" s="36"/>
      <x:c r="U47" s="167"/>
      <x:c r="V47" s="185"/>
      <x:c r="W47" s="185"/>
      <x:c r="X47" s="185"/>
      <x:c r="Y47" s="185"/>
      <x:c r="Z47" s="36"/>
      <x:c r="AA47" s="167"/>
      <x:c r="AB47" s="185"/>
      <x:c r="AC47" s="185"/>
      <x:c r="AD47" s="185"/>
      <x:c r="AE47" s="185"/>
      <x:c r="AF47" s="36"/>
      <x:c r="AG47" s="167"/>
      <x:c r="AH47" s="185"/>
      <x:c r="AI47" s="185"/>
      <x:c r="AJ47" s="185"/>
      <x:c r="AK47" s="185"/>
      <x:c r="AL47" s="36"/>
      <x:c r="AM47" s="157">
        <x:v>100</x:v>
      </x:c>
      <x:c r="AN47" s="158">
        <x:v>100</x:v>
      </x:c>
      <x:c r="AO47" s="589">
        <x:v>0</x:v>
      </x:c>
      <x:c r="AP47" s="589">
        <x:v>0</x:v>
      </x:c>
      <x:c r="AQ47" s="589">
        <x:v>0</x:v>
      </x:c>
      <x:c r="AR47" s="620" t="s">
        <x:v>1102</x:v>
      </x:c>
      <x:c r="AS47" s="175">
        <x:v>100</x:v>
      </x:c>
      <x:c r="AT47" s="158">
        <x:v>100</x:v>
      </x:c>
      <x:c r="AU47" s="158">
        <x:v>100</x:v>
      </x:c>
      <x:c r="AV47" s="158">
        <x:v>100</x:v>
      </x:c>
      <x:c r="AW47" s="158">
        <x:v>100</x:v>
      </x:c>
      <x:c r="AX47" s="585" t="s">
        <x:v>1102</x:v>
      </x:c>
      <x:c r="AY47" s="167"/>
      <x:c r="AZ47" s="185"/>
      <x:c r="BA47" s="185"/>
      <x:c r="BB47" s="185"/>
      <x:c r="BC47" s="185"/>
      <x:c r="BD47" s="36"/>
      <x:c r="BE47" s="167"/>
      <x:c r="BF47" s="185"/>
      <x:c r="BG47" s="185"/>
      <x:c r="BH47" s="185"/>
      <x:c r="BI47" s="185"/>
      <x:c r="BJ47" s="36"/>
      <x:c r="BK47" s="167"/>
      <x:c r="BL47" s="185"/>
      <x:c r="BM47" s="185"/>
      <x:c r="BN47" s="185"/>
      <x:c r="BO47" s="185"/>
      <x:c r="BP47" s="36"/>
      <x:c r="BQ47" s="167"/>
      <x:c r="BR47" s="185"/>
      <x:c r="BS47" s="185"/>
      <x:c r="BT47" s="185"/>
      <x:c r="BU47" s="185"/>
      <x:c r="BV47" s="36"/>
    </x:row>
    <x:row r="48" spans="1:74" ht="22.5" customHeight="1" x14ac:dyDescent="0.3">
      <x:c r="A48" s="97" t="s">
        <x:v>445</x:v>
      </x:c>
      <x:c r="B48" s="119" t="s">
        <x:v>408</x:v>
      </x:c>
      <x:c r="C48" s="157"/>
      <x:c r="D48" s="158"/>
      <x:c r="E48" s="158"/>
      <x:c r="F48" s="158"/>
      <x:c r="G48" s="158"/>
      <x:c r="H48" s="197"/>
      <x:c r="I48" s="167"/>
      <x:c r="J48" s="185"/>
      <x:c r="K48" s="185"/>
      <x:c r="L48" s="185"/>
      <x:c r="M48" s="185"/>
      <x:c r="N48" s="36"/>
      <x:c r="O48" s="167"/>
      <x:c r="P48" s="185"/>
      <x:c r="Q48" s="185"/>
      <x:c r="R48" s="185"/>
      <x:c r="S48" s="185"/>
      <x:c r="T48" s="36"/>
      <x:c r="U48" s="167"/>
      <x:c r="V48" s="185"/>
      <x:c r="W48" s="185"/>
      <x:c r="X48" s="185"/>
      <x:c r="Y48" s="185"/>
      <x:c r="Z48" s="36"/>
      <x:c r="AA48" s="167"/>
      <x:c r="AB48" s="185"/>
      <x:c r="AC48" s="185"/>
      <x:c r="AD48" s="185"/>
      <x:c r="AE48" s="185"/>
      <x:c r="AF48" s="36"/>
      <x:c r="AG48" s="167"/>
      <x:c r="AH48" s="185"/>
      <x:c r="AI48" s="185"/>
      <x:c r="AJ48" s="185"/>
      <x:c r="AK48" s="185"/>
      <x:c r="AL48" s="36"/>
      <x:c r="AM48" s="157">
        <x:v>100</x:v>
      </x:c>
      <x:c r="AN48" s="158">
        <x:v>75</x:v>
      </x:c>
      <x:c r="AO48" s="589">
        <x:v>0</x:v>
      </x:c>
      <x:c r="AP48" s="589">
        <x:v>0</x:v>
      </x:c>
      <x:c r="AQ48" s="589">
        <x:v>0</x:v>
      </x:c>
      <x:c r="AR48" s="620" t="s">
        <x:v>1102</x:v>
      </x:c>
      <x:c r="AS48" s="175">
        <x:v>100</x:v>
      </x:c>
      <x:c r="AT48" s="158">
        <x:v>100</x:v>
      </x:c>
      <x:c r="AU48" s="158">
        <x:v>100</x:v>
      </x:c>
      <x:c r="AV48" s="158">
        <x:v>100</x:v>
      </x:c>
      <x:c r="AW48" s="158">
        <x:v>100</x:v>
      </x:c>
      <x:c r="AX48" s="585" t="s">
        <x:v>1102</x:v>
      </x:c>
      <x:c r="AY48" s="167"/>
      <x:c r="AZ48" s="185"/>
      <x:c r="BA48" s="185"/>
      <x:c r="BB48" s="185"/>
      <x:c r="BC48" s="185"/>
      <x:c r="BD48" s="36"/>
      <x:c r="BE48" s="167"/>
      <x:c r="BF48" s="185"/>
      <x:c r="BG48" s="185"/>
      <x:c r="BH48" s="185"/>
      <x:c r="BI48" s="185"/>
      <x:c r="BJ48" s="36"/>
      <x:c r="BK48" s="167"/>
      <x:c r="BL48" s="185"/>
      <x:c r="BM48" s="185"/>
      <x:c r="BN48" s="185"/>
      <x:c r="BO48" s="185"/>
      <x:c r="BP48" s="36"/>
      <x:c r="BQ48" s="167"/>
      <x:c r="BR48" s="185"/>
      <x:c r="BS48" s="185"/>
      <x:c r="BT48" s="185"/>
      <x:c r="BU48" s="185"/>
      <x:c r="BV48" s="36"/>
    </x:row>
    <x:row r="49" spans="1:74" ht="22.5" customHeight="1" x14ac:dyDescent="0.25">
      <x:c r="A49" s="51" t="s">
        <x:v>430</x:v>
      </x:c>
      <x:c r="B49" s="100" t="s">
        <x:v>431</x:v>
      </x:c>
      <x:c r="C49" s="160"/>
      <x:c r="D49" s="161"/>
      <x:c r="E49" s="161"/>
      <x:c r="F49" s="161"/>
      <x:c r="G49" s="161"/>
      <x:c r="H49" s="204"/>
      <x:c r="I49" s="38"/>
      <x:c r="J49" s="39"/>
      <x:c r="K49" s="39"/>
      <x:c r="L49" s="39"/>
      <x:c r="M49" s="39"/>
      <x:c r="N49" s="42"/>
      <x:c r="O49" s="38"/>
      <x:c r="P49" s="39"/>
      <x:c r="Q49" s="39"/>
      <x:c r="R49" s="39"/>
      <x:c r="S49" s="39"/>
      <x:c r="T49" s="42"/>
      <x:c r="U49" s="38"/>
      <x:c r="V49" s="39"/>
      <x:c r="W49" s="39"/>
      <x:c r="X49" s="39"/>
      <x:c r="Y49" s="39"/>
      <x:c r="Z49" s="42"/>
      <x:c r="AA49" s="38"/>
      <x:c r="AB49" s="39"/>
      <x:c r="AC49" s="39"/>
      <x:c r="AD49" s="39"/>
      <x:c r="AE49" s="39"/>
      <x:c r="AF49" s="42"/>
      <x:c r="AG49" s="38"/>
      <x:c r="AH49" s="39"/>
      <x:c r="AI49" s="39"/>
      <x:c r="AJ49" s="39"/>
      <x:c r="AK49" s="39"/>
      <x:c r="AL49" s="42"/>
      <x:c r="AM49" s="160">
        <x:v>100</x:v>
      </x:c>
      <x:c r="AN49" s="613">
        <x:v>0</x:v>
      </x:c>
      <x:c r="AO49" s="613">
        <x:v>0</x:v>
      </x:c>
      <x:c r="AP49" s="613">
        <x:v>0</x:v>
      </x:c>
      <x:c r="AQ49" s="613">
        <x:v>0</x:v>
      </x:c>
      <x:c r="AR49" s="631" t="s">
        <x:v>1102</x:v>
      </x:c>
      <x:c r="AS49" s="160">
        <x:v>100</x:v>
      </x:c>
      <x:c r="AT49" s="161">
        <x:v>100</x:v>
      </x:c>
      <x:c r="AU49" s="161">
        <x:v>100</x:v>
      </x:c>
      <x:c r="AV49" s="161">
        <x:v>100</x:v>
      </x:c>
      <x:c r="AW49" s="161">
        <x:v>100</x:v>
      </x:c>
      <x:c r="AX49" s="594" t="s">
        <x:v>1102</x:v>
      </x:c>
      <x:c r="AY49" s="38"/>
      <x:c r="AZ49" s="39"/>
      <x:c r="BA49" s="39"/>
      <x:c r="BB49" s="39"/>
      <x:c r="BC49" s="39"/>
      <x:c r="BD49" s="42"/>
      <x:c r="BE49" s="38"/>
      <x:c r="BF49" s="39"/>
      <x:c r="BG49" s="39"/>
      <x:c r="BH49" s="39"/>
      <x:c r="BI49" s="39"/>
      <x:c r="BJ49" s="42"/>
      <x:c r="BK49" s="38"/>
      <x:c r="BL49" s="39"/>
      <x:c r="BM49" s="39"/>
      <x:c r="BN49" s="39"/>
      <x:c r="BO49" s="39"/>
      <x:c r="BP49" s="42"/>
      <x:c r="BQ49" s="38"/>
      <x:c r="BR49" s="39"/>
      <x:c r="BS49" s="39"/>
      <x:c r="BT49" s="39"/>
      <x:c r="BU49" s="39"/>
      <x:c r="BV49" s="42"/>
    </x:row>
    <x:row r="50" spans="1:74" x14ac:dyDescent="0.25">
      <x:c r="C50" s="498">
        <x:f>SUMPRODUCT((C3:C49&gt;=10)*(D3:D49&gt;=10)*(E3:E49&gt;=10)*(F3:F49&gt;=10)*(G3:G49&gt;=10))</x:f>
      </x:c>
      <x:c r="H50" s="120">
        <x:f>COUNTIF(H3:H49,"Да")</x:f>
      </x:c>
      <x:c r="I50" s="498">
        <x:f>SUMPRODUCT((I3:I49&gt;=10)*(J3:J49&gt;=10)*(K3:K49&gt;=10)*(L3:L49&gt;=10)*(M3:M49&gt;=10))</x:f>
      </x:c>
      <x:c r="N50" s="120">
        <x:f>COUNTIF(N3:N49,"Да")</x:f>
      </x:c>
      <x:c r="O50" s="498">
        <x:f>SUMPRODUCT((O3:O49&gt;=10)*(P3:P49&gt;=10)*(Q3:Q49&gt;=10)*(R3:R49&gt;=10)*(S3:S49&gt;=10))</x:f>
      </x:c>
      <x:c r="T50" s="120">
        <x:f>COUNTIF(T3:T49,"Да")</x:f>
      </x:c>
      <x:c r="U50" s="498">
        <x:f>SUMPRODUCT((U3:U49&gt;=10)*(V3:V49&gt;=10)*(W3:W49&gt;=10)*(X3:X49&gt;=10)*(Y3:Y49&gt;=10))</x:f>
      </x:c>
      <x:c r="Z50" s="120">
        <x:f>COUNTIF(Z3:Z49,"Да")</x:f>
      </x:c>
      <x:c r="AA50" s="498">
        <x:f>SUMPRODUCT((AA3:AA49&gt;=10)*(AB3:AB49&gt;=10)*(AC3:AC49&gt;=10)*(AD3:AD49&gt;=10)*(AE3:AE49&gt;=10))</x:f>
      </x:c>
      <x:c r="AF50" s="120">
        <x:f>COUNTIF(AF3:AF49,"Да")</x:f>
      </x:c>
      <x:c r="AG50" s="498">
        <x:f>SUMPRODUCT((AG3:AG49&gt;=10)*(AH3:AH49&gt;=10)*(AI3:AI49&gt;=10)*(AJ3:AJ49&gt;=10)*(AK3:AK49&gt;=10))</x:f>
      </x:c>
      <x:c r="AL50" s="120">
        <x:f>COUNTIF(AL3:AL49,"Да")</x:f>
      </x:c>
      <x:c r="AM50" s="498">
        <x:f>SUMPRODUCT((AM3:AM49&gt;=10)*(AN3:AN49&gt;=10)*(AO3:AO49&gt;=10)*(AP3:AP49&gt;=10)*(AQ3:AQ49&gt;=10))</x:f>
      </x:c>
      <x:c r="AR50" s="120">
        <x:f>COUNTIF(AR3:AR49,"Да")</x:f>
      </x:c>
      <x:c r="AS50" s="498">
        <x:f>SUMPRODUCT((AS3:AS49&gt;=10)*(AT3:AT49&gt;=10)*(AU3:AU49&gt;=10)*(AV3:AV49&gt;=10)*(AW3:AW49&gt;=10))</x:f>
      </x:c>
      <x:c r="AX50" s="120">
        <x:f>COUNTIF(AX3:AX49,"Да")</x:f>
      </x:c>
      <x:c r="AY50" s="498">
        <x:f>SUMPRODUCT((AY3:AY49&gt;=10)*(AZ3:AZ49&gt;=10)*(BA3:BA49&gt;=10)*(BB3:BB49&gt;=10)*(BC3:BC49&gt;=10))</x:f>
      </x:c>
      <x:c r="BD50" s="120">
        <x:f>COUNTIF(BD3:BD49,"Да")</x:f>
      </x:c>
      <x:c r="BE50" s="498">
        <x:f>SUMPRODUCT((BE3:BE49&gt;=10)*(BF3:BF49&gt;=10)*(BG3:BG49&gt;=10)*(BH3:BH49&gt;=10)*(BI3:BI49&gt;=10))</x:f>
      </x:c>
      <x:c r="BJ50" s="120">
        <x:f>COUNTIF(BJ3:BJ49,"Да")</x:f>
      </x:c>
      <x:c r="BK50" s="498">
        <x:f>SUMPRODUCT((BK3:BK49&gt;=10)*(BL3:BL49&gt;=10)*(BM3:BM49&gt;=10)*(BN3:BN49&gt;=10)*(BO3:BO49&gt;=10))</x:f>
      </x:c>
      <x:c r="BP50" s="120">
        <x:f>COUNTIF(BP3:BP49,"Да")</x:f>
      </x:c>
      <x:c r="BQ50" s="498">
        <x:f>SUMPRODUCT((BQ3:BQ49&gt;=10)*(BR3:BR49&gt;=10)*(BS3:BS49&gt;=10)*(BT3:BT49&gt;=10)*(BU3:BU49&gt;=10))</x:f>
      </x:c>
      <x:c r="BV50" s="120">
        <x:f>COUNTIF(BV3:BV49,"Да")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50:G50"/>
    <x:mergeCell ref="I50:M50"/>
    <x:mergeCell ref="O50:S50"/>
    <x:mergeCell ref="U50:Y50"/>
    <x:mergeCell ref="AA50:AE50"/>
    <x:mergeCell ref="AG50:AK50"/>
    <x:mergeCell ref="AM50:AQ50"/>
    <x:mergeCell ref="AS50:AW50"/>
    <x:mergeCell ref="AY50:BC50"/>
    <x:mergeCell ref="BE50:BI50"/>
    <x:mergeCell ref="BK50:BO50"/>
    <x:mergeCell ref="BQ50:BU50"/>
  </x:mergeCells>
  <x:conditionalFormatting sqref="C3:BV49">
    <x:cfRule type="containsBlanks" dxfId="8" priority="1">
      <x:formula>LEN(TRIM(C3))=0</x:formula>
    </x:cfRule>
    <x:cfRule type="expression" priority="11" stopIfTrue="1" operator="equal">
      <x:formula>LEN(TRIM(C3&amp;""))=0</x:formula>
    </x:cfRule>
  </x:conditionalFormatting>
  <x:conditionalFormatting sqref="A49:A55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conditionalFormatting sqref="A3:A48">
    <x:cfRule type="duplicateValues" dxfId="0" priority="8"/>
    <x:cfRule type="duplicateValues" dxfId="0" priority="9"/>
    <x:cfRule type="duplicateValues" dxfId="0" priority="10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outlinePr summaryBelow="1" summaryRight="1"/>
  </x:sheetPr>
  <x:dimension ref="A1:BV22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28.570312" style="0" customWidth="1"/>
    <x:col min="2" max="2" width="31.285156" style="0" customWidth="1"/>
    <x:col min="3" max="7" width="9.140625" style="0" customWidth="1"/>
    <x:col min="8" max="8" width="10.285156" style="0" customWidth="1"/>
    <x:col min="9" max="13" width="9.140625" style="0" customWidth="1"/>
    <x:col min="14" max="14" width="10.570312" style="0" customWidth="1"/>
    <x:col min="15" max="19" width="9.140625" style="0" customWidth="1"/>
    <x:col min="20" max="20" width="9.710938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570312" style="0" customWidth="1"/>
    <x:col min="39" max="43" width="9.140625" style="0" customWidth="1"/>
    <x:col min="44" max="44" width="9.855469" style="0" customWidth="1"/>
    <x:col min="45" max="49" width="9.140625" style="0" customWidth="1"/>
    <x:col min="50" max="50" width="10.285156" style="0" customWidth="1"/>
    <x:col min="51" max="55" width="9.140625" style="0" customWidth="1"/>
    <x:col min="56" max="56" width="9.710938" style="0" customWidth="1"/>
    <x:col min="57" max="61" width="9.140625" style="0" customWidth="1"/>
    <x:col min="62" max="62" width="10" style="0" customWidth="1"/>
    <x:col min="63" max="67" width="9.140625" style="0" customWidth="1"/>
    <x:col min="68" max="68" width="10.285156" style="0" customWidth="1"/>
    <x:col min="69" max="73" width="9.140625" style="0" customWidth="1"/>
    <x:col min="74" max="74" width="10" style="0" customWidth="1"/>
  </x:cols>
  <x:sheetData>
    <x:row r="1" spans="1:74" ht="28.5" customHeight="1" x14ac:dyDescent="0.3">
      <x:c r="A1" s="22" t="s">
        <x:v>1141</x:v>
      </x:c>
      <x:c r="B1" s="507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4" customHeight="1" x14ac:dyDescent="0.3">
      <x:c r="A2" s="23" t="s">
        <x:v>1100</x:v>
      </x:c>
      <x:c r="B2" s="497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7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2.5" customHeight="1" x14ac:dyDescent="0.25">
      <x:c r="A3" s="95" t="s">
        <x:v>1029</x:v>
      </x:c>
      <x:c r="B3" s="96" t="s">
        <x:v>1030</x:v>
      </x:c>
      <x:c r="C3" s="201">
        <x:v>100</x:v>
      </x:c>
      <x:c r="D3" s="202">
        <x:v>100</x:v>
      </x:c>
      <x:c r="E3" s="202">
        <x:v>97</x:v>
      </x:c>
      <x:c r="F3" s="202">
        <x:v>96</x:v>
      </x:c>
      <x:c r="G3" s="640">
        <x:v>0</x:v>
      </x:c>
      <x:c r="H3" s="627" t="s">
        <x:v>1102</x:v>
      </x:c>
      <x:c r="I3" s="54"/>
      <x:c r="J3" s="55"/>
      <x:c r="K3" s="55"/>
      <x:c r="L3" s="55"/>
      <x:c r="M3" s="55"/>
      <x:c r="N3" s="56"/>
      <x:c r="O3" s="54"/>
      <x:c r="P3" s="55"/>
      <x:c r="Q3" s="55"/>
      <x:c r="R3" s="55"/>
      <x:c r="S3" s="55"/>
      <x:c r="T3" s="56"/>
      <x:c r="U3" s="54"/>
      <x:c r="V3" s="55"/>
      <x:c r="W3" s="55"/>
      <x:c r="X3" s="55"/>
      <x:c r="Y3" s="55"/>
      <x:c r="Z3" s="56"/>
      <x:c r="AA3" s="54"/>
      <x:c r="AB3" s="55"/>
      <x:c r="AC3" s="55"/>
      <x:c r="AD3" s="55"/>
      <x:c r="AE3" s="55"/>
      <x:c r="AF3" s="56"/>
      <x:c r="AG3" s="54"/>
      <x:c r="AH3" s="55"/>
      <x:c r="AI3" s="55"/>
      <x:c r="AJ3" s="55"/>
      <x:c r="AK3" s="55"/>
      <x:c r="AL3" s="56"/>
      <x:c r="AM3" s="201">
        <x:v>100</x:v>
      </x:c>
      <x:c r="AN3" s="202">
        <x:v>100</x:v>
      </x:c>
      <x:c r="AO3" s="202">
        <x:v>97</x:v>
      </x:c>
      <x:c r="AP3" s="202">
        <x:v>96</x:v>
      </x:c>
      <x:c r="AQ3" s="640">
        <x:v>0</x:v>
      </x:c>
      <x:c r="AR3" s="627" t="s">
        <x:v>1102</x:v>
      </x:c>
      <x:c r="AS3" s="201">
        <x:v>100</x:v>
      </x:c>
      <x:c r="AT3" s="202">
        <x:v>100</x:v>
      </x:c>
      <x:c r="AU3" s="202">
        <x:v>100</x:v>
      </x:c>
      <x:c r="AV3" s="202">
        <x:v>100</x:v>
      </x:c>
      <x:c r="AW3" s="202">
        <x:v>100</x:v>
      </x:c>
      <x:c r="AX3" s="628" t="s">
        <x:v>1102</x:v>
      </x:c>
      <x:c r="AY3" s="54"/>
      <x:c r="AZ3" s="55"/>
      <x:c r="BA3" s="55"/>
      <x:c r="BB3" s="55"/>
      <x:c r="BC3" s="55"/>
      <x:c r="BD3" s="56"/>
      <x:c r="BE3" s="54"/>
      <x:c r="BF3" s="55"/>
      <x:c r="BG3" s="55"/>
      <x:c r="BH3" s="55"/>
      <x:c r="BI3" s="55"/>
      <x:c r="BJ3" s="56"/>
      <x:c r="BK3" s="54"/>
      <x:c r="BL3" s="55"/>
      <x:c r="BM3" s="55"/>
      <x:c r="BN3" s="55"/>
      <x:c r="BO3" s="55"/>
      <x:c r="BP3" s="56"/>
      <x:c r="BQ3" s="54"/>
      <x:c r="BR3" s="55"/>
      <x:c r="BS3" s="55"/>
      <x:c r="BT3" s="55"/>
      <x:c r="BU3" s="55"/>
      <x:c r="BV3" s="56"/>
    </x:row>
    <x:row r="4" spans="1:74" ht="22.5" customHeight="1" x14ac:dyDescent="0.25">
      <x:c r="A4" s="97" t="s">
        <x:v>1034</x:v>
      </x:c>
      <x:c r="B4" s="122" t="s">
        <x:v>1032</x:v>
      </x:c>
      <x:c r="C4" s="157">
        <x:v>100</x:v>
      </x:c>
      <x:c r="D4" s="158">
        <x:v>100</x:v>
      </x:c>
      <x:c r="E4" s="158">
        <x:v>100</x:v>
      </x:c>
      <x:c r="F4" s="158">
        <x:v>100</x:v>
      </x:c>
      <x:c r="G4" s="589">
        <x:v>0</x:v>
      </x:c>
      <x:c r="H4" s="620" t="s">
        <x:v>1102</x:v>
      </x:c>
      <x:c r="I4" s="167"/>
      <x:c r="J4" s="185"/>
      <x:c r="K4" s="185"/>
      <x:c r="L4" s="185"/>
      <x:c r="M4" s="185"/>
      <x:c r="N4" s="36"/>
      <x:c r="O4" s="167"/>
      <x:c r="P4" s="185"/>
      <x:c r="Q4" s="185"/>
      <x:c r="R4" s="185"/>
      <x:c r="S4" s="185"/>
      <x:c r="T4" s="36"/>
      <x:c r="U4" s="167"/>
      <x:c r="V4" s="185"/>
      <x:c r="W4" s="185"/>
      <x:c r="X4" s="185"/>
      <x:c r="Y4" s="185"/>
      <x:c r="Z4" s="36"/>
      <x:c r="AA4" s="167"/>
      <x:c r="AB4" s="185"/>
      <x:c r="AC4" s="185"/>
      <x:c r="AD4" s="185"/>
      <x:c r="AE4" s="185"/>
      <x:c r="AF4" s="36"/>
      <x:c r="AG4" s="167"/>
      <x:c r="AH4" s="185"/>
      <x:c r="AI4" s="185"/>
      <x:c r="AJ4" s="185"/>
      <x:c r="AK4" s="185"/>
      <x:c r="AL4" s="36"/>
      <x:c r="AM4" s="157">
        <x:v>100</x:v>
      </x:c>
      <x:c r="AN4" s="158">
        <x:v>100</x:v>
      </x:c>
      <x:c r="AO4" s="158">
        <x:v>100</x:v>
      </x:c>
      <x:c r="AP4" s="158">
        <x:v>100</x:v>
      </x:c>
      <x:c r="AQ4" s="589">
        <x:v>0</x:v>
      </x:c>
      <x:c r="AR4" s="620" t="s">
        <x:v>1102</x:v>
      </x:c>
      <x:c r="AS4" s="175">
        <x:v>100</x:v>
      </x:c>
      <x:c r="AT4" s="158">
        <x:v>100</x:v>
      </x:c>
      <x:c r="AU4" s="158">
        <x:v>100</x:v>
      </x:c>
      <x:c r="AV4" s="158">
        <x:v>100</x:v>
      </x:c>
      <x:c r="AW4" s="158">
        <x:v>100</x:v>
      </x:c>
      <x:c r="AX4" s="585" t="s">
        <x:v>1102</x:v>
      </x:c>
      <x:c r="AY4" s="167"/>
      <x:c r="AZ4" s="185"/>
      <x:c r="BA4" s="185"/>
      <x:c r="BB4" s="185"/>
      <x:c r="BC4" s="185"/>
      <x:c r="BD4" s="36"/>
      <x:c r="BE4" s="167"/>
      <x:c r="BF4" s="185"/>
      <x:c r="BG4" s="185"/>
      <x:c r="BH4" s="185"/>
      <x:c r="BI4" s="185"/>
      <x:c r="BJ4" s="36"/>
      <x:c r="BK4" s="167"/>
      <x:c r="BL4" s="185"/>
      <x:c r="BM4" s="185"/>
      <x:c r="BN4" s="185"/>
      <x:c r="BO4" s="185"/>
      <x:c r="BP4" s="36"/>
      <x:c r="BQ4" s="167"/>
      <x:c r="BR4" s="185"/>
      <x:c r="BS4" s="185"/>
      <x:c r="BT4" s="185"/>
      <x:c r="BU4" s="185"/>
      <x:c r="BV4" s="36"/>
    </x:row>
    <x:row r="5" spans="1:74" ht="22.5" customHeight="1" x14ac:dyDescent="0.25">
      <x:c r="A5" s="619" t="s">
        <x:v>1040</x:v>
      </x:c>
      <x:c r="B5" s="122" t="s">
        <x:v>1039</x:v>
      </x:c>
      <x:c r="C5" s="588">
        <x:v>0</x:v>
      </x:c>
      <x:c r="D5" s="589">
        <x:v>0</x:v>
      </x:c>
      <x:c r="E5" s="589">
        <x:v>0</x:v>
      </x:c>
      <x:c r="F5" s="589">
        <x:v>0</x:v>
      </x:c>
      <x:c r="G5" s="589">
        <x:v>0</x:v>
      </x:c>
      <x:c r="H5" s="591" t="s">
        <x:v>1103</x:v>
      </x:c>
      <x:c r="I5" s="167"/>
      <x:c r="J5" s="185"/>
      <x:c r="K5" s="185"/>
      <x:c r="L5" s="185"/>
      <x:c r="M5" s="185"/>
      <x:c r="N5" s="36"/>
      <x:c r="O5" s="167"/>
      <x:c r="P5" s="185"/>
      <x:c r="Q5" s="185"/>
      <x:c r="R5" s="185"/>
      <x:c r="S5" s="185"/>
      <x:c r="T5" s="36"/>
      <x:c r="U5" s="167"/>
      <x:c r="V5" s="185"/>
      <x:c r="W5" s="185"/>
      <x:c r="X5" s="185"/>
      <x:c r="Y5" s="185"/>
      <x:c r="Z5" s="36"/>
      <x:c r="AA5" s="167"/>
      <x:c r="AB5" s="185"/>
      <x:c r="AC5" s="185"/>
      <x:c r="AD5" s="185"/>
      <x:c r="AE5" s="185"/>
      <x:c r="AF5" s="36"/>
      <x:c r="AG5" s="167"/>
      <x:c r="AH5" s="185"/>
      <x:c r="AI5" s="185"/>
      <x:c r="AJ5" s="185"/>
      <x:c r="AK5" s="185"/>
      <x:c r="AL5" s="36"/>
      <x:c r="AM5" s="588">
        <x:v>0</x:v>
      </x:c>
      <x:c r="AN5" s="589">
        <x:v>0</x:v>
      </x:c>
      <x:c r="AO5" s="589">
        <x:v>0</x:v>
      </x:c>
      <x:c r="AP5" s="589">
        <x:v>0</x:v>
      </x:c>
      <x:c r="AQ5" s="589">
        <x:v>0</x:v>
      </x:c>
      <x:c r="AR5" s="591" t="s">
        <x:v>1103</x:v>
      </x:c>
      <x:c r="AS5" s="175">
        <x:v>100</x:v>
      </x:c>
      <x:c r="AT5" s="158">
        <x:v>100</x:v>
      </x:c>
      <x:c r="AU5" s="158">
        <x:v>100</x:v>
      </x:c>
      <x:c r="AV5" s="158">
        <x:v>100</x:v>
      </x:c>
      <x:c r="AW5" s="600">
        <x:v>0</x:v>
      </x:c>
      <x:c r="AX5" s="585" t="s">
        <x:v>1102</x:v>
      </x:c>
      <x:c r="AY5" s="167"/>
      <x:c r="AZ5" s="185"/>
      <x:c r="BA5" s="185"/>
      <x:c r="BB5" s="185"/>
      <x:c r="BC5" s="185"/>
      <x:c r="BD5" s="36"/>
      <x:c r="BE5" s="167"/>
      <x:c r="BF5" s="185"/>
      <x:c r="BG5" s="185"/>
      <x:c r="BH5" s="185"/>
      <x:c r="BI5" s="185"/>
      <x:c r="BJ5" s="36"/>
      <x:c r="BK5" s="167"/>
      <x:c r="BL5" s="185"/>
      <x:c r="BM5" s="185"/>
      <x:c r="BN5" s="185"/>
      <x:c r="BO5" s="185"/>
      <x:c r="BP5" s="36"/>
      <x:c r="BQ5" s="167"/>
      <x:c r="BR5" s="185"/>
      <x:c r="BS5" s="185"/>
      <x:c r="BT5" s="185"/>
      <x:c r="BU5" s="185"/>
      <x:c r="BV5" s="36"/>
    </x:row>
    <x:row r="6" spans="1:74" ht="33.75" customHeight="1" x14ac:dyDescent="0.25">
      <x:c r="A6" s="97" t="s">
        <x:v>1024</x:v>
      </x:c>
      <x:c r="B6" s="122" t="s">
        <x:v>1025</x:v>
      </x:c>
      <x:c r="C6" s="157">
        <x:v>100</x:v>
      </x:c>
      <x:c r="D6" s="158">
        <x:v>97</x:v>
      </x:c>
      <x:c r="E6" s="158">
        <x:v>94</x:v>
      </x:c>
      <x:c r="F6" s="158">
        <x:v>77</x:v>
      </x:c>
      <x:c r="G6" s="589">
        <x:v>0</x:v>
      </x:c>
      <x:c r="H6" s="620" t="s">
        <x:v>1102</x:v>
      </x:c>
      <x:c r="I6" s="167"/>
      <x:c r="J6" s="185"/>
      <x:c r="K6" s="185"/>
      <x:c r="L6" s="185"/>
      <x:c r="M6" s="185"/>
      <x:c r="N6" s="36"/>
      <x:c r="O6" s="167"/>
      <x:c r="P6" s="185"/>
      <x:c r="Q6" s="185"/>
      <x:c r="R6" s="185"/>
      <x:c r="S6" s="185"/>
      <x:c r="T6" s="36"/>
      <x:c r="U6" s="167"/>
      <x:c r="V6" s="185"/>
      <x:c r="W6" s="185"/>
      <x:c r="X6" s="185"/>
      <x:c r="Y6" s="185"/>
      <x:c r="Z6" s="36"/>
      <x:c r="AA6" s="167"/>
      <x:c r="AB6" s="185"/>
      <x:c r="AC6" s="185"/>
      <x:c r="AD6" s="185"/>
      <x:c r="AE6" s="185"/>
      <x:c r="AF6" s="36"/>
      <x:c r="AG6" s="167"/>
      <x:c r="AH6" s="185"/>
      <x:c r="AI6" s="185"/>
      <x:c r="AJ6" s="185"/>
      <x:c r="AK6" s="185"/>
      <x:c r="AL6" s="36"/>
      <x:c r="AM6" s="157">
        <x:v>100</x:v>
      </x:c>
      <x:c r="AN6" s="158">
        <x:v>97</x:v>
      </x:c>
      <x:c r="AO6" s="158">
        <x:v>94</x:v>
      </x:c>
      <x:c r="AP6" s="158">
        <x:v>77</x:v>
      </x:c>
      <x:c r="AQ6" s="589">
        <x:v>0</x:v>
      </x:c>
      <x:c r="AR6" s="620" t="s">
        <x:v>1102</x:v>
      </x:c>
      <x:c r="AS6" s="175">
        <x:v>100</x:v>
      </x:c>
      <x:c r="AT6" s="158">
        <x:v>98</x:v>
      </x:c>
      <x:c r="AU6" s="158">
        <x:v>93</x:v>
      </x:c>
      <x:c r="AV6" s="600">
        <x:v>0</x:v>
      </x:c>
      <x:c r="AW6" s="600">
        <x:v>0</x:v>
      </x:c>
      <x:c r="AX6" s="585" t="s">
        <x:v>1102</x:v>
      </x:c>
      <x:c r="AY6" s="167"/>
      <x:c r="AZ6" s="185"/>
      <x:c r="BA6" s="185"/>
      <x:c r="BB6" s="185"/>
      <x:c r="BC6" s="185"/>
      <x:c r="BD6" s="36"/>
      <x:c r="BE6" s="167"/>
      <x:c r="BF6" s="185"/>
      <x:c r="BG6" s="185"/>
      <x:c r="BH6" s="185"/>
      <x:c r="BI6" s="185"/>
      <x:c r="BJ6" s="36"/>
      <x:c r="BK6" s="167"/>
      <x:c r="BL6" s="185"/>
      <x:c r="BM6" s="185"/>
      <x:c r="BN6" s="185"/>
      <x:c r="BO6" s="185"/>
      <x:c r="BP6" s="36"/>
      <x:c r="BQ6" s="167"/>
      <x:c r="BR6" s="185"/>
      <x:c r="BS6" s="185"/>
      <x:c r="BT6" s="185"/>
      <x:c r="BU6" s="185"/>
      <x:c r="BV6" s="36"/>
    </x:row>
    <x:row r="7" spans="1:74" ht="22.5" customHeight="1" x14ac:dyDescent="0.25">
      <x:c r="A7" s="97" t="s">
        <x:v>1017</x:v>
      </x:c>
      <x:c r="B7" s="122" t="s">
        <x:v>1019</x:v>
      </x:c>
      <x:c r="C7" s="157">
        <x:v>100</x:v>
      </x:c>
      <x:c r="D7" s="158">
        <x:v>100</x:v>
      </x:c>
      <x:c r="E7" s="158">
        <x:v>100</x:v>
      </x:c>
      <x:c r="F7" s="158">
        <x:v>97</x:v>
      </x:c>
      <x:c r="G7" s="589">
        <x:v>0</x:v>
      </x:c>
      <x:c r="H7" s="620" t="s">
        <x:v>1102</x:v>
      </x:c>
      <x:c r="I7" s="167"/>
      <x:c r="J7" s="185"/>
      <x:c r="K7" s="185"/>
      <x:c r="L7" s="185"/>
      <x:c r="M7" s="185"/>
      <x:c r="N7" s="36"/>
      <x:c r="O7" s="167"/>
      <x:c r="P7" s="185"/>
      <x:c r="Q7" s="185"/>
      <x:c r="R7" s="185"/>
      <x:c r="S7" s="185"/>
      <x:c r="T7" s="36"/>
      <x:c r="U7" s="167"/>
      <x:c r="V7" s="185"/>
      <x:c r="W7" s="185"/>
      <x:c r="X7" s="185"/>
      <x:c r="Y7" s="185"/>
      <x:c r="Z7" s="36"/>
      <x:c r="AA7" s="167"/>
      <x:c r="AB7" s="185"/>
      <x:c r="AC7" s="185"/>
      <x:c r="AD7" s="185"/>
      <x:c r="AE7" s="185"/>
      <x:c r="AF7" s="36"/>
      <x:c r="AG7" s="167"/>
      <x:c r="AH7" s="185"/>
      <x:c r="AI7" s="185"/>
      <x:c r="AJ7" s="185"/>
      <x:c r="AK7" s="185"/>
      <x:c r="AL7" s="36"/>
      <x:c r="AM7" s="157">
        <x:v>100</x:v>
      </x:c>
      <x:c r="AN7" s="158">
        <x:v>100</x:v>
      </x:c>
      <x:c r="AO7" s="158">
        <x:v>100</x:v>
      </x:c>
      <x:c r="AP7" s="158">
        <x:v>97</x:v>
      </x:c>
      <x:c r="AQ7" s="589">
        <x:v>0</x:v>
      </x:c>
      <x:c r="AR7" s="620" t="s">
        <x:v>1102</x:v>
      </x:c>
      <x:c r="AS7" s="175">
        <x:v>100</x:v>
      </x:c>
      <x:c r="AT7" s="158">
        <x:v>100</x:v>
      </x:c>
      <x:c r="AU7" s="158">
        <x:v>100</x:v>
      </x:c>
      <x:c r="AV7" s="158">
        <x:v>100</x:v>
      </x:c>
      <x:c r="AW7" s="600">
        <x:v>0</x:v>
      </x:c>
      <x:c r="AX7" s="585" t="s">
        <x:v>1102</x:v>
      </x:c>
      <x:c r="AY7" s="167"/>
      <x:c r="AZ7" s="185"/>
      <x:c r="BA7" s="185"/>
      <x:c r="BB7" s="185"/>
      <x:c r="BC7" s="185"/>
      <x:c r="BD7" s="36"/>
      <x:c r="BE7" s="167"/>
      <x:c r="BF7" s="185"/>
      <x:c r="BG7" s="185"/>
      <x:c r="BH7" s="185"/>
      <x:c r="BI7" s="185"/>
      <x:c r="BJ7" s="36"/>
      <x:c r="BK7" s="167"/>
      <x:c r="BL7" s="185"/>
      <x:c r="BM7" s="185"/>
      <x:c r="BN7" s="185"/>
      <x:c r="BO7" s="185"/>
      <x:c r="BP7" s="36"/>
      <x:c r="BQ7" s="167"/>
      <x:c r="BR7" s="185"/>
      <x:c r="BS7" s="185"/>
      <x:c r="BT7" s="185"/>
      <x:c r="BU7" s="185"/>
      <x:c r="BV7" s="36"/>
    </x:row>
    <x:row r="8" spans="1:74" ht="22.5" customHeight="1" x14ac:dyDescent="0.25">
      <x:c r="A8" s="619" t="s">
        <x:v>1043</x:v>
      </x:c>
      <x:c r="B8" s="122" t="s">
        <x:v>1044</x:v>
      </x:c>
      <x:c r="C8" s="588">
        <x:v>0</x:v>
      </x:c>
      <x:c r="D8" s="589">
        <x:v>0</x:v>
      </x:c>
      <x:c r="E8" s="589">
        <x:v>0</x:v>
      </x:c>
      <x:c r="F8" s="589">
        <x:v>0</x:v>
      </x:c>
      <x:c r="G8" s="589">
        <x:v>0</x:v>
      </x:c>
      <x:c r="H8" s="591" t="s">
        <x:v>1103</x:v>
      </x:c>
      <x:c r="I8" s="167"/>
      <x:c r="J8" s="185"/>
      <x:c r="K8" s="185"/>
      <x:c r="L8" s="185"/>
      <x:c r="M8" s="185"/>
      <x:c r="N8" s="36"/>
      <x:c r="O8" s="167"/>
      <x:c r="P8" s="185"/>
      <x:c r="Q8" s="185"/>
      <x:c r="R8" s="185"/>
      <x:c r="S8" s="185"/>
      <x:c r="T8" s="36"/>
      <x:c r="U8" s="167"/>
      <x:c r="V8" s="185"/>
      <x:c r="W8" s="185"/>
      <x:c r="X8" s="185"/>
      <x:c r="Y8" s="185"/>
      <x:c r="Z8" s="36"/>
      <x:c r="AA8" s="167"/>
      <x:c r="AB8" s="185"/>
      <x:c r="AC8" s="185"/>
      <x:c r="AD8" s="185"/>
      <x:c r="AE8" s="185"/>
      <x:c r="AF8" s="36"/>
      <x:c r="AG8" s="167"/>
      <x:c r="AH8" s="185"/>
      <x:c r="AI8" s="185"/>
      <x:c r="AJ8" s="185"/>
      <x:c r="AK8" s="185"/>
      <x:c r="AL8" s="36"/>
      <x:c r="AM8" s="588">
        <x:v>0</x:v>
      </x:c>
      <x:c r="AN8" s="589">
        <x:v>0</x:v>
      </x:c>
      <x:c r="AO8" s="589">
        <x:v>0</x:v>
      </x:c>
      <x:c r="AP8" s="589">
        <x:v>0</x:v>
      </x:c>
      <x:c r="AQ8" s="589">
        <x:v>0</x:v>
      </x:c>
      <x:c r="AR8" s="591" t="s">
        <x:v>1103</x:v>
      </x:c>
      <x:c r="AS8" s="175">
        <x:v>100</x:v>
      </x:c>
      <x:c r="AT8" s="158">
        <x:v>100</x:v>
      </x:c>
      <x:c r="AU8" s="158">
        <x:v>100</x:v>
      </x:c>
      <x:c r="AV8" s="600">
        <x:v>0</x:v>
      </x:c>
      <x:c r="AW8" s="600">
        <x:v>0</x:v>
      </x:c>
      <x:c r="AX8" s="585" t="s">
        <x:v>1102</x:v>
      </x:c>
      <x:c r="AY8" s="167"/>
      <x:c r="AZ8" s="185"/>
      <x:c r="BA8" s="185"/>
      <x:c r="BB8" s="185"/>
      <x:c r="BC8" s="185"/>
      <x:c r="BD8" s="36"/>
      <x:c r="BE8" s="167"/>
      <x:c r="BF8" s="185"/>
      <x:c r="BG8" s="185"/>
      <x:c r="BH8" s="185"/>
      <x:c r="BI8" s="185"/>
      <x:c r="BJ8" s="36"/>
      <x:c r="BK8" s="167"/>
      <x:c r="BL8" s="185"/>
      <x:c r="BM8" s="185"/>
      <x:c r="BN8" s="185"/>
      <x:c r="BO8" s="185"/>
      <x:c r="BP8" s="36"/>
      <x:c r="BQ8" s="167"/>
      <x:c r="BR8" s="185"/>
      <x:c r="BS8" s="185"/>
      <x:c r="BT8" s="185"/>
      <x:c r="BU8" s="185"/>
      <x:c r="BV8" s="36"/>
    </x:row>
    <x:row r="9" spans="1:74" ht="22.5" customHeight="1" x14ac:dyDescent="0.25">
      <x:c r="A9" s="97" t="s">
        <x:v>1028</x:v>
      </x:c>
      <x:c r="B9" s="122" t="s">
        <x:v>1025</x:v>
      </x:c>
      <x:c r="C9" s="157">
        <x:v>100</x:v>
      </x:c>
      <x:c r="D9" s="158">
        <x:v>100</x:v>
      </x:c>
      <x:c r="E9" s="158">
        <x:v>100</x:v>
      </x:c>
      <x:c r="F9" s="158">
        <x:v>99</x:v>
      </x:c>
      <x:c r="G9" s="589">
        <x:v>0</x:v>
      </x:c>
      <x:c r="H9" s="620" t="s">
        <x:v>1102</x:v>
      </x:c>
      <x:c r="I9" s="167"/>
      <x:c r="J9" s="185"/>
      <x:c r="K9" s="185"/>
      <x:c r="L9" s="185"/>
      <x:c r="M9" s="185"/>
      <x:c r="N9" s="36"/>
      <x:c r="O9" s="167"/>
      <x:c r="P9" s="185"/>
      <x:c r="Q9" s="185"/>
      <x:c r="R9" s="185"/>
      <x:c r="S9" s="185"/>
      <x:c r="T9" s="36"/>
      <x:c r="U9" s="167"/>
      <x:c r="V9" s="185"/>
      <x:c r="W9" s="185"/>
      <x:c r="X9" s="185"/>
      <x:c r="Y9" s="185"/>
      <x:c r="Z9" s="36"/>
      <x:c r="AA9" s="167"/>
      <x:c r="AB9" s="185"/>
      <x:c r="AC9" s="185"/>
      <x:c r="AD9" s="185"/>
      <x:c r="AE9" s="185"/>
      <x:c r="AF9" s="36"/>
      <x:c r="AG9" s="167"/>
      <x:c r="AH9" s="185"/>
      <x:c r="AI9" s="185"/>
      <x:c r="AJ9" s="185"/>
      <x:c r="AK9" s="185"/>
      <x:c r="AL9" s="36"/>
      <x:c r="AM9" s="157">
        <x:v>100</x:v>
      </x:c>
      <x:c r="AN9" s="158">
        <x:v>100</x:v>
      </x:c>
      <x:c r="AO9" s="158">
        <x:v>100</x:v>
      </x:c>
      <x:c r="AP9" s="158">
        <x:v>99</x:v>
      </x:c>
      <x:c r="AQ9" s="589">
        <x:v>0</x:v>
      </x:c>
      <x:c r="AR9" s="620" t="s">
        <x:v>1102</x:v>
      </x:c>
      <x:c r="AS9" s="175">
        <x:v>100</x:v>
      </x:c>
      <x:c r="AT9" s="158">
        <x:v>96</x:v>
      </x:c>
      <x:c r="AU9" s="158">
        <x:v>93</x:v>
      </x:c>
      <x:c r="AV9" s="600">
        <x:v>0</x:v>
      </x:c>
      <x:c r="AW9" s="600">
        <x:v>0</x:v>
      </x:c>
      <x:c r="AX9" s="585" t="s">
        <x:v>1102</x:v>
      </x:c>
      <x:c r="AY9" s="167"/>
      <x:c r="AZ9" s="185"/>
      <x:c r="BA9" s="185"/>
      <x:c r="BB9" s="185"/>
      <x:c r="BC9" s="185"/>
      <x:c r="BD9" s="36"/>
      <x:c r="BE9" s="167"/>
      <x:c r="BF9" s="185"/>
      <x:c r="BG9" s="185"/>
      <x:c r="BH9" s="185"/>
      <x:c r="BI9" s="185"/>
      <x:c r="BJ9" s="36"/>
      <x:c r="BK9" s="167"/>
      <x:c r="BL9" s="185"/>
      <x:c r="BM9" s="185"/>
      <x:c r="BN9" s="185"/>
      <x:c r="BO9" s="185"/>
      <x:c r="BP9" s="36"/>
      <x:c r="BQ9" s="167"/>
      <x:c r="BR9" s="185"/>
      <x:c r="BS9" s="185"/>
      <x:c r="BT9" s="185"/>
      <x:c r="BU9" s="185"/>
      <x:c r="BV9" s="36"/>
    </x:row>
    <x:row r="10" spans="1:74" ht="22.5" customHeight="1" x14ac:dyDescent="0.25">
      <x:c r="A10" s="97" t="s">
        <x:v>1020</x:v>
      </x:c>
      <x:c r="B10" s="122" t="s">
        <x:v>1019</x:v>
      </x:c>
      <x:c r="C10" s="157">
        <x:v>100</x:v>
      </x:c>
      <x:c r="D10" s="158">
        <x:v>100</x:v>
      </x:c>
      <x:c r="E10" s="158">
        <x:v>100</x:v>
      </x:c>
      <x:c r="F10" s="158">
        <x:v>100</x:v>
      </x:c>
      <x:c r="G10" s="589">
        <x:v>0</x:v>
      </x:c>
      <x:c r="H10" s="620" t="s">
        <x:v>1102</x:v>
      </x:c>
      <x:c r="I10" s="167"/>
      <x:c r="J10" s="185"/>
      <x:c r="K10" s="185"/>
      <x:c r="L10" s="185"/>
      <x:c r="M10" s="185"/>
      <x:c r="N10" s="36"/>
      <x:c r="O10" s="167"/>
      <x:c r="P10" s="185"/>
      <x:c r="Q10" s="185"/>
      <x:c r="R10" s="185"/>
      <x:c r="S10" s="185"/>
      <x:c r="T10" s="36"/>
      <x:c r="U10" s="167"/>
      <x:c r="V10" s="185"/>
      <x:c r="W10" s="185"/>
      <x:c r="X10" s="185"/>
      <x:c r="Y10" s="185"/>
      <x:c r="Z10" s="36"/>
      <x:c r="AA10" s="167"/>
      <x:c r="AB10" s="185"/>
      <x:c r="AC10" s="185"/>
      <x:c r="AD10" s="185"/>
      <x:c r="AE10" s="185"/>
      <x:c r="AF10" s="36"/>
      <x:c r="AG10" s="167"/>
      <x:c r="AH10" s="185"/>
      <x:c r="AI10" s="185"/>
      <x:c r="AJ10" s="185"/>
      <x:c r="AK10" s="185"/>
      <x:c r="AL10" s="36"/>
      <x:c r="AM10" s="157">
        <x:v>100</x:v>
      </x:c>
      <x:c r="AN10" s="158">
        <x:v>100</x:v>
      </x:c>
      <x:c r="AO10" s="158">
        <x:v>100</x:v>
      </x:c>
      <x:c r="AP10" s="158">
        <x:v>100</x:v>
      </x:c>
      <x:c r="AQ10" s="589">
        <x:v>0</x:v>
      </x:c>
      <x:c r="AR10" s="620" t="s">
        <x:v>1102</x:v>
      </x:c>
      <x:c r="AS10" s="175">
        <x:v>100</x:v>
      </x:c>
      <x:c r="AT10" s="158">
        <x:v>100</x:v>
      </x:c>
      <x:c r="AU10" s="158">
        <x:v>100</x:v>
      </x:c>
      <x:c r="AV10" s="158">
        <x:v>100</x:v>
      </x:c>
      <x:c r="AW10" s="600">
        <x:v>0</x:v>
      </x:c>
      <x:c r="AX10" s="585" t="s">
        <x:v>1102</x:v>
      </x:c>
      <x:c r="AY10" s="167"/>
      <x:c r="AZ10" s="185"/>
      <x:c r="BA10" s="185"/>
      <x:c r="BB10" s="185"/>
      <x:c r="BC10" s="185"/>
      <x:c r="BD10" s="36"/>
      <x:c r="BE10" s="167"/>
      <x:c r="BF10" s="185"/>
      <x:c r="BG10" s="185"/>
      <x:c r="BH10" s="185"/>
      <x:c r="BI10" s="185"/>
      <x:c r="BJ10" s="36"/>
      <x:c r="BK10" s="167"/>
      <x:c r="BL10" s="185"/>
      <x:c r="BM10" s="185"/>
      <x:c r="BN10" s="185"/>
      <x:c r="BO10" s="185"/>
      <x:c r="BP10" s="36"/>
      <x:c r="BQ10" s="167"/>
      <x:c r="BR10" s="185"/>
      <x:c r="BS10" s="185"/>
      <x:c r="BT10" s="185"/>
      <x:c r="BU10" s="185"/>
      <x:c r="BV10" s="36"/>
    </x:row>
    <x:row r="11" spans="1:74" ht="22.5" customHeight="1" x14ac:dyDescent="0.25">
      <x:c r="A11" s="619" t="s">
        <x:v>1038</x:v>
      </x:c>
      <x:c r="B11" s="122" t="s">
        <x:v>1039</x:v>
      </x:c>
      <x:c r="C11" s="588">
        <x:v>0</x:v>
      </x:c>
      <x:c r="D11" s="589">
        <x:v>0</x:v>
      </x:c>
      <x:c r="E11" s="589">
        <x:v>0</x:v>
      </x:c>
      <x:c r="F11" s="589">
        <x:v>0</x:v>
      </x:c>
      <x:c r="G11" s="589">
        <x:v>0</x:v>
      </x:c>
      <x:c r="H11" s="591" t="s">
        <x:v>1103</x:v>
      </x:c>
      <x:c r="I11" s="167"/>
      <x:c r="J11" s="185"/>
      <x:c r="K11" s="185"/>
      <x:c r="L11" s="185"/>
      <x:c r="M11" s="185"/>
      <x:c r="N11" s="36"/>
      <x:c r="O11" s="167"/>
      <x:c r="P11" s="185"/>
      <x:c r="Q11" s="185"/>
      <x:c r="R11" s="185"/>
      <x:c r="S11" s="185"/>
      <x:c r="T11" s="36"/>
      <x:c r="U11" s="167"/>
      <x:c r="V11" s="185"/>
      <x:c r="W11" s="185"/>
      <x:c r="X11" s="185"/>
      <x:c r="Y11" s="185"/>
      <x:c r="Z11" s="36"/>
      <x:c r="AA11" s="167"/>
      <x:c r="AB11" s="185"/>
      <x:c r="AC11" s="185"/>
      <x:c r="AD11" s="185"/>
      <x:c r="AE11" s="185"/>
      <x:c r="AF11" s="36"/>
      <x:c r="AG11" s="167"/>
      <x:c r="AH11" s="185"/>
      <x:c r="AI11" s="185"/>
      <x:c r="AJ11" s="185"/>
      <x:c r="AK11" s="185"/>
      <x:c r="AL11" s="36"/>
      <x:c r="AM11" s="588">
        <x:v>0</x:v>
      </x:c>
      <x:c r="AN11" s="589">
        <x:v>0</x:v>
      </x:c>
      <x:c r="AO11" s="589">
        <x:v>0</x:v>
      </x:c>
      <x:c r="AP11" s="589">
        <x:v>0</x:v>
      </x:c>
      <x:c r="AQ11" s="589">
        <x:v>0</x:v>
      </x:c>
      <x:c r="AR11" s="591" t="s">
        <x:v>1103</x:v>
      </x:c>
      <x:c r="AS11" s="175">
        <x:v>100</x:v>
      </x:c>
      <x:c r="AT11" s="158">
        <x:v>100</x:v>
      </x:c>
      <x:c r="AU11" s="158">
        <x:v>28.57</x:v>
      </x:c>
      <x:c r="AV11" s="600">
        <x:v>0</x:v>
      </x:c>
      <x:c r="AW11" s="600">
        <x:v>0</x:v>
      </x:c>
      <x:c r="AX11" s="585" t="s">
        <x:v>1102</x:v>
      </x:c>
      <x:c r="AY11" s="167"/>
      <x:c r="AZ11" s="185"/>
      <x:c r="BA11" s="185"/>
      <x:c r="BB11" s="185"/>
      <x:c r="BC11" s="185"/>
      <x:c r="BD11" s="36"/>
      <x:c r="BE11" s="167"/>
      <x:c r="BF11" s="185"/>
      <x:c r="BG11" s="185"/>
      <x:c r="BH11" s="185"/>
      <x:c r="BI11" s="185"/>
      <x:c r="BJ11" s="36"/>
      <x:c r="BK11" s="167"/>
      <x:c r="BL11" s="185"/>
      <x:c r="BM11" s="185"/>
      <x:c r="BN11" s="185"/>
      <x:c r="BO11" s="185"/>
      <x:c r="BP11" s="36"/>
      <x:c r="BQ11" s="167"/>
      <x:c r="BR11" s="185"/>
      <x:c r="BS11" s="185"/>
      <x:c r="BT11" s="185"/>
      <x:c r="BU11" s="185"/>
      <x:c r="BV11" s="36"/>
    </x:row>
    <x:row r="12" spans="1:74" ht="22.5" customHeight="1" x14ac:dyDescent="0.25">
      <x:c r="A12" s="97" t="s">
        <x:v>1026</x:v>
      </x:c>
      <x:c r="B12" s="122" t="s">
        <x:v>1025</x:v>
      </x:c>
      <x:c r="C12" s="157">
        <x:v>100</x:v>
      </x:c>
      <x:c r="D12" s="158">
        <x:v>100</x:v>
      </x:c>
      <x:c r="E12" s="158">
        <x:v>100</x:v>
      </x:c>
      <x:c r="F12" s="158">
        <x:v>99</x:v>
      </x:c>
      <x:c r="G12" s="589">
        <x:v>0</x:v>
      </x:c>
      <x:c r="H12" s="620" t="s">
        <x:v>1102</x:v>
      </x:c>
      <x:c r="I12" s="167"/>
      <x:c r="J12" s="185"/>
      <x:c r="K12" s="185"/>
      <x:c r="L12" s="185"/>
      <x:c r="M12" s="185"/>
      <x:c r="N12" s="36"/>
      <x:c r="O12" s="167"/>
      <x:c r="P12" s="185"/>
      <x:c r="Q12" s="185"/>
      <x:c r="R12" s="185"/>
      <x:c r="S12" s="185"/>
      <x:c r="T12" s="36"/>
      <x:c r="U12" s="167"/>
      <x:c r="V12" s="185"/>
      <x:c r="W12" s="185"/>
      <x:c r="X12" s="185"/>
      <x:c r="Y12" s="185"/>
      <x:c r="Z12" s="36"/>
      <x:c r="AA12" s="167"/>
      <x:c r="AB12" s="185"/>
      <x:c r="AC12" s="185"/>
      <x:c r="AD12" s="185"/>
      <x:c r="AE12" s="185"/>
      <x:c r="AF12" s="36"/>
      <x:c r="AG12" s="167"/>
      <x:c r="AH12" s="185"/>
      <x:c r="AI12" s="185"/>
      <x:c r="AJ12" s="185"/>
      <x:c r="AK12" s="185"/>
      <x:c r="AL12" s="36"/>
      <x:c r="AM12" s="157">
        <x:v>100</x:v>
      </x:c>
      <x:c r="AN12" s="158">
        <x:v>100</x:v>
      </x:c>
      <x:c r="AO12" s="158">
        <x:v>100</x:v>
      </x:c>
      <x:c r="AP12" s="158">
        <x:v>99</x:v>
      </x:c>
      <x:c r="AQ12" s="589">
        <x:v>0</x:v>
      </x:c>
      <x:c r="AR12" s="620" t="s">
        <x:v>1102</x:v>
      </x:c>
      <x:c r="AS12" s="175">
        <x:v>100</x:v>
      </x:c>
      <x:c r="AT12" s="158">
        <x:v>100</x:v>
      </x:c>
      <x:c r="AU12" s="158">
        <x:v>100</x:v>
      </x:c>
      <x:c r="AV12" s="158">
        <x:v>100</x:v>
      </x:c>
      <x:c r="AW12" s="158">
        <x:v>100</x:v>
      </x:c>
      <x:c r="AX12" s="585" t="s">
        <x:v>1102</x:v>
      </x:c>
      <x:c r="AY12" s="167"/>
      <x:c r="AZ12" s="185"/>
      <x:c r="BA12" s="185"/>
      <x:c r="BB12" s="185"/>
      <x:c r="BC12" s="185"/>
      <x:c r="BD12" s="36"/>
      <x:c r="BE12" s="167"/>
      <x:c r="BF12" s="185"/>
      <x:c r="BG12" s="185"/>
      <x:c r="BH12" s="185"/>
      <x:c r="BI12" s="185"/>
      <x:c r="BJ12" s="36"/>
      <x:c r="BK12" s="167"/>
      <x:c r="BL12" s="185"/>
      <x:c r="BM12" s="185"/>
      <x:c r="BN12" s="185"/>
      <x:c r="BO12" s="185"/>
      <x:c r="BP12" s="36"/>
      <x:c r="BQ12" s="167"/>
      <x:c r="BR12" s="185"/>
      <x:c r="BS12" s="185"/>
      <x:c r="BT12" s="185"/>
      <x:c r="BU12" s="185"/>
      <x:c r="BV12" s="36"/>
    </x:row>
    <x:row r="13" spans="1:74" ht="22.5" customHeight="1" x14ac:dyDescent="0.25">
      <x:c r="A13" s="97" t="s">
        <x:v>1021</x:v>
      </x:c>
      <x:c r="B13" s="122" t="s">
        <x:v>1019</x:v>
      </x:c>
      <x:c r="C13" s="157">
        <x:v>100</x:v>
      </x:c>
      <x:c r="D13" s="158">
        <x:v>100</x:v>
      </x:c>
      <x:c r="E13" s="158">
        <x:v>98</x:v>
      </x:c>
      <x:c r="F13" s="158">
        <x:v>97</x:v>
      </x:c>
      <x:c r="G13" s="589">
        <x:v>0</x:v>
      </x:c>
      <x:c r="H13" s="620" t="s">
        <x:v>1102</x:v>
      </x:c>
      <x:c r="I13" s="167"/>
      <x:c r="J13" s="185"/>
      <x:c r="K13" s="185"/>
      <x:c r="L13" s="185"/>
      <x:c r="M13" s="185"/>
      <x:c r="N13" s="36"/>
      <x:c r="O13" s="167"/>
      <x:c r="P13" s="185"/>
      <x:c r="Q13" s="185"/>
      <x:c r="R13" s="185"/>
      <x:c r="S13" s="185"/>
      <x:c r="T13" s="36"/>
      <x:c r="U13" s="167"/>
      <x:c r="V13" s="185"/>
      <x:c r="W13" s="185"/>
      <x:c r="X13" s="185"/>
      <x:c r="Y13" s="185"/>
      <x:c r="Z13" s="36"/>
      <x:c r="AA13" s="167"/>
      <x:c r="AB13" s="185"/>
      <x:c r="AC13" s="185"/>
      <x:c r="AD13" s="185"/>
      <x:c r="AE13" s="185"/>
      <x:c r="AF13" s="36"/>
      <x:c r="AG13" s="167"/>
      <x:c r="AH13" s="185"/>
      <x:c r="AI13" s="185"/>
      <x:c r="AJ13" s="185"/>
      <x:c r="AK13" s="185"/>
      <x:c r="AL13" s="36"/>
      <x:c r="AM13" s="157">
        <x:v>100</x:v>
      </x:c>
      <x:c r="AN13" s="158">
        <x:v>100</x:v>
      </x:c>
      <x:c r="AO13" s="158">
        <x:v>98</x:v>
      </x:c>
      <x:c r="AP13" s="158">
        <x:v>97</x:v>
      </x:c>
      <x:c r="AQ13" s="589">
        <x:v>0</x:v>
      </x:c>
      <x:c r="AR13" s="620" t="s">
        <x:v>1102</x:v>
      </x:c>
      <x:c r="AS13" s="175">
        <x:v>100</x:v>
      </x:c>
      <x:c r="AT13" s="158">
        <x:v>97</x:v>
      </x:c>
      <x:c r="AU13" s="158">
        <x:v>95</x:v>
      </x:c>
      <x:c r="AV13" s="158">
        <x:v>93</x:v>
      </x:c>
      <x:c r="AW13" s="600">
        <x:v>0</x:v>
      </x:c>
      <x:c r="AX13" s="585" t="s">
        <x:v>1102</x:v>
      </x:c>
      <x:c r="AY13" s="167"/>
      <x:c r="AZ13" s="185"/>
      <x:c r="BA13" s="185"/>
      <x:c r="BB13" s="185"/>
      <x:c r="BC13" s="185"/>
      <x:c r="BD13" s="36"/>
      <x:c r="BE13" s="167"/>
      <x:c r="BF13" s="185"/>
      <x:c r="BG13" s="185"/>
      <x:c r="BH13" s="185"/>
      <x:c r="BI13" s="185"/>
      <x:c r="BJ13" s="36"/>
      <x:c r="BK13" s="167"/>
      <x:c r="BL13" s="185"/>
      <x:c r="BM13" s="185"/>
      <x:c r="BN13" s="185"/>
      <x:c r="BO13" s="185"/>
      <x:c r="BP13" s="36"/>
      <x:c r="BQ13" s="167"/>
      <x:c r="BR13" s="185"/>
      <x:c r="BS13" s="185"/>
      <x:c r="BT13" s="185"/>
      <x:c r="BU13" s="185"/>
      <x:c r="BV13" s="36"/>
    </x:row>
    <x:row r="14" spans="1:74" ht="22.5" customHeight="1" x14ac:dyDescent="0.25">
      <x:c r="A14" s="97" t="s">
        <x:v>1031</x:v>
      </x:c>
      <x:c r="B14" s="122" t="s">
        <x:v>1032</x:v>
      </x:c>
      <x:c r="C14" s="157">
        <x:v>100</x:v>
      </x:c>
      <x:c r="D14" s="158">
        <x:v>100</x:v>
      </x:c>
      <x:c r="E14" s="158">
        <x:v>100</x:v>
      </x:c>
      <x:c r="F14" s="158">
        <x:v>100</x:v>
      </x:c>
      <x:c r="G14" s="589">
        <x:v>0</x:v>
      </x:c>
      <x:c r="H14" s="620" t="s">
        <x:v>1102</x:v>
      </x:c>
      <x:c r="I14" s="167"/>
      <x:c r="J14" s="185"/>
      <x:c r="K14" s="185"/>
      <x:c r="L14" s="185"/>
      <x:c r="M14" s="185"/>
      <x:c r="N14" s="36"/>
      <x:c r="O14" s="167"/>
      <x:c r="P14" s="185"/>
      <x:c r="Q14" s="185"/>
      <x:c r="R14" s="185"/>
      <x:c r="S14" s="185"/>
      <x:c r="T14" s="36"/>
      <x:c r="U14" s="167"/>
      <x:c r="V14" s="185"/>
      <x:c r="W14" s="185"/>
      <x:c r="X14" s="185"/>
      <x:c r="Y14" s="185"/>
      <x:c r="Z14" s="36"/>
      <x:c r="AA14" s="167"/>
      <x:c r="AB14" s="185"/>
      <x:c r="AC14" s="185"/>
      <x:c r="AD14" s="185"/>
      <x:c r="AE14" s="185"/>
      <x:c r="AF14" s="36"/>
      <x:c r="AG14" s="167"/>
      <x:c r="AH14" s="185"/>
      <x:c r="AI14" s="185"/>
      <x:c r="AJ14" s="185"/>
      <x:c r="AK14" s="185"/>
      <x:c r="AL14" s="36"/>
      <x:c r="AM14" s="157">
        <x:v>100</x:v>
      </x:c>
      <x:c r="AN14" s="158">
        <x:v>100</x:v>
      </x:c>
      <x:c r="AO14" s="158">
        <x:v>100</x:v>
      </x:c>
      <x:c r="AP14" s="158">
        <x:v>100</x:v>
      </x:c>
      <x:c r="AQ14" s="589">
        <x:v>0</x:v>
      </x:c>
      <x:c r="AR14" s="620" t="s">
        <x:v>1102</x:v>
      </x:c>
      <x:c r="AS14" s="175">
        <x:v>100</x:v>
      </x:c>
      <x:c r="AT14" s="158">
        <x:v>100</x:v>
      </x:c>
      <x:c r="AU14" s="158">
        <x:v>100</x:v>
      </x:c>
      <x:c r="AV14" s="158">
        <x:v>100</x:v>
      </x:c>
      <x:c r="AW14" s="158">
        <x:v>100</x:v>
      </x:c>
      <x:c r="AX14" s="585" t="s">
        <x:v>1102</x:v>
      </x:c>
      <x:c r="AY14" s="167"/>
      <x:c r="AZ14" s="185"/>
      <x:c r="BA14" s="185"/>
      <x:c r="BB14" s="185"/>
      <x:c r="BC14" s="185"/>
      <x:c r="BD14" s="36"/>
      <x:c r="BE14" s="167"/>
      <x:c r="BF14" s="185"/>
      <x:c r="BG14" s="185"/>
      <x:c r="BH14" s="185"/>
      <x:c r="BI14" s="185"/>
      <x:c r="BJ14" s="36"/>
      <x:c r="BK14" s="167"/>
      <x:c r="BL14" s="185"/>
      <x:c r="BM14" s="185"/>
      <x:c r="BN14" s="185"/>
      <x:c r="BO14" s="185"/>
      <x:c r="BP14" s="36"/>
      <x:c r="BQ14" s="167"/>
      <x:c r="BR14" s="185"/>
      <x:c r="BS14" s="185"/>
      <x:c r="BT14" s="185"/>
      <x:c r="BU14" s="185"/>
      <x:c r="BV14" s="36"/>
    </x:row>
    <x:row r="15" spans="1:74" ht="22.5" customHeight="1" x14ac:dyDescent="0.25">
      <x:c r="A15" s="97" t="s">
        <x:v>1033</x:v>
      </x:c>
      <x:c r="B15" s="122" t="s">
        <x:v>1032</x:v>
      </x:c>
      <x:c r="C15" s="157">
        <x:v>100</x:v>
      </x:c>
      <x:c r="D15" s="158">
        <x:v>100</x:v>
      </x:c>
      <x:c r="E15" s="158">
        <x:v>100</x:v>
      </x:c>
      <x:c r="F15" s="158">
        <x:v>100</x:v>
      </x:c>
      <x:c r="G15" s="158">
        <x:v>100</x:v>
      </x:c>
      <x:c r="H15" s="620" t="s">
        <x:v>1102</x:v>
      </x:c>
      <x:c r="I15" s="167"/>
      <x:c r="J15" s="185"/>
      <x:c r="K15" s="185"/>
      <x:c r="L15" s="185"/>
      <x:c r="M15" s="185"/>
      <x:c r="N15" s="36"/>
      <x:c r="O15" s="167"/>
      <x:c r="P15" s="185"/>
      <x:c r="Q15" s="185"/>
      <x:c r="R15" s="185"/>
      <x:c r="S15" s="185"/>
      <x:c r="T15" s="36"/>
      <x:c r="U15" s="167"/>
      <x:c r="V15" s="185"/>
      <x:c r="W15" s="185"/>
      <x:c r="X15" s="185"/>
      <x:c r="Y15" s="185"/>
      <x:c r="Z15" s="36"/>
      <x:c r="AA15" s="167"/>
      <x:c r="AB15" s="185"/>
      <x:c r="AC15" s="185"/>
      <x:c r="AD15" s="185"/>
      <x:c r="AE15" s="185"/>
      <x:c r="AF15" s="36"/>
      <x:c r="AG15" s="167"/>
      <x:c r="AH15" s="185"/>
      <x:c r="AI15" s="185"/>
      <x:c r="AJ15" s="185"/>
      <x:c r="AK15" s="185"/>
      <x:c r="AL15" s="36"/>
      <x:c r="AM15" s="157">
        <x:v>100</x:v>
      </x:c>
      <x:c r="AN15" s="158">
        <x:v>100</x:v>
      </x:c>
      <x:c r="AO15" s="158">
        <x:v>100</x:v>
      </x:c>
      <x:c r="AP15" s="158">
        <x:v>100</x:v>
      </x:c>
      <x:c r="AQ15" s="158">
        <x:v>100</x:v>
      </x:c>
      <x:c r="AR15" s="620" t="s">
        <x:v>1102</x:v>
      </x:c>
      <x:c r="AS15" s="175">
        <x:v>100</x:v>
      </x:c>
      <x:c r="AT15" s="158">
        <x:v>100</x:v>
      </x:c>
      <x:c r="AU15" s="158">
        <x:v>100</x:v>
      </x:c>
      <x:c r="AV15" s="158">
        <x:v>100</x:v>
      </x:c>
      <x:c r="AW15" s="158">
        <x:v>100</x:v>
      </x:c>
      <x:c r="AX15" s="585" t="s">
        <x:v>1102</x:v>
      </x:c>
      <x:c r="AY15" s="167"/>
      <x:c r="AZ15" s="185"/>
      <x:c r="BA15" s="185"/>
      <x:c r="BB15" s="185"/>
      <x:c r="BC15" s="185"/>
      <x:c r="BD15" s="36"/>
      <x:c r="BE15" s="167"/>
      <x:c r="BF15" s="185"/>
      <x:c r="BG15" s="185"/>
      <x:c r="BH15" s="185"/>
      <x:c r="BI15" s="185"/>
      <x:c r="BJ15" s="36"/>
      <x:c r="BK15" s="167"/>
      <x:c r="BL15" s="185"/>
      <x:c r="BM15" s="185"/>
      <x:c r="BN15" s="185"/>
      <x:c r="BO15" s="185"/>
      <x:c r="BP15" s="36"/>
      <x:c r="BQ15" s="167"/>
      <x:c r="BR15" s="185"/>
      <x:c r="BS15" s="185"/>
      <x:c r="BT15" s="185"/>
      <x:c r="BU15" s="185"/>
      <x:c r="BV15" s="36"/>
    </x:row>
    <x:row r="16" spans="1:74" ht="22.5" customHeight="1" x14ac:dyDescent="0.25">
      <x:c r="A16" s="97" t="s">
        <x:v>1041</x:v>
      </x:c>
      <x:c r="B16" s="122" t="s">
        <x:v>1039</x:v>
      </x:c>
      <x:c r="C16" s="157">
        <x:v>100</x:v>
      </x:c>
      <x:c r="D16" s="158">
        <x:v>100</x:v>
      </x:c>
      <x:c r="E16" s="158">
        <x:v>100</x:v>
      </x:c>
      <x:c r="F16" s="158">
        <x:v>100</x:v>
      </x:c>
      <x:c r="G16" s="589">
        <x:v>0</x:v>
      </x:c>
      <x:c r="H16" s="620" t="s">
        <x:v>1102</x:v>
      </x:c>
      <x:c r="I16" s="167"/>
      <x:c r="J16" s="185"/>
      <x:c r="K16" s="185"/>
      <x:c r="L16" s="185"/>
      <x:c r="M16" s="185"/>
      <x:c r="N16" s="36"/>
      <x:c r="O16" s="167"/>
      <x:c r="P16" s="185"/>
      <x:c r="Q16" s="185"/>
      <x:c r="R16" s="185"/>
      <x:c r="S16" s="185"/>
      <x:c r="T16" s="36"/>
      <x:c r="U16" s="167"/>
      <x:c r="V16" s="185"/>
      <x:c r="W16" s="185"/>
      <x:c r="X16" s="185"/>
      <x:c r="Y16" s="185"/>
      <x:c r="Z16" s="36"/>
      <x:c r="AA16" s="167"/>
      <x:c r="AB16" s="185"/>
      <x:c r="AC16" s="185"/>
      <x:c r="AD16" s="185"/>
      <x:c r="AE16" s="185"/>
      <x:c r="AF16" s="36"/>
      <x:c r="AG16" s="167"/>
      <x:c r="AH16" s="185"/>
      <x:c r="AI16" s="185"/>
      <x:c r="AJ16" s="185"/>
      <x:c r="AK16" s="185"/>
      <x:c r="AL16" s="36"/>
      <x:c r="AM16" s="157">
        <x:v>100</x:v>
      </x:c>
      <x:c r="AN16" s="158">
        <x:v>100</x:v>
      </x:c>
      <x:c r="AO16" s="158">
        <x:v>100</x:v>
      </x:c>
      <x:c r="AP16" s="158">
        <x:v>100</x:v>
      </x:c>
      <x:c r="AQ16" s="589">
        <x:v>0</x:v>
      </x:c>
      <x:c r="AR16" s="620" t="s">
        <x:v>1102</x:v>
      </x:c>
      <x:c r="AS16" s="175">
        <x:v>100</x:v>
      </x:c>
      <x:c r="AT16" s="158">
        <x:v>100</x:v>
      </x:c>
      <x:c r="AU16" s="158">
        <x:v>100</x:v>
      </x:c>
      <x:c r="AV16" s="158">
        <x:v>92.86</x:v>
      </x:c>
      <x:c r="AW16" s="600">
        <x:v>0</x:v>
      </x:c>
      <x:c r="AX16" s="585" t="s">
        <x:v>1102</x:v>
      </x:c>
      <x:c r="AY16" s="167"/>
      <x:c r="AZ16" s="185"/>
      <x:c r="BA16" s="185"/>
      <x:c r="BB16" s="185"/>
      <x:c r="BC16" s="185"/>
      <x:c r="BD16" s="36"/>
      <x:c r="BE16" s="167"/>
      <x:c r="BF16" s="185"/>
      <x:c r="BG16" s="185"/>
      <x:c r="BH16" s="185"/>
      <x:c r="BI16" s="185"/>
      <x:c r="BJ16" s="36"/>
      <x:c r="BK16" s="167"/>
      <x:c r="BL16" s="185"/>
      <x:c r="BM16" s="185"/>
      <x:c r="BN16" s="185"/>
      <x:c r="BO16" s="185"/>
      <x:c r="BP16" s="36"/>
      <x:c r="BQ16" s="167"/>
      <x:c r="BR16" s="185"/>
      <x:c r="BS16" s="185"/>
      <x:c r="BT16" s="185"/>
      <x:c r="BU16" s="185"/>
      <x:c r="BV16" s="36"/>
    </x:row>
    <x:row r="17" spans="1:74" ht="22.5" customHeight="1" x14ac:dyDescent="0.25">
      <x:c r="A17" s="97" t="s">
        <x:v>1036</x:v>
      </x:c>
      <x:c r="B17" s="122" t="s">
        <x:v>1037</x:v>
      </x:c>
      <x:c r="C17" s="157">
        <x:v>100</x:v>
      </x:c>
      <x:c r="D17" s="158">
        <x:v>100</x:v>
      </x:c>
      <x:c r="E17" s="158">
        <x:v>100</x:v>
      </x:c>
      <x:c r="F17" s="158">
        <x:v>100</x:v>
      </x:c>
      <x:c r="G17" s="589">
        <x:v>0</x:v>
      </x:c>
      <x:c r="H17" s="620" t="s">
        <x:v>1102</x:v>
      </x:c>
      <x:c r="I17" s="167"/>
      <x:c r="J17" s="185"/>
      <x:c r="K17" s="185"/>
      <x:c r="L17" s="185"/>
      <x:c r="M17" s="185"/>
      <x:c r="N17" s="36"/>
      <x:c r="O17" s="167"/>
      <x:c r="P17" s="185"/>
      <x:c r="Q17" s="185"/>
      <x:c r="R17" s="185"/>
      <x:c r="S17" s="185"/>
      <x:c r="T17" s="36"/>
      <x:c r="U17" s="167"/>
      <x:c r="V17" s="185"/>
      <x:c r="W17" s="185"/>
      <x:c r="X17" s="185"/>
      <x:c r="Y17" s="185"/>
      <x:c r="Z17" s="36"/>
      <x:c r="AA17" s="167"/>
      <x:c r="AB17" s="185"/>
      <x:c r="AC17" s="185"/>
      <x:c r="AD17" s="185"/>
      <x:c r="AE17" s="185"/>
      <x:c r="AF17" s="36"/>
      <x:c r="AG17" s="167"/>
      <x:c r="AH17" s="185"/>
      <x:c r="AI17" s="185"/>
      <x:c r="AJ17" s="185"/>
      <x:c r="AK17" s="185"/>
      <x:c r="AL17" s="36"/>
      <x:c r="AM17" s="157">
        <x:v>100</x:v>
      </x:c>
      <x:c r="AN17" s="158">
        <x:v>100</x:v>
      </x:c>
      <x:c r="AO17" s="158">
        <x:v>100</x:v>
      </x:c>
      <x:c r="AP17" s="158">
        <x:v>100</x:v>
      </x:c>
      <x:c r="AQ17" s="589">
        <x:v>0</x:v>
      </x:c>
      <x:c r="AR17" s="620" t="s">
        <x:v>1102</x:v>
      </x:c>
      <x:c r="AS17" s="175">
        <x:v>100</x:v>
      </x:c>
      <x:c r="AT17" s="158">
        <x:v>100</x:v>
      </x:c>
      <x:c r="AU17" s="158">
        <x:v>100</x:v>
      </x:c>
      <x:c r="AV17" s="158">
        <x:v>100</x:v>
      </x:c>
      <x:c r="AW17" s="158">
        <x:v>100</x:v>
      </x:c>
      <x:c r="AX17" s="585" t="s">
        <x:v>1102</x:v>
      </x:c>
      <x:c r="AY17" s="167"/>
      <x:c r="AZ17" s="185"/>
      <x:c r="BA17" s="185"/>
      <x:c r="BB17" s="185"/>
      <x:c r="BC17" s="185"/>
      <x:c r="BD17" s="36"/>
      <x:c r="BE17" s="167"/>
      <x:c r="BF17" s="185"/>
      <x:c r="BG17" s="185"/>
      <x:c r="BH17" s="185"/>
      <x:c r="BI17" s="185"/>
      <x:c r="BJ17" s="36"/>
      <x:c r="BK17" s="167"/>
      <x:c r="BL17" s="185"/>
      <x:c r="BM17" s="185"/>
      <x:c r="BN17" s="185"/>
      <x:c r="BO17" s="185"/>
      <x:c r="BP17" s="36"/>
      <x:c r="BQ17" s="167"/>
      <x:c r="BR17" s="185"/>
      <x:c r="BS17" s="185"/>
      <x:c r="BT17" s="185"/>
      <x:c r="BU17" s="185"/>
      <x:c r="BV17" s="36"/>
    </x:row>
    <x:row r="18" spans="1:74" ht="22.5" customHeight="1" x14ac:dyDescent="0.25">
      <x:c r="A18" s="619" t="s">
        <x:v>1022</x:v>
      </x:c>
      <x:c r="B18" s="122" t="s">
        <x:v>1023</x:v>
      </x:c>
      <x:c r="C18" s="157">
        <x:v>100</x:v>
      </x:c>
      <x:c r="D18" s="158">
        <x:v>100</x:v>
      </x:c>
      <x:c r="E18" s="158">
        <x:v>100</x:v>
      </x:c>
      <x:c r="F18" s="158">
        <x:v>100</x:v>
      </x:c>
      <x:c r="G18" s="158">
        <x:v>100</x:v>
      </x:c>
      <x:c r="H18" s="620" t="s">
        <x:v>1102</x:v>
      </x:c>
      <x:c r="I18" s="167"/>
      <x:c r="J18" s="185"/>
      <x:c r="K18" s="185"/>
      <x:c r="L18" s="185"/>
      <x:c r="M18" s="185"/>
      <x:c r="N18" s="36"/>
      <x:c r="O18" s="167"/>
      <x:c r="P18" s="185"/>
      <x:c r="Q18" s="185"/>
      <x:c r="R18" s="185"/>
      <x:c r="S18" s="185"/>
      <x:c r="T18" s="36"/>
      <x:c r="U18" s="167"/>
      <x:c r="V18" s="185"/>
      <x:c r="W18" s="185"/>
      <x:c r="X18" s="185"/>
      <x:c r="Y18" s="185"/>
      <x:c r="Z18" s="36"/>
      <x:c r="AA18" s="167"/>
      <x:c r="AB18" s="185"/>
      <x:c r="AC18" s="185"/>
      <x:c r="AD18" s="185"/>
      <x:c r="AE18" s="185"/>
      <x:c r="AF18" s="36"/>
      <x:c r="AG18" s="167"/>
      <x:c r="AH18" s="185"/>
      <x:c r="AI18" s="185"/>
      <x:c r="AJ18" s="185"/>
      <x:c r="AK18" s="185"/>
      <x:c r="AL18" s="36"/>
      <x:c r="AM18" s="157">
        <x:v>100</x:v>
      </x:c>
      <x:c r="AN18" s="158">
        <x:v>100</x:v>
      </x:c>
      <x:c r="AO18" s="158">
        <x:v>100</x:v>
      </x:c>
      <x:c r="AP18" s="158">
        <x:v>100</x:v>
      </x:c>
      <x:c r="AQ18" s="158">
        <x:v>100</x:v>
      </x:c>
      <x:c r="AR18" s="620" t="s">
        <x:v>1102</x:v>
      </x:c>
      <x:c r="AS18" s="175">
        <x:v>100</x:v>
      </x:c>
      <x:c r="AT18" s="158">
        <x:v>100</x:v>
      </x:c>
      <x:c r="AU18" s="158">
        <x:v>100</x:v>
      </x:c>
      <x:c r="AV18" s="158">
        <x:v>100</x:v>
      </x:c>
      <x:c r="AW18" s="600">
        <x:v>0</x:v>
      </x:c>
      <x:c r="AX18" s="585" t="s">
        <x:v>1102</x:v>
      </x:c>
      <x:c r="AY18" s="167"/>
      <x:c r="AZ18" s="185"/>
      <x:c r="BA18" s="185"/>
      <x:c r="BB18" s="185"/>
      <x:c r="BC18" s="185"/>
      <x:c r="BD18" s="36"/>
      <x:c r="BE18" s="167"/>
      <x:c r="BF18" s="185"/>
      <x:c r="BG18" s="185"/>
      <x:c r="BH18" s="185"/>
      <x:c r="BI18" s="185"/>
      <x:c r="BJ18" s="36"/>
      <x:c r="BK18" s="167"/>
      <x:c r="BL18" s="185"/>
      <x:c r="BM18" s="185"/>
      <x:c r="BN18" s="185"/>
      <x:c r="BO18" s="185"/>
      <x:c r="BP18" s="36"/>
      <x:c r="BQ18" s="167"/>
      <x:c r="BR18" s="185"/>
      <x:c r="BS18" s="185"/>
      <x:c r="BT18" s="185"/>
      <x:c r="BU18" s="185"/>
      <x:c r="BV18" s="36"/>
    </x:row>
    <x:row r="19" spans="1:74" ht="22.5" customHeight="1" x14ac:dyDescent="0.25">
      <x:c r="A19" s="97" t="s">
        <x:v>1035</x:v>
      </x:c>
      <x:c r="B19" s="122" t="s">
        <x:v>1032</x:v>
      </x:c>
      <x:c r="C19" s="157">
        <x:v>100</x:v>
      </x:c>
      <x:c r="D19" s="158">
        <x:v>100</x:v>
      </x:c>
      <x:c r="E19" s="158">
        <x:v>100</x:v>
      </x:c>
      <x:c r="F19" s="158">
        <x:v>97.78</x:v>
      </x:c>
      <x:c r="G19" s="589">
        <x:v>0</x:v>
      </x:c>
      <x:c r="H19" s="620" t="s">
        <x:v>1102</x:v>
      </x:c>
      <x:c r="I19" s="167"/>
      <x:c r="J19" s="185"/>
      <x:c r="K19" s="185"/>
      <x:c r="L19" s="185"/>
      <x:c r="M19" s="185"/>
      <x:c r="N19" s="36"/>
      <x:c r="O19" s="167"/>
      <x:c r="P19" s="185"/>
      <x:c r="Q19" s="185"/>
      <x:c r="R19" s="185"/>
      <x:c r="S19" s="185"/>
      <x:c r="T19" s="36"/>
      <x:c r="U19" s="167"/>
      <x:c r="V19" s="185"/>
      <x:c r="W19" s="185"/>
      <x:c r="X19" s="185"/>
      <x:c r="Y19" s="185"/>
      <x:c r="Z19" s="36"/>
      <x:c r="AA19" s="167"/>
      <x:c r="AB19" s="185"/>
      <x:c r="AC19" s="185"/>
      <x:c r="AD19" s="185"/>
      <x:c r="AE19" s="185"/>
      <x:c r="AF19" s="36"/>
      <x:c r="AG19" s="167"/>
      <x:c r="AH19" s="185"/>
      <x:c r="AI19" s="185"/>
      <x:c r="AJ19" s="185"/>
      <x:c r="AK19" s="185"/>
      <x:c r="AL19" s="36"/>
      <x:c r="AM19" s="157">
        <x:v>100</x:v>
      </x:c>
      <x:c r="AN19" s="158">
        <x:v>100</x:v>
      </x:c>
      <x:c r="AO19" s="158">
        <x:v>100</x:v>
      </x:c>
      <x:c r="AP19" s="158">
        <x:v>97.78</x:v>
      </x:c>
      <x:c r="AQ19" s="589">
        <x:v>0</x:v>
      </x:c>
      <x:c r="AR19" s="620" t="s">
        <x:v>1102</x:v>
      </x:c>
      <x:c r="AS19" s="175">
        <x:v>100</x:v>
      </x:c>
      <x:c r="AT19" s="158">
        <x:v>100</x:v>
      </x:c>
      <x:c r="AU19" s="158">
        <x:v>100</x:v>
      </x:c>
      <x:c r="AV19" s="158">
        <x:v>100</x:v>
      </x:c>
      <x:c r="AW19" s="158">
        <x:v>100</x:v>
      </x:c>
      <x:c r="AX19" s="585" t="s">
        <x:v>1102</x:v>
      </x:c>
      <x:c r="AY19" s="167"/>
      <x:c r="AZ19" s="185"/>
      <x:c r="BA19" s="185"/>
      <x:c r="BB19" s="185"/>
      <x:c r="BC19" s="185"/>
      <x:c r="BD19" s="36"/>
      <x:c r="BE19" s="167"/>
      <x:c r="BF19" s="185"/>
      <x:c r="BG19" s="185"/>
      <x:c r="BH19" s="185"/>
      <x:c r="BI19" s="185"/>
      <x:c r="BJ19" s="36"/>
      <x:c r="BK19" s="167"/>
      <x:c r="BL19" s="185"/>
      <x:c r="BM19" s="185"/>
      <x:c r="BN19" s="185"/>
      <x:c r="BO19" s="185"/>
      <x:c r="BP19" s="36"/>
      <x:c r="BQ19" s="167"/>
      <x:c r="BR19" s="185"/>
      <x:c r="BS19" s="185"/>
      <x:c r="BT19" s="185"/>
      <x:c r="BU19" s="185"/>
      <x:c r="BV19" s="36"/>
    </x:row>
    <x:row r="20" spans="1:74" ht="22.5" customHeight="1" x14ac:dyDescent="0.25">
      <x:c r="A20" s="97" t="s">
        <x:v>1027</x:v>
      </x:c>
      <x:c r="B20" s="122" t="s">
        <x:v>1025</x:v>
      </x:c>
      <x:c r="C20" s="157">
        <x:v>100</x:v>
      </x:c>
      <x:c r="D20" s="158">
        <x:v>100</x:v>
      </x:c>
      <x:c r="E20" s="158">
        <x:v>99</x:v>
      </x:c>
      <x:c r="F20" s="158">
        <x:v>99</x:v>
      </x:c>
      <x:c r="G20" s="589">
        <x:v>0</x:v>
      </x:c>
      <x:c r="H20" s="620" t="s">
        <x:v>1102</x:v>
      </x:c>
      <x:c r="I20" s="167"/>
      <x:c r="J20" s="185"/>
      <x:c r="K20" s="185"/>
      <x:c r="L20" s="185"/>
      <x:c r="M20" s="185"/>
      <x:c r="N20" s="36"/>
      <x:c r="O20" s="167"/>
      <x:c r="P20" s="185"/>
      <x:c r="Q20" s="185"/>
      <x:c r="R20" s="185"/>
      <x:c r="S20" s="185"/>
      <x:c r="T20" s="36"/>
      <x:c r="U20" s="167"/>
      <x:c r="V20" s="185"/>
      <x:c r="W20" s="185"/>
      <x:c r="X20" s="185"/>
      <x:c r="Y20" s="185"/>
      <x:c r="Z20" s="36"/>
      <x:c r="AA20" s="167"/>
      <x:c r="AB20" s="185"/>
      <x:c r="AC20" s="185"/>
      <x:c r="AD20" s="185"/>
      <x:c r="AE20" s="185"/>
      <x:c r="AF20" s="36"/>
      <x:c r="AG20" s="167"/>
      <x:c r="AH20" s="185"/>
      <x:c r="AI20" s="185"/>
      <x:c r="AJ20" s="185"/>
      <x:c r="AK20" s="185"/>
      <x:c r="AL20" s="36"/>
      <x:c r="AM20" s="157">
        <x:v>100</x:v>
      </x:c>
      <x:c r="AN20" s="158">
        <x:v>100</x:v>
      </x:c>
      <x:c r="AO20" s="158">
        <x:v>99</x:v>
      </x:c>
      <x:c r="AP20" s="158">
        <x:v>99</x:v>
      </x:c>
      <x:c r="AQ20" s="589">
        <x:v>0</x:v>
      </x:c>
      <x:c r="AR20" s="620" t="s">
        <x:v>1102</x:v>
      </x:c>
      <x:c r="AS20" s="175">
        <x:v>100</x:v>
      </x:c>
      <x:c r="AT20" s="158">
        <x:v>89</x:v>
      </x:c>
      <x:c r="AU20" s="158">
        <x:v>81</x:v>
      </x:c>
      <x:c r="AV20" s="600">
        <x:v>0</x:v>
      </x:c>
      <x:c r="AW20" s="600">
        <x:v>0</x:v>
      </x:c>
      <x:c r="AX20" s="585" t="s">
        <x:v>1102</x:v>
      </x:c>
      <x:c r="AY20" s="167"/>
      <x:c r="AZ20" s="185"/>
      <x:c r="BA20" s="185"/>
      <x:c r="BB20" s="185"/>
      <x:c r="BC20" s="185"/>
      <x:c r="BD20" s="36"/>
      <x:c r="BE20" s="167"/>
      <x:c r="BF20" s="185"/>
      <x:c r="BG20" s="185"/>
      <x:c r="BH20" s="185"/>
      <x:c r="BI20" s="185"/>
      <x:c r="BJ20" s="36"/>
      <x:c r="BK20" s="167"/>
      <x:c r="BL20" s="185"/>
      <x:c r="BM20" s="185"/>
      <x:c r="BN20" s="185"/>
      <x:c r="BO20" s="185"/>
      <x:c r="BP20" s="36"/>
      <x:c r="BQ20" s="167"/>
      <x:c r="BR20" s="185"/>
      <x:c r="BS20" s="185"/>
      <x:c r="BT20" s="185"/>
      <x:c r="BU20" s="185"/>
      <x:c r="BV20" s="36"/>
    </x:row>
    <x:row r="21" spans="1:74" ht="33.75" customHeight="1" x14ac:dyDescent="0.3">
      <x:c r="A21" s="669" t="s">
        <x:v>1042</x:v>
      </x:c>
      <x:c r="B21" s="100" t="s">
        <x:v>1039</x:v>
      </x:c>
      <x:c r="C21" s="612">
        <x:v>0</x:v>
      </x:c>
      <x:c r="D21" s="613">
        <x:v>0</x:v>
      </x:c>
      <x:c r="E21" s="613">
        <x:v>0</x:v>
      </x:c>
      <x:c r="F21" s="613">
        <x:v>0</x:v>
      </x:c>
      <x:c r="G21" s="613">
        <x:v>0</x:v>
      </x:c>
      <x:c r="H21" s="645" t="s">
        <x:v>1103</x:v>
      </x:c>
      <x:c r="I21" s="38"/>
      <x:c r="J21" s="39"/>
      <x:c r="K21" s="39"/>
      <x:c r="L21" s="39"/>
      <x:c r="M21" s="39"/>
      <x:c r="N21" s="42"/>
      <x:c r="O21" s="38"/>
      <x:c r="P21" s="39"/>
      <x:c r="Q21" s="39"/>
      <x:c r="R21" s="39"/>
      <x:c r="S21" s="39"/>
      <x:c r="T21" s="42"/>
      <x:c r="U21" s="38"/>
      <x:c r="V21" s="39"/>
      <x:c r="W21" s="39"/>
      <x:c r="X21" s="39"/>
      <x:c r="Y21" s="39"/>
      <x:c r="Z21" s="42"/>
      <x:c r="AA21" s="38"/>
      <x:c r="AB21" s="39"/>
      <x:c r="AC21" s="39"/>
      <x:c r="AD21" s="39"/>
      <x:c r="AE21" s="39"/>
      <x:c r="AF21" s="42"/>
      <x:c r="AG21" s="38"/>
      <x:c r="AH21" s="39"/>
      <x:c r="AI21" s="39"/>
      <x:c r="AJ21" s="39"/>
      <x:c r="AK21" s="39"/>
      <x:c r="AL21" s="42"/>
      <x:c r="AM21" s="612">
        <x:v>0</x:v>
      </x:c>
      <x:c r="AN21" s="613">
        <x:v>0</x:v>
      </x:c>
      <x:c r="AO21" s="613">
        <x:v>0</x:v>
      </x:c>
      <x:c r="AP21" s="613">
        <x:v>0</x:v>
      </x:c>
      <x:c r="AQ21" s="613">
        <x:v>0</x:v>
      </x:c>
      <x:c r="AR21" s="645" t="s">
        <x:v>1103</x:v>
      </x:c>
      <x:c r="AS21" s="160">
        <x:v>100</x:v>
      </x:c>
      <x:c r="AT21" s="161">
        <x:v>100</x:v>
      </x:c>
      <x:c r="AU21" s="161">
        <x:v>100</x:v>
      </x:c>
      <x:c r="AV21" s="161">
        <x:v>100</x:v>
      </x:c>
      <x:c r="AW21" s="670">
        <x:v>0</x:v>
      </x:c>
      <x:c r="AX21" s="594" t="s">
        <x:v>1102</x:v>
      </x:c>
      <x:c r="AY21" s="38"/>
      <x:c r="AZ21" s="39"/>
      <x:c r="BA21" s="39"/>
      <x:c r="BB21" s="39"/>
      <x:c r="BC21" s="39"/>
      <x:c r="BD21" s="42"/>
      <x:c r="BE21" s="38"/>
      <x:c r="BF21" s="39"/>
      <x:c r="BG21" s="39"/>
      <x:c r="BH21" s="39"/>
      <x:c r="BI21" s="39"/>
      <x:c r="BJ21" s="42"/>
      <x:c r="BK21" s="38"/>
      <x:c r="BL21" s="39"/>
      <x:c r="BM21" s="39"/>
      <x:c r="BN21" s="39"/>
      <x:c r="BO21" s="39"/>
      <x:c r="BP21" s="42"/>
      <x:c r="BQ21" s="38"/>
      <x:c r="BR21" s="39"/>
      <x:c r="BS21" s="39"/>
      <x:c r="BT21" s="39"/>
      <x:c r="BU21" s="39"/>
      <x:c r="BV21" s="42"/>
    </x:row>
    <x:row r="22" spans="1:74" x14ac:dyDescent="0.25">
      <x:c r="C22" s="498">
        <x:f t="array" ref="C22:C22">SUMPRODUCT((C3:C21&gt;=10)*(D3:D21&gt;=10)*(E3:E21&gt;=10)*(F3:F21&gt;=10)*(G3:G21&gt;=10)*((NOT(ISERROR(FIND("Оператор",$B$3:$B$21))))+(NOT(ISERROR(FIND("Руководитель",$B$3:$B$21))))&gt;0))</x:f>
      </x:c>
      <x:c r="H22" s="227">
        <x:f>COUNTIF(H3:H21,"Да")</x:f>
      </x:c>
      <x:c r="I22" s="498">
        <x:f t="array" ref="I22:I22">SUMPRODUCT((I3:I21&gt;=10)*(J3:J21&gt;=10)*(K3:K21&gt;=10)*(L3:L21&gt;=10)*(M3:M21&gt;=10)*((NOT(ISERROR(FIND("Оператор",$B$3:$B$21))))+(NOT(ISERROR(FIND("Руководитель",$B$3:$B$21))))&gt;0))</x:f>
      </x:c>
      <x:c r="N22" s="227">
        <x:f>COUNTIF(N3:N21,"Да")</x:f>
      </x:c>
      <x:c r="O22" s="498">
        <x:f t="array" ref="O22:O22">SUMPRODUCT((O3:O21&gt;=10)*(P3:P21&gt;=10)*(Q3:Q21&gt;=10)*(R3:R21&gt;=10)*(S3:S21&gt;=10)*((NOT(ISERROR(FIND("Оператор",$B$3:$B$21))))+(NOT(ISERROR(FIND("Руководитель",$B$3:$B$21))))&gt;0))</x:f>
      </x:c>
      <x:c r="T22" s="227">
        <x:f>COUNTIF(T3:T21,"Да")</x:f>
      </x:c>
      <x:c r="U22" s="498">
        <x:f t="array" ref="U22:U22">SUMPRODUCT((U3:U21&gt;=10)*(V3:V21&gt;=10)*(W3:W21&gt;=10)*(X3:X21&gt;=10)*(Y3:Y21&gt;=10)*((NOT(ISERROR(FIND("Оператор",$B$3:$B$21))))+(NOT(ISERROR(FIND("Руководитель",$B$3:$B$21))))&gt;0))</x:f>
      </x:c>
      <x:c r="Z22" s="227">
        <x:f>COUNTIF(Z3:Z21,"Да")</x:f>
      </x:c>
      <x:c r="AA22" s="498">
        <x:f t="array" ref="AA22:AA22">SUMPRODUCT((AA3:AA21&gt;=10)*(AB3:AB21&gt;=10)*(AC3:AC21&gt;=10)*(AD3:AD21&gt;=10)*(AE3:AE21&gt;=10)*((NOT(ISERROR(FIND("Оператор",$B$3:$B$21))))+(NOT(ISERROR(FIND("Руководитель",$B$3:$B$21))))&gt;0))</x:f>
      </x:c>
      <x:c r="AF22" s="227">
        <x:f>COUNTIF(AF3:AF21,"Да")</x:f>
      </x:c>
      <x:c r="AG22" s="498">
        <x:f t="array" ref="AG22:AG22">SUMPRODUCT((AG3:AG21&gt;=10)*(AH3:AH21&gt;=10)*(AI3:AI21&gt;=10)*(AJ3:AJ21&gt;=10)*(AK3:AK21&gt;=10)*((NOT(ISERROR(FIND("Оператор",$B$3:$B$21))))+(NOT(ISERROR(FIND("Руководитель",$B$3:$B$21))))&gt;0))</x:f>
      </x:c>
      <x:c r="AL22" s="227">
        <x:f>COUNTIF(AL3:AL21,"Да")</x:f>
      </x:c>
      <x:c r="AM22" s="498">
        <x:f t="array" ref="AM22:AM22">SUMPRODUCT((AM3:AM21&gt;=10)*(AN3:AN21&gt;=10)*(AO3:AO21&gt;=10)*(AP3:AP21&gt;=10)*(AQ3:AQ21&gt;=10)*((NOT(ISERROR(FIND("Оператор",$B$3:$B$21))))+(NOT(ISERROR(FIND("Руководитель",$B$3:$B$21))))&gt;0))</x:f>
      </x:c>
      <x:c r="AR22" s="227">
        <x:f>COUNTIF(AR3:AR21,"Да")</x:f>
      </x:c>
      <x:c r="AS22" s="498">
        <x:f t="array" ref="AS22:AS22">SUMPRODUCT((AS3:AS21&gt;=10)*(AT3:AT21&gt;=10)*(AU3:AU21&gt;=10)*(AV3:AV21&gt;=10)*(AW3:AW21&gt;=10)*((NOT(ISERROR(FIND("Оператор",$B$3:$B$21))))+(NOT(ISERROR(FIND("Руководитель",$B$3:$B$21))))&gt;0))</x:f>
      </x:c>
      <x:c r="AX22" s="227">
        <x:f>COUNTIF(AX3:AX21,"Да")</x:f>
      </x:c>
      <x:c r="AY22" s="498">
        <x:f t="array" ref="AY22:AY22">SUMPRODUCT((AY3:AY21&gt;=10)*(AZ3:AZ21&gt;=10)*(BA3:BA21&gt;=10)*(BB3:BB21&gt;=10)*(BC3:BC21&gt;=10)*((NOT(ISERROR(FIND("Оператор",$B$3:$B$21))))+(NOT(ISERROR(FIND("Руководитель",$B$3:$B$21))))&gt;0))</x:f>
      </x:c>
      <x:c r="BD22" s="227">
        <x:f>COUNTIF(BD3:BD21,"Да")</x:f>
      </x:c>
      <x:c r="BE22" s="498">
        <x:f t="array" ref="BE22:BE22">SUMPRODUCT((BE3:BE21&gt;=10)*(BF3:BF21&gt;=10)*(BG3:BG21&gt;=10)*(BH3:BH21&gt;=10)*(BI3:BI21&gt;=10)*((NOT(ISERROR(FIND("Оператор",$B$3:$B$21))))+(NOT(ISERROR(FIND("Руководитель",$B$3:$B$21))))&gt;0))</x:f>
      </x:c>
      <x:c r="BJ22" s="227">
        <x:f>COUNTIF(BJ3:BJ21,"Да")</x:f>
      </x:c>
      <x:c r="BK22" s="498">
        <x:f t="array" ref="BK22:BK22">SUMPRODUCT((BK3:BK21&gt;=10)*(BL3:BL21&gt;=10)*(BM3:BM21&gt;=10)*(BN3:BN21&gt;=10)*(BO3:BO21&gt;=10)*((NOT(ISERROR(FIND("Оператор",$B$3:$B$21))))+(NOT(ISERROR(FIND("Руководитель",$B$3:$B$21))))&gt;0))</x:f>
      </x:c>
      <x:c r="BP22" s="227">
        <x:f>COUNTIF(BP3:BP21,"Да")</x:f>
      </x:c>
      <x:c r="BQ22" s="498">
        <x:f t="array" ref="BQ22:BQ22">SUMPRODUCT((BQ3:BQ21&gt;=10)*(BR3:BR21&gt;=10)*(BS3:BS21&gt;=10)*(BT3:BT21&gt;=10)*(BU3:BU21&gt;=10)*((NOT(ISERROR(FIND("Оператор",$B$3:$B$21))))+(NOT(ISERROR(FIND("Руководитель",$B$3:$B$21))))&gt;0))</x:f>
      </x:c>
      <x:c r="BV22" s="227">
        <x:f>COUNTIF(BV3:BV21,"Да")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22:G22"/>
    <x:mergeCell ref="I22:M22"/>
    <x:mergeCell ref="O22:S22"/>
    <x:mergeCell ref="U22:Y22"/>
    <x:mergeCell ref="AA22:AE22"/>
    <x:mergeCell ref="AG22:AK22"/>
    <x:mergeCell ref="AM22:AQ22"/>
    <x:mergeCell ref="AS22:AW22"/>
    <x:mergeCell ref="AY22:BC22"/>
    <x:mergeCell ref="BE22:BI22"/>
    <x:mergeCell ref="BK22:BO22"/>
    <x:mergeCell ref="BQ22:BU22"/>
  </x:mergeCells>
  <x:conditionalFormatting sqref="C3:BV21">
    <x:cfRule type="containsBlanks" dxfId="8" priority="1">
      <x:formula>LEN(TRIM(C3))=0</x:formula>
    </x:cfRule>
    <x:cfRule type="expression" priority="8" stopIfTrue="1" operator="equal">
      <x:formula>LEN(TRIM(C3&amp;""))=0</x:formula>
    </x:cfRule>
  </x:conditionalFormatting>
  <x:conditionalFormatting sqref="A3:A21">
    <x:cfRule type="duplicateValues" dxfId="0" priority="2"/>
  </x:conditionalFormatting>
  <x:conditionalFormatting sqref="B1:B1">
    <x:cfRule type="containsText" dxfId="4" priority="3" operator="containsText" text="динамическому">
      <x:formula>NOT(ISERROR(SEARCH("динамическому",B1)))</x:formula>
    </x:cfRule>
    <x:cfRule type="containsText" dxfId="5" priority="4" operator="containsText" text="Механик установки">
      <x:formula>NOT(ISERROR(SEARCH("Механик установки",B1)))</x:formula>
    </x:cfRule>
    <x:cfRule type="containsText" dxfId="6" priority="5" operator="containsText" text="Заместитель начальника">
      <x:formula>NOT(ISERROR(SEARCH("Заместитель начальника",B1)))</x:formula>
    </x:cfRule>
    <x:cfRule type="containsText" dxfId="7" priority="6" operator="containsText" text="Начальник">
      <x:formula>NOT(ISERROR(SEARCH("Начальник",B1)))</x:formula>
    </x:cfRule>
  </x:conditionalFormatting>
  <x:conditionalFormatting sqref="A1:A1">
    <x:cfRule type="duplicateValues" dxfId="0" priority="7"/>
  </x:conditionalFormatting>
  <x:printOptions horizontalCentered="0" verticalCentered="0" headings="0" gridLines="0"/>
  <x:pageMargins left="0.7007874015748032" right="0.7007874015748032" top="0.7519685039370079" bottom="0.7519685039370079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sheetPr>
    <x:outlinePr summaryBelow="1" summaryRight="1"/>
  </x:sheetPr>
  <x:dimension ref="A1:BV47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37.140625" style="0" customWidth="1"/>
    <x:col min="2" max="2" width="25" style="0" customWidth="1"/>
    <x:col min="3" max="7" width="9.140625" style="0" customWidth="1"/>
    <x:col min="8" max="8" width="11.140625" style="0" customWidth="1"/>
    <x:col min="9" max="13" width="9.140625" style="0" customWidth="1"/>
    <x:col min="14" max="14" width="10.425781" style="0" customWidth="1"/>
    <x:col min="15" max="19" width="9.140625" style="0" customWidth="1"/>
    <x:col min="20" max="20" width="10.570312" style="0" customWidth="1"/>
    <x:col min="21" max="25" width="9.140625" style="0" customWidth="1"/>
    <x:col min="26" max="26" width="10.855469" style="0" customWidth="1"/>
    <x:col min="27" max="31" width="9.140625" style="0" customWidth="1"/>
    <x:col min="32" max="32" width="10.140625" style="0" customWidth="1"/>
    <x:col min="33" max="37" width="9.140625" style="0" customWidth="1"/>
    <x:col min="38" max="38" width="10.425781" style="0" customWidth="1"/>
    <x:col min="39" max="43" width="9.140625" style="0" customWidth="1"/>
    <x:col min="44" max="44" width="9.710938" style="0" customWidth="1"/>
    <x:col min="45" max="49" width="9.140625" style="0" customWidth="1"/>
    <x:col min="50" max="50" width="10" style="0" customWidth="1"/>
    <x:col min="51" max="55" width="9.140625" style="0" customWidth="1"/>
    <x:col min="56" max="56" width="10.140625" style="0" customWidth="1"/>
    <x:col min="57" max="61" width="9.140625" style="0" customWidth="1"/>
    <x:col min="62" max="62" width="10.285156" style="0" customWidth="1"/>
    <x:col min="63" max="67" width="9.140625" style="0" customWidth="1"/>
    <x:col min="68" max="68" width="10.140625" style="0" customWidth="1"/>
    <x:col min="69" max="73" width="9.140625" style="0" customWidth="1"/>
    <x:col min="74" max="74" width="10.140625" style="0" customWidth="1"/>
  </x:cols>
  <x:sheetData>
    <x:row r="1" spans="1:74" ht="23.25" customHeight="1" x14ac:dyDescent="0.3">
      <x:c r="A1" s="220" t="s">
        <x:v>1142</x:v>
      </x:c>
      <x:c r="B1" s="496" t="s">
        <x:v>1099</x:v>
      </x:c>
      <x:c r="C1" s="505" t="s">
        <x:v>1047</x:v>
      </x:c>
      <x:c r="D1" s="494"/>
      <x:c r="E1" s="494"/>
      <x:c r="F1" s="494"/>
      <x:c r="G1" s="494"/>
      <x:c r="H1" s="495"/>
      <x:c r="I1" s="505" t="s">
        <x:v>1048</x:v>
      </x:c>
      <x:c r="J1" s="494"/>
      <x:c r="K1" s="494"/>
      <x:c r="L1" s="494"/>
      <x:c r="M1" s="494"/>
      <x:c r="N1" s="495"/>
      <x:c r="O1" s="505" t="s">
        <x:v>1049</x:v>
      </x:c>
      <x:c r="P1" s="494"/>
      <x:c r="Q1" s="494"/>
      <x:c r="R1" s="494"/>
      <x:c r="S1" s="494"/>
      <x:c r="T1" s="495"/>
      <x:c r="U1" s="505" t="s">
        <x:v>1050</x:v>
      </x:c>
      <x:c r="V1" s="494"/>
      <x:c r="W1" s="494"/>
      <x:c r="X1" s="494"/>
      <x:c r="Y1" s="494"/>
      <x:c r="Z1" s="495"/>
      <x:c r="AA1" s="505" t="s">
        <x:v>1051</x:v>
      </x:c>
      <x:c r="AB1" s="494"/>
      <x:c r="AC1" s="494"/>
      <x:c r="AD1" s="494"/>
      <x:c r="AE1" s="494"/>
      <x:c r="AF1" s="495"/>
      <x:c r="AG1" s="505" t="s">
        <x:v>1052</x:v>
      </x:c>
      <x:c r="AH1" s="494"/>
      <x:c r="AI1" s="494"/>
      <x:c r="AJ1" s="494"/>
      <x:c r="AK1" s="494"/>
      <x:c r="AL1" s="495"/>
      <x:c r="AM1" s="505" t="s">
        <x:v>1053</x:v>
      </x:c>
      <x:c r="AN1" s="494"/>
      <x:c r="AO1" s="494"/>
      <x:c r="AP1" s="494"/>
      <x:c r="AQ1" s="494"/>
      <x:c r="AR1" s="495"/>
      <x:c r="AS1" s="505" t="s">
        <x:v>1054</x:v>
      </x:c>
      <x:c r="AT1" s="494"/>
      <x:c r="AU1" s="494"/>
      <x:c r="AV1" s="494"/>
      <x:c r="AW1" s="494"/>
      <x:c r="AX1" s="495"/>
      <x:c r="AY1" s="505" t="s">
        <x:v>1055</x:v>
      </x:c>
      <x:c r="AZ1" s="494"/>
      <x:c r="BA1" s="494"/>
      <x:c r="BB1" s="494"/>
      <x:c r="BC1" s="494"/>
      <x:c r="BD1" s="495"/>
      <x:c r="BE1" s="505" t="s">
        <x:v>1056</x:v>
      </x:c>
      <x:c r="BF1" s="494"/>
      <x:c r="BG1" s="494"/>
      <x:c r="BH1" s="494"/>
      <x:c r="BI1" s="494"/>
      <x:c r="BJ1" s="495"/>
      <x:c r="BK1" s="505" t="s">
        <x:v>1057</x:v>
      </x:c>
      <x:c r="BL1" s="494"/>
      <x:c r="BM1" s="494"/>
      <x:c r="BN1" s="494"/>
      <x:c r="BO1" s="494"/>
      <x:c r="BP1" s="495"/>
      <x:c r="BQ1" s="505" t="s">
        <x:v>1058</x:v>
      </x:c>
      <x:c r="BR1" s="494"/>
      <x:c r="BS1" s="494"/>
      <x:c r="BT1" s="494"/>
      <x:c r="BU1" s="494"/>
      <x:c r="BV1" s="495"/>
    </x:row>
    <x:row r="2" spans="1:74" ht="27" customHeight="1" x14ac:dyDescent="0.3">
      <x:c r="A2" s="23" t="s">
        <x:v>1100</x:v>
      </x:c>
      <x:c r="B2" s="514"/>
      <x:c r="C2" s="24">
        <x:v>1</x:v>
      </x:c>
      <x:c r="D2" s="25">
        <x:v>2</x:v>
      </x:c>
      <x:c r="E2" s="25">
        <x:v>3</x:v>
      </x:c>
      <x:c r="F2" s="25">
        <x:v>4</x:v>
      </x:c>
      <x:c r="G2" s="25">
        <x:v>5</x:v>
      </x:c>
      <x:c r="H2" s="26" t="s">
        <x:v>1101</x:v>
      </x:c>
      <x:c r="I2" s="24">
        <x:v>1</x:v>
      </x:c>
      <x:c r="J2" s="25">
        <x:v>2</x:v>
      </x:c>
      <x:c r="K2" s="25">
        <x:v>3</x:v>
      </x:c>
      <x:c r="L2" s="25">
        <x:v>4</x:v>
      </x:c>
      <x:c r="M2" s="25">
        <x:v>5</x:v>
      </x:c>
      <x:c r="N2" s="27" t="s">
        <x:v>1101</x:v>
      </x:c>
      <x:c r="O2" s="24">
        <x:v>1</x:v>
      </x:c>
      <x:c r="P2" s="25">
        <x:v>2</x:v>
      </x:c>
      <x:c r="Q2" s="25">
        <x:v>3</x:v>
      </x:c>
      <x:c r="R2" s="25">
        <x:v>4</x:v>
      </x:c>
      <x:c r="S2" s="25">
        <x:v>5</x:v>
      </x:c>
      <x:c r="T2" s="27" t="s">
        <x:v>1101</x:v>
      </x:c>
      <x:c r="U2" s="24">
        <x:v>1</x:v>
      </x:c>
      <x:c r="V2" s="25">
        <x:v>2</x:v>
      </x:c>
      <x:c r="W2" s="25">
        <x:v>3</x:v>
      </x:c>
      <x:c r="X2" s="25">
        <x:v>4</x:v>
      </x:c>
      <x:c r="Y2" s="25">
        <x:v>5</x:v>
      </x:c>
      <x:c r="Z2" s="27" t="s">
        <x:v>1101</x:v>
      </x:c>
      <x:c r="AA2" s="24">
        <x:v>1</x:v>
      </x:c>
      <x:c r="AB2" s="25">
        <x:v>2</x:v>
      </x:c>
      <x:c r="AC2" s="25">
        <x:v>3</x:v>
      </x:c>
      <x:c r="AD2" s="25">
        <x:v>4</x:v>
      </x:c>
      <x:c r="AE2" s="25">
        <x:v>5</x:v>
      </x:c>
      <x:c r="AF2" s="27" t="s">
        <x:v>1101</x:v>
      </x:c>
      <x:c r="AG2" s="24">
        <x:v>1</x:v>
      </x:c>
      <x:c r="AH2" s="25">
        <x:v>2</x:v>
      </x:c>
      <x:c r="AI2" s="25">
        <x:v>3</x:v>
      </x:c>
      <x:c r="AJ2" s="25">
        <x:v>4</x:v>
      </x:c>
      <x:c r="AK2" s="25">
        <x:v>5</x:v>
      </x:c>
      <x:c r="AL2" s="27" t="s">
        <x:v>1101</x:v>
      </x:c>
      <x:c r="AM2" s="24">
        <x:v>1</x:v>
      </x:c>
      <x:c r="AN2" s="25">
        <x:v>2</x:v>
      </x:c>
      <x:c r="AO2" s="25">
        <x:v>3</x:v>
      </x:c>
      <x:c r="AP2" s="25">
        <x:v>4</x:v>
      </x:c>
      <x:c r="AQ2" s="25">
        <x:v>5</x:v>
      </x:c>
      <x:c r="AR2" s="27" t="s">
        <x:v>1101</x:v>
      </x:c>
      <x:c r="AS2" s="24">
        <x:v>1</x:v>
      </x:c>
      <x:c r="AT2" s="25">
        <x:v>2</x:v>
      </x:c>
      <x:c r="AU2" s="25">
        <x:v>3</x:v>
      </x:c>
      <x:c r="AV2" s="25">
        <x:v>4</x:v>
      </x:c>
      <x:c r="AW2" s="25">
        <x:v>5</x:v>
      </x:c>
      <x:c r="AX2" s="27" t="s">
        <x:v>1101</x:v>
      </x:c>
      <x:c r="AY2" s="24">
        <x:v>1</x:v>
      </x:c>
      <x:c r="AZ2" s="25">
        <x:v>2</x:v>
      </x:c>
      <x:c r="BA2" s="25">
        <x:v>3</x:v>
      </x:c>
      <x:c r="BB2" s="25">
        <x:v>4</x:v>
      </x:c>
      <x:c r="BC2" s="25">
        <x:v>5</x:v>
      </x:c>
      <x:c r="BD2" s="27" t="s">
        <x:v>1101</x:v>
      </x:c>
      <x:c r="BE2" s="24">
        <x:v>1</x:v>
      </x:c>
      <x:c r="BF2" s="25">
        <x:v>2</x:v>
      </x:c>
      <x:c r="BG2" s="25">
        <x:v>3</x:v>
      </x:c>
      <x:c r="BH2" s="25">
        <x:v>4</x:v>
      </x:c>
      <x:c r="BI2" s="25">
        <x:v>5</x:v>
      </x:c>
      <x:c r="BJ2" s="27" t="s">
        <x:v>1101</x:v>
      </x:c>
      <x:c r="BK2" s="24">
        <x:v>1</x:v>
      </x:c>
      <x:c r="BL2" s="25">
        <x:v>2</x:v>
      </x:c>
      <x:c r="BM2" s="25">
        <x:v>3</x:v>
      </x:c>
      <x:c r="BN2" s="25">
        <x:v>4</x:v>
      </x:c>
      <x:c r="BO2" s="25">
        <x:v>5</x:v>
      </x:c>
      <x:c r="BP2" s="27" t="s">
        <x:v>1101</x:v>
      </x:c>
      <x:c r="BQ2" s="24">
        <x:v>1</x:v>
      </x:c>
      <x:c r="BR2" s="25">
        <x:v>2</x:v>
      </x:c>
      <x:c r="BS2" s="25">
        <x:v>3</x:v>
      </x:c>
      <x:c r="BT2" s="25">
        <x:v>4</x:v>
      </x:c>
      <x:c r="BU2" s="25">
        <x:v>5</x:v>
      </x:c>
      <x:c r="BV2" s="27" t="s">
        <x:v>1101</x:v>
      </x:c>
    </x:row>
    <x:row r="3" spans="1:74" ht="24.75" customHeight="1" x14ac:dyDescent="0.25">
      <x:c r="A3" s="28"/>
      <x:c r="B3" s="28"/>
      <x:c r="C3" s="29"/>
      <x:c r="D3" s="222"/>
      <x:c r="E3" s="222"/>
      <x:c r="F3" s="222"/>
      <x:c r="G3" s="222"/>
      <x:c r="H3" s="30"/>
      <x:c r="I3" s="29"/>
      <x:c r="J3" s="222"/>
      <x:c r="K3" s="222"/>
      <x:c r="L3" s="222"/>
      <x:c r="M3" s="223"/>
      <x:c r="N3" s="31"/>
      <x:c r="O3" s="29"/>
      <x:c r="P3" s="222"/>
      <x:c r="Q3" s="222"/>
      <x:c r="R3" s="222"/>
      <x:c r="S3" s="223"/>
      <x:c r="T3" s="31"/>
      <x:c r="U3" s="29"/>
      <x:c r="V3" s="222"/>
      <x:c r="W3" s="222"/>
      <x:c r="X3" s="222"/>
      <x:c r="Y3" s="223"/>
      <x:c r="Z3" s="31"/>
      <x:c r="AA3" s="29"/>
      <x:c r="AB3" s="222"/>
      <x:c r="AC3" s="222"/>
      <x:c r="AD3" s="222"/>
      <x:c r="AE3" s="223"/>
      <x:c r="AF3" s="31"/>
      <x:c r="AG3" s="29"/>
      <x:c r="AH3" s="222"/>
      <x:c r="AI3" s="222"/>
      <x:c r="AJ3" s="222"/>
      <x:c r="AK3" s="223"/>
      <x:c r="AL3" s="31"/>
      <x:c r="AM3" s="29"/>
      <x:c r="AN3" s="222"/>
      <x:c r="AO3" s="222"/>
      <x:c r="AP3" s="222"/>
      <x:c r="AQ3" s="223"/>
      <x:c r="AR3" s="31"/>
      <x:c r="AS3" s="29"/>
      <x:c r="AT3" s="222"/>
      <x:c r="AU3" s="222"/>
      <x:c r="AV3" s="222"/>
      <x:c r="AW3" s="223"/>
      <x:c r="AX3" s="31"/>
      <x:c r="AY3" s="29"/>
      <x:c r="AZ3" s="222"/>
      <x:c r="BA3" s="222"/>
      <x:c r="BB3" s="222"/>
      <x:c r="BC3" s="223"/>
      <x:c r="BD3" s="31"/>
      <x:c r="BE3" s="29"/>
      <x:c r="BF3" s="222"/>
      <x:c r="BG3" s="222"/>
      <x:c r="BH3" s="222"/>
      <x:c r="BI3" s="223"/>
      <x:c r="BJ3" s="31"/>
      <x:c r="BK3" s="29"/>
      <x:c r="BL3" s="222"/>
      <x:c r="BM3" s="222"/>
      <x:c r="BN3" s="222"/>
      <x:c r="BO3" s="223"/>
      <x:c r="BP3" s="31"/>
      <x:c r="BQ3" s="29"/>
      <x:c r="BR3" s="222"/>
      <x:c r="BS3" s="222"/>
      <x:c r="BT3" s="222"/>
      <x:c r="BU3" s="223"/>
      <x:c r="BV3" s="31"/>
    </x:row>
    <x:row r="4" spans="1:74" x14ac:dyDescent="0.25">
      <x:c r="A4" s="32"/>
      <x:c r="B4" s="32"/>
      <x:c r="C4" s="33"/>
      <x:c r="D4" s="185"/>
      <x:c r="E4" s="185"/>
      <x:c r="F4" s="185"/>
      <x:c r="G4" s="185"/>
      <x:c r="H4" s="34"/>
      <x:c r="I4" s="33"/>
      <x:c r="J4" s="185"/>
      <x:c r="K4" s="185"/>
      <x:c r="L4" s="185"/>
      <x:c r="M4" s="35"/>
      <x:c r="N4" s="36"/>
      <x:c r="O4" s="33"/>
      <x:c r="P4" s="185"/>
      <x:c r="Q4" s="185"/>
      <x:c r="R4" s="185"/>
      <x:c r="S4" s="35"/>
      <x:c r="T4" s="36"/>
      <x:c r="U4" s="33"/>
      <x:c r="V4" s="185"/>
      <x:c r="W4" s="185"/>
      <x:c r="X4" s="185"/>
      <x:c r="Y4" s="35"/>
      <x:c r="Z4" s="36"/>
      <x:c r="AA4" s="33"/>
      <x:c r="AB4" s="185"/>
      <x:c r="AC4" s="185"/>
      <x:c r="AD4" s="185"/>
      <x:c r="AE4" s="35"/>
      <x:c r="AF4" s="36"/>
      <x:c r="AG4" s="33"/>
      <x:c r="AH4" s="185"/>
      <x:c r="AI4" s="185"/>
      <x:c r="AJ4" s="185"/>
      <x:c r="AK4" s="35"/>
      <x:c r="AL4" s="36"/>
      <x:c r="AM4" s="33"/>
      <x:c r="AN4" s="185"/>
      <x:c r="AO4" s="185"/>
      <x:c r="AP4" s="185"/>
      <x:c r="AQ4" s="35"/>
      <x:c r="AR4" s="36"/>
      <x:c r="AS4" s="33"/>
      <x:c r="AT4" s="185"/>
      <x:c r="AU4" s="185"/>
      <x:c r="AV4" s="185"/>
      <x:c r="AW4" s="35"/>
      <x:c r="AX4" s="36"/>
      <x:c r="AY4" s="33"/>
      <x:c r="AZ4" s="185"/>
      <x:c r="BA4" s="185"/>
      <x:c r="BB4" s="185"/>
      <x:c r="BC4" s="35"/>
      <x:c r="BD4" s="36"/>
      <x:c r="BE4" s="33"/>
      <x:c r="BF4" s="185"/>
      <x:c r="BG4" s="185"/>
      <x:c r="BH4" s="185"/>
      <x:c r="BI4" s="35"/>
      <x:c r="BJ4" s="36"/>
      <x:c r="BK4" s="33"/>
      <x:c r="BL4" s="185"/>
      <x:c r="BM4" s="185"/>
      <x:c r="BN4" s="185"/>
      <x:c r="BO4" s="35"/>
      <x:c r="BP4" s="36"/>
      <x:c r="BQ4" s="33"/>
      <x:c r="BR4" s="185"/>
      <x:c r="BS4" s="185"/>
      <x:c r="BT4" s="185"/>
      <x:c r="BU4" s="35"/>
      <x:c r="BV4" s="36"/>
    </x:row>
    <x:row r="5" spans="1:74" x14ac:dyDescent="0.25">
      <x:c r="A5" s="32"/>
      <x:c r="B5" s="32"/>
      <x:c r="C5" s="33"/>
      <x:c r="D5" s="185"/>
      <x:c r="E5" s="185"/>
      <x:c r="F5" s="185"/>
      <x:c r="G5" s="185"/>
      <x:c r="H5" s="34"/>
      <x:c r="I5" s="33"/>
      <x:c r="J5" s="185"/>
      <x:c r="K5" s="185"/>
      <x:c r="L5" s="185"/>
      <x:c r="M5" s="35"/>
      <x:c r="N5" s="36"/>
      <x:c r="O5" s="33"/>
      <x:c r="P5" s="185"/>
      <x:c r="Q5" s="185"/>
      <x:c r="R5" s="185"/>
      <x:c r="S5" s="35"/>
      <x:c r="T5" s="36"/>
      <x:c r="U5" s="33"/>
      <x:c r="V5" s="185"/>
      <x:c r="W5" s="185"/>
      <x:c r="X5" s="185"/>
      <x:c r="Y5" s="35"/>
      <x:c r="Z5" s="36"/>
      <x:c r="AA5" s="33"/>
      <x:c r="AB5" s="185"/>
      <x:c r="AC5" s="185"/>
      <x:c r="AD5" s="185"/>
      <x:c r="AE5" s="35"/>
      <x:c r="AF5" s="36"/>
      <x:c r="AG5" s="33"/>
      <x:c r="AH5" s="185"/>
      <x:c r="AI5" s="185"/>
      <x:c r="AJ5" s="185"/>
      <x:c r="AK5" s="35"/>
      <x:c r="AL5" s="36"/>
      <x:c r="AM5" s="33"/>
      <x:c r="AN5" s="185"/>
      <x:c r="AO5" s="185"/>
      <x:c r="AP5" s="185"/>
      <x:c r="AQ5" s="35"/>
      <x:c r="AR5" s="36"/>
      <x:c r="AS5" s="33"/>
      <x:c r="AT5" s="185"/>
      <x:c r="AU5" s="185"/>
      <x:c r="AV5" s="185"/>
      <x:c r="AW5" s="35"/>
      <x:c r="AX5" s="36"/>
      <x:c r="AY5" s="33"/>
      <x:c r="AZ5" s="185"/>
      <x:c r="BA5" s="185"/>
      <x:c r="BB5" s="185"/>
      <x:c r="BC5" s="35"/>
      <x:c r="BD5" s="36"/>
      <x:c r="BE5" s="33"/>
      <x:c r="BF5" s="185"/>
      <x:c r="BG5" s="185"/>
      <x:c r="BH5" s="185"/>
      <x:c r="BI5" s="35"/>
      <x:c r="BJ5" s="36"/>
      <x:c r="BK5" s="33"/>
      <x:c r="BL5" s="185"/>
      <x:c r="BM5" s="185"/>
      <x:c r="BN5" s="185"/>
      <x:c r="BO5" s="35"/>
      <x:c r="BP5" s="36"/>
      <x:c r="BQ5" s="33"/>
      <x:c r="BR5" s="185"/>
      <x:c r="BS5" s="185"/>
      <x:c r="BT5" s="185"/>
      <x:c r="BU5" s="35"/>
      <x:c r="BV5" s="36"/>
    </x:row>
    <x:row r="6" spans="1:74" x14ac:dyDescent="0.25">
      <x:c r="A6" s="32"/>
      <x:c r="B6" s="32"/>
      <x:c r="C6" s="33"/>
      <x:c r="D6" s="185"/>
      <x:c r="E6" s="185"/>
      <x:c r="F6" s="185"/>
      <x:c r="G6" s="185"/>
      <x:c r="H6" s="34"/>
      <x:c r="I6" s="33"/>
      <x:c r="J6" s="185"/>
      <x:c r="K6" s="185"/>
      <x:c r="L6" s="185"/>
      <x:c r="M6" s="35"/>
      <x:c r="N6" s="36"/>
      <x:c r="O6" s="33"/>
      <x:c r="P6" s="185"/>
      <x:c r="Q6" s="185"/>
      <x:c r="R6" s="185"/>
      <x:c r="S6" s="35"/>
      <x:c r="T6" s="36"/>
      <x:c r="U6" s="33"/>
      <x:c r="V6" s="185"/>
      <x:c r="W6" s="185"/>
      <x:c r="X6" s="185"/>
      <x:c r="Y6" s="35"/>
      <x:c r="Z6" s="36"/>
      <x:c r="AA6" s="33"/>
      <x:c r="AB6" s="185"/>
      <x:c r="AC6" s="185"/>
      <x:c r="AD6" s="185"/>
      <x:c r="AE6" s="35"/>
      <x:c r="AF6" s="36"/>
      <x:c r="AG6" s="33"/>
      <x:c r="AH6" s="185"/>
      <x:c r="AI6" s="185"/>
      <x:c r="AJ6" s="185"/>
      <x:c r="AK6" s="35"/>
      <x:c r="AL6" s="36"/>
      <x:c r="AM6" s="33"/>
      <x:c r="AN6" s="185"/>
      <x:c r="AO6" s="185"/>
      <x:c r="AP6" s="185"/>
      <x:c r="AQ6" s="35"/>
      <x:c r="AR6" s="36"/>
      <x:c r="AS6" s="33"/>
      <x:c r="AT6" s="185"/>
      <x:c r="AU6" s="185"/>
      <x:c r="AV6" s="185"/>
      <x:c r="AW6" s="35"/>
      <x:c r="AX6" s="36"/>
      <x:c r="AY6" s="33"/>
      <x:c r="AZ6" s="185"/>
      <x:c r="BA6" s="185"/>
      <x:c r="BB6" s="185"/>
      <x:c r="BC6" s="35"/>
      <x:c r="BD6" s="36"/>
      <x:c r="BE6" s="33"/>
      <x:c r="BF6" s="185"/>
      <x:c r="BG6" s="185"/>
      <x:c r="BH6" s="185"/>
      <x:c r="BI6" s="35"/>
      <x:c r="BJ6" s="36"/>
      <x:c r="BK6" s="33"/>
      <x:c r="BL6" s="185"/>
      <x:c r="BM6" s="185"/>
      <x:c r="BN6" s="185"/>
      <x:c r="BO6" s="35"/>
      <x:c r="BP6" s="36"/>
      <x:c r="BQ6" s="33"/>
      <x:c r="BR6" s="185"/>
      <x:c r="BS6" s="185"/>
      <x:c r="BT6" s="185"/>
      <x:c r="BU6" s="35"/>
      <x:c r="BV6" s="36"/>
    </x:row>
    <x:row r="7" spans="1:74" x14ac:dyDescent="0.25">
      <x:c r="A7" s="32"/>
      <x:c r="B7" s="32"/>
      <x:c r="C7" s="33"/>
      <x:c r="D7" s="185"/>
      <x:c r="E7" s="185"/>
      <x:c r="F7" s="185"/>
      <x:c r="G7" s="185"/>
      <x:c r="H7" s="34"/>
      <x:c r="I7" s="33"/>
      <x:c r="J7" s="185"/>
      <x:c r="K7" s="185"/>
      <x:c r="L7" s="185"/>
      <x:c r="M7" s="35"/>
      <x:c r="N7" s="36"/>
      <x:c r="O7" s="33"/>
      <x:c r="P7" s="185"/>
      <x:c r="Q7" s="185"/>
      <x:c r="R7" s="185"/>
      <x:c r="S7" s="35"/>
      <x:c r="T7" s="36"/>
      <x:c r="U7" s="33"/>
      <x:c r="V7" s="185"/>
      <x:c r="W7" s="185"/>
      <x:c r="X7" s="185"/>
      <x:c r="Y7" s="35"/>
      <x:c r="Z7" s="36"/>
      <x:c r="AA7" s="33"/>
      <x:c r="AB7" s="185"/>
      <x:c r="AC7" s="185"/>
      <x:c r="AD7" s="185"/>
      <x:c r="AE7" s="35"/>
      <x:c r="AF7" s="36"/>
      <x:c r="AG7" s="33"/>
      <x:c r="AH7" s="185"/>
      <x:c r="AI7" s="185"/>
      <x:c r="AJ7" s="185"/>
      <x:c r="AK7" s="35"/>
      <x:c r="AL7" s="36"/>
      <x:c r="AM7" s="33"/>
      <x:c r="AN7" s="185"/>
      <x:c r="AO7" s="185"/>
      <x:c r="AP7" s="185"/>
      <x:c r="AQ7" s="35"/>
      <x:c r="AR7" s="36"/>
      <x:c r="AS7" s="33"/>
      <x:c r="AT7" s="185"/>
      <x:c r="AU7" s="185"/>
      <x:c r="AV7" s="185"/>
      <x:c r="AW7" s="35"/>
      <x:c r="AX7" s="36"/>
      <x:c r="AY7" s="33"/>
      <x:c r="AZ7" s="185"/>
      <x:c r="BA7" s="185"/>
      <x:c r="BB7" s="185"/>
      <x:c r="BC7" s="35"/>
      <x:c r="BD7" s="36"/>
      <x:c r="BE7" s="33"/>
      <x:c r="BF7" s="185"/>
      <x:c r="BG7" s="185"/>
      <x:c r="BH7" s="185"/>
      <x:c r="BI7" s="35"/>
      <x:c r="BJ7" s="36"/>
      <x:c r="BK7" s="33"/>
      <x:c r="BL7" s="185"/>
      <x:c r="BM7" s="185"/>
      <x:c r="BN7" s="185"/>
      <x:c r="BO7" s="35"/>
      <x:c r="BP7" s="36"/>
      <x:c r="BQ7" s="33"/>
      <x:c r="BR7" s="185"/>
      <x:c r="BS7" s="185"/>
      <x:c r="BT7" s="185"/>
      <x:c r="BU7" s="35"/>
      <x:c r="BV7" s="36"/>
    </x:row>
    <x:row r="8" spans="1:74" x14ac:dyDescent="0.25">
      <x:c r="A8" s="32"/>
      <x:c r="B8" s="32"/>
      <x:c r="C8" s="33"/>
      <x:c r="D8" s="185"/>
      <x:c r="E8" s="185"/>
      <x:c r="F8" s="185"/>
      <x:c r="G8" s="185"/>
      <x:c r="H8" s="34"/>
      <x:c r="I8" s="33"/>
      <x:c r="J8" s="185"/>
      <x:c r="K8" s="185"/>
      <x:c r="L8" s="185"/>
      <x:c r="M8" s="35"/>
      <x:c r="N8" s="36"/>
      <x:c r="O8" s="33"/>
      <x:c r="P8" s="185"/>
      <x:c r="Q8" s="185"/>
      <x:c r="R8" s="185"/>
      <x:c r="S8" s="35"/>
      <x:c r="T8" s="36"/>
      <x:c r="U8" s="33"/>
      <x:c r="V8" s="185"/>
      <x:c r="W8" s="185"/>
      <x:c r="X8" s="185"/>
      <x:c r="Y8" s="35"/>
      <x:c r="Z8" s="36"/>
      <x:c r="AA8" s="33"/>
      <x:c r="AB8" s="185"/>
      <x:c r="AC8" s="185"/>
      <x:c r="AD8" s="185"/>
      <x:c r="AE8" s="35"/>
      <x:c r="AF8" s="36"/>
      <x:c r="AG8" s="33"/>
      <x:c r="AH8" s="185"/>
      <x:c r="AI8" s="185"/>
      <x:c r="AJ8" s="185"/>
      <x:c r="AK8" s="35"/>
      <x:c r="AL8" s="36"/>
      <x:c r="AM8" s="33"/>
      <x:c r="AN8" s="185"/>
      <x:c r="AO8" s="185"/>
      <x:c r="AP8" s="185"/>
      <x:c r="AQ8" s="35"/>
      <x:c r="AR8" s="36"/>
      <x:c r="AS8" s="33"/>
      <x:c r="AT8" s="185"/>
      <x:c r="AU8" s="185"/>
      <x:c r="AV8" s="185"/>
      <x:c r="AW8" s="35"/>
      <x:c r="AX8" s="36"/>
      <x:c r="AY8" s="33"/>
      <x:c r="AZ8" s="185"/>
      <x:c r="BA8" s="185"/>
      <x:c r="BB8" s="185"/>
      <x:c r="BC8" s="35"/>
      <x:c r="BD8" s="36"/>
      <x:c r="BE8" s="33"/>
      <x:c r="BF8" s="185"/>
      <x:c r="BG8" s="185"/>
      <x:c r="BH8" s="185"/>
      <x:c r="BI8" s="35"/>
      <x:c r="BJ8" s="36"/>
      <x:c r="BK8" s="33"/>
      <x:c r="BL8" s="185"/>
      <x:c r="BM8" s="185"/>
      <x:c r="BN8" s="185"/>
      <x:c r="BO8" s="35"/>
      <x:c r="BP8" s="36"/>
      <x:c r="BQ8" s="33"/>
      <x:c r="BR8" s="185"/>
      <x:c r="BS8" s="185"/>
      <x:c r="BT8" s="185"/>
      <x:c r="BU8" s="35"/>
      <x:c r="BV8" s="36"/>
    </x:row>
    <x:row r="9" spans="1:74" x14ac:dyDescent="0.25">
      <x:c r="A9" s="32"/>
      <x:c r="B9" s="32"/>
      <x:c r="C9" s="33"/>
      <x:c r="D9" s="185"/>
      <x:c r="E9" s="185"/>
      <x:c r="F9" s="185"/>
      <x:c r="G9" s="185"/>
      <x:c r="H9" s="34"/>
      <x:c r="I9" s="33"/>
      <x:c r="J9" s="185"/>
      <x:c r="K9" s="185"/>
      <x:c r="L9" s="185"/>
      <x:c r="M9" s="35"/>
      <x:c r="N9" s="36"/>
      <x:c r="O9" s="33"/>
      <x:c r="P9" s="185"/>
      <x:c r="Q9" s="185"/>
      <x:c r="R9" s="185"/>
      <x:c r="S9" s="35"/>
      <x:c r="T9" s="36"/>
      <x:c r="U9" s="33"/>
      <x:c r="V9" s="185"/>
      <x:c r="W9" s="185"/>
      <x:c r="X9" s="185"/>
      <x:c r="Y9" s="35"/>
      <x:c r="Z9" s="36"/>
      <x:c r="AA9" s="33"/>
      <x:c r="AB9" s="185"/>
      <x:c r="AC9" s="185"/>
      <x:c r="AD9" s="185"/>
      <x:c r="AE9" s="35"/>
      <x:c r="AF9" s="36"/>
      <x:c r="AG9" s="33"/>
      <x:c r="AH9" s="185"/>
      <x:c r="AI9" s="185"/>
      <x:c r="AJ9" s="185"/>
      <x:c r="AK9" s="35"/>
      <x:c r="AL9" s="36"/>
      <x:c r="AM9" s="33"/>
      <x:c r="AN9" s="185"/>
      <x:c r="AO9" s="185"/>
      <x:c r="AP9" s="185"/>
      <x:c r="AQ9" s="35"/>
      <x:c r="AR9" s="36"/>
      <x:c r="AS9" s="33"/>
      <x:c r="AT9" s="185"/>
      <x:c r="AU9" s="185"/>
      <x:c r="AV9" s="185"/>
      <x:c r="AW9" s="35"/>
      <x:c r="AX9" s="36"/>
      <x:c r="AY9" s="33"/>
      <x:c r="AZ9" s="185"/>
      <x:c r="BA9" s="185"/>
      <x:c r="BB9" s="185"/>
      <x:c r="BC9" s="35"/>
      <x:c r="BD9" s="36"/>
      <x:c r="BE9" s="33"/>
      <x:c r="BF9" s="185"/>
      <x:c r="BG9" s="185"/>
      <x:c r="BH9" s="185"/>
      <x:c r="BI9" s="35"/>
      <x:c r="BJ9" s="36"/>
      <x:c r="BK9" s="33"/>
      <x:c r="BL9" s="185"/>
      <x:c r="BM9" s="185"/>
      <x:c r="BN9" s="185"/>
      <x:c r="BO9" s="35"/>
      <x:c r="BP9" s="36"/>
      <x:c r="BQ9" s="33"/>
      <x:c r="BR9" s="185"/>
      <x:c r="BS9" s="185"/>
      <x:c r="BT9" s="185"/>
      <x:c r="BU9" s="35"/>
      <x:c r="BV9" s="36"/>
    </x:row>
    <x:row r="10" spans="1:74" x14ac:dyDescent="0.25">
      <x:c r="A10" s="32"/>
      <x:c r="B10" s="32"/>
      <x:c r="C10" s="33"/>
      <x:c r="D10" s="185"/>
      <x:c r="E10" s="185"/>
      <x:c r="F10" s="185"/>
      <x:c r="G10" s="185"/>
      <x:c r="H10" s="34"/>
      <x:c r="I10" s="33"/>
      <x:c r="J10" s="185"/>
      <x:c r="K10" s="185"/>
      <x:c r="L10" s="185"/>
      <x:c r="M10" s="35"/>
      <x:c r="N10" s="36"/>
      <x:c r="O10" s="33"/>
      <x:c r="P10" s="185"/>
      <x:c r="Q10" s="185"/>
      <x:c r="R10" s="185"/>
      <x:c r="S10" s="35"/>
      <x:c r="T10" s="36"/>
      <x:c r="U10" s="33"/>
      <x:c r="V10" s="185"/>
      <x:c r="W10" s="185"/>
      <x:c r="X10" s="185"/>
      <x:c r="Y10" s="35"/>
      <x:c r="Z10" s="36"/>
      <x:c r="AA10" s="33"/>
      <x:c r="AB10" s="185"/>
      <x:c r="AC10" s="185"/>
      <x:c r="AD10" s="185"/>
      <x:c r="AE10" s="35"/>
      <x:c r="AF10" s="36"/>
      <x:c r="AG10" s="33"/>
      <x:c r="AH10" s="185"/>
      <x:c r="AI10" s="185"/>
      <x:c r="AJ10" s="185"/>
      <x:c r="AK10" s="35"/>
      <x:c r="AL10" s="36"/>
      <x:c r="AM10" s="33"/>
      <x:c r="AN10" s="185"/>
      <x:c r="AO10" s="185"/>
      <x:c r="AP10" s="185"/>
      <x:c r="AQ10" s="35"/>
      <x:c r="AR10" s="36"/>
      <x:c r="AS10" s="33"/>
      <x:c r="AT10" s="185"/>
      <x:c r="AU10" s="185"/>
      <x:c r="AV10" s="185"/>
      <x:c r="AW10" s="35"/>
      <x:c r="AX10" s="36"/>
      <x:c r="AY10" s="33"/>
      <x:c r="AZ10" s="185"/>
      <x:c r="BA10" s="185"/>
      <x:c r="BB10" s="185"/>
      <x:c r="BC10" s="35"/>
      <x:c r="BD10" s="36"/>
      <x:c r="BE10" s="33"/>
      <x:c r="BF10" s="185"/>
      <x:c r="BG10" s="185"/>
      <x:c r="BH10" s="185"/>
      <x:c r="BI10" s="35"/>
      <x:c r="BJ10" s="36"/>
      <x:c r="BK10" s="33"/>
      <x:c r="BL10" s="185"/>
      <x:c r="BM10" s="185"/>
      <x:c r="BN10" s="185"/>
      <x:c r="BO10" s="35"/>
      <x:c r="BP10" s="36"/>
      <x:c r="BQ10" s="33"/>
      <x:c r="BR10" s="185"/>
      <x:c r="BS10" s="185"/>
      <x:c r="BT10" s="185"/>
      <x:c r="BU10" s="35"/>
      <x:c r="BV10" s="36"/>
    </x:row>
    <x:row r="11" spans="1:74" x14ac:dyDescent="0.25">
      <x:c r="A11" s="32"/>
      <x:c r="B11" s="32"/>
      <x:c r="C11" s="33"/>
      <x:c r="D11" s="185"/>
      <x:c r="E11" s="185"/>
      <x:c r="F11" s="185"/>
      <x:c r="G11" s="185"/>
      <x:c r="H11" s="34"/>
      <x:c r="I11" s="33"/>
      <x:c r="J11" s="185"/>
      <x:c r="K11" s="185"/>
      <x:c r="L11" s="185"/>
      <x:c r="M11" s="35"/>
      <x:c r="N11" s="36"/>
      <x:c r="O11" s="33"/>
      <x:c r="P11" s="185"/>
      <x:c r="Q11" s="185"/>
      <x:c r="R11" s="185"/>
      <x:c r="S11" s="35"/>
      <x:c r="T11" s="36"/>
      <x:c r="U11" s="33"/>
      <x:c r="V11" s="185"/>
      <x:c r="W11" s="185"/>
      <x:c r="X11" s="185"/>
      <x:c r="Y11" s="35"/>
      <x:c r="Z11" s="36"/>
      <x:c r="AA11" s="33"/>
      <x:c r="AB11" s="185"/>
      <x:c r="AC11" s="185"/>
      <x:c r="AD11" s="185"/>
      <x:c r="AE11" s="35"/>
      <x:c r="AF11" s="36"/>
      <x:c r="AG11" s="33"/>
      <x:c r="AH11" s="185"/>
      <x:c r="AI11" s="185"/>
      <x:c r="AJ11" s="185"/>
      <x:c r="AK11" s="35"/>
      <x:c r="AL11" s="36"/>
      <x:c r="AM11" s="33"/>
      <x:c r="AN11" s="185"/>
      <x:c r="AO11" s="185"/>
      <x:c r="AP11" s="185"/>
      <x:c r="AQ11" s="35"/>
      <x:c r="AR11" s="36"/>
      <x:c r="AS11" s="33"/>
      <x:c r="AT11" s="185"/>
      <x:c r="AU11" s="185"/>
      <x:c r="AV11" s="185"/>
      <x:c r="AW11" s="35"/>
      <x:c r="AX11" s="36"/>
      <x:c r="AY11" s="33"/>
      <x:c r="AZ11" s="185"/>
      <x:c r="BA11" s="185"/>
      <x:c r="BB11" s="185"/>
      <x:c r="BC11" s="35"/>
      <x:c r="BD11" s="36"/>
      <x:c r="BE11" s="33"/>
      <x:c r="BF11" s="185"/>
      <x:c r="BG11" s="185"/>
      <x:c r="BH11" s="185"/>
      <x:c r="BI11" s="35"/>
      <x:c r="BJ11" s="36"/>
      <x:c r="BK11" s="33"/>
      <x:c r="BL11" s="185"/>
      <x:c r="BM11" s="185"/>
      <x:c r="BN11" s="185"/>
      <x:c r="BO11" s="35"/>
      <x:c r="BP11" s="36"/>
      <x:c r="BQ11" s="33"/>
      <x:c r="BR11" s="185"/>
      <x:c r="BS11" s="185"/>
      <x:c r="BT11" s="185"/>
      <x:c r="BU11" s="35"/>
      <x:c r="BV11" s="36"/>
    </x:row>
    <x:row r="12" spans="1:74" x14ac:dyDescent="0.25">
      <x:c r="A12" s="32"/>
      <x:c r="B12" s="32"/>
      <x:c r="C12" s="33"/>
      <x:c r="D12" s="185"/>
      <x:c r="E12" s="185"/>
      <x:c r="F12" s="185"/>
      <x:c r="G12" s="185"/>
      <x:c r="H12" s="34"/>
      <x:c r="I12" s="33"/>
      <x:c r="J12" s="185"/>
      <x:c r="K12" s="185"/>
      <x:c r="L12" s="185"/>
      <x:c r="M12" s="35"/>
      <x:c r="N12" s="36"/>
      <x:c r="O12" s="33"/>
      <x:c r="P12" s="185"/>
      <x:c r="Q12" s="185"/>
      <x:c r="R12" s="185"/>
      <x:c r="S12" s="35"/>
      <x:c r="T12" s="36"/>
      <x:c r="U12" s="33"/>
      <x:c r="V12" s="185"/>
      <x:c r="W12" s="185"/>
      <x:c r="X12" s="185"/>
      <x:c r="Y12" s="35"/>
      <x:c r="Z12" s="36"/>
      <x:c r="AA12" s="33"/>
      <x:c r="AB12" s="185"/>
      <x:c r="AC12" s="185"/>
      <x:c r="AD12" s="185"/>
      <x:c r="AE12" s="35"/>
      <x:c r="AF12" s="36"/>
      <x:c r="AG12" s="33"/>
      <x:c r="AH12" s="185"/>
      <x:c r="AI12" s="185"/>
      <x:c r="AJ12" s="185"/>
      <x:c r="AK12" s="35"/>
      <x:c r="AL12" s="36"/>
      <x:c r="AM12" s="33"/>
      <x:c r="AN12" s="185"/>
      <x:c r="AO12" s="185"/>
      <x:c r="AP12" s="185"/>
      <x:c r="AQ12" s="35"/>
      <x:c r="AR12" s="36"/>
      <x:c r="AS12" s="33"/>
      <x:c r="AT12" s="185"/>
      <x:c r="AU12" s="185"/>
      <x:c r="AV12" s="185"/>
      <x:c r="AW12" s="35"/>
      <x:c r="AX12" s="36"/>
      <x:c r="AY12" s="33"/>
      <x:c r="AZ12" s="185"/>
      <x:c r="BA12" s="185"/>
      <x:c r="BB12" s="185"/>
      <x:c r="BC12" s="35"/>
      <x:c r="BD12" s="36"/>
      <x:c r="BE12" s="33"/>
      <x:c r="BF12" s="185"/>
      <x:c r="BG12" s="185"/>
      <x:c r="BH12" s="185"/>
      <x:c r="BI12" s="35"/>
      <x:c r="BJ12" s="36"/>
      <x:c r="BK12" s="33"/>
      <x:c r="BL12" s="185"/>
      <x:c r="BM12" s="185"/>
      <x:c r="BN12" s="185"/>
      <x:c r="BO12" s="35"/>
      <x:c r="BP12" s="36"/>
      <x:c r="BQ12" s="33"/>
      <x:c r="BR12" s="185"/>
      <x:c r="BS12" s="185"/>
      <x:c r="BT12" s="185"/>
      <x:c r="BU12" s="35"/>
      <x:c r="BV12" s="36"/>
    </x:row>
    <x:row r="13" spans="1:74" x14ac:dyDescent="0.25">
      <x:c r="A13" s="32"/>
      <x:c r="B13" s="32"/>
      <x:c r="C13" s="33"/>
      <x:c r="D13" s="185"/>
      <x:c r="E13" s="185"/>
      <x:c r="F13" s="185"/>
      <x:c r="G13" s="185"/>
      <x:c r="H13" s="34"/>
      <x:c r="I13" s="33"/>
      <x:c r="J13" s="185"/>
      <x:c r="K13" s="185"/>
      <x:c r="L13" s="185"/>
      <x:c r="M13" s="35"/>
      <x:c r="N13" s="36"/>
      <x:c r="O13" s="33"/>
      <x:c r="P13" s="185"/>
      <x:c r="Q13" s="185"/>
      <x:c r="R13" s="185"/>
      <x:c r="S13" s="35"/>
      <x:c r="T13" s="36"/>
      <x:c r="U13" s="33"/>
      <x:c r="V13" s="185"/>
      <x:c r="W13" s="185"/>
      <x:c r="X13" s="185"/>
      <x:c r="Y13" s="35"/>
      <x:c r="Z13" s="36"/>
      <x:c r="AA13" s="33"/>
      <x:c r="AB13" s="185"/>
      <x:c r="AC13" s="185"/>
      <x:c r="AD13" s="185"/>
      <x:c r="AE13" s="35"/>
      <x:c r="AF13" s="36"/>
      <x:c r="AG13" s="33"/>
      <x:c r="AH13" s="185"/>
      <x:c r="AI13" s="185"/>
      <x:c r="AJ13" s="185"/>
      <x:c r="AK13" s="35"/>
      <x:c r="AL13" s="36"/>
      <x:c r="AM13" s="33"/>
      <x:c r="AN13" s="185"/>
      <x:c r="AO13" s="185"/>
      <x:c r="AP13" s="185"/>
      <x:c r="AQ13" s="35"/>
      <x:c r="AR13" s="36"/>
      <x:c r="AS13" s="33"/>
      <x:c r="AT13" s="185"/>
      <x:c r="AU13" s="185"/>
      <x:c r="AV13" s="185"/>
      <x:c r="AW13" s="35"/>
      <x:c r="AX13" s="36"/>
      <x:c r="AY13" s="33"/>
      <x:c r="AZ13" s="185"/>
      <x:c r="BA13" s="185"/>
      <x:c r="BB13" s="185"/>
      <x:c r="BC13" s="35"/>
      <x:c r="BD13" s="36"/>
      <x:c r="BE13" s="33"/>
      <x:c r="BF13" s="185"/>
      <x:c r="BG13" s="185"/>
      <x:c r="BH13" s="185"/>
      <x:c r="BI13" s="35"/>
      <x:c r="BJ13" s="36"/>
      <x:c r="BK13" s="33"/>
      <x:c r="BL13" s="185"/>
      <x:c r="BM13" s="185"/>
      <x:c r="BN13" s="185"/>
      <x:c r="BO13" s="35"/>
      <x:c r="BP13" s="36"/>
      <x:c r="BQ13" s="33"/>
      <x:c r="BR13" s="185"/>
      <x:c r="BS13" s="185"/>
      <x:c r="BT13" s="185"/>
      <x:c r="BU13" s="35"/>
      <x:c r="BV13" s="36"/>
    </x:row>
    <x:row r="14" spans="1:74" x14ac:dyDescent="0.25">
      <x:c r="A14" s="32"/>
      <x:c r="B14" s="32"/>
      <x:c r="C14" s="33"/>
      <x:c r="D14" s="185"/>
      <x:c r="E14" s="185"/>
      <x:c r="F14" s="185"/>
      <x:c r="G14" s="185"/>
      <x:c r="H14" s="34"/>
      <x:c r="I14" s="33"/>
      <x:c r="J14" s="185"/>
      <x:c r="K14" s="185"/>
      <x:c r="L14" s="185"/>
      <x:c r="M14" s="35"/>
      <x:c r="N14" s="36"/>
      <x:c r="O14" s="33"/>
      <x:c r="P14" s="185"/>
      <x:c r="Q14" s="185"/>
      <x:c r="R14" s="185"/>
      <x:c r="S14" s="35"/>
      <x:c r="T14" s="36"/>
      <x:c r="U14" s="33"/>
      <x:c r="V14" s="185"/>
      <x:c r="W14" s="185"/>
      <x:c r="X14" s="185"/>
      <x:c r="Y14" s="35"/>
      <x:c r="Z14" s="36"/>
      <x:c r="AA14" s="33"/>
      <x:c r="AB14" s="185"/>
      <x:c r="AC14" s="185"/>
      <x:c r="AD14" s="185"/>
      <x:c r="AE14" s="35"/>
      <x:c r="AF14" s="36"/>
      <x:c r="AG14" s="33"/>
      <x:c r="AH14" s="185"/>
      <x:c r="AI14" s="185"/>
      <x:c r="AJ14" s="185"/>
      <x:c r="AK14" s="35"/>
      <x:c r="AL14" s="36"/>
      <x:c r="AM14" s="33"/>
      <x:c r="AN14" s="185"/>
      <x:c r="AO14" s="185"/>
      <x:c r="AP14" s="185"/>
      <x:c r="AQ14" s="35"/>
      <x:c r="AR14" s="36"/>
      <x:c r="AS14" s="33"/>
      <x:c r="AT14" s="185"/>
      <x:c r="AU14" s="185"/>
      <x:c r="AV14" s="185"/>
      <x:c r="AW14" s="35"/>
      <x:c r="AX14" s="36"/>
      <x:c r="AY14" s="33"/>
      <x:c r="AZ14" s="185"/>
      <x:c r="BA14" s="185"/>
      <x:c r="BB14" s="185"/>
      <x:c r="BC14" s="35"/>
      <x:c r="BD14" s="36"/>
      <x:c r="BE14" s="33"/>
      <x:c r="BF14" s="185"/>
      <x:c r="BG14" s="185"/>
      <x:c r="BH14" s="185"/>
      <x:c r="BI14" s="35"/>
      <x:c r="BJ14" s="36"/>
      <x:c r="BK14" s="33"/>
      <x:c r="BL14" s="185"/>
      <x:c r="BM14" s="185"/>
      <x:c r="BN14" s="185"/>
      <x:c r="BO14" s="35"/>
      <x:c r="BP14" s="36"/>
      <x:c r="BQ14" s="33"/>
      <x:c r="BR14" s="185"/>
      <x:c r="BS14" s="185"/>
      <x:c r="BT14" s="185"/>
      <x:c r="BU14" s="35"/>
      <x:c r="BV14" s="36"/>
    </x:row>
    <x:row r="15" spans="1:74" x14ac:dyDescent="0.25">
      <x:c r="A15" s="32"/>
      <x:c r="B15" s="32"/>
      <x:c r="C15" s="33"/>
      <x:c r="D15" s="185"/>
      <x:c r="E15" s="185"/>
      <x:c r="F15" s="185"/>
      <x:c r="G15" s="185"/>
      <x:c r="H15" s="34"/>
      <x:c r="I15" s="33"/>
      <x:c r="J15" s="185"/>
      <x:c r="K15" s="185"/>
      <x:c r="L15" s="185"/>
      <x:c r="M15" s="35"/>
      <x:c r="N15" s="36"/>
      <x:c r="O15" s="33"/>
      <x:c r="P15" s="185"/>
      <x:c r="Q15" s="185"/>
      <x:c r="R15" s="185"/>
      <x:c r="S15" s="35"/>
      <x:c r="T15" s="36"/>
      <x:c r="U15" s="33"/>
      <x:c r="V15" s="185"/>
      <x:c r="W15" s="185"/>
      <x:c r="X15" s="185"/>
      <x:c r="Y15" s="35"/>
      <x:c r="Z15" s="36"/>
      <x:c r="AA15" s="33"/>
      <x:c r="AB15" s="185"/>
      <x:c r="AC15" s="185"/>
      <x:c r="AD15" s="185"/>
      <x:c r="AE15" s="35"/>
      <x:c r="AF15" s="36"/>
      <x:c r="AG15" s="33"/>
      <x:c r="AH15" s="185"/>
      <x:c r="AI15" s="185"/>
      <x:c r="AJ15" s="185"/>
      <x:c r="AK15" s="35"/>
      <x:c r="AL15" s="36"/>
      <x:c r="AM15" s="33"/>
      <x:c r="AN15" s="185"/>
      <x:c r="AO15" s="185"/>
      <x:c r="AP15" s="185"/>
      <x:c r="AQ15" s="35"/>
      <x:c r="AR15" s="36"/>
      <x:c r="AS15" s="33"/>
      <x:c r="AT15" s="185"/>
      <x:c r="AU15" s="185"/>
      <x:c r="AV15" s="185"/>
      <x:c r="AW15" s="35"/>
      <x:c r="AX15" s="36"/>
      <x:c r="AY15" s="33"/>
      <x:c r="AZ15" s="185"/>
      <x:c r="BA15" s="185"/>
      <x:c r="BB15" s="185"/>
      <x:c r="BC15" s="35"/>
      <x:c r="BD15" s="36"/>
      <x:c r="BE15" s="33"/>
      <x:c r="BF15" s="185"/>
      <x:c r="BG15" s="185"/>
      <x:c r="BH15" s="185"/>
      <x:c r="BI15" s="35"/>
      <x:c r="BJ15" s="36"/>
      <x:c r="BK15" s="33"/>
      <x:c r="BL15" s="185"/>
      <x:c r="BM15" s="185"/>
      <x:c r="BN15" s="185"/>
      <x:c r="BO15" s="35"/>
      <x:c r="BP15" s="36"/>
      <x:c r="BQ15" s="33"/>
      <x:c r="BR15" s="185"/>
      <x:c r="BS15" s="185"/>
      <x:c r="BT15" s="185"/>
      <x:c r="BU15" s="35"/>
      <x:c r="BV15" s="36"/>
    </x:row>
    <x:row r="16" spans="1:74" x14ac:dyDescent="0.25">
      <x:c r="A16" s="32"/>
      <x:c r="B16" s="32"/>
      <x:c r="C16" s="33"/>
      <x:c r="D16" s="185"/>
      <x:c r="E16" s="185"/>
      <x:c r="F16" s="185"/>
      <x:c r="G16" s="185"/>
      <x:c r="H16" s="34"/>
      <x:c r="I16" s="33"/>
      <x:c r="J16" s="185"/>
      <x:c r="K16" s="185"/>
      <x:c r="L16" s="185"/>
      <x:c r="M16" s="35"/>
      <x:c r="N16" s="36"/>
      <x:c r="O16" s="33"/>
      <x:c r="P16" s="185"/>
      <x:c r="Q16" s="185"/>
      <x:c r="R16" s="185"/>
      <x:c r="S16" s="35"/>
      <x:c r="T16" s="36"/>
      <x:c r="U16" s="33"/>
      <x:c r="V16" s="185"/>
      <x:c r="W16" s="185"/>
      <x:c r="X16" s="185"/>
      <x:c r="Y16" s="35"/>
      <x:c r="Z16" s="36"/>
      <x:c r="AA16" s="33"/>
      <x:c r="AB16" s="185"/>
      <x:c r="AC16" s="185"/>
      <x:c r="AD16" s="185"/>
      <x:c r="AE16" s="35"/>
      <x:c r="AF16" s="36"/>
      <x:c r="AG16" s="33"/>
      <x:c r="AH16" s="185"/>
      <x:c r="AI16" s="185"/>
      <x:c r="AJ16" s="185"/>
      <x:c r="AK16" s="35"/>
      <x:c r="AL16" s="36"/>
      <x:c r="AM16" s="33"/>
      <x:c r="AN16" s="185"/>
      <x:c r="AO16" s="185"/>
      <x:c r="AP16" s="185"/>
      <x:c r="AQ16" s="35"/>
      <x:c r="AR16" s="36"/>
      <x:c r="AS16" s="33"/>
      <x:c r="AT16" s="185"/>
      <x:c r="AU16" s="185"/>
      <x:c r="AV16" s="185"/>
      <x:c r="AW16" s="35"/>
      <x:c r="AX16" s="36"/>
      <x:c r="AY16" s="33"/>
      <x:c r="AZ16" s="185"/>
      <x:c r="BA16" s="185"/>
      <x:c r="BB16" s="185"/>
      <x:c r="BC16" s="35"/>
      <x:c r="BD16" s="36"/>
      <x:c r="BE16" s="33"/>
      <x:c r="BF16" s="185"/>
      <x:c r="BG16" s="185"/>
      <x:c r="BH16" s="185"/>
      <x:c r="BI16" s="35"/>
      <x:c r="BJ16" s="36"/>
      <x:c r="BK16" s="33"/>
      <x:c r="BL16" s="185"/>
      <x:c r="BM16" s="185"/>
      <x:c r="BN16" s="185"/>
      <x:c r="BO16" s="35"/>
      <x:c r="BP16" s="36"/>
      <x:c r="BQ16" s="33"/>
      <x:c r="BR16" s="185"/>
      <x:c r="BS16" s="185"/>
      <x:c r="BT16" s="185"/>
      <x:c r="BU16" s="35"/>
      <x:c r="BV16" s="36"/>
    </x:row>
    <x:row r="17" spans="1:74" x14ac:dyDescent="0.25">
      <x:c r="A17" s="32"/>
      <x:c r="B17" s="32"/>
      <x:c r="C17" s="33"/>
      <x:c r="D17" s="185"/>
      <x:c r="E17" s="185"/>
      <x:c r="F17" s="185"/>
      <x:c r="G17" s="185"/>
      <x:c r="H17" s="34"/>
      <x:c r="I17" s="33"/>
      <x:c r="J17" s="185"/>
      <x:c r="K17" s="185"/>
      <x:c r="L17" s="185"/>
      <x:c r="M17" s="35"/>
      <x:c r="N17" s="36"/>
      <x:c r="O17" s="33"/>
      <x:c r="P17" s="185"/>
      <x:c r="Q17" s="185"/>
      <x:c r="R17" s="185"/>
      <x:c r="S17" s="35"/>
      <x:c r="T17" s="36"/>
      <x:c r="U17" s="33"/>
      <x:c r="V17" s="185"/>
      <x:c r="W17" s="185"/>
      <x:c r="X17" s="185"/>
      <x:c r="Y17" s="35"/>
      <x:c r="Z17" s="36"/>
      <x:c r="AA17" s="33"/>
      <x:c r="AB17" s="185"/>
      <x:c r="AC17" s="185"/>
      <x:c r="AD17" s="185"/>
      <x:c r="AE17" s="35"/>
      <x:c r="AF17" s="36"/>
      <x:c r="AG17" s="33"/>
      <x:c r="AH17" s="185"/>
      <x:c r="AI17" s="185"/>
      <x:c r="AJ17" s="185"/>
      <x:c r="AK17" s="35"/>
      <x:c r="AL17" s="36"/>
      <x:c r="AM17" s="33"/>
      <x:c r="AN17" s="185"/>
      <x:c r="AO17" s="185"/>
      <x:c r="AP17" s="185"/>
      <x:c r="AQ17" s="35"/>
      <x:c r="AR17" s="36"/>
      <x:c r="AS17" s="33"/>
      <x:c r="AT17" s="185"/>
      <x:c r="AU17" s="185"/>
      <x:c r="AV17" s="185"/>
      <x:c r="AW17" s="35"/>
      <x:c r="AX17" s="36"/>
      <x:c r="AY17" s="33"/>
      <x:c r="AZ17" s="185"/>
      <x:c r="BA17" s="185"/>
      <x:c r="BB17" s="185"/>
      <x:c r="BC17" s="35"/>
      <x:c r="BD17" s="36"/>
      <x:c r="BE17" s="33"/>
      <x:c r="BF17" s="185"/>
      <x:c r="BG17" s="185"/>
      <x:c r="BH17" s="185"/>
      <x:c r="BI17" s="35"/>
      <x:c r="BJ17" s="36"/>
      <x:c r="BK17" s="33"/>
      <x:c r="BL17" s="185"/>
      <x:c r="BM17" s="185"/>
      <x:c r="BN17" s="185"/>
      <x:c r="BO17" s="35"/>
      <x:c r="BP17" s="36"/>
      <x:c r="BQ17" s="33"/>
      <x:c r="BR17" s="185"/>
      <x:c r="BS17" s="185"/>
      <x:c r="BT17" s="185"/>
      <x:c r="BU17" s="35"/>
      <x:c r="BV17" s="36"/>
    </x:row>
    <x:row r="18" spans="1:74" x14ac:dyDescent="0.25">
      <x:c r="A18" s="32"/>
      <x:c r="B18" s="32"/>
      <x:c r="C18" s="33"/>
      <x:c r="D18" s="185"/>
      <x:c r="E18" s="185"/>
      <x:c r="F18" s="185"/>
      <x:c r="G18" s="185"/>
      <x:c r="H18" s="34"/>
      <x:c r="I18" s="33"/>
      <x:c r="J18" s="185"/>
      <x:c r="K18" s="185"/>
      <x:c r="L18" s="185"/>
      <x:c r="M18" s="35"/>
      <x:c r="N18" s="36"/>
      <x:c r="O18" s="33"/>
      <x:c r="P18" s="185"/>
      <x:c r="Q18" s="185"/>
      <x:c r="R18" s="185"/>
      <x:c r="S18" s="35"/>
      <x:c r="T18" s="36"/>
      <x:c r="U18" s="33"/>
      <x:c r="V18" s="185"/>
      <x:c r="W18" s="185"/>
      <x:c r="X18" s="185"/>
      <x:c r="Y18" s="35"/>
      <x:c r="Z18" s="36"/>
      <x:c r="AA18" s="33"/>
      <x:c r="AB18" s="185"/>
      <x:c r="AC18" s="185"/>
      <x:c r="AD18" s="185"/>
      <x:c r="AE18" s="35"/>
      <x:c r="AF18" s="36"/>
      <x:c r="AG18" s="33"/>
      <x:c r="AH18" s="185"/>
      <x:c r="AI18" s="185"/>
      <x:c r="AJ18" s="185"/>
      <x:c r="AK18" s="35"/>
      <x:c r="AL18" s="36"/>
      <x:c r="AM18" s="33"/>
      <x:c r="AN18" s="185"/>
      <x:c r="AO18" s="185"/>
      <x:c r="AP18" s="185"/>
      <x:c r="AQ18" s="35"/>
      <x:c r="AR18" s="36"/>
      <x:c r="AS18" s="33"/>
      <x:c r="AT18" s="185"/>
      <x:c r="AU18" s="185"/>
      <x:c r="AV18" s="185"/>
      <x:c r="AW18" s="35"/>
      <x:c r="AX18" s="36"/>
      <x:c r="AY18" s="33"/>
      <x:c r="AZ18" s="185"/>
      <x:c r="BA18" s="185"/>
      <x:c r="BB18" s="185"/>
      <x:c r="BC18" s="35"/>
      <x:c r="BD18" s="36"/>
      <x:c r="BE18" s="33"/>
      <x:c r="BF18" s="185"/>
      <x:c r="BG18" s="185"/>
      <x:c r="BH18" s="185"/>
      <x:c r="BI18" s="35"/>
      <x:c r="BJ18" s="36"/>
      <x:c r="BK18" s="33"/>
      <x:c r="BL18" s="185"/>
      <x:c r="BM18" s="185"/>
      <x:c r="BN18" s="185"/>
      <x:c r="BO18" s="35"/>
      <x:c r="BP18" s="36"/>
      <x:c r="BQ18" s="33"/>
      <x:c r="BR18" s="185"/>
      <x:c r="BS18" s="185"/>
      <x:c r="BT18" s="185"/>
      <x:c r="BU18" s="35"/>
      <x:c r="BV18" s="36"/>
    </x:row>
    <x:row r="19" spans="1:74" x14ac:dyDescent="0.25">
      <x:c r="A19" s="32"/>
      <x:c r="B19" s="32"/>
      <x:c r="C19" s="33"/>
      <x:c r="D19" s="185"/>
      <x:c r="E19" s="185"/>
      <x:c r="F19" s="185"/>
      <x:c r="G19" s="185"/>
      <x:c r="H19" s="34"/>
      <x:c r="I19" s="33"/>
      <x:c r="J19" s="185"/>
      <x:c r="K19" s="185"/>
      <x:c r="L19" s="185"/>
      <x:c r="M19" s="35"/>
      <x:c r="N19" s="36"/>
      <x:c r="O19" s="33"/>
      <x:c r="P19" s="185"/>
      <x:c r="Q19" s="185"/>
      <x:c r="R19" s="185"/>
      <x:c r="S19" s="35"/>
      <x:c r="T19" s="36"/>
      <x:c r="U19" s="33"/>
      <x:c r="V19" s="185"/>
      <x:c r="W19" s="185"/>
      <x:c r="X19" s="185"/>
      <x:c r="Y19" s="35"/>
      <x:c r="Z19" s="36"/>
      <x:c r="AA19" s="33"/>
      <x:c r="AB19" s="185"/>
      <x:c r="AC19" s="185"/>
      <x:c r="AD19" s="185"/>
      <x:c r="AE19" s="35"/>
      <x:c r="AF19" s="36"/>
      <x:c r="AG19" s="33"/>
      <x:c r="AH19" s="185"/>
      <x:c r="AI19" s="185"/>
      <x:c r="AJ19" s="185"/>
      <x:c r="AK19" s="35"/>
      <x:c r="AL19" s="36"/>
      <x:c r="AM19" s="33"/>
      <x:c r="AN19" s="185"/>
      <x:c r="AO19" s="185"/>
      <x:c r="AP19" s="185"/>
      <x:c r="AQ19" s="35"/>
      <x:c r="AR19" s="36"/>
      <x:c r="AS19" s="33"/>
      <x:c r="AT19" s="185"/>
      <x:c r="AU19" s="185"/>
      <x:c r="AV19" s="185"/>
      <x:c r="AW19" s="35"/>
      <x:c r="AX19" s="36"/>
      <x:c r="AY19" s="33"/>
      <x:c r="AZ19" s="185"/>
      <x:c r="BA19" s="185"/>
      <x:c r="BB19" s="185"/>
      <x:c r="BC19" s="35"/>
      <x:c r="BD19" s="36"/>
      <x:c r="BE19" s="33"/>
      <x:c r="BF19" s="185"/>
      <x:c r="BG19" s="185"/>
      <x:c r="BH19" s="185"/>
      <x:c r="BI19" s="35"/>
      <x:c r="BJ19" s="36"/>
      <x:c r="BK19" s="33"/>
      <x:c r="BL19" s="185"/>
      <x:c r="BM19" s="185"/>
      <x:c r="BN19" s="185"/>
      <x:c r="BO19" s="35"/>
      <x:c r="BP19" s="36"/>
      <x:c r="BQ19" s="33"/>
      <x:c r="BR19" s="185"/>
      <x:c r="BS19" s="185"/>
      <x:c r="BT19" s="185"/>
      <x:c r="BU19" s="35"/>
      <x:c r="BV19" s="36"/>
    </x:row>
    <x:row r="20" spans="1:74" x14ac:dyDescent="0.25">
      <x:c r="A20" s="32"/>
      <x:c r="B20" s="32"/>
      <x:c r="C20" s="33"/>
      <x:c r="D20" s="185"/>
      <x:c r="E20" s="185"/>
      <x:c r="F20" s="185"/>
      <x:c r="G20" s="185"/>
      <x:c r="H20" s="34"/>
      <x:c r="I20" s="33"/>
      <x:c r="J20" s="185"/>
      <x:c r="K20" s="185"/>
      <x:c r="L20" s="185"/>
      <x:c r="M20" s="35"/>
      <x:c r="N20" s="36"/>
      <x:c r="O20" s="33"/>
      <x:c r="P20" s="185"/>
      <x:c r="Q20" s="185"/>
      <x:c r="R20" s="185"/>
      <x:c r="S20" s="35"/>
      <x:c r="T20" s="36"/>
      <x:c r="U20" s="33"/>
      <x:c r="V20" s="185"/>
      <x:c r="W20" s="185"/>
      <x:c r="X20" s="185"/>
      <x:c r="Y20" s="35"/>
      <x:c r="Z20" s="36"/>
      <x:c r="AA20" s="33"/>
      <x:c r="AB20" s="185"/>
      <x:c r="AC20" s="185"/>
      <x:c r="AD20" s="185"/>
      <x:c r="AE20" s="35"/>
      <x:c r="AF20" s="36"/>
      <x:c r="AG20" s="33"/>
      <x:c r="AH20" s="185"/>
      <x:c r="AI20" s="185"/>
      <x:c r="AJ20" s="185"/>
      <x:c r="AK20" s="35"/>
      <x:c r="AL20" s="36"/>
      <x:c r="AM20" s="33"/>
      <x:c r="AN20" s="185"/>
      <x:c r="AO20" s="185"/>
      <x:c r="AP20" s="185"/>
      <x:c r="AQ20" s="35"/>
      <x:c r="AR20" s="36"/>
      <x:c r="AS20" s="33"/>
      <x:c r="AT20" s="185"/>
      <x:c r="AU20" s="185"/>
      <x:c r="AV20" s="185"/>
      <x:c r="AW20" s="35"/>
      <x:c r="AX20" s="36"/>
      <x:c r="AY20" s="33"/>
      <x:c r="AZ20" s="185"/>
      <x:c r="BA20" s="185"/>
      <x:c r="BB20" s="185"/>
      <x:c r="BC20" s="35"/>
      <x:c r="BD20" s="36"/>
      <x:c r="BE20" s="33"/>
      <x:c r="BF20" s="185"/>
      <x:c r="BG20" s="185"/>
      <x:c r="BH20" s="185"/>
      <x:c r="BI20" s="35"/>
      <x:c r="BJ20" s="36"/>
      <x:c r="BK20" s="33"/>
      <x:c r="BL20" s="185"/>
      <x:c r="BM20" s="185"/>
      <x:c r="BN20" s="185"/>
      <x:c r="BO20" s="35"/>
      <x:c r="BP20" s="36"/>
      <x:c r="BQ20" s="33"/>
      <x:c r="BR20" s="185"/>
      <x:c r="BS20" s="185"/>
      <x:c r="BT20" s="185"/>
      <x:c r="BU20" s="35"/>
      <x:c r="BV20" s="36"/>
    </x:row>
    <x:row r="21" spans="1:74" x14ac:dyDescent="0.25">
      <x:c r="A21" s="32"/>
      <x:c r="B21" s="32"/>
      <x:c r="C21" s="33"/>
      <x:c r="D21" s="185"/>
      <x:c r="E21" s="185"/>
      <x:c r="F21" s="185"/>
      <x:c r="G21" s="185"/>
      <x:c r="H21" s="34"/>
      <x:c r="I21" s="33"/>
      <x:c r="J21" s="185"/>
      <x:c r="K21" s="185"/>
      <x:c r="L21" s="185"/>
      <x:c r="M21" s="35"/>
      <x:c r="N21" s="36"/>
      <x:c r="O21" s="33"/>
      <x:c r="P21" s="185"/>
      <x:c r="Q21" s="185"/>
      <x:c r="R21" s="185"/>
      <x:c r="S21" s="35"/>
      <x:c r="T21" s="36"/>
      <x:c r="U21" s="33"/>
      <x:c r="V21" s="185"/>
      <x:c r="W21" s="185"/>
      <x:c r="X21" s="185"/>
      <x:c r="Y21" s="35"/>
      <x:c r="Z21" s="36"/>
      <x:c r="AA21" s="33"/>
      <x:c r="AB21" s="185"/>
      <x:c r="AC21" s="185"/>
      <x:c r="AD21" s="185"/>
      <x:c r="AE21" s="35"/>
      <x:c r="AF21" s="36"/>
      <x:c r="AG21" s="33"/>
      <x:c r="AH21" s="185"/>
      <x:c r="AI21" s="185"/>
      <x:c r="AJ21" s="185"/>
      <x:c r="AK21" s="35"/>
      <x:c r="AL21" s="36"/>
      <x:c r="AM21" s="33"/>
      <x:c r="AN21" s="185"/>
      <x:c r="AO21" s="185"/>
      <x:c r="AP21" s="185"/>
      <x:c r="AQ21" s="35"/>
      <x:c r="AR21" s="36"/>
      <x:c r="AS21" s="33"/>
      <x:c r="AT21" s="185"/>
      <x:c r="AU21" s="185"/>
      <x:c r="AV21" s="185"/>
      <x:c r="AW21" s="35"/>
      <x:c r="AX21" s="36"/>
      <x:c r="AY21" s="33"/>
      <x:c r="AZ21" s="185"/>
      <x:c r="BA21" s="185"/>
      <x:c r="BB21" s="185"/>
      <x:c r="BC21" s="35"/>
      <x:c r="BD21" s="36"/>
      <x:c r="BE21" s="33"/>
      <x:c r="BF21" s="185"/>
      <x:c r="BG21" s="185"/>
      <x:c r="BH21" s="185"/>
      <x:c r="BI21" s="35"/>
      <x:c r="BJ21" s="36"/>
      <x:c r="BK21" s="33"/>
      <x:c r="BL21" s="185"/>
      <x:c r="BM21" s="185"/>
      <x:c r="BN21" s="185"/>
      <x:c r="BO21" s="35"/>
      <x:c r="BP21" s="36"/>
      <x:c r="BQ21" s="33"/>
      <x:c r="BR21" s="185"/>
      <x:c r="BS21" s="185"/>
      <x:c r="BT21" s="185"/>
      <x:c r="BU21" s="35"/>
      <x:c r="BV21" s="36"/>
    </x:row>
    <x:row r="22" spans="1:74" x14ac:dyDescent="0.25">
      <x:c r="A22" s="32"/>
      <x:c r="B22" s="32"/>
      <x:c r="C22" s="33"/>
      <x:c r="D22" s="185"/>
      <x:c r="E22" s="185"/>
      <x:c r="F22" s="185"/>
      <x:c r="G22" s="185"/>
      <x:c r="H22" s="34"/>
      <x:c r="I22" s="33"/>
      <x:c r="J22" s="185"/>
      <x:c r="K22" s="185"/>
      <x:c r="L22" s="185"/>
      <x:c r="M22" s="35"/>
      <x:c r="N22" s="36"/>
      <x:c r="O22" s="33"/>
      <x:c r="P22" s="185"/>
      <x:c r="Q22" s="185"/>
      <x:c r="R22" s="185"/>
      <x:c r="S22" s="35"/>
      <x:c r="T22" s="36"/>
      <x:c r="U22" s="33"/>
      <x:c r="V22" s="185"/>
      <x:c r="W22" s="185"/>
      <x:c r="X22" s="185"/>
      <x:c r="Y22" s="35"/>
      <x:c r="Z22" s="36"/>
      <x:c r="AA22" s="33"/>
      <x:c r="AB22" s="185"/>
      <x:c r="AC22" s="185"/>
      <x:c r="AD22" s="185"/>
      <x:c r="AE22" s="35"/>
      <x:c r="AF22" s="36"/>
      <x:c r="AG22" s="33"/>
      <x:c r="AH22" s="185"/>
      <x:c r="AI22" s="185"/>
      <x:c r="AJ22" s="185"/>
      <x:c r="AK22" s="35"/>
      <x:c r="AL22" s="36"/>
      <x:c r="AM22" s="33"/>
      <x:c r="AN22" s="185"/>
      <x:c r="AO22" s="185"/>
      <x:c r="AP22" s="185"/>
      <x:c r="AQ22" s="35"/>
      <x:c r="AR22" s="36"/>
      <x:c r="AS22" s="33"/>
      <x:c r="AT22" s="185"/>
      <x:c r="AU22" s="185"/>
      <x:c r="AV22" s="185"/>
      <x:c r="AW22" s="35"/>
      <x:c r="AX22" s="36"/>
      <x:c r="AY22" s="33"/>
      <x:c r="AZ22" s="185"/>
      <x:c r="BA22" s="185"/>
      <x:c r="BB22" s="185"/>
      <x:c r="BC22" s="35"/>
      <x:c r="BD22" s="36"/>
      <x:c r="BE22" s="33"/>
      <x:c r="BF22" s="185"/>
      <x:c r="BG22" s="185"/>
      <x:c r="BH22" s="185"/>
      <x:c r="BI22" s="35"/>
      <x:c r="BJ22" s="36"/>
      <x:c r="BK22" s="33"/>
      <x:c r="BL22" s="185"/>
      <x:c r="BM22" s="185"/>
      <x:c r="BN22" s="185"/>
      <x:c r="BO22" s="35"/>
      <x:c r="BP22" s="36"/>
      <x:c r="BQ22" s="33"/>
      <x:c r="BR22" s="185"/>
      <x:c r="BS22" s="185"/>
      <x:c r="BT22" s="185"/>
      <x:c r="BU22" s="35"/>
      <x:c r="BV22" s="36"/>
    </x:row>
    <x:row r="23" spans="1:74" x14ac:dyDescent="0.25">
      <x:c r="A23" s="32"/>
      <x:c r="B23" s="32"/>
      <x:c r="C23" s="33"/>
      <x:c r="D23" s="185"/>
      <x:c r="E23" s="185"/>
      <x:c r="F23" s="185"/>
      <x:c r="G23" s="185"/>
      <x:c r="H23" s="34"/>
      <x:c r="I23" s="33"/>
      <x:c r="J23" s="185"/>
      <x:c r="K23" s="185"/>
      <x:c r="L23" s="185"/>
      <x:c r="M23" s="35"/>
      <x:c r="N23" s="36"/>
      <x:c r="O23" s="33"/>
      <x:c r="P23" s="185"/>
      <x:c r="Q23" s="185"/>
      <x:c r="R23" s="185"/>
      <x:c r="S23" s="35"/>
      <x:c r="T23" s="36"/>
      <x:c r="U23" s="33"/>
      <x:c r="V23" s="185"/>
      <x:c r="W23" s="185"/>
      <x:c r="X23" s="185"/>
      <x:c r="Y23" s="35"/>
      <x:c r="Z23" s="36"/>
      <x:c r="AA23" s="33"/>
      <x:c r="AB23" s="185"/>
      <x:c r="AC23" s="185"/>
      <x:c r="AD23" s="185"/>
      <x:c r="AE23" s="35"/>
      <x:c r="AF23" s="36"/>
      <x:c r="AG23" s="33"/>
      <x:c r="AH23" s="185"/>
      <x:c r="AI23" s="185"/>
      <x:c r="AJ23" s="185"/>
      <x:c r="AK23" s="35"/>
      <x:c r="AL23" s="36"/>
      <x:c r="AM23" s="33"/>
      <x:c r="AN23" s="185"/>
      <x:c r="AO23" s="185"/>
      <x:c r="AP23" s="185"/>
      <x:c r="AQ23" s="35"/>
      <x:c r="AR23" s="36"/>
      <x:c r="AS23" s="33"/>
      <x:c r="AT23" s="185"/>
      <x:c r="AU23" s="185"/>
      <x:c r="AV23" s="185"/>
      <x:c r="AW23" s="35"/>
      <x:c r="AX23" s="36"/>
      <x:c r="AY23" s="33"/>
      <x:c r="AZ23" s="185"/>
      <x:c r="BA23" s="185"/>
      <x:c r="BB23" s="185"/>
      <x:c r="BC23" s="35"/>
      <x:c r="BD23" s="36"/>
      <x:c r="BE23" s="33"/>
      <x:c r="BF23" s="185"/>
      <x:c r="BG23" s="185"/>
      <x:c r="BH23" s="185"/>
      <x:c r="BI23" s="35"/>
      <x:c r="BJ23" s="36"/>
      <x:c r="BK23" s="33"/>
      <x:c r="BL23" s="185"/>
      <x:c r="BM23" s="185"/>
      <x:c r="BN23" s="185"/>
      <x:c r="BO23" s="35"/>
      <x:c r="BP23" s="36"/>
      <x:c r="BQ23" s="33"/>
      <x:c r="BR23" s="185"/>
      <x:c r="BS23" s="185"/>
      <x:c r="BT23" s="185"/>
      <x:c r="BU23" s="35"/>
      <x:c r="BV23" s="36"/>
    </x:row>
    <x:row r="24" spans="1:74" x14ac:dyDescent="0.25">
      <x:c r="A24" s="32"/>
      <x:c r="B24" s="32"/>
      <x:c r="C24" s="33"/>
      <x:c r="D24" s="185"/>
      <x:c r="E24" s="185"/>
      <x:c r="F24" s="185"/>
      <x:c r="G24" s="185"/>
      <x:c r="H24" s="34"/>
      <x:c r="I24" s="33"/>
      <x:c r="J24" s="185"/>
      <x:c r="K24" s="185"/>
      <x:c r="L24" s="185"/>
      <x:c r="M24" s="35"/>
      <x:c r="N24" s="36"/>
      <x:c r="O24" s="33"/>
      <x:c r="P24" s="185"/>
      <x:c r="Q24" s="185"/>
      <x:c r="R24" s="185"/>
      <x:c r="S24" s="35"/>
      <x:c r="T24" s="36"/>
      <x:c r="U24" s="33"/>
      <x:c r="V24" s="185"/>
      <x:c r="W24" s="185"/>
      <x:c r="X24" s="185"/>
      <x:c r="Y24" s="35"/>
      <x:c r="Z24" s="36"/>
      <x:c r="AA24" s="33"/>
      <x:c r="AB24" s="185"/>
      <x:c r="AC24" s="185"/>
      <x:c r="AD24" s="185"/>
      <x:c r="AE24" s="35"/>
      <x:c r="AF24" s="36"/>
      <x:c r="AG24" s="33"/>
      <x:c r="AH24" s="185"/>
      <x:c r="AI24" s="185"/>
      <x:c r="AJ24" s="185"/>
      <x:c r="AK24" s="35"/>
      <x:c r="AL24" s="36"/>
      <x:c r="AM24" s="33"/>
      <x:c r="AN24" s="185"/>
      <x:c r="AO24" s="185"/>
      <x:c r="AP24" s="185"/>
      <x:c r="AQ24" s="35"/>
      <x:c r="AR24" s="36"/>
      <x:c r="AS24" s="33"/>
      <x:c r="AT24" s="185"/>
      <x:c r="AU24" s="185"/>
      <x:c r="AV24" s="185"/>
      <x:c r="AW24" s="35"/>
      <x:c r="AX24" s="36"/>
      <x:c r="AY24" s="33"/>
      <x:c r="AZ24" s="185"/>
      <x:c r="BA24" s="185"/>
      <x:c r="BB24" s="185"/>
      <x:c r="BC24" s="35"/>
      <x:c r="BD24" s="36"/>
      <x:c r="BE24" s="33"/>
      <x:c r="BF24" s="185"/>
      <x:c r="BG24" s="185"/>
      <x:c r="BH24" s="185"/>
      <x:c r="BI24" s="35"/>
      <x:c r="BJ24" s="36"/>
      <x:c r="BK24" s="33"/>
      <x:c r="BL24" s="185"/>
      <x:c r="BM24" s="185"/>
      <x:c r="BN24" s="185"/>
      <x:c r="BO24" s="35"/>
      <x:c r="BP24" s="36"/>
      <x:c r="BQ24" s="33"/>
      <x:c r="BR24" s="185"/>
      <x:c r="BS24" s="185"/>
      <x:c r="BT24" s="185"/>
      <x:c r="BU24" s="35"/>
      <x:c r="BV24" s="36"/>
    </x:row>
    <x:row r="25" spans="1:74" x14ac:dyDescent="0.25">
      <x:c r="A25" s="32"/>
      <x:c r="B25" s="32"/>
      <x:c r="C25" s="33"/>
      <x:c r="D25" s="185"/>
      <x:c r="E25" s="185"/>
      <x:c r="F25" s="185"/>
      <x:c r="G25" s="185"/>
      <x:c r="H25" s="34"/>
      <x:c r="I25" s="33"/>
      <x:c r="J25" s="185"/>
      <x:c r="K25" s="185"/>
      <x:c r="L25" s="185"/>
      <x:c r="M25" s="35"/>
      <x:c r="N25" s="36"/>
      <x:c r="O25" s="33"/>
      <x:c r="P25" s="185"/>
      <x:c r="Q25" s="185"/>
      <x:c r="R25" s="185"/>
      <x:c r="S25" s="35"/>
      <x:c r="T25" s="36"/>
      <x:c r="U25" s="33"/>
      <x:c r="V25" s="185"/>
      <x:c r="W25" s="185"/>
      <x:c r="X25" s="185"/>
      <x:c r="Y25" s="35"/>
      <x:c r="Z25" s="36"/>
      <x:c r="AA25" s="33"/>
      <x:c r="AB25" s="185"/>
      <x:c r="AC25" s="185"/>
      <x:c r="AD25" s="185"/>
      <x:c r="AE25" s="35"/>
      <x:c r="AF25" s="36"/>
      <x:c r="AG25" s="33"/>
      <x:c r="AH25" s="185"/>
      <x:c r="AI25" s="185"/>
      <x:c r="AJ25" s="185"/>
      <x:c r="AK25" s="35"/>
      <x:c r="AL25" s="36"/>
      <x:c r="AM25" s="33"/>
      <x:c r="AN25" s="185"/>
      <x:c r="AO25" s="185"/>
      <x:c r="AP25" s="185"/>
      <x:c r="AQ25" s="35"/>
      <x:c r="AR25" s="36"/>
      <x:c r="AS25" s="33"/>
      <x:c r="AT25" s="185"/>
      <x:c r="AU25" s="185"/>
      <x:c r="AV25" s="185"/>
      <x:c r="AW25" s="35"/>
      <x:c r="AX25" s="36"/>
      <x:c r="AY25" s="33"/>
      <x:c r="AZ25" s="185"/>
      <x:c r="BA25" s="185"/>
      <x:c r="BB25" s="185"/>
      <x:c r="BC25" s="35"/>
      <x:c r="BD25" s="36"/>
      <x:c r="BE25" s="33"/>
      <x:c r="BF25" s="185"/>
      <x:c r="BG25" s="185"/>
      <x:c r="BH25" s="185"/>
      <x:c r="BI25" s="35"/>
      <x:c r="BJ25" s="36"/>
      <x:c r="BK25" s="33"/>
      <x:c r="BL25" s="185"/>
      <x:c r="BM25" s="185"/>
      <x:c r="BN25" s="185"/>
      <x:c r="BO25" s="35"/>
      <x:c r="BP25" s="36"/>
      <x:c r="BQ25" s="33"/>
      <x:c r="BR25" s="185"/>
      <x:c r="BS25" s="185"/>
      <x:c r="BT25" s="185"/>
      <x:c r="BU25" s="35"/>
      <x:c r="BV25" s="36"/>
    </x:row>
    <x:row r="26" spans="1:74" x14ac:dyDescent="0.25">
      <x:c r="A26" s="32"/>
      <x:c r="B26" s="32"/>
      <x:c r="C26" s="33"/>
      <x:c r="D26" s="185"/>
      <x:c r="E26" s="185"/>
      <x:c r="F26" s="185"/>
      <x:c r="G26" s="185"/>
      <x:c r="H26" s="34"/>
      <x:c r="I26" s="33"/>
      <x:c r="J26" s="185"/>
      <x:c r="K26" s="185"/>
      <x:c r="L26" s="185"/>
      <x:c r="M26" s="35"/>
      <x:c r="N26" s="36"/>
      <x:c r="O26" s="33"/>
      <x:c r="P26" s="185"/>
      <x:c r="Q26" s="185"/>
      <x:c r="R26" s="185"/>
      <x:c r="S26" s="35"/>
      <x:c r="T26" s="36"/>
      <x:c r="U26" s="33"/>
      <x:c r="V26" s="185"/>
      <x:c r="W26" s="185"/>
      <x:c r="X26" s="185"/>
      <x:c r="Y26" s="35"/>
      <x:c r="Z26" s="36"/>
      <x:c r="AA26" s="33"/>
      <x:c r="AB26" s="185"/>
      <x:c r="AC26" s="185"/>
      <x:c r="AD26" s="185"/>
      <x:c r="AE26" s="35"/>
      <x:c r="AF26" s="36"/>
      <x:c r="AG26" s="33"/>
      <x:c r="AH26" s="185"/>
      <x:c r="AI26" s="185"/>
      <x:c r="AJ26" s="185"/>
      <x:c r="AK26" s="35"/>
      <x:c r="AL26" s="36"/>
      <x:c r="AM26" s="33"/>
      <x:c r="AN26" s="185"/>
      <x:c r="AO26" s="185"/>
      <x:c r="AP26" s="185"/>
      <x:c r="AQ26" s="35"/>
      <x:c r="AR26" s="36"/>
      <x:c r="AS26" s="33"/>
      <x:c r="AT26" s="185"/>
      <x:c r="AU26" s="185"/>
      <x:c r="AV26" s="185"/>
      <x:c r="AW26" s="35"/>
      <x:c r="AX26" s="36"/>
      <x:c r="AY26" s="33"/>
      <x:c r="AZ26" s="185"/>
      <x:c r="BA26" s="185"/>
      <x:c r="BB26" s="185"/>
      <x:c r="BC26" s="35"/>
      <x:c r="BD26" s="36"/>
      <x:c r="BE26" s="33"/>
      <x:c r="BF26" s="185"/>
      <x:c r="BG26" s="185"/>
      <x:c r="BH26" s="185"/>
      <x:c r="BI26" s="35"/>
      <x:c r="BJ26" s="36"/>
      <x:c r="BK26" s="33"/>
      <x:c r="BL26" s="185"/>
      <x:c r="BM26" s="185"/>
      <x:c r="BN26" s="185"/>
      <x:c r="BO26" s="35"/>
      <x:c r="BP26" s="36"/>
      <x:c r="BQ26" s="33"/>
      <x:c r="BR26" s="185"/>
      <x:c r="BS26" s="185"/>
      <x:c r="BT26" s="185"/>
      <x:c r="BU26" s="35"/>
      <x:c r="BV26" s="36"/>
    </x:row>
    <x:row r="27" spans="1:74" x14ac:dyDescent="0.25">
      <x:c r="A27" s="32"/>
      <x:c r="B27" s="32"/>
      <x:c r="C27" s="33"/>
      <x:c r="D27" s="185"/>
      <x:c r="E27" s="185"/>
      <x:c r="F27" s="185"/>
      <x:c r="G27" s="185"/>
      <x:c r="H27" s="34"/>
      <x:c r="I27" s="33"/>
      <x:c r="J27" s="185"/>
      <x:c r="K27" s="185"/>
      <x:c r="L27" s="185"/>
      <x:c r="M27" s="35"/>
      <x:c r="N27" s="36"/>
      <x:c r="O27" s="33"/>
      <x:c r="P27" s="185"/>
      <x:c r="Q27" s="185"/>
      <x:c r="R27" s="185"/>
      <x:c r="S27" s="35"/>
      <x:c r="T27" s="36"/>
      <x:c r="U27" s="33"/>
      <x:c r="V27" s="185"/>
      <x:c r="W27" s="185"/>
      <x:c r="X27" s="185"/>
      <x:c r="Y27" s="35"/>
      <x:c r="Z27" s="36"/>
      <x:c r="AA27" s="33"/>
      <x:c r="AB27" s="185"/>
      <x:c r="AC27" s="185"/>
      <x:c r="AD27" s="185"/>
      <x:c r="AE27" s="35"/>
      <x:c r="AF27" s="36"/>
      <x:c r="AG27" s="33"/>
      <x:c r="AH27" s="185"/>
      <x:c r="AI27" s="185"/>
      <x:c r="AJ27" s="185"/>
      <x:c r="AK27" s="35"/>
      <x:c r="AL27" s="36"/>
      <x:c r="AM27" s="33"/>
      <x:c r="AN27" s="185"/>
      <x:c r="AO27" s="185"/>
      <x:c r="AP27" s="185"/>
      <x:c r="AQ27" s="35"/>
      <x:c r="AR27" s="36"/>
      <x:c r="AS27" s="33"/>
      <x:c r="AT27" s="185"/>
      <x:c r="AU27" s="185"/>
      <x:c r="AV27" s="185"/>
      <x:c r="AW27" s="35"/>
      <x:c r="AX27" s="36"/>
      <x:c r="AY27" s="33"/>
      <x:c r="AZ27" s="185"/>
      <x:c r="BA27" s="185"/>
      <x:c r="BB27" s="185"/>
      <x:c r="BC27" s="35"/>
      <x:c r="BD27" s="36"/>
      <x:c r="BE27" s="33"/>
      <x:c r="BF27" s="185"/>
      <x:c r="BG27" s="185"/>
      <x:c r="BH27" s="185"/>
      <x:c r="BI27" s="35"/>
      <x:c r="BJ27" s="36"/>
      <x:c r="BK27" s="33"/>
      <x:c r="BL27" s="185"/>
      <x:c r="BM27" s="185"/>
      <x:c r="BN27" s="185"/>
      <x:c r="BO27" s="35"/>
      <x:c r="BP27" s="36"/>
      <x:c r="BQ27" s="33"/>
      <x:c r="BR27" s="185"/>
      <x:c r="BS27" s="185"/>
      <x:c r="BT27" s="185"/>
      <x:c r="BU27" s="35"/>
      <x:c r="BV27" s="36"/>
    </x:row>
    <x:row r="28" spans="1:74" x14ac:dyDescent="0.25">
      <x:c r="A28" s="32"/>
      <x:c r="B28" s="32"/>
      <x:c r="C28" s="33"/>
      <x:c r="D28" s="185"/>
      <x:c r="E28" s="185"/>
      <x:c r="F28" s="185"/>
      <x:c r="G28" s="185"/>
      <x:c r="H28" s="34"/>
      <x:c r="I28" s="33"/>
      <x:c r="J28" s="185"/>
      <x:c r="K28" s="185"/>
      <x:c r="L28" s="185"/>
      <x:c r="M28" s="35"/>
      <x:c r="N28" s="36"/>
      <x:c r="O28" s="33"/>
      <x:c r="P28" s="185"/>
      <x:c r="Q28" s="185"/>
      <x:c r="R28" s="185"/>
      <x:c r="S28" s="35"/>
      <x:c r="T28" s="36"/>
      <x:c r="U28" s="33"/>
      <x:c r="V28" s="185"/>
      <x:c r="W28" s="185"/>
      <x:c r="X28" s="185"/>
      <x:c r="Y28" s="35"/>
      <x:c r="Z28" s="36"/>
      <x:c r="AA28" s="33"/>
      <x:c r="AB28" s="185"/>
      <x:c r="AC28" s="185"/>
      <x:c r="AD28" s="185"/>
      <x:c r="AE28" s="35"/>
      <x:c r="AF28" s="36"/>
      <x:c r="AG28" s="33"/>
      <x:c r="AH28" s="185"/>
      <x:c r="AI28" s="185"/>
      <x:c r="AJ28" s="185"/>
      <x:c r="AK28" s="35"/>
      <x:c r="AL28" s="36"/>
      <x:c r="AM28" s="33"/>
      <x:c r="AN28" s="185"/>
      <x:c r="AO28" s="185"/>
      <x:c r="AP28" s="185"/>
      <x:c r="AQ28" s="35"/>
      <x:c r="AR28" s="36"/>
      <x:c r="AS28" s="33"/>
      <x:c r="AT28" s="185"/>
      <x:c r="AU28" s="185"/>
      <x:c r="AV28" s="185"/>
      <x:c r="AW28" s="35"/>
      <x:c r="AX28" s="36"/>
      <x:c r="AY28" s="33"/>
      <x:c r="AZ28" s="185"/>
      <x:c r="BA28" s="185"/>
      <x:c r="BB28" s="185"/>
      <x:c r="BC28" s="35"/>
      <x:c r="BD28" s="36"/>
      <x:c r="BE28" s="33"/>
      <x:c r="BF28" s="185"/>
      <x:c r="BG28" s="185"/>
      <x:c r="BH28" s="185"/>
      <x:c r="BI28" s="35"/>
      <x:c r="BJ28" s="36"/>
      <x:c r="BK28" s="33"/>
      <x:c r="BL28" s="185"/>
      <x:c r="BM28" s="185"/>
      <x:c r="BN28" s="185"/>
      <x:c r="BO28" s="35"/>
      <x:c r="BP28" s="36"/>
      <x:c r="BQ28" s="33"/>
      <x:c r="BR28" s="185"/>
      <x:c r="BS28" s="185"/>
      <x:c r="BT28" s="185"/>
      <x:c r="BU28" s="35"/>
      <x:c r="BV28" s="36"/>
    </x:row>
    <x:row r="29" spans="1:74" x14ac:dyDescent="0.25">
      <x:c r="A29" s="32"/>
      <x:c r="B29" s="32"/>
      <x:c r="C29" s="33"/>
      <x:c r="D29" s="185"/>
      <x:c r="E29" s="185"/>
      <x:c r="F29" s="185"/>
      <x:c r="G29" s="185"/>
      <x:c r="H29" s="34"/>
      <x:c r="I29" s="33"/>
      <x:c r="J29" s="185"/>
      <x:c r="K29" s="185"/>
      <x:c r="L29" s="185"/>
      <x:c r="M29" s="35"/>
      <x:c r="N29" s="36"/>
      <x:c r="O29" s="33"/>
      <x:c r="P29" s="185"/>
      <x:c r="Q29" s="185"/>
      <x:c r="R29" s="185"/>
      <x:c r="S29" s="35"/>
      <x:c r="T29" s="36"/>
      <x:c r="U29" s="33"/>
      <x:c r="V29" s="185"/>
      <x:c r="W29" s="185"/>
      <x:c r="X29" s="185"/>
      <x:c r="Y29" s="35"/>
      <x:c r="Z29" s="36"/>
      <x:c r="AA29" s="33"/>
      <x:c r="AB29" s="185"/>
      <x:c r="AC29" s="185"/>
      <x:c r="AD29" s="185"/>
      <x:c r="AE29" s="35"/>
      <x:c r="AF29" s="36"/>
      <x:c r="AG29" s="33"/>
      <x:c r="AH29" s="185"/>
      <x:c r="AI29" s="185"/>
      <x:c r="AJ29" s="185"/>
      <x:c r="AK29" s="35"/>
      <x:c r="AL29" s="36"/>
      <x:c r="AM29" s="33"/>
      <x:c r="AN29" s="185"/>
      <x:c r="AO29" s="185"/>
      <x:c r="AP29" s="185"/>
      <x:c r="AQ29" s="35"/>
      <x:c r="AR29" s="36"/>
      <x:c r="AS29" s="33"/>
      <x:c r="AT29" s="185"/>
      <x:c r="AU29" s="185"/>
      <x:c r="AV29" s="185"/>
      <x:c r="AW29" s="35"/>
      <x:c r="AX29" s="36"/>
      <x:c r="AY29" s="33"/>
      <x:c r="AZ29" s="185"/>
      <x:c r="BA29" s="185"/>
      <x:c r="BB29" s="185"/>
      <x:c r="BC29" s="35"/>
      <x:c r="BD29" s="36"/>
      <x:c r="BE29" s="33"/>
      <x:c r="BF29" s="185"/>
      <x:c r="BG29" s="185"/>
      <x:c r="BH29" s="185"/>
      <x:c r="BI29" s="35"/>
      <x:c r="BJ29" s="36"/>
      <x:c r="BK29" s="33"/>
      <x:c r="BL29" s="185"/>
      <x:c r="BM29" s="185"/>
      <x:c r="BN29" s="185"/>
      <x:c r="BO29" s="35"/>
      <x:c r="BP29" s="36"/>
      <x:c r="BQ29" s="33"/>
      <x:c r="BR29" s="185"/>
      <x:c r="BS29" s="185"/>
      <x:c r="BT29" s="185"/>
      <x:c r="BU29" s="35"/>
      <x:c r="BV29" s="36"/>
    </x:row>
    <x:row r="30" spans="1:74" x14ac:dyDescent="0.25">
      <x:c r="A30" s="32"/>
      <x:c r="B30" s="32"/>
      <x:c r="C30" s="33"/>
      <x:c r="D30" s="185"/>
      <x:c r="E30" s="185"/>
      <x:c r="F30" s="185"/>
      <x:c r="G30" s="185"/>
      <x:c r="H30" s="34"/>
      <x:c r="I30" s="33"/>
      <x:c r="J30" s="185"/>
      <x:c r="K30" s="185"/>
      <x:c r="L30" s="185"/>
      <x:c r="M30" s="35"/>
      <x:c r="N30" s="36"/>
      <x:c r="O30" s="33"/>
      <x:c r="P30" s="185"/>
      <x:c r="Q30" s="185"/>
      <x:c r="R30" s="185"/>
      <x:c r="S30" s="35"/>
      <x:c r="T30" s="36"/>
      <x:c r="U30" s="33"/>
      <x:c r="V30" s="185"/>
      <x:c r="W30" s="185"/>
      <x:c r="X30" s="185"/>
      <x:c r="Y30" s="35"/>
      <x:c r="Z30" s="36"/>
      <x:c r="AA30" s="33"/>
      <x:c r="AB30" s="185"/>
      <x:c r="AC30" s="185"/>
      <x:c r="AD30" s="185"/>
      <x:c r="AE30" s="35"/>
      <x:c r="AF30" s="36"/>
      <x:c r="AG30" s="33"/>
      <x:c r="AH30" s="185"/>
      <x:c r="AI30" s="185"/>
      <x:c r="AJ30" s="185"/>
      <x:c r="AK30" s="35"/>
      <x:c r="AL30" s="36"/>
      <x:c r="AM30" s="33"/>
      <x:c r="AN30" s="185"/>
      <x:c r="AO30" s="185"/>
      <x:c r="AP30" s="185"/>
      <x:c r="AQ30" s="35"/>
      <x:c r="AR30" s="36"/>
      <x:c r="AS30" s="33"/>
      <x:c r="AT30" s="185"/>
      <x:c r="AU30" s="185"/>
      <x:c r="AV30" s="185"/>
      <x:c r="AW30" s="35"/>
      <x:c r="AX30" s="36"/>
      <x:c r="AY30" s="33"/>
      <x:c r="AZ30" s="185"/>
      <x:c r="BA30" s="185"/>
      <x:c r="BB30" s="185"/>
      <x:c r="BC30" s="35"/>
      <x:c r="BD30" s="36"/>
      <x:c r="BE30" s="33"/>
      <x:c r="BF30" s="185"/>
      <x:c r="BG30" s="185"/>
      <x:c r="BH30" s="185"/>
      <x:c r="BI30" s="35"/>
      <x:c r="BJ30" s="36"/>
      <x:c r="BK30" s="33"/>
      <x:c r="BL30" s="185"/>
      <x:c r="BM30" s="185"/>
      <x:c r="BN30" s="185"/>
      <x:c r="BO30" s="35"/>
      <x:c r="BP30" s="36"/>
      <x:c r="BQ30" s="33"/>
      <x:c r="BR30" s="185"/>
      <x:c r="BS30" s="185"/>
      <x:c r="BT30" s="185"/>
      <x:c r="BU30" s="35"/>
      <x:c r="BV30" s="36"/>
    </x:row>
    <x:row r="31" spans="1:74" x14ac:dyDescent="0.25">
      <x:c r="A31" s="32"/>
      <x:c r="B31" s="32"/>
      <x:c r="C31" s="33"/>
      <x:c r="D31" s="185"/>
      <x:c r="E31" s="185"/>
      <x:c r="F31" s="185"/>
      <x:c r="G31" s="185"/>
      <x:c r="H31" s="34"/>
      <x:c r="I31" s="33"/>
      <x:c r="J31" s="185"/>
      <x:c r="K31" s="185"/>
      <x:c r="L31" s="185"/>
      <x:c r="M31" s="35"/>
      <x:c r="N31" s="36"/>
      <x:c r="O31" s="33"/>
      <x:c r="P31" s="185"/>
      <x:c r="Q31" s="185"/>
      <x:c r="R31" s="185"/>
      <x:c r="S31" s="35"/>
      <x:c r="T31" s="36"/>
      <x:c r="U31" s="33"/>
      <x:c r="V31" s="185"/>
      <x:c r="W31" s="185"/>
      <x:c r="X31" s="185"/>
      <x:c r="Y31" s="35"/>
      <x:c r="Z31" s="36"/>
      <x:c r="AA31" s="33"/>
      <x:c r="AB31" s="185"/>
      <x:c r="AC31" s="185"/>
      <x:c r="AD31" s="185"/>
      <x:c r="AE31" s="35"/>
      <x:c r="AF31" s="36"/>
      <x:c r="AG31" s="33"/>
      <x:c r="AH31" s="185"/>
      <x:c r="AI31" s="185"/>
      <x:c r="AJ31" s="185"/>
      <x:c r="AK31" s="35"/>
      <x:c r="AL31" s="36"/>
      <x:c r="AM31" s="33"/>
      <x:c r="AN31" s="185"/>
      <x:c r="AO31" s="185"/>
      <x:c r="AP31" s="185"/>
      <x:c r="AQ31" s="35"/>
      <x:c r="AR31" s="36"/>
      <x:c r="AS31" s="33"/>
      <x:c r="AT31" s="185"/>
      <x:c r="AU31" s="185"/>
      <x:c r="AV31" s="185"/>
      <x:c r="AW31" s="35"/>
      <x:c r="AX31" s="36"/>
      <x:c r="AY31" s="33"/>
      <x:c r="AZ31" s="185"/>
      <x:c r="BA31" s="185"/>
      <x:c r="BB31" s="185"/>
      <x:c r="BC31" s="35"/>
      <x:c r="BD31" s="36"/>
      <x:c r="BE31" s="33"/>
      <x:c r="BF31" s="185"/>
      <x:c r="BG31" s="185"/>
      <x:c r="BH31" s="185"/>
      <x:c r="BI31" s="35"/>
      <x:c r="BJ31" s="36"/>
      <x:c r="BK31" s="33"/>
      <x:c r="BL31" s="185"/>
      <x:c r="BM31" s="185"/>
      <x:c r="BN31" s="185"/>
      <x:c r="BO31" s="35"/>
      <x:c r="BP31" s="36"/>
      <x:c r="BQ31" s="33"/>
      <x:c r="BR31" s="185"/>
      <x:c r="BS31" s="185"/>
      <x:c r="BT31" s="185"/>
      <x:c r="BU31" s="35"/>
      <x:c r="BV31" s="36"/>
    </x:row>
    <x:row r="32" spans="1:74" x14ac:dyDescent="0.25">
      <x:c r="A32" s="32"/>
      <x:c r="B32" s="32"/>
      <x:c r="C32" s="33"/>
      <x:c r="D32" s="185"/>
      <x:c r="E32" s="185"/>
      <x:c r="F32" s="185"/>
      <x:c r="G32" s="185"/>
      <x:c r="H32" s="34"/>
      <x:c r="I32" s="33"/>
      <x:c r="J32" s="185"/>
      <x:c r="K32" s="185"/>
      <x:c r="L32" s="185"/>
      <x:c r="M32" s="35"/>
      <x:c r="N32" s="36"/>
      <x:c r="O32" s="33"/>
      <x:c r="P32" s="185"/>
      <x:c r="Q32" s="185"/>
      <x:c r="R32" s="185"/>
      <x:c r="S32" s="35"/>
      <x:c r="T32" s="36"/>
      <x:c r="U32" s="33"/>
      <x:c r="V32" s="185"/>
      <x:c r="W32" s="185"/>
      <x:c r="X32" s="185"/>
      <x:c r="Y32" s="35"/>
      <x:c r="Z32" s="36"/>
      <x:c r="AA32" s="33"/>
      <x:c r="AB32" s="185"/>
      <x:c r="AC32" s="185"/>
      <x:c r="AD32" s="185"/>
      <x:c r="AE32" s="35"/>
      <x:c r="AF32" s="36"/>
      <x:c r="AG32" s="33"/>
      <x:c r="AH32" s="185"/>
      <x:c r="AI32" s="185"/>
      <x:c r="AJ32" s="185"/>
      <x:c r="AK32" s="35"/>
      <x:c r="AL32" s="36"/>
      <x:c r="AM32" s="33"/>
      <x:c r="AN32" s="185"/>
      <x:c r="AO32" s="185"/>
      <x:c r="AP32" s="185"/>
      <x:c r="AQ32" s="35"/>
      <x:c r="AR32" s="36"/>
      <x:c r="AS32" s="33"/>
      <x:c r="AT32" s="185"/>
      <x:c r="AU32" s="185"/>
      <x:c r="AV32" s="185"/>
      <x:c r="AW32" s="35"/>
      <x:c r="AX32" s="36"/>
      <x:c r="AY32" s="33"/>
      <x:c r="AZ32" s="185"/>
      <x:c r="BA32" s="185"/>
      <x:c r="BB32" s="185"/>
      <x:c r="BC32" s="35"/>
      <x:c r="BD32" s="36"/>
      <x:c r="BE32" s="33"/>
      <x:c r="BF32" s="185"/>
      <x:c r="BG32" s="185"/>
      <x:c r="BH32" s="185"/>
      <x:c r="BI32" s="35"/>
      <x:c r="BJ32" s="36"/>
      <x:c r="BK32" s="33"/>
      <x:c r="BL32" s="185"/>
      <x:c r="BM32" s="185"/>
      <x:c r="BN32" s="185"/>
      <x:c r="BO32" s="35"/>
      <x:c r="BP32" s="36"/>
      <x:c r="BQ32" s="33"/>
      <x:c r="BR32" s="185"/>
      <x:c r="BS32" s="185"/>
      <x:c r="BT32" s="185"/>
      <x:c r="BU32" s="35"/>
      <x:c r="BV32" s="36"/>
    </x:row>
    <x:row r="33" spans="1:74" x14ac:dyDescent="0.25">
      <x:c r="A33" s="32"/>
      <x:c r="B33" s="32"/>
      <x:c r="C33" s="33"/>
      <x:c r="D33" s="185"/>
      <x:c r="E33" s="185"/>
      <x:c r="F33" s="185"/>
      <x:c r="G33" s="185"/>
      <x:c r="H33" s="34"/>
      <x:c r="I33" s="33"/>
      <x:c r="J33" s="185"/>
      <x:c r="K33" s="185"/>
      <x:c r="L33" s="185"/>
      <x:c r="M33" s="35"/>
      <x:c r="N33" s="36"/>
      <x:c r="O33" s="33"/>
      <x:c r="P33" s="185"/>
      <x:c r="Q33" s="185"/>
      <x:c r="R33" s="185"/>
      <x:c r="S33" s="35"/>
      <x:c r="T33" s="36"/>
      <x:c r="U33" s="33"/>
      <x:c r="V33" s="185"/>
      <x:c r="W33" s="185"/>
      <x:c r="X33" s="185"/>
      <x:c r="Y33" s="35"/>
      <x:c r="Z33" s="36"/>
      <x:c r="AA33" s="33"/>
      <x:c r="AB33" s="185"/>
      <x:c r="AC33" s="185"/>
      <x:c r="AD33" s="185"/>
      <x:c r="AE33" s="35"/>
      <x:c r="AF33" s="36"/>
      <x:c r="AG33" s="33"/>
      <x:c r="AH33" s="185"/>
      <x:c r="AI33" s="185"/>
      <x:c r="AJ33" s="185"/>
      <x:c r="AK33" s="35"/>
      <x:c r="AL33" s="36"/>
      <x:c r="AM33" s="33"/>
      <x:c r="AN33" s="185"/>
      <x:c r="AO33" s="185"/>
      <x:c r="AP33" s="185"/>
      <x:c r="AQ33" s="35"/>
      <x:c r="AR33" s="36"/>
      <x:c r="AS33" s="33"/>
      <x:c r="AT33" s="185"/>
      <x:c r="AU33" s="185"/>
      <x:c r="AV33" s="185"/>
      <x:c r="AW33" s="35"/>
      <x:c r="AX33" s="36"/>
      <x:c r="AY33" s="33"/>
      <x:c r="AZ33" s="185"/>
      <x:c r="BA33" s="185"/>
      <x:c r="BB33" s="185"/>
      <x:c r="BC33" s="35"/>
      <x:c r="BD33" s="36"/>
      <x:c r="BE33" s="33"/>
      <x:c r="BF33" s="185"/>
      <x:c r="BG33" s="185"/>
      <x:c r="BH33" s="185"/>
      <x:c r="BI33" s="35"/>
      <x:c r="BJ33" s="36"/>
      <x:c r="BK33" s="33"/>
      <x:c r="BL33" s="185"/>
      <x:c r="BM33" s="185"/>
      <x:c r="BN33" s="185"/>
      <x:c r="BO33" s="35"/>
      <x:c r="BP33" s="36"/>
      <x:c r="BQ33" s="33"/>
      <x:c r="BR33" s="185"/>
      <x:c r="BS33" s="185"/>
      <x:c r="BT33" s="185"/>
      <x:c r="BU33" s="35"/>
      <x:c r="BV33" s="36"/>
    </x:row>
    <x:row r="34" spans="1:74" x14ac:dyDescent="0.25">
      <x:c r="A34" s="32"/>
      <x:c r="B34" s="32"/>
      <x:c r="C34" s="33"/>
      <x:c r="D34" s="185"/>
      <x:c r="E34" s="185"/>
      <x:c r="F34" s="185"/>
      <x:c r="G34" s="185"/>
      <x:c r="H34" s="34"/>
      <x:c r="I34" s="33"/>
      <x:c r="J34" s="185"/>
      <x:c r="K34" s="185"/>
      <x:c r="L34" s="185"/>
      <x:c r="M34" s="35"/>
      <x:c r="N34" s="36"/>
      <x:c r="O34" s="33"/>
      <x:c r="P34" s="185"/>
      <x:c r="Q34" s="185"/>
      <x:c r="R34" s="185"/>
      <x:c r="S34" s="35"/>
      <x:c r="T34" s="36"/>
      <x:c r="U34" s="33"/>
      <x:c r="V34" s="185"/>
      <x:c r="W34" s="185"/>
      <x:c r="X34" s="185"/>
      <x:c r="Y34" s="35"/>
      <x:c r="Z34" s="36"/>
      <x:c r="AA34" s="33"/>
      <x:c r="AB34" s="185"/>
      <x:c r="AC34" s="185"/>
      <x:c r="AD34" s="185"/>
      <x:c r="AE34" s="35"/>
      <x:c r="AF34" s="36"/>
      <x:c r="AG34" s="33"/>
      <x:c r="AH34" s="185"/>
      <x:c r="AI34" s="185"/>
      <x:c r="AJ34" s="185"/>
      <x:c r="AK34" s="35"/>
      <x:c r="AL34" s="36"/>
      <x:c r="AM34" s="33"/>
      <x:c r="AN34" s="185"/>
      <x:c r="AO34" s="185"/>
      <x:c r="AP34" s="185"/>
      <x:c r="AQ34" s="35"/>
      <x:c r="AR34" s="36"/>
      <x:c r="AS34" s="33"/>
      <x:c r="AT34" s="185"/>
      <x:c r="AU34" s="185"/>
      <x:c r="AV34" s="185"/>
      <x:c r="AW34" s="35"/>
      <x:c r="AX34" s="36"/>
      <x:c r="AY34" s="33"/>
      <x:c r="AZ34" s="185"/>
      <x:c r="BA34" s="185"/>
      <x:c r="BB34" s="185"/>
      <x:c r="BC34" s="35"/>
      <x:c r="BD34" s="36"/>
      <x:c r="BE34" s="33"/>
      <x:c r="BF34" s="185"/>
      <x:c r="BG34" s="185"/>
      <x:c r="BH34" s="185"/>
      <x:c r="BI34" s="35"/>
      <x:c r="BJ34" s="36"/>
      <x:c r="BK34" s="33"/>
      <x:c r="BL34" s="185"/>
      <x:c r="BM34" s="185"/>
      <x:c r="BN34" s="185"/>
      <x:c r="BO34" s="35"/>
      <x:c r="BP34" s="36"/>
      <x:c r="BQ34" s="33"/>
      <x:c r="BR34" s="185"/>
      <x:c r="BS34" s="185"/>
      <x:c r="BT34" s="185"/>
      <x:c r="BU34" s="35"/>
      <x:c r="BV34" s="36"/>
    </x:row>
    <x:row r="35" spans="1:74" x14ac:dyDescent="0.25">
      <x:c r="A35" s="32"/>
      <x:c r="B35" s="32"/>
      <x:c r="C35" s="33"/>
      <x:c r="D35" s="185"/>
      <x:c r="E35" s="185"/>
      <x:c r="F35" s="185"/>
      <x:c r="G35" s="185"/>
      <x:c r="H35" s="34"/>
      <x:c r="I35" s="33"/>
      <x:c r="J35" s="185"/>
      <x:c r="K35" s="185"/>
      <x:c r="L35" s="185"/>
      <x:c r="M35" s="35"/>
      <x:c r="N35" s="36"/>
      <x:c r="O35" s="33"/>
      <x:c r="P35" s="185"/>
      <x:c r="Q35" s="185"/>
      <x:c r="R35" s="185"/>
      <x:c r="S35" s="35"/>
      <x:c r="T35" s="36"/>
      <x:c r="U35" s="33"/>
      <x:c r="V35" s="185"/>
      <x:c r="W35" s="185"/>
      <x:c r="X35" s="185"/>
      <x:c r="Y35" s="35"/>
      <x:c r="Z35" s="36"/>
      <x:c r="AA35" s="33"/>
      <x:c r="AB35" s="185"/>
      <x:c r="AC35" s="185"/>
      <x:c r="AD35" s="185"/>
      <x:c r="AE35" s="35"/>
      <x:c r="AF35" s="36"/>
      <x:c r="AG35" s="33"/>
      <x:c r="AH35" s="185"/>
      <x:c r="AI35" s="185"/>
      <x:c r="AJ35" s="185"/>
      <x:c r="AK35" s="35"/>
      <x:c r="AL35" s="36"/>
      <x:c r="AM35" s="33"/>
      <x:c r="AN35" s="185"/>
      <x:c r="AO35" s="185"/>
      <x:c r="AP35" s="185"/>
      <x:c r="AQ35" s="35"/>
      <x:c r="AR35" s="36"/>
      <x:c r="AS35" s="33"/>
      <x:c r="AT35" s="185"/>
      <x:c r="AU35" s="185"/>
      <x:c r="AV35" s="185"/>
      <x:c r="AW35" s="35"/>
      <x:c r="AX35" s="36"/>
      <x:c r="AY35" s="33"/>
      <x:c r="AZ35" s="185"/>
      <x:c r="BA35" s="185"/>
      <x:c r="BB35" s="185"/>
      <x:c r="BC35" s="35"/>
      <x:c r="BD35" s="36"/>
      <x:c r="BE35" s="33"/>
      <x:c r="BF35" s="185"/>
      <x:c r="BG35" s="185"/>
      <x:c r="BH35" s="185"/>
      <x:c r="BI35" s="35"/>
      <x:c r="BJ35" s="36"/>
      <x:c r="BK35" s="33"/>
      <x:c r="BL35" s="185"/>
      <x:c r="BM35" s="185"/>
      <x:c r="BN35" s="185"/>
      <x:c r="BO35" s="35"/>
      <x:c r="BP35" s="36"/>
      <x:c r="BQ35" s="33"/>
      <x:c r="BR35" s="185"/>
      <x:c r="BS35" s="185"/>
      <x:c r="BT35" s="185"/>
      <x:c r="BU35" s="35"/>
      <x:c r="BV35" s="36"/>
    </x:row>
    <x:row r="36" spans="1:74" x14ac:dyDescent="0.25">
      <x:c r="A36" s="32"/>
      <x:c r="B36" s="32"/>
      <x:c r="C36" s="33"/>
      <x:c r="D36" s="185"/>
      <x:c r="E36" s="185"/>
      <x:c r="F36" s="185"/>
      <x:c r="G36" s="185"/>
      <x:c r="H36" s="34"/>
      <x:c r="I36" s="33"/>
      <x:c r="J36" s="185"/>
      <x:c r="K36" s="185"/>
      <x:c r="L36" s="185"/>
      <x:c r="M36" s="35"/>
      <x:c r="N36" s="36"/>
      <x:c r="O36" s="33"/>
      <x:c r="P36" s="185"/>
      <x:c r="Q36" s="185"/>
      <x:c r="R36" s="185"/>
      <x:c r="S36" s="35"/>
      <x:c r="T36" s="36"/>
      <x:c r="U36" s="33"/>
      <x:c r="V36" s="185"/>
      <x:c r="W36" s="185"/>
      <x:c r="X36" s="185"/>
      <x:c r="Y36" s="35"/>
      <x:c r="Z36" s="36"/>
      <x:c r="AA36" s="33"/>
      <x:c r="AB36" s="185"/>
      <x:c r="AC36" s="185"/>
      <x:c r="AD36" s="185"/>
      <x:c r="AE36" s="35"/>
      <x:c r="AF36" s="36"/>
      <x:c r="AG36" s="33"/>
      <x:c r="AH36" s="185"/>
      <x:c r="AI36" s="185"/>
      <x:c r="AJ36" s="185"/>
      <x:c r="AK36" s="35"/>
      <x:c r="AL36" s="36"/>
      <x:c r="AM36" s="33"/>
      <x:c r="AN36" s="185"/>
      <x:c r="AO36" s="185"/>
      <x:c r="AP36" s="185"/>
      <x:c r="AQ36" s="35"/>
      <x:c r="AR36" s="36"/>
      <x:c r="AS36" s="33"/>
      <x:c r="AT36" s="185"/>
      <x:c r="AU36" s="185"/>
      <x:c r="AV36" s="185"/>
      <x:c r="AW36" s="35"/>
      <x:c r="AX36" s="36"/>
      <x:c r="AY36" s="33"/>
      <x:c r="AZ36" s="185"/>
      <x:c r="BA36" s="185"/>
      <x:c r="BB36" s="185"/>
      <x:c r="BC36" s="35"/>
      <x:c r="BD36" s="36"/>
      <x:c r="BE36" s="33"/>
      <x:c r="BF36" s="185"/>
      <x:c r="BG36" s="185"/>
      <x:c r="BH36" s="185"/>
      <x:c r="BI36" s="35"/>
      <x:c r="BJ36" s="36"/>
      <x:c r="BK36" s="33"/>
      <x:c r="BL36" s="185"/>
      <x:c r="BM36" s="185"/>
      <x:c r="BN36" s="185"/>
      <x:c r="BO36" s="35"/>
      <x:c r="BP36" s="36"/>
      <x:c r="BQ36" s="33"/>
      <x:c r="BR36" s="185"/>
      <x:c r="BS36" s="185"/>
      <x:c r="BT36" s="185"/>
      <x:c r="BU36" s="35"/>
      <x:c r="BV36" s="36"/>
    </x:row>
    <x:row r="37" spans="1:74" x14ac:dyDescent="0.25">
      <x:c r="A37" s="32"/>
      <x:c r="B37" s="32"/>
      <x:c r="C37" s="33"/>
      <x:c r="D37" s="185"/>
      <x:c r="E37" s="185"/>
      <x:c r="F37" s="185"/>
      <x:c r="G37" s="185"/>
      <x:c r="H37" s="34"/>
      <x:c r="I37" s="33"/>
      <x:c r="J37" s="185"/>
      <x:c r="K37" s="185"/>
      <x:c r="L37" s="185"/>
      <x:c r="M37" s="35"/>
      <x:c r="N37" s="36"/>
      <x:c r="O37" s="33"/>
      <x:c r="P37" s="185"/>
      <x:c r="Q37" s="185"/>
      <x:c r="R37" s="185"/>
      <x:c r="S37" s="35"/>
      <x:c r="T37" s="36"/>
      <x:c r="U37" s="33"/>
      <x:c r="V37" s="185"/>
      <x:c r="W37" s="185"/>
      <x:c r="X37" s="185"/>
      <x:c r="Y37" s="35"/>
      <x:c r="Z37" s="36"/>
      <x:c r="AA37" s="33"/>
      <x:c r="AB37" s="185"/>
      <x:c r="AC37" s="185"/>
      <x:c r="AD37" s="185"/>
      <x:c r="AE37" s="35"/>
      <x:c r="AF37" s="36"/>
      <x:c r="AG37" s="33"/>
      <x:c r="AH37" s="185"/>
      <x:c r="AI37" s="185"/>
      <x:c r="AJ37" s="185"/>
      <x:c r="AK37" s="35"/>
      <x:c r="AL37" s="36"/>
      <x:c r="AM37" s="33"/>
      <x:c r="AN37" s="185"/>
      <x:c r="AO37" s="185"/>
      <x:c r="AP37" s="185"/>
      <x:c r="AQ37" s="35"/>
      <x:c r="AR37" s="36"/>
      <x:c r="AS37" s="33"/>
      <x:c r="AT37" s="185"/>
      <x:c r="AU37" s="185"/>
      <x:c r="AV37" s="185"/>
      <x:c r="AW37" s="35"/>
      <x:c r="AX37" s="36"/>
      <x:c r="AY37" s="33"/>
      <x:c r="AZ37" s="185"/>
      <x:c r="BA37" s="185"/>
      <x:c r="BB37" s="185"/>
      <x:c r="BC37" s="35"/>
      <x:c r="BD37" s="36"/>
      <x:c r="BE37" s="33"/>
      <x:c r="BF37" s="185"/>
      <x:c r="BG37" s="185"/>
      <x:c r="BH37" s="185"/>
      <x:c r="BI37" s="35"/>
      <x:c r="BJ37" s="36"/>
      <x:c r="BK37" s="33"/>
      <x:c r="BL37" s="185"/>
      <x:c r="BM37" s="185"/>
      <x:c r="BN37" s="185"/>
      <x:c r="BO37" s="35"/>
      <x:c r="BP37" s="36"/>
      <x:c r="BQ37" s="33"/>
      <x:c r="BR37" s="185"/>
      <x:c r="BS37" s="185"/>
      <x:c r="BT37" s="185"/>
      <x:c r="BU37" s="35"/>
      <x:c r="BV37" s="36"/>
    </x:row>
    <x:row r="38" spans="1:74" x14ac:dyDescent="0.25">
      <x:c r="A38" s="32"/>
      <x:c r="B38" s="32"/>
      <x:c r="C38" s="33"/>
      <x:c r="D38" s="185"/>
      <x:c r="E38" s="185"/>
      <x:c r="F38" s="185"/>
      <x:c r="G38" s="185"/>
      <x:c r="H38" s="34"/>
      <x:c r="I38" s="33"/>
      <x:c r="J38" s="185"/>
      <x:c r="K38" s="185"/>
      <x:c r="L38" s="185"/>
      <x:c r="M38" s="35"/>
      <x:c r="N38" s="36"/>
      <x:c r="O38" s="33"/>
      <x:c r="P38" s="185"/>
      <x:c r="Q38" s="185"/>
      <x:c r="R38" s="185"/>
      <x:c r="S38" s="35"/>
      <x:c r="T38" s="36"/>
      <x:c r="U38" s="33"/>
      <x:c r="V38" s="185"/>
      <x:c r="W38" s="185"/>
      <x:c r="X38" s="185"/>
      <x:c r="Y38" s="35"/>
      <x:c r="Z38" s="36"/>
      <x:c r="AA38" s="33"/>
      <x:c r="AB38" s="185"/>
      <x:c r="AC38" s="185"/>
      <x:c r="AD38" s="185"/>
      <x:c r="AE38" s="35"/>
      <x:c r="AF38" s="36"/>
      <x:c r="AG38" s="33"/>
      <x:c r="AH38" s="185"/>
      <x:c r="AI38" s="185"/>
      <x:c r="AJ38" s="185"/>
      <x:c r="AK38" s="35"/>
      <x:c r="AL38" s="36"/>
      <x:c r="AM38" s="33"/>
      <x:c r="AN38" s="185"/>
      <x:c r="AO38" s="185"/>
      <x:c r="AP38" s="185"/>
      <x:c r="AQ38" s="35"/>
      <x:c r="AR38" s="36"/>
      <x:c r="AS38" s="33"/>
      <x:c r="AT38" s="185"/>
      <x:c r="AU38" s="185"/>
      <x:c r="AV38" s="185"/>
      <x:c r="AW38" s="35"/>
      <x:c r="AX38" s="36"/>
      <x:c r="AY38" s="33"/>
      <x:c r="AZ38" s="185"/>
      <x:c r="BA38" s="185"/>
      <x:c r="BB38" s="185"/>
      <x:c r="BC38" s="35"/>
      <x:c r="BD38" s="36"/>
      <x:c r="BE38" s="33"/>
      <x:c r="BF38" s="185"/>
      <x:c r="BG38" s="185"/>
      <x:c r="BH38" s="185"/>
      <x:c r="BI38" s="35"/>
      <x:c r="BJ38" s="36"/>
      <x:c r="BK38" s="33"/>
      <x:c r="BL38" s="185"/>
      <x:c r="BM38" s="185"/>
      <x:c r="BN38" s="185"/>
      <x:c r="BO38" s="35"/>
      <x:c r="BP38" s="36"/>
      <x:c r="BQ38" s="33"/>
      <x:c r="BR38" s="185"/>
      <x:c r="BS38" s="185"/>
      <x:c r="BT38" s="185"/>
      <x:c r="BU38" s="35"/>
      <x:c r="BV38" s="36"/>
    </x:row>
    <x:row r="39" spans="1:74" x14ac:dyDescent="0.25">
      <x:c r="A39" s="32"/>
      <x:c r="B39" s="32"/>
      <x:c r="C39" s="33"/>
      <x:c r="D39" s="185"/>
      <x:c r="E39" s="185"/>
      <x:c r="F39" s="185"/>
      <x:c r="G39" s="185"/>
      <x:c r="H39" s="34"/>
      <x:c r="I39" s="33"/>
      <x:c r="J39" s="185"/>
      <x:c r="K39" s="185"/>
      <x:c r="L39" s="185"/>
      <x:c r="M39" s="35"/>
      <x:c r="N39" s="36"/>
      <x:c r="O39" s="33"/>
      <x:c r="P39" s="185"/>
      <x:c r="Q39" s="185"/>
      <x:c r="R39" s="185"/>
      <x:c r="S39" s="35"/>
      <x:c r="T39" s="36"/>
      <x:c r="U39" s="33"/>
      <x:c r="V39" s="185"/>
      <x:c r="W39" s="185"/>
      <x:c r="X39" s="185"/>
      <x:c r="Y39" s="35"/>
      <x:c r="Z39" s="36"/>
      <x:c r="AA39" s="33"/>
      <x:c r="AB39" s="185"/>
      <x:c r="AC39" s="185"/>
      <x:c r="AD39" s="185"/>
      <x:c r="AE39" s="35"/>
      <x:c r="AF39" s="36"/>
      <x:c r="AG39" s="33"/>
      <x:c r="AH39" s="185"/>
      <x:c r="AI39" s="185"/>
      <x:c r="AJ39" s="185"/>
      <x:c r="AK39" s="35"/>
      <x:c r="AL39" s="36"/>
      <x:c r="AM39" s="33"/>
      <x:c r="AN39" s="185"/>
      <x:c r="AO39" s="185"/>
      <x:c r="AP39" s="185"/>
      <x:c r="AQ39" s="35"/>
      <x:c r="AR39" s="36"/>
      <x:c r="AS39" s="33"/>
      <x:c r="AT39" s="185"/>
      <x:c r="AU39" s="185"/>
      <x:c r="AV39" s="185"/>
      <x:c r="AW39" s="35"/>
      <x:c r="AX39" s="36"/>
      <x:c r="AY39" s="33"/>
      <x:c r="AZ39" s="185"/>
      <x:c r="BA39" s="185"/>
      <x:c r="BB39" s="185"/>
      <x:c r="BC39" s="35"/>
      <x:c r="BD39" s="36"/>
      <x:c r="BE39" s="33"/>
      <x:c r="BF39" s="185"/>
      <x:c r="BG39" s="185"/>
      <x:c r="BH39" s="185"/>
      <x:c r="BI39" s="35"/>
      <x:c r="BJ39" s="36"/>
      <x:c r="BK39" s="33"/>
      <x:c r="BL39" s="185"/>
      <x:c r="BM39" s="185"/>
      <x:c r="BN39" s="185"/>
      <x:c r="BO39" s="35"/>
      <x:c r="BP39" s="36"/>
      <x:c r="BQ39" s="33"/>
      <x:c r="BR39" s="185"/>
      <x:c r="BS39" s="185"/>
      <x:c r="BT39" s="185"/>
      <x:c r="BU39" s="35"/>
      <x:c r="BV39" s="36"/>
    </x:row>
    <x:row r="40" spans="1:74" x14ac:dyDescent="0.25">
      <x:c r="A40" s="32"/>
      <x:c r="B40" s="32"/>
      <x:c r="C40" s="33"/>
      <x:c r="D40" s="185"/>
      <x:c r="E40" s="185"/>
      <x:c r="F40" s="185"/>
      <x:c r="G40" s="185"/>
      <x:c r="H40" s="34"/>
      <x:c r="I40" s="33"/>
      <x:c r="J40" s="185"/>
      <x:c r="K40" s="185"/>
      <x:c r="L40" s="185"/>
      <x:c r="M40" s="35"/>
      <x:c r="N40" s="36"/>
      <x:c r="O40" s="33"/>
      <x:c r="P40" s="185"/>
      <x:c r="Q40" s="185"/>
      <x:c r="R40" s="185"/>
      <x:c r="S40" s="35"/>
      <x:c r="T40" s="36"/>
      <x:c r="U40" s="33"/>
      <x:c r="V40" s="185"/>
      <x:c r="W40" s="185"/>
      <x:c r="X40" s="185"/>
      <x:c r="Y40" s="35"/>
      <x:c r="Z40" s="36"/>
      <x:c r="AA40" s="33"/>
      <x:c r="AB40" s="185"/>
      <x:c r="AC40" s="185"/>
      <x:c r="AD40" s="185"/>
      <x:c r="AE40" s="35"/>
      <x:c r="AF40" s="36"/>
      <x:c r="AG40" s="33"/>
      <x:c r="AH40" s="185"/>
      <x:c r="AI40" s="185"/>
      <x:c r="AJ40" s="185"/>
      <x:c r="AK40" s="35"/>
      <x:c r="AL40" s="36"/>
      <x:c r="AM40" s="33"/>
      <x:c r="AN40" s="185"/>
      <x:c r="AO40" s="185"/>
      <x:c r="AP40" s="185"/>
      <x:c r="AQ40" s="35"/>
      <x:c r="AR40" s="36"/>
      <x:c r="AS40" s="33"/>
      <x:c r="AT40" s="185"/>
      <x:c r="AU40" s="185"/>
      <x:c r="AV40" s="185"/>
      <x:c r="AW40" s="35"/>
      <x:c r="AX40" s="36"/>
      <x:c r="AY40" s="33"/>
      <x:c r="AZ40" s="185"/>
      <x:c r="BA40" s="185"/>
      <x:c r="BB40" s="185"/>
      <x:c r="BC40" s="35"/>
      <x:c r="BD40" s="36"/>
      <x:c r="BE40" s="33"/>
      <x:c r="BF40" s="185"/>
      <x:c r="BG40" s="185"/>
      <x:c r="BH40" s="185"/>
      <x:c r="BI40" s="35"/>
      <x:c r="BJ40" s="36"/>
      <x:c r="BK40" s="33"/>
      <x:c r="BL40" s="185"/>
      <x:c r="BM40" s="185"/>
      <x:c r="BN40" s="185"/>
      <x:c r="BO40" s="35"/>
      <x:c r="BP40" s="36"/>
      <x:c r="BQ40" s="33"/>
      <x:c r="BR40" s="185"/>
      <x:c r="BS40" s="185"/>
      <x:c r="BT40" s="185"/>
      <x:c r="BU40" s="35"/>
      <x:c r="BV40" s="36"/>
    </x:row>
    <x:row r="41" spans="1:74" x14ac:dyDescent="0.25">
      <x:c r="A41" s="32"/>
      <x:c r="B41" s="32"/>
      <x:c r="C41" s="33"/>
      <x:c r="D41" s="185"/>
      <x:c r="E41" s="185"/>
      <x:c r="F41" s="185"/>
      <x:c r="G41" s="185"/>
      <x:c r="H41" s="34"/>
      <x:c r="I41" s="33"/>
      <x:c r="J41" s="185"/>
      <x:c r="K41" s="185"/>
      <x:c r="L41" s="185"/>
      <x:c r="M41" s="35"/>
      <x:c r="N41" s="36"/>
      <x:c r="O41" s="33"/>
      <x:c r="P41" s="185"/>
      <x:c r="Q41" s="185"/>
      <x:c r="R41" s="185"/>
      <x:c r="S41" s="35"/>
      <x:c r="T41" s="36"/>
      <x:c r="U41" s="33"/>
      <x:c r="V41" s="185"/>
      <x:c r="W41" s="185"/>
      <x:c r="X41" s="185"/>
      <x:c r="Y41" s="35"/>
      <x:c r="Z41" s="36"/>
      <x:c r="AA41" s="33"/>
      <x:c r="AB41" s="185"/>
      <x:c r="AC41" s="185"/>
      <x:c r="AD41" s="185"/>
      <x:c r="AE41" s="35"/>
      <x:c r="AF41" s="36"/>
      <x:c r="AG41" s="33"/>
      <x:c r="AH41" s="185"/>
      <x:c r="AI41" s="185"/>
      <x:c r="AJ41" s="185"/>
      <x:c r="AK41" s="35"/>
      <x:c r="AL41" s="36"/>
      <x:c r="AM41" s="33"/>
      <x:c r="AN41" s="185"/>
      <x:c r="AO41" s="185"/>
      <x:c r="AP41" s="185"/>
      <x:c r="AQ41" s="35"/>
      <x:c r="AR41" s="36"/>
      <x:c r="AS41" s="33"/>
      <x:c r="AT41" s="185"/>
      <x:c r="AU41" s="185"/>
      <x:c r="AV41" s="185"/>
      <x:c r="AW41" s="35"/>
      <x:c r="AX41" s="36"/>
      <x:c r="AY41" s="33"/>
      <x:c r="AZ41" s="185"/>
      <x:c r="BA41" s="185"/>
      <x:c r="BB41" s="185"/>
      <x:c r="BC41" s="35"/>
      <x:c r="BD41" s="36"/>
      <x:c r="BE41" s="33"/>
      <x:c r="BF41" s="185"/>
      <x:c r="BG41" s="185"/>
      <x:c r="BH41" s="185"/>
      <x:c r="BI41" s="35"/>
      <x:c r="BJ41" s="36"/>
      <x:c r="BK41" s="33"/>
      <x:c r="BL41" s="185"/>
      <x:c r="BM41" s="185"/>
      <x:c r="BN41" s="185"/>
      <x:c r="BO41" s="35"/>
      <x:c r="BP41" s="36"/>
      <x:c r="BQ41" s="33"/>
      <x:c r="BR41" s="185"/>
      <x:c r="BS41" s="185"/>
      <x:c r="BT41" s="185"/>
      <x:c r="BU41" s="35"/>
      <x:c r="BV41" s="36"/>
    </x:row>
    <x:row r="42" spans="1:74" x14ac:dyDescent="0.25">
      <x:c r="A42" s="32"/>
      <x:c r="B42" s="32"/>
      <x:c r="C42" s="33"/>
      <x:c r="D42" s="185"/>
      <x:c r="E42" s="185"/>
      <x:c r="F42" s="185"/>
      <x:c r="G42" s="185"/>
      <x:c r="H42" s="34"/>
      <x:c r="I42" s="33"/>
      <x:c r="J42" s="185"/>
      <x:c r="K42" s="185"/>
      <x:c r="L42" s="185"/>
      <x:c r="M42" s="35"/>
      <x:c r="N42" s="36"/>
      <x:c r="O42" s="33"/>
      <x:c r="P42" s="185"/>
      <x:c r="Q42" s="185"/>
      <x:c r="R42" s="185"/>
      <x:c r="S42" s="35"/>
      <x:c r="T42" s="36"/>
      <x:c r="U42" s="33"/>
      <x:c r="V42" s="185"/>
      <x:c r="W42" s="185"/>
      <x:c r="X42" s="185"/>
      <x:c r="Y42" s="35"/>
      <x:c r="Z42" s="36"/>
      <x:c r="AA42" s="33"/>
      <x:c r="AB42" s="185"/>
      <x:c r="AC42" s="185"/>
      <x:c r="AD42" s="185"/>
      <x:c r="AE42" s="35"/>
      <x:c r="AF42" s="36"/>
      <x:c r="AG42" s="33"/>
      <x:c r="AH42" s="185"/>
      <x:c r="AI42" s="185"/>
      <x:c r="AJ42" s="185"/>
      <x:c r="AK42" s="35"/>
      <x:c r="AL42" s="36"/>
      <x:c r="AM42" s="33"/>
      <x:c r="AN42" s="185"/>
      <x:c r="AO42" s="185"/>
      <x:c r="AP42" s="185"/>
      <x:c r="AQ42" s="35"/>
      <x:c r="AR42" s="36"/>
      <x:c r="AS42" s="33"/>
      <x:c r="AT42" s="185"/>
      <x:c r="AU42" s="185"/>
      <x:c r="AV42" s="185"/>
      <x:c r="AW42" s="35"/>
      <x:c r="AX42" s="36"/>
      <x:c r="AY42" s="33"/>
      <x:c r="AZ42" s="185"/>
      <x:c r="BA42" s="185"/>
      <x:c r="BB42" s="185"/>
      <x:c r="BC42" s="35"/>
      <x:c r="BD42" s="36"/>
      <x:c r="BE42" s="33"/>
      <x:c r="BF42" s="185"/>
      <x:c r="BG42" s="185"/>
      <x:c r="BH42" s="185"/>
      <x:c r="BI42" s="35"/>
      <x:c r="BJ42" s="36"/>
      <x:c r="BK42" s="33"/>
      <x:c r="BL42" s="185"/>
      <x:c r="BM42" s="185"/>
      <x:c r="BN42" s="185"/>
      <x:c r="BO42" s="35"/>
      <x:c r="BP42" s="36"/>
      <x:c r="BQ42" s="33"/>
      <x:c r="BR42" s="185"/>
      <x:c r="BS42" s="185"/>
      <x:c r="BT42" s="185"/>
      <x:c r="BU42" s="35"/>
      <x:c r="BV42" s="36"/>
    </x:row>
    <x:row r="43" spans="1:74" x14ac:dyDescent="0.25">
      <x:c r="A43" s="32"/>
      <x:c r="B43" s="32"/>
      <x:c r="C43" s="33"/>
      <x:c r="D43" s="185"/>
      <x:c r="E43" s="185"/>
      <x:c r="F43" s="185"/>
      <x:c r="G43" s="185"/>
      <x:c r="H43" s="34"/>
      <x:c r="I43" s="33"/>
      <x:c r="J43" s="185"/>
      <x:c r="K43" s="185"/>
      <x:c r="L43" s="185"/>
      <x:c r="M43" s="35"/>
      <x:c r="N43" s="36"/>
      <x:c r="O43" s="33"/>
      <x:c r="P43" s="185"/>
      <x:c r="Q43" s="185"/>
      <x:c r="R43" s="185"/>
      <x:c r="S43" s="35"/>
      <x:c r="T43" s="36"/>
      <x:c r="U43" s="33"/>
      <x:c r="V43" s="185"/>
      <x:c r="W43" s="185"/>
      <x:c r="X43" s="185"/>
      <x:c r="Y43" s="35"/>
      <x:c r="Z43" s="36"/>
      <x:c r="AA43" s="33"/>
      <x:c r="AB43" s="185"/>
      <x:c r="AC43" s="185"/>
      <x:c r="AD43" s="185"/>
      <x:c r="AE43" s="35"/>
      <x:c r="AF43" s="36"/>
      <x:c r="AG43" s="33"/>
      <x:c r="AH43" s="185"/>
      <x:c r="AI43" s="185"/>
      <x:c r="AJ43" s="185"/>
      <x:c r="AK43" s="35"/>
      <x:c r="AL43" s="36"/>
      <x:c r="AM43" s="33"/>
      <x:c r="AN43" s="185"/>
      <x:c r="AO43" s="185"/>
      <x:c r="AP43" s="185"/>
      <x:c r="AQ43" s="35"/>
      <x:c r="AR43" s="36"/>
      <x:c r="AS43" s="33"/>
      <x:c r="AT43" s="185"/>
      <x:c r="AU43" s="185"/>
      <x:c r="AV43" s="185"/>
      <x:c r="AW43" s="35"/>
      <x:c r="AX43" s="36"/>
      <x:c r="AY43" s="33"/>
      <x:c r="AZ43" s="185"/>
      <x:c r="BA43" s="185"/>
      <x:c r="BB43" s="185"/>
      <x:c r="BC43" s="35"/>
      <x:c r="BD43" s="36"/>
      <x:c r="BE43" s="33"/>
      <x:c r="BF43" s="185"/>
      <x:c r="BG43" s="185"/>
      <x:c r="BH43" s="185"/>
      <x:c r="BI43" s="35"/>
      <x:c r="BJ43" s="36"/>
      <x:c r="BK43" s="33"/>
      <x:c r="BL43" s="185"/>
      <x:c r="BM43" s="185"/>
      <x:c r="BN43" s="185"/>
      <x:c r="BO43" s="35"/>
      <x:c r="BP43" s="36"/>
      <x:c r="BQ43" s="33"/>
      <x:c r="BR43" s="185"/>
      <x:c r="BS43" s="185"/>
      <x:c r="BT43" s="185"/>
      <x:c r="BU43" s="35"/>
      <x:c r="BV43" s="36"/>
    </x:row>
    <x:row r="44" spans="1:74" x14ac:dyDescent="0.25">
      <x:c r="A44" s="32"/>
      <x:c r="B44" s="32"/>
      <x:c r="C44" s="33"/>
      <x:c r="D44" s="185"/>
      <x:c r="E44" s="185"/>
      <x:c r="F44" s="185"/>
      <x:c r="G44" s="185"/>
      <x:c r="H44" s="34"/>
      <x:c r="I44" s="33"/>
      <x:c r="J44" s="185"/>
      <x:c r="K44" s="185"/>
      <x:c r="L44" s="185"/>
      <x:c r="M44" s="35"/>
      <x:c r="N44" s="36"/>
      <x:c r="O44" s="33"/>
      <x:c r="P44" s="185"/>
      <x:c r="Q44" s="185"/>
      <x:c r="R44" s="185"/>
      <x:c r="S44" s="35"/>
      <x:c r="T44" s="36"/>
      <x:c r="U44" s="33"/>
      <x:c r="V44" s="185"/>
      <x:c r="W44" s="185"/>
      <x:c r="X44" s="185"/>
      <x:c r="Y44" s="35"/>
      <x:c r="Z44" s="36"/>
      <x:c r="AA44" s="33"/>
      <x:c r="AB44" s="185"/>
      <x:c r="AC44" s="185"/>
      <x:c r="AD44" s="185"/>
      <x:c r="AE44" s="35"/>
      <x:c r="AF44" s="36"/>
      <x:c r="AG44" s="33"/>
      <x:c r="AH44" s="185"/>
      <x:c r="AI44" s="185"/>
      <x:c r="AJ44" s="185"/>
      <x:c r="AK44" s="35"/>
      <x:c r="AL44" s="36"/>
      <x:c r="AM44" s="33"/>
      <x:c r="AN44" s="185"/>
      <x:c r="AO44" s="185"/>
      <x:c r="AP44" s="185"/>
      <x:c r="AQ44" s="35"/>
      <x:c r="AR44" s="36"/>
      <x:c r="AS44" s="33"/>
      <x:c r="AT44" s="185"/>
      <x:c r="AU44" s="185"/>
      <x:c r="AV44" s="185"/>
      <x:c r="AW44" s="35"/>
      <x:c r="AX44" s="36"/>
      <x:c r="AY44" s="33"/>
      <x:c r="AZ44" s="185"/>
      <x:c r="BA44" s="185"/>
      <x:c r="BB44" s="185"/>
      <x:c r="BC44" s="35"/>
      <x:c r="BD44" s="36"/>
      <x:c r="BE44" s="33"/>
      <x:c r="BF44" s="185"/>
      <x:c r="BG44" s="185"/>
      <x:c r="BH44" s="185"/>
      <x:c r="BI44" s="35"/>
      <x:c r="BJ44" s="36"/>
      <x:c r="BK44" s="33"/>
      <x:c r="BL44" s="185"/>
      <x:c r="BM44" s="185"/>
      <x:c r="BN44" s="185"/>
      <x:c r="BO44" s="35"/>
      <x:c r="BP44" s="36"/>
      <x:c r="BQ44" s="33"/>
      <x:c r="BR44" s="185"/>
      <x:c r="BS44" s="185"/>
      <x:c r="BT44" s="185"/>
      <x:c r="BU44" s="35"/>
      <x:c r="BV44" s="36"/>
    </x:row>
    <x:row r="45" spans="1:74" x14ac:dyDescent="0.25">
      <x:c r="A45" s="32"/>
      <x:c r="B45" s="32"/>
      <x:c r="C45" s="33"/>
      <x:c r="D45" s="185"/>
      <x:c r="E45" s="185"/>
      <x:c r="F45" s="185"/>
      <x:c r="G45" s="185"/>
      <x:c r="H45" s="34"/>
      <x:c r="I45" s="33"/>
      <x:c r="J45" s="185"/>
      <x:c r="K45" s="185"/>
      <x:c r="L45" s="185"/>
      <x:c r="M45" s="35"/>
      <x:c r="N45" s="36"/>
      <x:c r="O45" s="33"/>
      <x:c r="P45" s="185"/>
      <x:c r="Q45" s="185"/>
      <x:c r="R45" s="185"/>
      <x:c r="S45" s="35"/>
      <x:c r="T45" s="36"/>
      <x:c r="U45" s="33"/>
      <x:c r="V45" s="185"/>
      <x:c r="W45" s="185"/>
      <x:c r="X45" s="185"/>
      <x:c r="Y45" s="35"/>
      <x:c r="Z45" s="36"/>
      <x:c r="AA45" s="33"/>
      <x:c r="AB45" s="185"/>
      <x:c r="AC45" s="185"/>
      <x:c r="AD45" s="185"/>
      <x:c r="AE45" s="35"/>
      <x:c r="AF45" s="36"/>
      <x:c r="AG45" s="33"/>
      <x:c r="AH45" s="185"/>
      <x:c r="AI45" s="185"/>
      <x:c r="AJ45" s="185"/>
      <x:c r="AK45" s="35"/>
      <x:c r="AL45" s="36"/>
      <x:c r="AM45" s="33"/>
      <x:c r="AN45" s="185"/>
      <x:c r="AO45" s="185"/>
      <x:c r="AP45" s="185"/>
      <x:c r="AQ45" s="35"/>
      <x:c r="AR45" s="36"/>
      <x:c r="AS45" s="33"/>
      <x:c r="AT45" s="185"/>
      <x:c r="AU45" s="185"/>
      <x:c r="AV45" s="185"/>
      <x:c r="AW45" s="35"/>
      <x:c r="AX45" s="36"/>
      <x:c r="AY45" s="33"/>
      <x:c r="AZ45" s="185"/>
      <x:c r="BA45" s="185"/>
      <x:c r="BB45" s="185"/>
      <x:c r="BC45" s="35"/>
      <x:c r="BD45" s="36"/>
      <x:c r="BE45" s="33"/>
      <x:c r="BF45" s="185"/>
      <x:c r="BG45" s="185"/>
      <x:c r="BH45" s="185"/>
      <x:c r="BI45" s="35"/>
      <x:c r="BJ45" s="36"/>
      <x:c r="BK45" s="33"/>
      <x:c r="BL45" s="185"/>
      <x:c r="BM45" s="185"/>
      <x:c r="BN45" s="185"/>
      <x:c r="BO45" s="35"/>
      <x:c r="BP45" s="36"/>
      <x:c r="BQ45" s="33"/>
      <x:c r="BR45" s="185"/>
      <x:c r="BS45" s="185"/>
      <x:c r="BT45" s="185"/>
      <x:c r="BU45" s="35"/>
      <x:c r="BV45" s="36"/>
    </x:row>
    <x:row r="46" spans="1:74" ht="15.75" customHeight="1" x14ac:dyDescent="0.3">
      <x:c r="A46" s="37"/>
      <x:c r="B46" s="37"/>
      <x:c r="C46" s="38"/>
      <x:c r="D46" s="39"/>
      <x:c r="E46" s="39"/>
      <x:c r="F46" s="39"/>
      <x:c r="G46" s="39"/>
      <x:c r="H46" s="40"/>
      <x:c r="I46" s="38"/>
      <x:c r="J46" s="39"/>
      <x:c r="K46" s="39"/>
      <x:c r="L46" s="39"/>
      <x:c r="M46" s="41"/>
      <x:c r="N46" s="42"/>
      <x:c r="O46" s="38"/>
      <x:c r="P46" s="39"/>
      <x:c r="Q46" s="39"/>
      <x:c r="R46" s="39"/>
      <x:c r="S46" s="41"/>
      <x:c r="T46" s="42"/>
      <x:c r="U46" s="38"/>
      <x:c r="V46" s="39"/>
      <x:c r="W46" s="39"/>
      <x:c r="X46" s="39"/>
      <x:c r="Y46" s="41"/>
      <x:c r="Z46" s="42"/>
      <x:c r="AA46" s="38"/>
      <x:c r="AB46" s="39"/>
      <x:c r="AC46" s="39"/>
      <x:c r="AD46" s="39"/>
      <x:c r="AE46" s="41"/>
      <x:c r="AF46" s="42"/>
      <x:c r="AG46" s="38"/>
      <x:c r="AH46" s="39"/>
      <x:c r="AI46" s="39"/>
      <x:c r="AJ46" s="39"/>
      <x:c r="AK46" s="41"/>
      <x:c r="AL46" s="42"/>
      <x:c r="AM46" s="38"/>
      <x:c r="AN46" s="39"/>
      <x:c r="AO46" s="39"/>
      <x:c r="AP46" s="39"/>
      <x:c r="AQ46" s="41"/>
      <x:c r="AR46" s="42"/>
      <x:c r="AS46" s="38"/>
      <x:c r="AT46" s="39"/>
      <x:c r="AU46" s="39"/>
      <x:c r="AV46" s="39"/>
      <x:c r="AW46" s="41"/>
      <x:c r="AX46" s="42"/>
      <x:c r="AY46" s="38"/>
      <x:c r="AZ46" s="39"/>
      <x:c r="BA46" s="39"/>
      <x:c r="BB46" s="39"/>
      <x:c r="BC46" s="41"/>
      <x:c r="BD46" s="42"/>
      <x:c r="BE46" s="38"/>
      <x:c r="BF46" s="39"/>
      <x:c r="BG46" s="39"/>
      <x:c r="BH46" s="39"/>
      <x:c r="BI46" s="41"/>
      <x:c r="BJ46" s="42"/>
      <x:c r="BK46" s="38"/>
      <x:c r="BL46" s="39"/>
      <x:c r="BM46" s="39"/>
      <x:c r="BN46" s="39"/>
      <x:c r="BO46" s="41"/>
      <x:c r="BP46" s="42"/>
      <x:c r="BQ46" s="38"/>
      <x:c r="BR46" s="39"/>
      <x:c r="BS46" s="39"/>
      <x:c r="BT46" s="39"/>
      <x:c r="BU46" s="41"/>
      <x:c r="BV46" s="42"/>
    </x:row>
    <x:row r="47" spans="1:74" x14ac:dyDescent="0.25">
      <x:c r="C47" s="227">
        <x:f t="array" ref="C47:C47">SUMPRODUCT((C3:C46&gt;=10)*(D3:D46&gt;=10)*(E3:E46&gt;=10)*(F3:F46&gt;=10)*(G3:G46&gt;=10)*((NOT(ISERROR(FIND("Оператор",$B$3:$B$46))))+(NOT(ISERROR(FIND("Машинист",$B$3:$B$46))))&gt;0))</x:f>
      </x:c>
      <x:c r="H47" s="227">
        <x:f>COUNTIF(H3:H46,"Да")</x:f>
      </x:c>
      <x:c r="I47" s="227">
        <x:f t="array" ref="I47:I47">SUMPRODUCT((I3:I46&gt;=10)*(J3:J46&gt;=10)*(K3:K46&gt;=10)*(L3:L46&gt;=10)*(M3:M46&gt;=10)*((NOT(ISERROR(FIND("Оператор",$B$3:$B$46))))+(NOT(ISERROR(FIND("Машинист",$B$3:$B$46))))&gt;0))</x:f>
      </x:c>
      <x:c r="N47" s="227">
        <x:f>COUNTIF(N3:N46,"Да")</x:f>
      </x:c>
      <x:c r="O47" s="227">
        <x:f t="array" ref="O47:O47">SUMPRODUCT((O3:O46&gt;=10)*(P3:P46&gt;=10)*(Q3:Q46&gt;=10)*(R3:R46&gt;=10)*(S3:S46&gt;=10)*((NOT(ISERROR(FIND("Оператор",$B$3:$B$46))))+(NOT(ISERROR(FIND("Машинист",$B$3:$B$46))))&gt;0))</x:f>
      </x:c>
      <x:c r="T47" s="227">
        <x:f>COUNTIF(T3:T46,"Да")</x:f>
      </x:c>
      <x:c r="U47" s="227">
        <x:f t="array" ref="U47:U47">SUMPRODUCT((U3:U46&gt;=10)*(V3:V46&gt;=10)*(W3:W46&gt;=10)*(X3:X46&gt;=10)*(Y3:Y46&gt;=10)*((NOT(ISERROR(FIND("Оператор",$B$3:$B$46))))+(NOT(ISERROR(FIND("Машинист",$B$3:$B$46))))&gt;0))</x:f>
      </x:c>
      <x:c r="Z47" s="227">
        <x:f>COUNTIF(Z3:Z46,"Да")</x:f>
      </x:c>
      <x:c r="AA47" s="227">
        <x:f t="array" ref="AA47:AA47">SUMPRODUCT((AA3:AA46&gt;=10)*(AB3:AB46&gt;=10)*(AC3:AC46&gt;=10)*(AD3:AD46&gt;=10)*(AE3:AE46&gt;=10)*((NOT(ISERROR(FIND("Оператор",$B$3:$B$46))))+(NOT(ISERROR(FIND("Машинист",$B$3:$B$46))))&gt;0))</x:f>
      </x:c>
      <x:c r="AF47" s="227">
        <x:f>COUNTIF(AF3:AF46,"Да")</x:f>
      </x:c>
      <x:c r="AG47" s="227">
        <x:f t="array" ref="AG47:AG47">SUMPRODUCT((AG3:AG46&gt;=10)*(AH3:AH46&gt;=10)*(AI3:AI46&gt;=10)*(AJ3:AJ46&gt;=10)*(AK3:AK46&gt;=10)*((NOT(ISERROR(FIND("Оператор",$B$3:$B$46))))+(NOT(ISERROR(FIND("Машинист",$B$3:$B$46))))&gt;0))</x:f>
      </x:c>
      <x:c r="AL47" s="227">
        <x:f>COUNTIF(AL3:AL46,"Да")</x:f>
      </x:c>
      <x:c r="AM47" s="227">
        <x:f t="array" ref="AM47:AM47">SUMPRODUCT((AM3:AM46&gt;=10)*(AN3:AN46&gt;=10)*(AO3:AO46&gt;=10)*(AP3:AP46&gt;=10)*(AQ3:AQ46&gt;=10)*((NOT(ISERROR(FIND("Оператор",$B$3:$B$46))))+(NOT(ISERROR(FIND("Машинист",$B$3:$B$46))))&gt;0))</x:f>
      </x:c>
      <x:c r="AR47" s="227">
        <x:f>COUNTIF(AR3:AR46,"Да")</x:f>
      </x:c>
      <x:c r="AS47" s="227">
        <x:f t="array" ref="AS47:AS47">SUMPRODUCT((AS3:AS46&gt;=10)*(AT3:AT46&gt;=10)*(AU3:AU46&gt;=10)*(AV3:AV46&gt;=10)*(AW3:AW46&gt;=10)*((NOT(ISERROR(FIND("Оператор",$B$3:$B$46))))+(NOT(ISERROR(FIND("Машинист",$B$3:$B$46))))&gt;0))</x:f>
      </x:c>
      <x:c r="AX47" s="227">
        <x:f>COUNTIF(AX3:AX46,"Да")</x:f>
      </x:c>
      <x:c r="AY47" s="227">
        <x:f t="array" ref="AY47:AY47">SUMPRODUCT((AY3:AY46&gt;=10)*(AZ3:AZ46&gt;=10)*(BA3:BA46&gt;=10)*(BB3:BB46&gt;=10)*(BC3:BC46&gt;=10)*((NOT(ISERROR(FIND("Оператор",$B$3:$B$46))))+(NOT(ISERROR(FIND("Машинист",$B$3:$B$46))))&gt;0))</x:f>
      </x:c>
      <x:c r="BD47" s="227">
        <x:f>COUNTIF(BD3:BD46,"Да")</x:f>
      </x:c>
      <x:c r="BE47" s="227">
        <x:f t="array" ref="BE47:BE47">SUMPRODUCT((BE3:BE46&gt;=10)*(BF3:BF46&gt;=10)*(BG3:BG46&gt;=10)*(BH3:BH46&gt;=10)*(BI3:BI46&gt;=10)*((NOT(ISERROR(FIND("Оператор",$B$3:$B$46))))+(NOT(ISERROR(FIND("Машинист",$B$3:$B$46))))&gt;0))</x:f>
      </x:c>
      <x:c r="BJ47" s="227">
        <x:f>COUNTIF(BJ3:BJ46,"Да")</x:f>
      </x:c>
      <x:c r="BK47" s="227">
        <x:f t="array" ref="BK47:BK47">SUMPRODUCT((BK3:BK46&gt;=10)*(BL3:BL46&gt;=10)*(BM3:BM46&gt;=10)*(BN3:BN46&gt;=10)*(BO3:BO46&gt;=10)*((NOT(ISERROR(FIND("Оператор",$B$3:$B$46))))+(NOT(ISERROR(FIND("Машинист",$B$3:$B$46))))&gt;0))</x:f>
      </x:c>
      <x:c r="BP47" s="227">
        <x:f>COUNTIF(BP3:BP46,"Да")</x:f>
      </x:c>
      <x:c r="BQ47" s="227">
        <x:f t="array" ref="BQ47:BQ47">SUMPRODUCT((BQ3:BQ46&gt;=10)*(BR3:BR46&gt;=10)*(BS3:BS46&gt;=10)*(BT3:BT46&gt;=10)*(BU3:BU46&gt;=10)*((NOT(ISERROR(FIND("Оператор",$B$3:$B$46))))+(NOT(ISERROR(FIND("Машинист",$B$3:$B$46))))&gt;0))</x:f>
      </x:c>
      <x:c r="BV47" s="227">
        <x:f>COUNTIF(BV3:BV46,"Да")</x:f>
      </x:c>
    </x:row>
  </x:sheetData>
  <x:mergeCells count="25">
    <x:mergeCell ref="B1:B2"/>
    <x:mergeCell ref="C1:H1"/>
    <x:mergeCell ref="I1:N1"/>
    <x:mergeCell ref="O1:T1"/>
    <x:mergeCell ref="U1:Z1"/>
    <x:mergeCell ref="AA1:AF1"/>
    <x:mergeCell ref="AG1:AL1"/>
    <x:mergeCell ref="AM1:AR1"/>
    <x:mergeCell ref="AS1:AX1"/>
    <x:mergeCell ref="AY1:BD1"/>
    <x:mergeCell ref="BE1:BJ1"/>
    <x:mergeCell ref="BK1:BP1"/>
    <x:mergeCell ref="BQ1:BV1"/>
    <x:mergeCell ref="C47:G47"/>
    <x:mergeCell ref="I47:M47"/>
    <x:mergeCell ref="O47:S47"/>
    <x:mergeCell ref="U47:Y47"/>
    <x:mergeCell ref="AA47:AE47"/>
    <x:mergeCell ref="AG47:AK47"/>
    <x:mergeCell ref="AM47:AQ47"/>
    <x:mergeCell ref="AS47:AW47"/>
    <x:mergeCell ref="AY47:BC47"/>
    <x:mergeCell ref="BE47:BI47"/>
    <x:mergeCell ref="BK47:BO47"/>
    <x:mergeCell ref="BQ47:BU47"/>
  </x:mergeCells>
  <x:conditionalFormatting sqref="A3:A46">
    <x:cfRule type="duplicateValues" dxfId="0" priority="1"/>
  </x:conditionalFormatting>
  <x:conditionalFormatting sqref="B1:B2">
    <x:cfRule type="containsText" dxfId="4" priority="2" operator="containsText" text="динамическому">
      <x:formula>NOT(ISERROR(SEARCH("динамическому",B1)))</x:formula>
    </x:cfRule>
    <x:cfRule type="containsText" dxfId="5" priority="3" operator="containsText" text="Механик установки">
      <x:formula>NOT(ISERROR(SEARCH("Механик установки",B1)))</x:formula>
    </x:cfRule>
    <x:cfRule type="containsText" dxfId="6" priority="4" operator="containsText" text="Заместитель начальника">
      <x:formula>NOT(ISERROR(SEARCH("Заместитель начальника",B1)))</x:formula>
    </x:cfRule>
    <x:cfRule type="containsText" dxfId="7" priority="5" operator="containsText" text="Начальник">
      <x:formula>NOT(ISERROR(SEARCH("Начальник",B1)))</x:formula>
    </x:cfRule>
  </x:conditionalFormatting>
  <x:conditionalFormatting sqref="A1:A1">
    <x:cfRule type="duplicateValues" dxfId="0" priority="6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F6D11BA-4158-42BB-BFDF-B25FDF4A603B}" mc:Ignorable="x14ac xr xr2 xr3">
  <x:sheetPr codeName="Лист34">
    <x:tabColor theme="9"/>
    <x:outlinePr summaryBelow="1" summaryRight="1"/>
    <x:pageSetUpPr autoPageBreaks="0"/>
  </x:sheetPr>
  <x:dimension ref="A1:Y873"/>
  <x:sheetViews>
    <x:sheetView tabSelected="1"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ColWidth="9.140625" defaultRowHeight="15" x14ac:dyDescent="0.25"/>
  <x:cols>
    <x:col min="1" max="1" width="16.140625" style="470" customWidth="1"/>
    <x:col min="2" max="2" width="39.285156" style="471" bestFit="1" customWidth="1"/>
    <x:col min="3" max="3" width="7.425781" style="672" bestFit="1" customWidth="1"/>
    <x:col min="4" max="4" width="8.855469" style="673" bestFit="1" customWidth="1"/>
    <x:col min="5" max="5" width="5.710938" style="674" bestFit="1" customWidth="1"/>
    <x:col min="6" max="6" width="9.140625" style="675" customWidth="1"/>
    <x:col min="7" max="7" width="4.855469" style="676" bestFit="1" customWidth="1"/>
    <x:col min="8" max="8" width="6.140625" style="677" bestFit="1" customWidth="1"/>
    <x:col min="9" max="9" width="6.140625" style="678" bestFit="1" customWidth="1"/>
    <x:col min="10" max="10" width="7.425781" style="679" bestFit="1" customWidth="1"/>
    <x:col min="11" max="11" width="9.140625" style="680" customWidth="1"/>
    <x:col min="12" max="12" width="9.140625" style="681" customWidth="1"/>
    <x:col min="13" max="13" width="9.140625" style="682" customWidth="1"/>
    <x:col min="14" max="14" width="9.140625" style="683" customWidth="1"/>
    <x:col min="15" max="15" width="10.425781" style="473" bestFit="1" customWidth="1"/>
    <x:col min="16" max="16" width="9.140625" style="315" customWidth="1"/>
    <x:col min="17" max="17" width="10.710938" style="315" customWidth="1"/>
    <x:col min="18" max="18" width="10.425781" style="315" customWidth="1"/>
    <x:col min="19" max="16384" width="9.140625" style="315" customWidth="1"/>
  </x:cols>
  <x:sheetData>
    <x:row r="1" spans="1:25" ht="23.25" customHeight="1" x14ac:dyDescent="0.25">
      <x:c r="A1" s="549" t="s">
        <x:v>1143</x:v>
      </x:c>
      <x:c r="B1" s="550"/>
      <x:c r="C1" s="551" t="s">
        <x:v>1144</x:v>
      </x:c>
      <x:c r="D1" s="551"/>
      <x:c r="E1" s="551"/>
      <x:c r="F1" s="551"/>
      <x:c r="G1" s="551"/>
      <x:c r="H1" s="551"/>
      <x:c r="I1" s="551"/>
      <x:c r="J1" s="551"/>
      <x:c r="K1" s="551"/>
      <x:c r="L1" s="551"/>
      <x:c r="M1" s="551"/>
      <x:c r="N1" s="552"/>
      <x:c r="O1" s="553" t="s">
        <x:v>1145</x:v>
      </x:c>
      <x:c r="Q1" s="315" t="s">
        <x:v>1146</x:v>
      </x:c>
    </x:row>
    <x:row r="2" spans="1:25" ht="19.5" customHeight="1" x14ac:dyDescent="0.3">
      <x:c r="A2" s="316" t="s">
        <x:v>1142</x:v>
      </x:c>
      <x:c r="B2" s="317" t="s">
        <x:v>1100</x:v>
      </x:c>
      <x:c r="C2" s="684" t="s">
        <x:v>1047</x:v>
      </x:c>
      <x:c r="D2" s="685" t="s">
        <x:v>1048</x:v>
      </x:c>
      <x:c r="E2" s="686" t="s">
        <x:v>1049</x:v>
      </x:c>
      <x:c r="F2" s="687" t="s">
        <x:v>1050</x:v>
      </x:c>
      <x:c r="G2" s="688" t="s">
        <x:v>1051</x:v>
      </x:c>
      <x:c r="H2" s="689" t="s">
        <x:v>1052</x:v>
      </x:c>
      <x:c r="I2" s="690" t="s">
        <x:v>1053</x:v>
      </x:c>
      <x:c r="J2" s="691" t="s">
        <x:v>1054</x:v>
      </x:c>
      <x:c r="K2" s="692" t="s">
        <x:v>1055</x:v>
      </x:c>
      <x:c r="L2" s="693" t="s">
        <x:v>1056</x:v>
      </x:c>
      <x:c r="M2" s="694" t="s">
        <x:v>1057</x:v>
      </x:c>
      <x:c r="N2" s="695" t="s">
        <x:v>1058</x:v>
      </x:c>
      <x:c r="O2" s="554"/>
    </x:row>
    <x:row r="3" spans="1:25" ht="15" customHeight="1" s="344" customFormat="1" x14ac:dyDescent="0.25">
      <x:c r="A3" s="696" t="s">
        <x:v>1064</x:v>
      </x:c>
      <x:c r="B3" s="363" t="s">
        <x:v>78</x:v>
      </x:c>
      <x:c r="C3" s="697">
        <x:f>IF('ЭЛОУ-АВТ-6'!$H3="Да",1,0)</x:f>
      </x:c>
      <x:c r="D3" s="698">
        <x:f>IF('ЭЛОУ-АВТ-6'!$N3="Да",1,0)</x:f>
      </x:c>
      <x:c r="E3" s="699">
        <x:f>IF('ЭЛОУ-АВТ-6'!$T3="Да",1,0)</x:f>
      </x:c>
      <x:c r="F3" s="700">
        <x:f>IF('ЭЛОУ-АВТ-6'!$Z3="Да",1,0)</x:f>
      </x:c>
      <x:c r="G3" s="701">
        <x:f>IF('ЭЛОУ-АВТ-6'!$AF3="Да",1,0)</x:f>
      </x:c>
      <x:c r="H3" s="702">
        <x:f>IF('ЭЛОУ-АВТ-6'!$AL3="Да",1,0)</x:f>
      </x:c>
      <x:c r="I3" s="703">
        <x:f>IF('ЭЛОУ-АВТ-6'!$AR3="Да",1,0)</x:f>
      </x:c>
      <x:c r="J3" s="704">
        <x:f>IF('ЭЛОУ-АВТ-6'!$AX3="Да",1,0)</x:f>
      </x:c>
      <x:c r="K3" s="705">
        <x:f>IF('ЭЛОУ-АВТ-6'!$BD3="Да",1,0)</x:f>
      </x:c>
      <x:c r="L3" s="706">
        <x:f>IF('ЭЛОУ-АВТ-6'!$BJ3="Да",1,0)</x:f>
      </x:c>
      <x:c r="M3" s="707">
        <x:f>IF('ЭЛОУ-АВТ-6'!$BP3="Да",1,0)</x:f>
      </x:c>
      <x:c r="N3" s="708">
        <x:f>IF('ЭЛОУ-АВТ-6'!$BV3="Да",1,0)</x:f>
      </x:c>
      <x:c r="O3" s="375">
        <x:f>IFERROR(ROUND(SUM(C3:N3)/($S$3),1),"")</x:f>
      </x:c>
      <x:c r="P3" s="315"/>
      <x:c r="Q3" s="709" t="s">
        <x:v>1151</x:v>
      </x:c>
      <x:c r="R3" s="596"/>
      <x:c r="S3" s="376">
        <x:f>SUM(IF(COUNTIF(C3:C46,"&gt;0")&gt;0,1,0),IF(COUNTIF(D3:D46,"&gt;0")&gt;0,1,0),IF(COUNTIF(E3:E46,"&gt;0")&gt;0,1,0),IF(COUNTIF(F3:F46,"&gt;0")&gt;0,1,0),IF(COUNTIF(G3:G46,"&gt;0")&gt;0,1,0),IF(COUNTIF(H3:H46,"&gt;0")&gt;0,1,0),IF(COUNTIF(I3:I46,"&gt;0")&gt;0,1,0),IF(COUNTIF(J3:J46,"&gt;0")&gt;0,1,0),IF(COUNTIF(K3:K46,"&gt;0")&gt;0,1,0),IF(COUNTIF(L3:L46,"&gt;0")&gt;0,1,0),IF(COUNTIF(M3:M46,"&gt;0")&gt;0,1,0),IF(COUNTIF(N3:N46,"&gt;0")&gt;0,1,0))</x:f>
      </x:c>
    </x:row>
    <x:row r="4" spans="1:25" ht="15" customHeight="1" x14ac:dyDescent="0.25">
      <x:c r="A4" s="710"/>
      <x:c r="B4" s="363" t="s">
        <x:v>61</x:v>
      </x:c>
      <x:c r="C4" s="697">
        <x:f>IF('ЭЛОУ-АВТ-6'!$H4="Да",1,0)</x:f>
      </x:c>
      <x:c r="D4" s="698">
        <x:f>IF('ЭЛОУ-АВТ-6'!$N4="Да",1,0)</x:f>
      </x:c>
      <x:c r="E4" s="699">
        <x:f>IF('ЭЛОУ-АВТ-6'!$T4="Да",1,0)</x:f>
      </x:c>
      <x:c r="F4" s="700">
        <x:f>IF('ЭЛОУ-АВТ-6'!$Z4="Да",1,0)</x:f>
      </x:c>
      <x:c r="G4" s="701">
        <x:f>IF('ЭЛОУ-АВТ-6'!$AF4="Да",1,0)</x:f>
      </x:c>
      <x:c r="H4" s="702">
        <x:f>IF('ЭЛОУ-АВТ-6'!$AL4="Да",1,0)</x:f>
      </x:c>
      <x:c r="I4" s="703">
        <x:f>IF('ЭЛОУ-АВТ-6'!$AR4="Да",1,0)</x:f>
      </x:c>
      <x:c r="J4" s="704">
        <x:f>IF('ЭЛОУ-АВТ-6'!$AX4="Да",1,0)</x:f>
      </x:c>
      <x:c r="K4" s="705">
        <x:f>IF('ЭЛОУ-АВТ-6'!$BD4="Да",1,0)</x:f>
      </x:c>
      <x:c r="L4" s="706">
        <x:f>IF('ЭЛОУ-АВТ-6'!$BJ4="Да",1,0)</x:f>
      </x:c>
      <x:c r="M4" s="707">
        <x:f>IF('ЭЛОУ-АВТ-6'!$BP4="Да",1,0)</x:f>
      </x:c>
      <x:c r="N4" s="708">
        <x:f>IF('ЭЛОУ-АВТ-6'!$BV4="Да",1,0)</x:f>
      </x:c>
      <x:c r="O4" s="375">
        <x:f>IFERROR(ROUND(SUM(C4:N4)/($S$3),1),"")</x:f>
      </x:c>
      <x:c r="Q4" s="711"/>
      <x:c r="R4" s="712"/>
      <x:c r="S4" s="713"/>
      <x:c r="U4" s="347"/>
      <x:c r="V4" s="347"/>
      <x:c r="W4" s="347"/>
      <x:c r="X4" s="347"/>
      <x:c r="Y4" s="347"/>
    </x:row>
    <x:row r="5" spans="1:25" ht="15" customHeight="1" x14ac:dyDescent="0.25">
      <x:c r="A5" s="710"/>
      <x:c r="B5" s="363" t="s">
        <x:v>40</x:v>
      </x:c>
      <x:c r="C5" s="697">
        <x:f>IF('ЭЛОУ-АВТ-6'!$H5="Да",1,0)</x:f>
      </x:c>
      <x:c r="D5" s="698">
        <x:f>IF('ЭЛОУ-АВТ-6'!$N5="Да",1,0)</x:f>
      </x:c>
      <x:c r="E5" s="699">
        <x:f>IF('ЭЛОУ-АВТ-6'!$T5="Да",1,0)</x:f>
      </x:c>
      <x:c r="F5" s="700">
        <x:f>IF('ЭЛОУ-АВТ-6'!$Z5="Да",1,0)</x:f>
      </x:c>
      <x:c r="G5" s="701">
        <x:f>IF('ЭЛОУ-АВТ-6'!$AF5="Да",1,0)</x:f>
      </x:c>
      <x:c r="H5" s="702">
        <x:f>IF('ЭЛОУ-АВТ-6'!$AL5="Да",1,0)</x:f>
      </x:c>
      <x:c r="I5" s="703">
        <x:f>IF('ЭЛОУ-АВТ-6'!$AR5="Да",1,0)</x:f>
      </x:c>
      <x:c r="J5" s="704">
        <x:f>IF('ЭЛОУ-АВТ-6'!$AX5="Да",1,0)</x:f>
      </x:c>
      <x:c r="K5" s="705">
        <x:f>IF('ЭЛОУ-АВТ-6'!$BD5="Да",1,0)</x:f>
      </x:c>
      <x:c r="L5" s="706">
        <x:f>IF('ЭЛОУ-АВТ-6'!$BJ5="Да",1,0)</x:f>
      </x:c>
      <x:c r="M5" s="707">
        <x:f>IF('ЭЛОУ-АВТ-6'!$BP5="Да",1,0)</x:f>
      </x:c>
      <x:c r="N5" s="708">
        <x:f>IF('ЭЛОУ-АВТ-6'!$BV5="Да",1,0)</x:f>
      </x:c>
      <x:c r="O5" s="375">
        <x:f>IFERROR(ROUND(SUM(C5:N5)/($S$3),1),"")</x:f>
      </x:c>
      <x:c r="Q5" s="714"/>
      <x:c r="R5" s="715"/>
      <x:c r="S5" s="716"/>
      <x:c r="T5" s="347"/>
      <x:c r="U5" s="347"/>
      <x:c r="V5" s="347"/>
      <x:c r="W5" s="347"/>
      <x:c r="X5" s="347"/>
      <x:c r="Y5" s="347"/>
    </x:row>
    <x:row r="6" spans="1:25" ht="15" customHeight="1" x14ac:dyDescent="0.25">
      <x:c r="A6" s="710"/>
      <x:c r="B6" s="363" t="s">
        <x:v>81</x:v>
      </x:c>
      <x:c r="C6" s="697">
        <x:f>IF('ЭЛОУ-АВТ-6'!$H6="Да",1,0)</x:f>
      </x:c>
      <x:c r="D6" s="698">
        <x:f>IF('ЭЛОУ-АВТ-6'!$N6="Да",1,0)</x:f>
      </x:c>
      <x:c r="E6" s="699">
        <x:f>IF('ЭЛОУ-АВТ-6'!$T6="Да",1,0)</x:f>
      </x:c>
      <x:c r="F6" s="700">
        <x:f>IF('ЭЛОУ-АВТ-6'!$Z6="Да",1,0)</x:f>
      </x:c>
      <x:c r="G6" s="701">
        <x:f>IF('ЭЛОУ-АВТ-6'!$AF6="Да",1,0)</x:f>
      </x:c>
      <x:c r="H6" s="702">
        <x:f>IF('ЭЛОУ-АВТ-6'!$AL6="Да",1,0)</x:f>
      </x:c>
      <x:c r="I6" s="703">
        <x:f>IF('ЭЛОУ-АВТ-6'!$AR6="Да",1,0)</x:f>
      </x:c>
      <x:c r="J6" s="704">
        <x:f>IF('ЭЛОУ-АВТ-6'!$AX6="Да",1,0)</x:f>
      </x:c>
      <x:c r="K6" s="705">
        <x:f>IF('ЭЛОУ-АВТ-6'!$BD6="Да",1,0)</x:f>
      </x:c>
      <x:c r="L6" s="706">
        <x:f>IF('ЭЛОУ-АВТ-6'!$BJ6="Да",1,0)</x:f>
      </x:c>
      <x:c r="M6" s="707">
        <x:f>IF('ЭЛОУ-АВТ-6'!$BP6="Да",1,0)</x:f>
      </x:c>
      <x:c r="N6" s="708">
        <x:f>IF('ЭЛОУ-АВТ-6'!$BV6="Да",1,0)</x:f>
      </x:c>
      <x:c r="O6" s="375">
        <x:f>IFERROR(ROUND(SUM(C6:N6)/($S$3),1),"")</x:f>
      </x:c>
      <x:c r="T6" s="347"/>
      <x:c r="U6" s="347"/>
      <x:c r="V6" s="347"/>
      <x:c r="W6" s="347"/>
      <x:c r="X6" s="347"/>
      <x:c r="Y6" s="347"/>
    </x:row>
    <x:row r="7" spans="1:25" ht="15" customHeight="1" x14ac:dyDescent="0.25">
      <x:c r="A7" s="710"/>
      <x:c r="B7" s="363" t="s">
        <x:v>85</x:v>
      </x:c>
      <x:c r="C7" s="697">
        <x:f>IF('ЭЛОУ-АВТ-6'!$H7="Да",1,0)</x:f>
      </x:c>
      <x:c r="D7" s="698">
        <x:f>IF('ЭЛОУ-АВТ-6'!$N7="Да",1,0)</x:f>
      </x:c>
      <x:c r="E7" s="699">
        <x:f>IF('ЭЛОУ-АВТ-6'!$T7="Да",1,0)</x:f>
      </x:c>
      <x:c r="F7" s="700">
        <x:f>IF('ЭЛОУ-АВТ-6'!$Z7="Да",1,0)</x:f>
      </x:c>
      <x:c r="G7" s="701">
        <x:f>IF('ЭЛОУ-АВТ-6'!$AF7="Да",1,0)</x:f>
      </x:c>
      <x:c r="H7" s="702">
        <x:f>IF('ЭЛОУ-АВТ-6'!$AL7="Да",1,0)</x:f>
      </x:c>
      <x:c r="I7" s="703">
        <x:f>IF('ЭЛОУ-АВТ-6'!$AR7="Да",1,0)</x:f>
      </x:c>
      <x:c r="J7" s="704">
        <x:f>IF('ЭЛОУ-АВТ-6'!$AX7="Да",1,0)</x:f>
      </x:c>
      <x:c r="K7" s="705">
        <x:f>IF('ЭЛОУ-АВТ-6'!$BD7="Да",1,0)</x:f>
      </x:c>
      <x:c r="L7" s="706">
        <x:f>IF('ЭЛОУ-АВТ-6'!$BJ7="Да",1,0)</x:f>
      </x:c>
      <x:c r="M7" s="707">
        <x:f>IF('ЭЛОУ-АВТ-6'!$BP7="Да",1,0)</x:f>
      </x:c>
      <x:c r="N7" s="708">
        <x:f>IF('ЭЛОУ-АВТ-6'!$BV7="Да",1,0)</x:f>
      </x:c>
      <x:c r="O7" s="375">
        <x:f>IFERROR(ROUND(SUM(C7:N7)/($S$3),1),"")</x:f>
      </x:c>
      <x:c r="T7" s="347"/>
      <x:c r="U7" s="347"/>
      <x:c r="V7" s="347"/>
      <x:c r="W7" s="347"/>
      <x:c r="X7" s="347"/>
      <x:c r="Y7" s="347"/>
    </x:row>
    <x:row r="8" spans="1:25" ht="15" customHeight="1" x14ac:dyDescent="0.25">
      <x:c r="A8" s="710"/>
      <x:c r="B8" s="363" t="s">
        <x:v>79</x:v>
      </x:c>
      <x:c r="C8" s="697">
        <x:f>IF('ЭЛОУ-АВТ-6'!$H8="Да",1,0)</x:f>
      </x:c>
      <x:c r="D8" s="698">
        <x:f>IF('ЭЛОУ-АВТ-6'!$N8="Да",1,0)</x:f>
      </x:c>
      <x:c r="E8" s="699">
        <x:f>IF('ЭЛОУ-АВТ-6'!$T8="Да",1,0)</x:f>
      </x:c>
      <x:c r="F8" s="700">
        <x:f>IF('ЭЛОУ-АВТ-6'!$Z8="Да",1,0)</x:f>
      </x:c>
      <x:c r="G8" s="701">
        <x:f>IF('ЭЛОУ-АВТ-6'!$AF8="Да",1,0)</x:f>
      </x:c>
      <x:c r="H8" s="702">
        <x:f>IF('ЭЛОУ-АВТ-6'!$AL8="Да",1,0)</x:f>
      </x:c>
      <x:c r="I8" s="703">
        <x:f>IF('ЭЛОУ-АВТ-6'!$AR8="Да",1,0)</x:f>
      </x:c>
      <x:c r="J8" s="704">
        <x:f>IF('ЭЛОУ-АВТ-6'!$AX8="Да",1,0)</x:f>
      </x:c>
      <x:c r="K8" s="705">
        <x:f>IF('ЭЛОУ-АВТ-6'!$BD8="Да",1,0)</x:f>
      </x:c>
      <x:c r="L8" s="706">
        <x:f>IF('ЭЛОУ-АВТ-6'!$BJ8="Да",1,0)</x:f>
      </x:c>
      <x:c r="M8" s="707">
        <x:f>IF('ЭЛОУ-АВТ-6'!$BP8="Да",1,0)</x:f>
      </x:c>
      <x:c r="N8" s="708">
        <x:f>IF('ЭЛОУ-АВТ-6'!$BV8="Да",1,0)</x:f>
      </x:c>
      <x:c r="O8" s="375">
        <x:f>IFERROR(ROUND(SUM(C8:N8)/($S$3),1),"")</x:f>
      </x:c>
      <x:c r="T8" s="347"/>
      <x:c r="U8" s="347"/>
    </x:row>
    <x:row r="9" spans="1:25" ht="15" customHeight="1" x14ac:dyDescent="0.25">
      <x:c r="A9" s="710"/>
      <x:c r="B9" s="363" t="s">
        <x:v>64</x:v>
      </x:c>
      <x:c r="C9" s="697">
        <x:f>IF('ЭЛОУ-АВТ-6'!$H9="Да",1,0)</x:f>
      </x:c>
      <x:c r="D9" s="698">
        <x:f>IF('ЭЛОУ-АВТ-6'!$N9="Да",1,0)</x:f>
      </x:c>
      <x:c r="E9" s="699">
        <x:f>IF('ЭЛОУ-АВТ-6'!$T9="Да",1,0)</x:f>
      </x:c>
      <x:c r="F9" s="700">
        <x:f>IF('ЭЛОУ-АВТ-6'!$Z9="Да",1,0)</x:f>
      </x:c>
      <x:c r="G9" s="701">
        <x:f>IF('ЭЛОУ-АВТ-6'!$AF9="Да",1,0)</x:f>
      </x:c>
      <x:c r="H9" s="702">
        <x:f>IF('ЭЛОУ-АВТ-6'!$AL9="Да",1,0)</x:f>
      </x:c>
      <x:c r="I9" s="703">
        <x:f>IF('ЭЛОУ-АВТ-6'!$AR9="Да",1,0)</x:f>
      </x:c>
      <x:c r="J9" s="704">
        <x:f>IF('ЭЛОУ-АВТ-6'!$AX9="Да",1,0)</x:f>
      </x:c>
      <x:c r="K9" s="705">
        <x:f>IF('ЭЛОУ-АВТ-6'!$BD9="Да",1,0)</x:f>
      </x:c>
      <x:c r="L9" s="706">
        <x:f>IF('ЭЛОУ-АВТ-6'!$BJ9="Да",1,0)</x:f>
      </x:c>
      <x:c r="M9" s="707">
        <x:f>IF('ЭЛОУ-АВТ-6'!$BP9="Да",1,0)</x:f>
      </x:c>
      <x:c r="N9" s="708">
        <x:f>IF('ЭЛОУ-АВТ-6'!$BV9="Да",1,0)</x:f>
      </x:c>
      <x:c r="O9" s="375">
        <x:f>IFERROR(ROUND(SUM(C9:N9)/($S$3),1),"")</x:f>
      </x:c>
    </x:row>
    <x:row r="10" spans="1:25" ht="15" customHeight="1" x14ac:dyDescent="0.25">
      <x:c r="A10" s="710"/>
      <x:c r="B10" s="363" t="s">
        <x:v>74</x:v>
      </x:c>
      <x:c r="C10" s="697">
        <x:f>IF('ЭЛОУ-АВТ-6'!$H10="Да",1,0)</x:f>
      </x:c>
      <x:c r="D10" s="698">
        <x:f>IF('ЭЛОУ-АВТ-6'!$N10="Да",1,0)</x:f>
      </x:c>
      <x:c r="E10" s="699">
        <x:f>IF('ЭЛОУ-АВТ-6'!$T10="Да",1,0)</x:f>
      </x:c>
      <x:c r="F10" s="700">
        <x:f>IF('ЭЛОУ-АВТ-6'!$Z10="Да",1,0)</x:f>
      </x:c>
      <x:c r="G10" s="701">
        <x:f>IF('ЭЛОУ-АВТ-6'!$AF10="Да",1,0)</x:f>
      </x:c>
      <x:c r="H10" s="702">
        <x:f>IF('ЭЛОУ-АВТ-6'!$AL10="Да",1,0)</x:f>
      </x:c>
      <x:c r="I10" s="703">
        <x:f>IF('ЭЛОУ-АВТ-6'!$AR10="Да",1,0)</x:f>
      </x:c>
      <x:c r="J10" s="704">
        <x:f>IF('ЭЛОУ-АВТ-6'!$AX10="Да",1,0)</x:f>
      </x:c>
      <x:c r="K10" s="705">
        <x:f>IF('ЭЛОУ-АВТ-6'!$BD10="Да",1,0)</x:f>
      </x:c>
      <x:c r="L10" s="706">
        <x:f>IF('ЭЛОУ-АВТ-6'!$BJ10="Да",1,0)</x:f>
      </x:c>
      <x:c r="M10" s="707">
        <x:f>IF('ЭЛОУ-АВТ-6'!$BP10="Да",1,0)</x:f>
      </x:c>
      <x:c r="N10" s="708">
        <x:f>IF('ЭЛОУ-АВТ-6'!$BV10="Да",1,0)</x:f>
      </x:c>
      <x:c r="O10" s="375">
        <x:f>IFERROR(ROUND(SUM(C10:N10)/($S$3),1),"")</x:f>
      </x:c>
    </x:row>
    <x:row r="11" spans="1:25" ht="15" customHeight="1" x14ac:dyDescent="0.25">
      <x:c r="A11" s="710"/>
      <x:c r="B11" s="363" t="s">
        <x:v>53</x:v>
      </x:c>
      <x:c r="C11" s="697">
        <x:f>IF('ЭЛОУ-АВТ-6'!$H11="Да",1,0)</x:f>
      </x:c>
      <x:c r="D11" s="698">
        <x:f>IF('ЭЛОУ-АВТ-6'!$N11="Да",1,0)</x:f>
      </x:c>
      <x:c r="E11" s="699">
        <x:f>IF('ЭЛОУ-АВТ-6'!$T11="Да",1,0)</x:f>
      </x:c>
      <x:c r="F11" s="700">
        <x:f>IF('ЭЛОУ-АВТ-6'!$Z11="Да",1,0)</x:f>
      </x:c>
      <x:c r="G11" s="701">
        <x:f>IF('ЭЛОУ-АВТ-6'!$AF11="Да",1,0)</x:f>
      </x:c>
      <x:c r="H11" s="702">
        <x:f>IF('ЭЛОУ-АВТ-6'!$AL11="Да",1,0)</x:f>
      </x:c>
      <x:c r="I11" s="703">
        <x:f>IF('ЭЛОУ-АВТ-6'!$AR11="Да",1,0)</x:f>
      </x:c>
      <x:c r="J11" s="704">
        <x:f>IF('ЭЛОУ-АВТ-6'!$AX11="Да",1,0)</x:f>
      </x:c>
      <x:c r="K11" s="705">
        <x:f>IF('ЭЛОУ-АВТ-6'!$BD11="Да",1,0)</x:f>
      </x:c>
      <x:c r="L11" s="706">
        <x:f>IF('ЭЛОУ-АВТ-6'!$BJ11="Да",1,0)</x:f>
      </x:c>
      <x:c r="M11" s="707">
        <x:f>IF('ЭЛОУ-АВТ-6'!$BP11="Да",1,0)</x:f>
      </x:c>
      <x:c r="N11" s="708">
        <x:f>IF('ЭЛОУ-АВТ-6'!$BV11="Да",1,0)</x:f>
      </x:c>
      <x:c r="O11" s="375">
        <x:f>IFERROR(ROUND(SUM(C11:N11)/($S$3),1),"")</x:f>
      </x:c>
    </x:row>
    <x:row r="12" spans="1:25" ht="15" customHeight="1" x14ac:dyDescent="0.25">
      <x:c r="A12" s="710"/>
      <x:c r="B12" s="363" t="s">
        <x:v>54</x:v>
      </x:c>
      <x:c r="C12" s="697">
        <x:f>IF('ЭЛОУ-АВТ-6'!$H12="Да",1,0)</x:f>
      </x:c>
      <x:c r="D12" s="698">
        <x:f>IF('ЭЛОУ-АВТ-6'!$N12="Да",1,0)</x:f>
      </x:c>
      <x:c r="E12" s="699">
        <x:f>IF('ЭЛОУ-АВТ-6'!$T12="Да",1,0)</x:f>
      </x:c>
      <x:c r="F12" s="700">
        <x:f>IF('ЭЛОУ-АВТ-6'!$Z12="Да",1,0)</x:f>
      </x:c>
      <x:c r="G12" s="701">
        <x:f>IF('ЭЛОУ-АВТ-6'!$AF12="Да",1,0)</x:f>
      </x:c>
      <x:c r="H12" s="702">
        <x:f>IF('ЭЛОУ-АВТ-6'!$AL12="Да",1,0)</x:f>
      </x:c>
      <x:c r="I12" s="703">
        <x:f>IF('ЭЛОУ-АВТ-6'!$AR12="Да",1,0)</x:f>
      </x:c>
      <x:c r="J12" s="704">
        <x:f>IF('ЭЛОУ-АВТ-6'!$AX12="Да",1,0)</x:f>
      </x:c>
      <x:c r="K12" s="705">
        <x:f>IF('ЭЛОУ-АВТ-6'!$BD12="Да",1,0)</x:f>
      </x:c>
      <x:c r="L12" s="706">
        <x:f>IF('ЭЛОУ-АВТ-6'!$BJ12="Да",1,0)</x:f>
      </x:c>
      <x:c r="M12" s="707">
        <x:f>IF('ЭЛОУ-АВТ-6'!$BP12="Да",1,0)</x:f>
      </x:c>
      <x:c r="N12" s="708">
        <x:f>IF('ЭЛОУ-АВТ-6'!$BV12="Да",1,0)</x:f>
      </x:c>
      <x:c r="O12" s="375">
        <x:f>IFERROR(ROUND(SUM(C12:N12)/($S$3),1),"")</x:f>
      </x:c>
    </x:row>
    <x:row r="13" spans="1:25" ht="15" customHeight="1" x14ac:dyDescent="0.25">
      <x:c r="A13" s="710"/>
      <x:c r="B13" s="363" t="s">
        <x:v>83</x:v>
      </x:c>
      <x:c r="C13" s="697">
        <x:f>IF('ЭЛОУ-АВТ-6'!$H13="Да",1,0)</x:f>
      </x:c>
      <x:c r="D13" s="698">
        <x:f>IF('ЭЛОУ-АВТ-6'!$N13="Да",1,0)</x:f>
      </x:c>
      <x:c r="E13" s="699">
        <x:f>IF('ЭЛОУ-АВТ-6'!$T13="Да",1,0)</x:f>
      </x:c>
      <x:c r="F13" s="700">
        <x:f>IF('ЭЛОУ-АВТ-6'!$Z13="Да",1,0)</x:f>
      </x:c>
      <x:c r="G13" s="701">
        <x:f>IF('ЭЛОУ-АВТ-6'!$AF13="Да",1,0)</x:f>
      </x:c>
      <x:c r="H13" s="702">
        <x:f>IF('ЭЛОУ-АВТ-6'!$AL13="Да",1,0)</x:f>
      </x:c>
      <x:c r="I13" s="703">
        <x:f>IF('ЭЛОУ-АВТ-6'!$AR13="Да",1,0)</x:f>
      </x:c>
      <x:c r="J13" s="704">
        <x:f>IF('ЭЛОУ-АВТ-6'!$AX13="Да",1,0)</x:f>
      </x:c>
      <x:c r="K13" s="705">
        <x:f>IF('ЭЛОУ-АВТ-6'!$BD13="Да",1,0)</x:f>
      </x:c>
      <x:c r="L13" s="706">
        <x:f>IF('ЭЛОУ-АВТ-6'!$BJ13="Да",1,0)</x:f>
      </x:c>
      <x:c r="M13" s="707">
        <x:f>IF('ЭЛОУ-АВТ-6'!$BP13="Да",1,0)</x:f>
      </x:c>
      <x:c r="N13" s="708">
        <x:f>IF('ЭЛОУ-АВТ-6'!$BV13="Да",1,0)</x:f>
      </x:c>
      <x:c r="O13" s="375">
        <x:f>IFERROR(ROUND(SUM(C13:N13)/($S$3),1),"")</x:f>
      </x:c>
    </x:row>
    <x:row r="14" spans="1:25" ht="15" customHeight="1" x14ac:dyDescent="0.25">
      <x:c r="A14" s="710"/>
      <x:c r="B14" s="363" t="s">
        <x:v>70</x:v>
      </x:c>
      <x:c r="C14" s="697">
        <x:f>IF('ЭЛОУ-АВТ-6'!$H14="Да",1,0)</x:f>
      </x:c>
      <x:c r="D14" s="698">
        <x:f>IF('ЭЛОУ-АВТ-6'!$N14="Да",1,0)</x:f>
      </x:c>
      <x:c r="E14" s="699">
        <x:f>IF('ЭЛОУ-АВТ-6'!$T14="Да",1,0)</x:f>
      </x:c>
      <x:c r="F14" s="700">
        <x:f>IF('ЭЛОУ-АВТ-6'!$Z14="Да",1,0)</x:f>
      </x:c>
      <x:c r="G14" s="701">
        <x:f>IF('ЭЛОУ-АВТ-6'!$AF14="Да",1,0)</x:f>
      </x:c>
      <x:c r="H14" s="702">
        <x:f>IF('ЭЛОУ-АВТ-6'!$AL14="Да",1,0)</x:f>
      </x:c>
      <x:c r="I14" s="703">
        <x:f>IF('ЭЛОУ-АВТ-6'!$AR14="Да",1,0)</x:f>
      </x:c>
      <x:c r="J14" s="704">
        <x:f>IF('ЭЛОУ-АВТ-6'!$AX14="Да",1,0)</x:f>
      </x:c>
      <x:c r="K14" s="705">
        <x:f>IF('ЭЛОУ-АВТ-6'!$BD14="Да",1,0)</x:f>
      </x:c>
      <x:c r="L14" s="706">
        <x:f>IF('ЭЛОУ-АВТ-6'!$BJ14="Да",1,0)</x:f>
      </x:c>
      <x:c r="M14" s="707">
        <x:f>IF('ЭЛОУ-АВТ-6'!$BP14="Да",1,0)</x:f>
      </x:c>
      <x:c r="N14" s="708">
        <x:f>IF('ЭЛОУ-АВТ-6'!$BV14="Да",1,0)</x:f>
      </x:c>
      <x:c r="O14" s="375">
        <x:f>IFERROR(ROUND(SUM(C14:N14)/($S$3),1),"")</x:f>
      </x:c>
    </x:row>
    <x:row r="15" spans="1:25" ht="15" customHeight="1" x14ac:dyDescent="0.25">
      <x:c r="A15" s="710"/>
      <x:c r="B15" s="363" t="s">
        <x:v>47</x:v>
      </x:c>
      <x:c r="C15" s="697">
        <x:f>IF('ЭЛОУ-АВТ-6'!$H15="Да",1,0)</x:f>
      </x:c>
      <x:c r="D15" s="698">
        <x:f>IF('ЭЛОУ-АВТ-6'!$N15="Да",1,0)</x:f>
      </x:c>
      <x:c r="E15" s="699">
        <x:f>IF('ЭЛОУ-АВТ-6'!$T15="Да",1,0)</x:f>
      </x:c>
      <x:c r="F15" s="700">
        <x:f>IF('ЭЛОУ-АВТ-6'!$Z15="Да",1,0)</x:f>
      </x:c>
      <x:c r="G15" s="701">
        <x:f>IF('ЭЛОУ-АВТ-6'!$AF15="Да",1,0)</x:f>
      </x:c>
      <x:c r="H15" s="702">
        <x:f>IF('ЭЛОУ-АВТ-6'!$AL15="Да",1,0)</x:f>
      </x:c>
      <x:c r="I15" s="703">
        <x:f>IF('ЭЛОУ-АВТ-6'!$AR15="Да",1,0)</x:f>
      </x:c>
      <x:c r="J15" s="704">
        <x:f>IF('ЭЛОУ-АВТ-6'!$AX15="Да",1,0)</x:f>
      </x:c>
      <x:c r="K15" s="705">
        <x:f>IF('ЭЛОУ-АВТ-6'!$BD15="Да",1,0)</x:f>
      </x:c>
      <x:c r="L15" s="706">
        <x:f>IF('ЭЛОУ-АВТ-6'!$BJ15="Да",1,0)</x:f>
      </x:c>
      <x:c r="M15" s="707">
        <x:f>IF('ЭЛОУ-АВТ-6'!$BP15="Да",1,0)</x:f>
      </x:c>
      <x:c r="N15" s="708">
        <x:f>IF('ЭЛОУ-АВТ-6'!$BV15="Да",1,0)</x:f>
      </x:c>
      <x:c r="O15" s="375">
        <x:f>IFERROR(ROUND(SUM(C15:N15)/($S$3),1),"")</x:f>
      </x:c>
    </x:row>
    <x:row r="16" spans="1:25" ht="15" customHeight="1" x14ac:dyDescent="0.25">
      <x:c r="A16" s="710"/>
      <x:c r="B16" s="363" t="s">
        <x:v>44</x:v>
      </x:c>
      <x:c r="C16" s="697">
        <x:f>IF('ЭЛОУ-АВТ-6'!$H16="Да",1,0)</x:f>
      </x:c>
      <x:c r="D16" s="698">
        <x:f>IF('ЭЛОУ-АВТ-6'!$N16="Да",1,0)</x:f>
      </x:c>
      <x:c r="E16" s="699">
        <x:f>IF('ЭЛОУ-АВТ-6'!$T16="Да",1,0)</x:f>
      </x:c>
      <x:c r="F16" s="700">
        <x:f>IF('ЭЛОУ-АВТ-6'!$Z16="Да",1,0)</x:f>
      </x:c>
      <x:c r="G16" s="701">
        <x:f>IF('ЭЛОУ-АВТ-6'!$AF16="Да",1,0)</x:f>
      </x:c>
      <x:c r="H16" s="702">
        <x:f>IF('ЭЛОУ-АВТ-6'!$AL16="Да",1,0)</x:f>
      </x:c>
      <x:c r="I16" s="703">
        <x:f>IF('ЭЛОУ-АВТ-6'!$AR16="Да",1,0)</x:f>
      </x:c>
      <x:c r="J16" s="704">
        <x:f>IF('ЭЛОУ-АВТ-6'!$AX16="Да",1,0)</x:f>
      </x:c>
      <x:c r="K16" s="705">
        <x:f>IF('ЭЛОУ-АВТ-6'!$BD16="Да",1,0)</x:f>
      </x:c>
      <x:c r="L16" s="706">
        <x:f>IF('ЭЛОУ-АВТ-6'!$BJ16="Да",1,0)</x:f>
      </x:c>
      <x:c r="M16" s="707">
        <x:f>IF('ЭЛОУ-АВТ-6'!$BP16="Да",1,0)</x:f>
      </x:c>
      <x:c r="N16" s="708">
        <x:f>IF('ЭЛОУ-АВТ-6'!$BV16="Да",1,0)</x:f>
      </x:c>
      <x:c r="O16" s="375">
        <x:f>IFERROR(ROUND(SUM(C16:N16)/($S$3),1),"")</x:f>
      </x:c>
    </x:row>
    <x:row r="17" spans="1:25" ht="15" customHeight="1" x14ac:dyDescent="0.25">
      <x:c r="A17" s="710"/>
      <x:c r="B17" s="363" t="s">
        <x:v>84</x:v>
      </x:c>
      <x:c r="C17" s="697">
        <x:f>IF('ЭЛОУ-АВТ-6'!$H17="Да",1,0)</x:f>
      </x:c>
      <x:c r="D17" s="698">
        <x:f>IF('ЭЛОУ-АВТ-6'!$N17="Да",1,0)</x:f>
      </x:c>
      <x:c r="E17" s="699">
        <x:f>IF('ЭЛОУ-АВТ-6'!$T17="Да",1,0)</x:f>
      </x:c>
      <x:c r="F17" s="700">
        <x:f>IF('ЭЛОУ-АВТ-6'!$Z17="Да",1,0)</x:f>
      </x:c>
      <x:c r="G17" s="701">
        <x:f>IF('ЭЛОУ-АВТ-6'!$AF17="Да",1,0)</x:f>
      </x:c>
      <x:c r="H17" s="702">
        <x:f>IF('ЭЛОУ-АВТ-6'!$AL17="Да",1,0)</x:f>
      </x:c>
      <x:c r="I17" s="703">
        <x:f>IF('ЭЛОУ-АВТ-6'!$AR17="Да",1,0)</x:f>
      </x:c>
      <x:c r="J17" s="704">
        <x:f>IF('ЭЛОУ-АВТ-6'!$AX17="Да",1,0)</x:f>
      </x:c>
      <x:c r="K17" s="705">
        <x:f>IF('ЭЛОУ-АВТ-6'!$BD17="Да",1,0)</x:f>
      </x:c>
      <x:c r="L17" s="706">
        <x:f>IF('ЭЛОУ-АВТ-6'!$BJ17="Да",1,0)</x:f>
      </x:c>
      <x:c r="M17" s="707">
        <x:f>IF('ЭЛОУ-АВТ-6'!$BP17="Да",1,0)</x:f>
      </x:c>
      <x:c r="N17" s="708">
        <x:f>IF('ЭЛОУ-АВТ-6'!$BV17="Да",1,0)</x:f>
      </x:c>
      <x:c r="O17" s="375">
        <x:f>IFERROR(ROUND(SUM(C17:N17)/($S$3),1),"")</x:f>
      </x:c>
    </x:row>
    <x:row r="18" spans="1:25" ht="15" customHeight="1" x14ac:dyDescent="0.25">
      <x:c r="A18" s="710"/>
      <x:c r="B18" s="363" t="s">
        <x:v>48</x:v>
      </x:c>
      <x:c r="C18" s="697">
        <x:f>IF('ЭЛОУ-АВТ-6'!$H18="Да",1,0)</x:f>
      </x:c>
      <x:c r="D18" s="698">
        <x:f>IF('ЭЛОУ-АВТ-6'!$N18="Да",1,0)</x:f>
      </x:c>
      <x:c r="E18" s="699">
        <x:f>IF('ЭЛОУ-АВТ-6'!$T18="Да",1,0)</x:f>
      </x:c>
      <x:c r="F18" s="700">
        <x:f>IF('ЭЛОУ-АВТ-6'!$Z18="Да",1,0)</x:f>
      </x:c>
      <x:c r="G18" s="701">
        <x:f>IF('ЭЛОУ-АВТ-6'!$AF18="Да",1,0)</x:f>
      </x:c>
      <x:c r="H18" s="702">
        <x:f>IF('ЭЛОУ-АВТ-6'!$AL18="Да",1,0)</x:f>
      </x:c>
      <x:c r="I18" s="703">
        <x:f>IF('ЭЛОУ-АВТ-6'!$AR18="Да",1,0)</x:f>
      </x:c>
      <x:c r="J18" s="704">
        <x:f>IF('ЭЛОУ-АВТ-6'!$AX18="Да",1,0)</x:f>
      </x:c>
      <x:c r="K18" s="705">
        <x:f>IF('ЭЛОУ-АВТ-6'!$BD18="Да",1,0)</x:f>
      </x:c>
      <x:c r="L18" s="706">
        <x:f>IF('ЭЛОУ-АВТ-6'!$BJ18="Да",1,0)</x:f>
      </x:c>
      <x:c r="M18" s="707">
        <x:f>IF('ЭЛОУ-АВТ-6'!$BP18="Да",1,0)</x:f>
      </x:c>
      <x:c r="N18" s="708">
        <x:f>IF('ЭЛОУ-АВТ-6'!$BV18="Да",1,0)</x:f>
      </x:c>
      <x:c r="O18" s="375">
        <x:f>IFERROR(ROUND(SUM(C18:N18)/($S$3),1),"")</x:f>
      </x:c>
    </x:row>
    <x:row r="19" spans="1:25" ht="15" customHeight="1" x14ac:dyDescent="0.25">
      <x:c r="A19" s="710"/>
      <x:c r="B19" s="363" t="s">
        <x:v>59</x:v>
      </x:c>
      <x:c r="C19" s="697">
        <x:f>IF('ЭЛОУ-АВТ-6'!$H19="Да",1,0)</x:f>
      </x:c>
      <x:c r="D19" s="698">
        <x:f>IF('ЭЛОУ-АВТ-6'!$N19="Да",1,0)</x:f>
      </x:c>
      <x:c r="E19" s="699">
        <x:f>IF('ЭЛОУ-АВТ-6'!$T19="Да",1,0)</x:f>
      </x:c>
      <x:c r="F19" s="700">
        <x:f>IF('ЭЛОУ-АВТ-6'!$Z19="Да",1,0)</x:f>
      </x:c>
      <x:c r="G19" s="701">
        <x:f>IF('ЭЛОУ-АВТ-6'!$AF19="Да",1,0)</x:f>
      </x:c>
      <x:c r="H19" s="702">
        <x:f>IF('ЭЛОУ-АВТ-6'!$AL19="Да",1,0)</x:f>
      </x:c>
      <x:c r="I19" s="703">
        <x:f>IF('ЭЛОУ-АВТ-6'!$AR19="Да",1,0)</x:f>
      </x:c>
      <x:c r="J19" s="704">
        <x:f>IF('ЭЛОУ-АВТ-6'!$AX19="Да",1,0)</x:f>
      </x:c>
      <x:c r="K19" s="705">
        <x:f>IF('ЭЛОУ-АВТ-6'!$BD19="Да",1,0)</x:f>
      </x:c>
      <x:c r="L19" s="706">
        <x:f>IF('ЭЛОУ-АВТ-6'!$BJ19="Да",1,0)</x:f>
      </x:c>
      <x:c r="M19" s="707">
        <x:f>IF('ЭЛОУ-АВТ-6'!$BP19="Да",1,0)</x:f>
      </x:c>
      <x:c r="N19" s="708">
        <x:f>IF('ЭЛОУ-АВТ-6'!$BV19="Да",1,0)</x:f>
      </x:c>
      <x:c r="O19" s="375">
        <x:f>IFERROR(ROUND(SUM(C19:N19)/($S$3),1),"")</x:f>
      </x:c>
    </x:row>
    <x:row r="20" spans="1:25" ht="15" customHeight="1" x14ac:dyDescent="0.25">
      <x:c r="A20" s="710"/>
      <x:c r="B20" s="363" t="s">
        <x:v>56</x:v>
      </x:c>
      <x:c r="C20" s="697">
        <x:f>IF('ЭЛОУ-АВТ-6'!$H20="Да",1,0)</x:f>
      </x:c>
      <x:c r="D20" s="698">
        <x:f>IF('ЭЛОУ-АВТ-6'!$N20="Да",1,0)</x:f>
      </x:c>
      <x:c r="E20" s="699">
        <x:f>IF('ЭЛОУ-АВТ-6'!$T20="Да",1,0)</x:f>
      </x:c>
      <x:c r="F20" s="700">
        <x:f>IF('ЭЛОУ-АВТ-6'!$Z20="Да",1,0)</x:f>
      </x:c>
      <x:c r="G20" s="701">
        <x:f>IF('ЭЛОУ-АВТ-6'!$AF20="Да",1,0)</x:f>
      </x:c>
      <x:c r="H20" s="702">
        <x:f>IF('ЭЛОУ-АВТ-6'!$AL20="Да",1,0)</x:f>
      </x:c>
      <x:c r="I20" s="703">
        <x:f>IF('ЭЛОУ-АВТ-6'!$AR20="Да",1,0)</x:f>
      </x:c>
      <x:c r="J20" s="704">
        <x:f>IF('ЭЛОУ-АВТ-6'!$AX20="Да",1,0)</x:f>
      </x:c>
      <x:c r="K20" s="705">
        <x:f>IF('ЭЛОУ-АВТ-6'!$BD20="Да",1,0)</x:f>
      </x:c>
      <x:c r="L20" s="706">
        <x:f>IF('ЭЛОУ-АВТ-6'!$BJ20="Да",1,0)</x:f>
      </x:c>
      <x:c r="M20" s="707">
        <x:f>IF('ЭЛОУ-АВТ-6'!$BP20="Да",1,0)</x:f>
      </x:c>
      <x:c r="N20" s="708">
        <x:f>IF('ЭЛОУ-АВТ-6'!$BV20="Да",1,0)</x:f>
      </x:c>
      <x:c r="O20" s="375">
        <x:f>IFERROR(ROUND(SUM(C20:N20)/($S$3),1),"")</x:f>
      </x:c>
    </x:row>
    <x:row r="21" spans="1:25" ht="15" customHeight="1" x14ac:dyDescent="0.25">
      <x:c r="A21" s="710"/>
      <x:c r="B21" s="363" t="s">
        <x:v>67</x:v>
      </x:c>
      <x:c r="C21" s="697">
        <x:f>IF('ЭЛОУ-АВТ-6'!$H21="Да",1,0)</x:f>
      </x:c>
      <x:c r="D21" s="698">
        <x:f>IF('ЭЛОУ-АВТ-6'!$N21="Да",1,0)</x:f>
      </x:c>
      <x:c r="E21" s="699">
        <x:f>IF('ЭЛОУ-АВТ-6'!$T21="Да",1,0)</x:f>
      </x:c>
      <x:c r="F21" s="700">
        <x:f>IF('ЭЛОУ-АВТ-6'!$Z21="Да",1,0)</x:f>
      </x:c>
      <x:c r="G21" s="701">
        <x:f>IF('ЭЛОУ-АВТ-6'!$AF21="Да",1,0)</x:f>
      </x:c>
      <x:c r="H21" s="702">
        <x:f>IF('ЭЛОУ-АВТ-6'!$AL21="Да",1,0)</x:f>
      </x:c>
      <x:c r="I21" s="703">
        <x:f>IF('ЭЛОУ-АВТ-6'!$AR21="Да",1,0)</x:f>
      </x:c>
      <x:c r="J21" s="704">
        <x:f>IF('ЭЛОУ-АВТ-6'!$AX21="Да",1,0)</x:f>
      </x:c>
      <x:c r="K21" s="705">
        <x:f>IF('ЭЛОУ-АВТ-6'!$BD21="Да",1,0)</x:f>
      </x:c>
      <x:c r="L21" s="706">
        <x:f>IF('ЭЛОУ-АВТ-6'!$BJ21="Да",1,0)</x:f>
      </x:c>
      <x:c r="M21" s="707">
        <x:f>IF('ЭЛОУ-АВТ-6'!$BP21="Да",1,0)</x:f>
      </x:c>
      <x:c r="N21" s="708">
        <x:f>IF('ЭЛОУ-АВТ-6'!$BV21="Да",1,0)</x:f>
      </x:c>
      <x:c r="O21" s="375">
        <x:f>IFERROR(ROUND(SUM(C21:N21)/($S$3),1),"")</x:f>
      </x:c>
    </x:row>
    <x:row r="22" spans="1:25" ht="15" customHeight="1" x14ac:dyDescent="0.25">
      <x:c r="A22" s="710"/>
      <x:c r="B22" s="363" t="s">
        <x:v>50</x:v>
      </x:c>
      <x:c r="C22" s="697">
        <x:f>IF('ЭЛОУ-АВТ-6'!$H22="Да",1,0)</x:f>
      </x:c>
      <x:c r="D22" s="698">
        <x:f>IF('ЭЛОУ-АВТ-6'!$N22="Да",1,0)</x:f>
      </x:c>
      <x:c r="E22" s="699">
        <x:f>IF('ЭЛОУ-АВТ-6'!$T22="Да",1,0)</x:f>
      </x:c>
      <x:c r="F22" s="700">
        <x:f>IF('ЭЛОУ-АВТ-6'!$Z22="Да",1,0)</x:f>
      </x:c>
      <x:c r="G22" s="701">
        <x:f>IF('ЭЛОУ-АВТ-6'!$AF22="Да",1,0)</x:f>
      </x:c>
      <x:c r="H22" s="702">
        <x:f>IF('ЭЛОУ-АВТ-6'!$AL22="Да",1,0)</x:f>
      </x:c>
      <x:c r="I22" s="703">
        <x:f>IF('ЭЛОУ-АВТ-6'!$AR22="Да",1,0)</x:f>
      </x:c>
      <x:c r="J22" s="704">
        <x:f>IF('ЭЛОУ-АВТ-6'!$AX22="Да",1,0)</x:f>
      </x:c>
      <x:c r="K22" s="705">
        <x:f>IF('ЭЛОУ-АВТ-6'!$BD22="Да",1,0)</x:f>
      </x:c>
      <x:c r="L22" s="706">
        <x:f>IF('ЭЛОУ-АВТ-6'!$BJ22="Да",1,0)</x:f>
      </x:c>
      <x:c r="M22" s="707">
        <x:f>IF('ЭЛОУ-АВТ-6'!$BP22="Да",1,0)</x:f>
      </x:c>
      <x:c r="N22" s="708">
        <x:f>IF('ЭЛОУ-АВТ-6'!$BV22="Да",1,0)</x:f>
      </x:c>
      <x:c r="O22" s="375">
        <x:f>IFERROR(ROUND(SUM(C22:N22)/($S$3),1),"")</x:f>
      </x:c>
    </x:row>
    <x:row r="23" spans="1:25" ht="15" customHeight="1" x14ac:dyDescent="0.25">
      <x:c r="A23" s="710"/>
      <x:c r="B23" s="363" t="s">
        <x:v>46</x:v>
      </x:c>
      <x:c r="C23" s="697">
        <x:f>IF('ЭЛОУ-АВТ-6'!$H23="Да",1,0)</x:f>
      </x:c>
      <x:c r="D23" s="698">
        <x:f>IF('ЭЛОУ-АВТ-6'!$N23="Да",1,0)</x:f>
      </x:c>
      <x:c r="E23" s="699">
        <x:f>IF('ЭЛОУ-АВТ-6'!$T23="Да",1,0)</x:f>
      </x:c>
      <x:c r="F23" s="700">
        <x:f>IF('ЭЛОУ-АВТ-6'!$Z23="Да",1,0)</x:f>
      </x:c>
      <x:c r="G23" s="701">
        <x:f>IF('ЭЛОУ-АВТ-6'!$AF23="Да",1,0)</x:f>
      </x:c>
      <x:c r="H23" s="702">
        <x:f>IF('ЭЛОУ-АВТ-6'!$AL23="Да",1,0)</x:f>
      </x:c>
      <x:c r="I23" s="703">
        <x:f>IF('ЭЛОУ-АВТ-6'!$AR23="Да",1,0)</x:f>
      </x:c>
      <x:c r="J23" s="704">
        <x:f>IF('ЭЛОУ-АВТ-6'!$AX23="Да",1,0)</x:f>
      </x:c>
      <x:c r="K23" s="705">
        <x:f>IF('ЭЛОУ-АВТ-6'!$BD23="Да",1,0)</x:f>
      </x:c>
      <x:c r="L23" s="706">
        <x:f>IF('ЭЛОУ-АВТ-6'!$BJ23="Да",1,0)</x:f>
      </x:c>
      <x:c r="M23" s="707">
        <x:f>IF('ЭЛОУ-АВТ-6'!$BP23="Да",1,0)</x:f>
      </x:c>
      <x:c r="N23" s="708">
        <x:f>IF('ЭЛОУ-АВТ-6'!$BV23="Да",1,0)</x:f>
      </x:c>
      <x:c r="O23" s="375">
        <x:f>IFERROR(ROUND(SUM(C23:N23)/($S$3),1),"")</x:f>
      </x:c>
    </x:row>
    <x:row r="24" spans="1:25" ht="15" customHeight="1" x14ac:dyDescent="0.25">
      <x:c r="A24" s="710"/>
      <x:c r="B24" s="363" t="s">
        <x:v>73</x:v>
      </x:c>
      <x:c r="C24" s="697">
        <x:f>IF('ЭЛОУ-АВТ-6'!$H24="Да",1,0)</x:f>
      </x:c>
      <x:c r="D24" s="698">
        <x:f>IF('ЭЛОУ-АВТ-6'!$N24="Да",1,0)</x:f>
      </x:c>
      <x:c r="E24" s="699">
        <x:f>IF('ЭЛОУ-АВТ-6'!$T24="Да",1,0)</x:f>
      </x:c>
      <x:c r="F24" s="700">
        <x:f>IF('ЭЛОУ-АВТ-6'!$Z24="Да",1,0)</x:f>
      </x:c>
      <x:c r="G24" s="701">
        <x:f>IF('ЭЛОУ-АВТ-6'!$AF24="Да",1,0)</x:f>
      </x:c>
      <x:c r="H24" s="702">
        <x:f>IF('ЭЛОУ-АВТ-6'!$AL24="Да",1,0)</x:f>
      </x:c>
      <x:c r="I24" s="703">
        <x:f>IF('ЭЛОУ-АВТ-6'!$AR24="Да",1,0)</x:f>
      </x:c>
      <x:c r="J24" s="704">
        <x:f>IF('ЭЛОУ-АВТ-6'!$AX24="Да",1,0)</x:f>
      </x:c>
      <x:c r="K24" s="705">
        <x:f>IF('ЭЛОУ-АВТ-6'!$BD24="Да",1,0)</x:f>
      </x:c>
      <x:c r="L24" s="706">
        <x:f>IF('ЭЛОУ-АВТ-6'!$BJ24="Да",1,0)</x:f>
      </x:c>
      <x:c r="M24" s="707">
        <x:f>IF('ЭЛОУ-АВТ-6'!$BP24="Да",1,0)</x:f>
      </x:c>
      <x:c r="N24" s="708">
        <x:f>IF('ЭЛОУ-АВТ-6'!$BV24="Да",1,0)</x:f>
      </x:c>
      <x:c r="O24" s="375">
        <x:f>IFERROR(ROUND(SUM(C24:N24)/($S$3),1),"")</x:f>
      </x:c>
    </x:row>
    <x:row r="25" spans="1:25" ht="15" customHeight="1" x14ac:dyDescent="0.25">
      <x:c r="A25" s="710"/>
      <x:c r="B25" s="363" t="s">
        <x:v>62</x:v>
      </x:c>
      <x:c r="C25" s="697">
        <x:f>IF('ЭЛОУ-АВТ-6'!$H25="Да",1,0)</x:f>
      </x:c>
      <x:c r="D25" s="698">
        <x:f>IF('ЭЛОУ-АВТ-6'!$N25="Да",1,0)</x:f>
      </x:c>
      <x:c r="E25" s="699">
        <x:f>IF('ЭЛОУ-АВТ-6'!$T25="Да",1,0)</x:f>
      </x:c>
      <x:c r="F25" s="700">
        <x:f>IF('ЭЛОУ-АВТ-6'!$Z25="Да",1,0)</x:f>
      </x:c>
      <x:c r="G25" s="701">
        <x:f>IF('ЭЛОУ-АВТ-6'!$AF25="Да",1,0)</x:f>
      </x:c>
      <x:c r="H25" s="702">
        <x:f>IF('ЭЛОУ-АВТ-6'!$AL25="Да",1,0)</x:f>
      </x:c>
      <x:c r="I25" s="703">
        <x:f>IF('ЭЛОУ-АВТ-6'!$AR25="Да",1,0)</x:f>
      </x:c>
      <x:c r="J25" s="704">
        <x:f>IF('ЭЛОУ-АВТ-6'!$AX25="Да",1,0)</x:f>
      </x:c>
      <x:c r="K25" s="705">
        <x:f>IF('ЭЛОУ-АВТ-6'!$BD25="Да",1,0)</x:f>
      </x:c>
      <x:c r="L25" s="706">
        <x:f>IF('ЭЛОУ-АВТ-6'!$BJ25="Да",1,0)</x:f>
      </x:c>
      <x:c r="M25" s="707">
        <x:f>IF('ЭЛОУ-АВТ-6'!$BP25="Да",1,0)</x:f>
      </x:c>
      <x:c r="N25" s="708">
        <x:f>IF('ЭЛОУ-АВТ-6'!$BV25="Да",1,0)</x:f>
      </x:c>
      <x:c r="O25" s="375">
        <x:f>IFERROR(ROUND(SUM(C25:N25)/($S$3),1),"")</x:f>
      </x:c>
    </x:row>
    <x:row r="26" spans="1:25" ht="15" customHeight="1" x14ac:dyDescent="0.25">
      <x:c r="A26" s="710"/>
      <x:c r="B26" s="363" t="s">
        <x:v>80</x:v>
      </x:c>
      <x:c r="C26" s="697">
        <x:f>IF('ЭЛОУ-АВТ-6'!$H26="Да",1,0)</x:f>
      </x:c>
      <x:c r="D26" s="698">
        <x:f>IF('ЭЛОУ-АВТ-6'!$N26="Да",1,0)</x:f>
      </x:c>
      <x:c r="E26" s="699">
        <x:f>IF('ЭЛОУ-АВТ-6'!$T26="Да",1,0)</x:f>
      </x:c>
      <x:c r="F26" s="700">
        <x:f>IF('ЭЛОУ-АВТ-6'!$Z26="Да",1,0)</x:f>
      </x:c>
      <x:c r="G26" s="701">
        <x:f>IF('ЭЛОУ-АВТ-6'!$AF26="Да",1,0)</x:f>
      </x:c>
      <x:c r="H26" s="702">
        <x:f>IF('ЭЛОУ-АВТ-6'!$AL26="Да",1,0)</x:f>
      </x:c>
      <x:c r="I26" s="703">
        <x:f>IF('ЭЛОУ-АВТ-6'!$AR26="Да",1,0)</x:f>
      </x:c>
      <x:c r="J26" s="704">
        <x:f>IF('ЭЛОУ-АВТ-6'!$AX26="Да",1,0)</x:f>
      </x:c>
      <x:c r="K26" s="705">
        <x:f>IF('ЭЛОУ-АВТ-6'!$BD26="Да",1,0)</x:f>
      </x:c>
      <x:c r="L26" s="706">
        <x:f>IF('ЭЛОУ-АВТ-6'!$BJ26="Да",1,0)</x:f>
      </x:c>
      <x:c r="M26" s="707">
        <x:f>IF('ЭЛОУ-АВТ-6'!$BP26="Да",1,0)</x:f>
      </x:c>
      <x:c r="N26" s="708">
        <x:f>IF('ЭЛОУ-АВТ-6'!$BV26="Да",1,0)</x:f>
      </x:c>
      <x:c r="O26" s="375">
        <x:f>IFERROR(ROUND(SUM(C26:N26)/($S$3),1),"")</x:f>
      </x:c>
    </x:row>
    <x:row r="27" spans="1:25" ht="15" customHeight="1" x14ac:dyDescent="0.25">
      <x:c r="A27" s="710"/>
      <x:c r="B27" s="363" t="s">
        <x:v>68</x:v>
      </x:c>
      <x:c r="C27" s="697">
        <x:f>IF('ЭЛОУ-АВТ-6'!$H27="Да",1,0)</x:f>
      </x:c>
      <x:c r="D27" s="698">
        <x:f>IF('ЭЛОУ-АВТ-6'!$N27="Да",1,0)</x:f>
      </x:c>
      <x:c r="E27" s="699">
        <x:f>IF('ЭЛОУ-АВТ-6'!$T27="Да",1,0)</x:f>
      </x:c>
      <x:c r="F27" s="700">
        <x:f>IF('ЭЛОУ-АВТ-6'!$Z27="Да",1,0)</x:f>
      </x:c>
      <x:c r="G27" s="701">
        <x:f>IF('ЭЛОУ-АВТ-6'!$AF27="Да",1,0)</x:f>
      </x:c>
      <x:c r="H27" s="702">
        <x:f>IF('ЭЛОУ-АВТ-6'!$AL27="Да",1,0)</x:f>
      </x:c>
      <x:c r="I27" s="703">
        <x:f>IF('ЭЛОУ-АВТ-6'!$AR27="Да",1,0)</x:f>
      </x:c>
      <x:c r="J27" s="704">
        <x:f>IF('ЭЛОУ-АВТ-6'!$AX27="Да",1,0)</x:f>
      </x:c>
      <x:c r="K27" s="705">
        <x:f>IF('ЭЛОУ-АВТ-6'!$BD27="Да",1,0)</x:f>
      </x:c>
      <x:c r="L27" s="706">
        <x:f>IF('ЭЛОУ-АВТ-6'!$BJ27="Да",1,0)</x:f>
      </x:c>
      <x:c r="M27" s="707">
        <x:f>IF('ЭЛОУ-АВТ-6'!$BP27="Да",1,0)</x:f>
      </x:c>
      <x:c r="N27" s="708">
        <x:f>IF('ЭЛОУ-АВТ-6'!$BV27="Да",1,0)</x:f>
      </x:c>
      <x:c r="O27" s="375">
        <x:f>IFERROR(ROUND(SUM(C27:N27)/($S$3),1),"")</x:f>
      </x:c>
    </x:row>
    <x:row r="28" spans="1:25" ht="15" customHeight="1" x14ac:dyDescent="0.25">
      <x:c r="A28" s="710"/>
      <x:c r="B28" s="363" t="s">
        <x:v>52</x:v>
      </x:c>
      <x:c r="C28" s="697">
        <x:f>IF('ЭЛОУ-АВТ-6'!$H28="Да",1,0)</x:f>
      </x:c>
      <x:c r="D28" s="698">
        <x:f>IF('ЭЛОУ-АВТ-6'!$N28="Да",1,0)</x:f>
      </x:c>
      <x:c r="E28" s="699">
        <x:f>IF('ЭЛОУ-АВТ-6'!$T28="Да",1,0)</x:f>
      </x:c>
      <x:c r="F28" s="700">
        <x:f>IF('ЭЛОУ-АВТ-6'!$Z28="Да",1,0)</x:f>
      </x:c>
      <x:c r="G28" s="701">
        <x:f>IF('ЭЛОУ-АВТ-6'!$AF28="Да",1,0)</x:f>
      </x:c>
      <x:c r="H28" s="702">
        <x:f>IF('ЭЛОУ-АВТ-6'!$AL28="Да",1,0)</x:f>
      </x:c>
      <x:c r="I28" s="703">
        <x:f>IF('ЭЛОУ-АВТ-6'!$AR28="Да",1,0)</x:f>
      </x:c>
      <x:c r="J28" s="704">
        <x:f>IF('ЭЛОУ-АВТ-6'!$AX28="Да",1,0)</x:f>
      </x:c>
      <x:c r="K28" s="705">
        <x:f>IF('ЭЛОУ-АВТ-6'!$BD28="Да",1,0)</x:f>
      </x:c>
      <x:c r="L28" s="706">
        <x:f>IF('ЭЛОУ-АВТ-6'!$BJ28="Да",1,0)</x:f>
      </x:c>
      <x:c r="M28" s="707">
        <x:f>IF('ЭЛОУ-АВТ-6'!$BP28="Да",1,0)</x:f>
      </x:c>
      <x:c r="N28" s="708">
        <x:f>IF('ЭЛОУ-АВТ-6'!$BV28="Да",1,0)</x:f>
      </x:c>
      <x:c r="O28" s="375">
        <x:f>IFERROR(ROUND(SUM(C28:N28)/($S$3),1),"")</x:f>
      </x:c>
    </x:row>
    <x:row r="29" spans="1:25" ht="15" customHeight="1" x14ac:dyDescent="0.25">
      <x:c r="A29" s="710"/>
      <x:c r="B29" s="363" t="s">
        <x:v>45</x:v>
      </x:c>
      <x:c r="C29" s="697">
        <x:f>IF('ЭЛОУ-АВТ-6'!$H29="Да",1,0)</x:f>
      </x:c>
      <x:c r="D29" s="698">
        <x:f>IF('ЭЛОУ-АВТ-6'!$N29="Да",1,0)</x:f>
      </x:c>
      <x:c r="E29" s="699">
        <x:f>IF('ЭЛОУ-АВТ-6'!$T29="Да",1,0)</x:f>
      </x:c>
      <x:c r="F29" s="700">
        <x:f>IF('ЭЛОУ-АВТ-6'!$Z29="Да",1,0)</x:f>
      </x:c>
      <x:c r="G29" s="701">
        <x:f>IF('ЭЛОУ-АВТ-6'!$AF29="Да",1,0)</x:f>
      </x:c>
      <x:c r="H29" s="702">
        <x:f>IF('ЭЛОУ-АВТ-6'!$AL29="Да",1,0)</x:f>
      </x:c>
      <x:c r="I29" s="703">
        <x:f>IF('ЭЛОУ-АВТ-6'!$AR29="Да",1,0)</x:f>
      </x:c>
      <x:c r="J29" s="704">
        <x:f>IF('ЭЛОУ-АВТ-6'!$AX29="Да",1,0)</x:f>
      </x:c>
      <x:c r="K29" s="705">
        <x:f>IF('ЭЛОУ-АВТ-6'!$BD29="Да",1,0)</x:f>
      </x:c>
      <x:c r="L29" s="706">
        <x:f>IF('ЭЛОУ-АВТ-6'!$BJ29="Да",1,0)</x:f>
      </x:c>
      <x:c r="M29" s="707">
        <x:f>IF('ЭЛОУ-АВТ-6'!$BP29="Да",1,0)</x:f>
      </x:c>
      <x:c r="N29" s="708">
        <x:f>IF('ЭЛОУ-АВТ-6'!$BV29="Да",1,0)</x:f>
      </x:c>
      <x:c r="O29" s="375">
        <x:f>IFERROR(ROUND(SUM(C29:N29)/($S$3),1),"")</x:f>
      </x:c>
    </x:row>
    <x:row r="30" spans="1:25" ht="15" customHeight="1" x14ac:dyDescent="0.25">
      <x:c r="A30" s="710"/>
      <x:c r="B30" s="363" t="s">
        <x:v>86</x:v>
      </x:c>
      <x:c r="C30" s="697">
        <x:f>IF('ЭЛОУ-АВТ-6'!$H30="Да",1,0)</x:f>
      </x:c>
      <x:c r="D30" s="698">
        <x:f>IF('ЭЛОУ-АВТ-6'!$N30="Да",1,0)</x:f>
      </x:c>
      <x:c r="E30" s="699">
        <x:f>IF('ЭЛОУ-АВТ-6'!$T30="Да",1,0)</x:f>
      </x:c>
      <x:c r="F30" s="700">
        <x:f>IF('ЭЛОУ-АВТ-6'!$Z30="Да",1,0)</x:f>
      </x:c>
      <x:c r="G30" s="701">
        <x:f>IF('ЭЛОУ-АВТ-6'!$AF30="Да",1,0)</x:f>
      </x:c>
      <x:c r="H30" s="702">
        <x:f>IF('ЭЛОУ-АВТ-6'!$AL30="Да",1,0)</x:f>
      </x:c>
      <x:c r="I30" s="703">
        <x:f>IF('ЭЛОУ-АВТ-6'!$AR30="Да",1,0)</x:f>
      </x:c>
      <x:c r="J30" s="704">
        <x:f>IF('ЭЛОУ-АВТ-6'!$AX30="Да",1,0)</x:f>
      </x:c>
      <x:c r="K30" s="705">
        <x:f>IF('ЭЛОУ-АВТ-6'!$BD30="Да",1,0)</x:f>
      </x:c>
      <x:c r="L30" s="706">
        <x:f>IF('ЭЛОУ-АВТ-6'!$BJ30="Да",1,0)</x:f>
      </x:c>
      <x:c r="M30" s="707">
        <x:f>IF('ЭЛОУ-АВТ-6'!$BP30="Да",1,0)</x:f>
      </x:c>
      <x:c r="N30" s="708">
        <x:f>IF('ЭЛОУ-АВТ-6'!$BV30="Да",1,0)</x:f>
      </x:c>
      <x:c r="O30" s="375">
        <x:f>IFERROR(ROUND(SUM(C30:N30)/($S$3),1),"")</x:f>
      </x:c>
    </x:row>
    <x:row r="31" spans="1:25" ht="15" customHeight="1" x14ac:dyDescent="0.25">
      <x:c r="A31" s="710"/>
      <x:c r="B31" s="363" t="s">
        <x:v>49</x:v>
      </x:c>
      <x:c r="C31" s="697">
        <x:f>IF('ЭЛОУ-АВТ-6'!$H31="Да",1,0)</x:f>
      </x:c>
      <x:c r="D31" s="698">
        <x:f>IF('ЭЛОУ-АВТ-6'!$N31="Да",1,0)</x:f>
      </x:c>
      <x:c r="E31" s="699">
        <x:f>IF('ЭЛОУ-АВТ-6'!$T31="Да",1,0)</x:f>
      </x:c>
      <x:c r="F31" s="700">
        <x:f>IF('ЭЛОУ-АВТ-6'!$Z31="Да",1,0)</x:f>
      </x:c>
      <x:c r="G31" s="701">
        <x:f>IF('ЭЛОУ-АВТ-6'!$AF31="Да",1,0)</x:f>
      </x:c>
      <x:c r="H31" s="702">
        <x:f>IF('ЭЛОУ-АВТ-6'!$AL31="Да",1,0)</x:f>
      </x:c>
      <x:c r="I31" s="703">
        <x:f>IF('ЭЛОУ-АВТ-6'!$AR31="Да",1,0)</x:f>
      </x:c>
      <x:c r="J31" s="704">
        <x:f>IF('ЭЛОУ-АВТ-6'!$AX31="Да",1,0)</x:f>
      </x:c>
      <x:c r="K31" s="705">
        <x:f>IF('ЭЛОУ-АВТ-6'!$BD31="Да",1,0)</x:f>
      </x:c>
      <x:c r="L31" s="706">
        <x:f>IF('ЭЛОУ-АВТ-6'!$BJ31="Да",1,0)</x:f>
      </x:c>
      <x:c r="M31" s="707">
        <x:f>IF('ЭЛОУ-АВТ-6'!$BP31="Да",1,0)</x:f>
      </x:c>
      <x:c r="N31" s="708">
        <x:f>IF('ЭЛОУ-АВТ-6'!$BV31="Да",1,0)</x:f>
      </x:c>
      <x:c r="O31" s="375">
        <x:f>IFERROR(ROUND(SUM(C31:N31)/($S$3),1),"")</x:f>
      </x:c>
    </x:row>
    <x:row r="32" spans="1:25" ht="15" customHeight="1" x14ac:dyDescent="0.25">
      <x:c r="A32" s="710"/>
      <x:c r="B32" s="363" t="s">
        <x:v>42</x:v>
      </x:c>
      <x:c r="C32" s="697">
        <x:f>IF('ЭЛОУ-АВТ-6'!$H32="Да",1,0)</x:f>
      </x:c>
      <x:c r="D32" s="698">
        <x:f>IF('ЭЛОУ-АВТ-6'!$N32="Да",1,0)</x:f>
      </x:c>
      <x:c r="E32" s="699">
        <x:f>IF('ЭЛОУ-АВТ-6'!$T32="Да",1,0)</x:f>
      </x:c>
      <x:c r="F32" s="700">
        <x:f>IF('ЭЛОУ-АВТ-6'!$Z32="Да",1,0)</x:f>
      </x:c>
      <x:c r="G32" s="701">
        <x:f>IF('ЭЛОУ-АВТ-6'!$AF32="Да",1,0)</x:f>
      </x:c>
      <x:c r="H32" s="702">
        <x:f>IF('ЭЛОУ-АВТ-6'!$AL32="Да",1,0)</x:f>
      </x:c>
      <x:c r="I32" s="703">
        <x:f>IF('ЭЛОУ-АВТ-6'!$AR32="Да",1,0)</x:f>
      </x:c>
      <x:c r="J32" s="704">
        <x:f>IF('ЭЛОУ-АВТ-6'!$AX32="Да",1,0)</x:f>
      </x:c>
      <x:c r="K32" s="705">
        <x:f>IF('ЭЛОУ-АВТ-6'!$BD32="Да",1,0)</x:f>
      </x:c>
      <x:c r="L32" s="706">
        <x:f>IF('ЭЛОУ-АВТ-6'!$BJ32="Да",1,0)</x:f>
      </x:c>
      <x:c r="M32" s="707">
        <x:f>IF('ЭЛОУ-АВТ-6'!$BP32="Да",1,0)</x:f>
      </x:c>
      <x:c r="N32" s="708">
        <x:f>IF('ЭЛОУ-АВТ-6'!$BV32="Да",1,0)</x:f>
      </x:c>
      <x:c r="O32" s="375">
        <x:f>IFERROR(ROUND(SUM(C32:N32)/($S$3),1),"")</x:f>
      </x:c>
    </x:row>
    <x:row r="33" spans="1:25" ht="15" customHeight="1" x14ac:dyDescent="0.25">
      <x:c r="A33" s="710"/>
      <x:c r="B33" s="363" t="s">
        <x:v>87</x:v>
      </x:c>
      <x:c r="C33" s="697">
        <x:f>IF('ЭЛОУ-АВТ-6'!$H33="Да",1,0)</x:f>
      </x:c>
      <x:c r="D33" s="698">
        <x:f>IF('ЭЛОУ-АВТ-6'!$N33="Да",1,0)</x:f>
      </x:c>
      <x:c r="E33" s="699">
        <x:f>IF('ЭЛОУ-АВТ-6'!$T33="Да",1,0)</x:f>
      </x:c>
      <x:c r="F33" s="700">
        <x:f>IF('ЭЛОУ-АВТ-6'!$Z33="Да",1,0)</x:f>
      </x:c>
      <x:c r="G33" s="701">
        <x:f>IF('ЭЛОУ-АВТ-6'!$AF33="Да",1,0)</x:f>
      </x:c>
      <x:c r="H33" s="702">
        <x:f>IF('ЭЛОУ-АВТ-6'!$AL33="Да",1,0)</x:f>
      </x:c>
      <x:c r="I33" s="703">
        <x:f>IF('ЭЛОУ-АВТ-6'!$AR33="Да",1,0)</x:f>
      </x:c>
      <x:c r="J33" s="704">
        <x:f>IF('ЭЛОУ-АВТ-6'!$AX33="Да",1,0)</x:f>
      </x:c>
      <x:c r="K33" s="705">
        <x:f>IF('ЭЛОУ-АВТ-6'!$BD33="Да",1,0)</x:f>
      </x:c>
      <x:c r="L33" s="706">
        <x:f>IF('ЭЛОУ-АВТ-6'!$BJ33="Да",1,0)</x:f>
      </x:c>
      <x:c r="M33" s="707">
        <x:f>IF('ЭЛОУ-АВТ-6'!$BP33="Да",1,0)</x:f>
      </x:c>
      <x:c r="N33" s="708">
        <x:f>IF('ЭЛОУ-АВТ-6'!$BV33="Да",1,0)</x:f>
      </x:c>
      <x:c r="O33" s="375">
        <x:f>IFERROR(ROUND(SUM(C33:N33)/($S$3),1),"")</x:f>
      </x:c>
    </x:row>
    <x:row r="34" spans="1:25" ht="15" customHeight="1" x14ac:dyDescent="0.25">
      <x:c r="A34" s="710"/>
      <x:c r="B34" s="363" t="s">
        <x:v>76</x:v>
      </x:c>
      <x:c r="C34" s="697">
        <x:f>IF('ЭЛОУ-АВТ-6'!$H34="Да",1,0)</x:f>
      </x:c>
      <x:c r="D34" s="698">
        <x:f>IF('ЭЛОУ-АВТ-6'!$N34="Да",1,0)</x:f>
      </x:c>
      <x:c r="E34" s="699">
        <x:f>IF('ЭЛОУ-АВТ-6'!$T34="Да",1,0)</x:f>
      </x:c>
      <x:c r="F34" s="700">
        <x:f>IF('ЭЛОУ-АВТ-6'!$Z34="Да",1,0)</x:f>
      </x:c>
      <x:c r="G34" s="701">
        <x:f>IF('ЭЛОУ-АВТ-6'!$AF34="Да",1,0)</x:f>
      </x:c>
      <x:c r="H34" s="702">
        <x:f>IF('ЭЛОУ-АВТ-6'!$AL34="Да",1,0)</x:f>
      </x:c>
      <x:c r="I34" s="703">
        <x:f>IF('ЭЛОУ-АВТ-6'!$AR34="Да",1,0)</x:f>
      </x:c>
      <x:c r="J34" s="704">
        <x:f>IF('ЭЛОУ-АВТ-6'!$AX34="Да",1,0)</x:f>
      </x:c>
      <x:c r="K34" s="705">
        <x:f>IF('ЭЛОУ-АВТ-6'!$BD34="Да",1,0)</x:f>
      </x:c>
      <x:c r="L34" s="706">
        <x:f>IF('ЭЛОУ-АВТ-6'!$BJ34="Да",1,0)</x:f>
      </x:c>
      <x:c r="M34" s="707">
        <x:f>IF('ЭЛОУ-АВТ-6'!$BP34="Да",1,0)</x:f>
      </x:c>
      <x:c r="N34" s="708">
        <x:f>IF('ЭЛОУ-АВТ-6'!$BV34="Да",1,0)</x:f>
      </x:c>
      <x:c r="O34" s="375">
        <x:f>IFERROR(ROUND(SUM(C34:N34)/($S$3),1),"")</x:f>
      </x:c>
    </x:row>
    <x:row r="35" spans="1:25" ht="15" customHeight="1" x14ac:dyDescent="0.25">
      <x:c r="A35" s="710"/>
      <x:c r="B35" s="363" t="s">
        <x:v>65</x:v>
      </x:c>
      <x:c r="C35" s="697">
        <x:f>IF('ЭЛОУ-АВТ-6'!$H35="Да",1,0)</x:f>
      </x:c>
      <x:c r="D35" s="698">
        <x:f>IF('ЭЛОУ-АВТ-6'!$N35="Да",1,0)</x:f>
      </x:c>
      <x:c r="E35" s="699">
        <x:f>IF('ЭЛОУ-АВТ-6'!$T35="Да",1,0)</x:f>
      </x:c>
      <x:c r="F35" s="700">
        <x:f>IF('ЭЛОУ-АВТ-6'!$Z35="Да",1,0)</x:f>
      </x:c>
      <x:c r="G35" s="701">
        <x:f>IF('ЭЛОУ-АВТ-6'!$AF35="Да",1,0)</x:f>
      </x:c>
      <x:c r="H35" s="702">
        <x:f>IF('ЭЛОУ-АВТ-6'!$AL35="Да",1,0)</x:f>
      </x:c>
      <x:c r="I35" s="703">
        <x:f>IF('ЭЛОУ-АВТ-6'!$AR35="Да",1,0)</x:f>
      </x:c>
      <x:c r="J35" s="704">
        <x:f>IF('ЭЛОУ-АВТ-6'!$AX35="Да",1,0)</x:f>
      </x:c>
      <x:c r="K35" s="705">
        <x:f>IF('ЭЛОУ-АВТ-6'!$BD35="Да",1,0)</x:f>
      </x:c>
      <x:c r="L35" s="706">
        <x:f>IF('ЭЛОУ-АВТ-6'!$BJ35="Да",1,0)</x:f>
      </x:c>
      <x:c r="M35" s="707">
        <x:f>IF('ЭЛОУ-АВТ-6'!$BP35="Да",1,0)</x:f>
      </x:c>
      <x:c r="N35" s="708">
        <x:f>IF('ЭЛОУ-АВТ-6'!$BV35="Да",1,0)</x:f>
      </x:c>
      <x:c r="O35" s="375">
        <x:f>IFERROR(ROUND(SUM(C35:N35)/($S$3),1),"")</x:f>
      </x:c>
    </x:row>
    <x:row r="36" spans="1:25" ht="15" customHeight="1" x14ac:dyDescent="0.25">
      <x:c r="A36" s="710"/>
      <x:c r="B36" s="363" t="s">
        <x:v>71</x:v>
      </x:c>
      <x:c r="C36" s="697">
        <x:f>IF('ЭЛОУ-АВТ-6'!$H36="Да",1,0)</x:f>
      </x:c>
      <x:c r="D36" s="698">
        <x:f>IF('ЭЛОУ-АВТ-6'!$N36="Да",1,0)</x:f>
      </x:c>
      <x:c r="E36" s="699">
        <x:f>IF('ЭЛОУ-АВТ-6'!$T36="Да",1,0)</x:f>
      </x:c>
      <x:c r="F36" s="700">
        <x:f>IF('ЭЛОУ-АВТ-6'!$Z36="Да",1,0)</x:f>
      </x:c>
      <x:c r="G36" s="701">
        <x:f>IF('ЭЛОУ-АВТ-6'!$AF36="Да",1,0)</x:f>
      </x:c>
      <x:c r="H36" s="702">
        <x:f>IF('ЭЛОУ-АВТ-6'!$AL36="Да",1,0)</x:f>
      </x:c>
      <x:c r="I36" s="703">
        <x:f>IF('ЭЛОУ-АВТ-6'!$AR36="Да",1,0)</x:f>
      </x:c>
      <x:c r="J36" s="704">
        <x:f>IF('ЭЛОУ-АВТ-6'!$AX36="Да",1,0)</x:f>
      </x:c>
      <x:c r="K36" s="705">
        <x:f>IF('ЭЛОУ-АВТ-6'!$BD36="Да",1,0)</x:f>
      </x:c>
      <x:c r="L36" s="706">
        <x:f>IF('ЭЛОУ-АВТ-6'!$BJ36="Да",1,0)</x:f>
      </x:c>
      <x:c r="M36" s="707">
        <x:f>IF('ЭЛОУ-АВТ-6'!$BP36="Да",1,0)</x:f>
      </x:c>
      <x:c r="N36" s="708">
        <x:f>IF('ЭЛОУ-АВТ-6'!$BV36="Да",1,0)</x:f>
      </x:c>
      <x:c r="O36" s="375">
        <x:f>IFERROR(ROUND(SUM(C36:N36)/($S$3),1),"")</x:f>
      </x:c>
    </x:row>
    <x:row r="37" spans="1:25" ht="15" customHeight="1" x14ac:dyDescent="0.25">
      <x:c r="A37" s="710"/>
      <x:c r="B37" s="363" t="s">
        <x:v>69</x:v>
      </x:c>
      <x:c r="C37" s="697">
        <x:f>IF('ЭЛОУ-АВТ-6'!$H37="Да",1,0)</x:f>
      </x:c>
      <x:c r="D37" s="698">
        <x:f>IF('ЭЛОУ-АВТ-6'!$N37="Да",1,0)</x:f>
      </x:c>
      <x:c r="E37" s="699">
        <x:f>IF('ЭЛОУ-АВТ-6'!$T37="Да",1,0)</x:f>
      </x:c>
      <x:c r="F37" s="700">
        <x:f>IF('ЭЛОУ-АВТ-6'!$Z37="Да",1,0)</x:f>
      </x:c>
      <x:c r="G37" s="701">
        <x:f>IF('ЭЛОУ-АВТ-6'!$AF37="Да",1,0)</x:f>
      </x:c>
      <x:c r="H37" s="702">
        <x:f>IF('ЭЛОУ-АВТ-6'!$AL37="Да",1,0)</x:f>
      </x:c>
      <x:c r="I37" s="703">
        <x:f>IF('ЭЛОУ-АВТ-6'!$AR37="Да",1,0)</x:f>
      </x:c>
      <x:c r="J37" s="704">
        <x:f>IF('ЭЛОУ-АВТ-6'!$AX37="Да",1,0)</x:f>
      </x:c>
      <x:c r="K37" s="705">
        <x:f>IF('ЭЛОУ-АВТ-6'!$BD37="Да",1,0)</x:f>
      </x:c>
      <x:c r="L37" s="706">
        <x:f>IF('ЭЛОУ-АВТ-6'!$BJ37="Да",1,0)</x:f>
      </x:c>
      <x:c r="M37" s="707">
        <x:f>IF('ЭЛОУ-АВТ-6'!$BP37="Да",1,0)</x:f>
      </x:c>
      <x:c r="N37" s="708">
        <x:f>IF('ЭЛОУ-АВТ-6'!$BV37="Да",1,0)</x:f>
      </x:c>
      <x:c r="O37" s="375">
        <x:f>IFERROR(ROUND(SUM(C37:N37)/($S$3),1),"")</x:f>
      </x:c>
    </x:row>
    <x:row r="38" spans="1:25" ht="15" customHeight="1" x14ac:dyDescent="0.25">
      <x:c r="A38" s="710"/>
      <x:c r="B38" s="363" t="s">
        <x:v>72</x:v>
      </x:c>
      <x:c r="C38" s="697">
        <x:f>IF('ЭЛОУ-АВТ-6'!$H38="Да",1,0)</x:f>
      </x:c>
      <x:c r="D38" s="698">
        <x:f>IF('ЭЛОУ-АВТ-6'!$N38="Да",1,0)</x:f>
      </x:c>
      <x:c r="E38" s="699">
        <x:f>IF('ЭЛОУ-АВТ-6'!$T38="Да",1,0)</x:f>
      </x:c>
      <x:c r="F38" s="700">
        <x:f>IF('ЭЛОУ-АВТ-6'!$Z38="Да",1,0)</x:f>
      </x:c>
      <x:c r="G38" s="701">
        <x:f>IF('ЭЛОУ-АВТ-6'!$AF38="Да",1,0)</x:f>
      </x:c>
      <x:c r="H38" s="702">
        <x:f>IF('ЭЛОУ-АВТ-6'!$AL38="Да",1,0)</x:f>
      </x:c>
      <x:c r="I38" s="703">
        <x:f>IF('ЭЛОУ-АВТ-6'!$AR38="Да",1,0)</x:f>
      </x:c>
      <x:c r="J38" s="704">
        <x:f>IF('ЭЛОУ-АВТ-6'!$AX38="Да",1,0)</x:f>
      </x:c>
      <x:c r="K38" s="705">
        <x:f>IF('ЭЛОУ-АВТ-6'!$BD38="Да",1,0)</x:f>
      </x:c>
      <x:c r="L38" s="706">
        <x:f>IF('ЭЛОУ-АВТ-6'!$BJ38="Да",1,0)</x:f>
      </x:c>
      <x:c r="M38" s="707">
        <x:f>IF('ЭЛОУ-АВТ-6'!$BP38="Да",1,0)</x:f>
      </x:c>
      <x:c r="N38" s="708">
        <x:f>IF('ЭЛОУ-АВТ-6'!$BV38="Да",1,0)</x:f>
      </x:c>
      <x:c r="O38" s="375">
        <x:f>IFERROR(ROUND(SUM(C38:N38)/($S$3),1),"")</x:f>
      </x:c>
    </x:row>
    <x:row r="39" spans="1:25" ht="15" customHeight="1" x14ac:dyDescent="0.25">
      <x:c r="A39" s="710"/>
      <x:c r="B39" s="363" t="s">
        <x:v>57</x:v>
      </x:c>
      <x:c r="C39" s="697">
        <x:f>IF('ЭЛОУ-АВТ-6'!$H39="Да",1,0)</x:f>
      </x:c>
      <x:c r="D39" s="698">
        <x:f>IF('ЭЛОУ-АВТ-6'!$N39="Да",1,0)</x:f>
      </x:c>
      <x:c r="E39" s="699">
        <x:f>IF('ЭЛОУ-АВТ-6'!$T39="Да",1,0)</x:f>
      </x:c>
      <x:c r="F39" s="700">
        <x:f>IF('ЭЛОУ-АВТ-6'!$Z39="Да",1,0)</x:f>
      </x:c>
      <x:c r="G39" s="701">
        <x:f>IF('ЭЛОУ-АВТ-6'!$AF39="Да",1,0)</x:f>
      </x:c>
      <x:c r="H39" s="702">
        <x:f>IF('ЭЛОУ-АВТ-6'!$AL39="Да",1,0)</x:f>
      </x:c>
      <x:c r="I39" s="703">
        <x:f>IF('ЭЛОУ-АВТ-6'!$AR39="Да",1,0)</x:f>
      </x:c>
      <x:c r="J39" s="704">
        <x:f>IF('ЭЛОУ-АВТ-6'!$AX39="Да",1,0)</x:f>
      </x:c>
      <x:c r="K39" s="705">
        <x:f>IF('ЭЛОУ-АВТ-6'!$BD39="Да",1,0)</x:f>
      </x:c>
      <x:c r="L39" s="706">
        <x:f>IF('ЭЛОУ-АВТ-6'!$BJ39="Да",1,0)</x:f>
      </x:c>
      <x:c r="M39" s="707">
        <x:f>IF('ЭЛОУ-АВТ-6'!$BP39="Да",1,0)</x:f>
      </x:c>
      <x:c r="N39" s="708">
        <x:f>IF('ЭЛОУ-АВТ-6'!$BV39="Да",1,0)</x:f>
      </x:c>
      <x:c r="O39" s="375">
        <x:f>IFERROR(ROUND(SUM(C39:N39)/($S$3),1),"")</x:f>
      </x:c>
    </x:row>
    <x:row r="40" spans="1:25" ht="15" customHeight="1" x14ac:dyDescent="0.25">
      <x:c r="A40" s="710"/>
      <x:c r="B40" s="363" t="s">
        <x:v>58</x:v>
      </x:c>
      <x:c r="C40" s="697">
        <x:f>IF('ЭЛОУ-АВТ-6'!$H40="Да",1,0)</x:f>
      </x:c>
      <x:c r="D40" s="698">
        <x:f>IF('ЭЛОУ-АВТ-6'!$N40="Да",1,0)</x:f>
      </x:c>
      <x:c r="E40" s="699">
        <x:f>IF('ЭЛОУ-АВТ-6'!$T40="Да",1,0)</x:f>
      </x:c>
      <x:c r="F40" s="700">
        <x:f>IF('ЭЛОУ-АВТ-6'!$Z40="Да",1,0)</x:f>
      </x:c>
      <x:c r="G40" s="701">
        <x:f>IF('ЭЛОУ-АВТ-6'!$AF40="Да",1,0)</x:f>
      </x:c>
      <x:c r="H40" s="702">
        <x:f>IF('ЭЛОУ-АВТ-6'!$AL40="Да",1,0)</x:f>
      </x:c>
      <x:c r="I40" s="703">
        <x:f>IF('ЭЛОУ-АВТ-6'!$AR40="Да",1,0)</x:f>
      </x:c>
      <x:c r="J40" s="704">
        <x:f>IF('ЭЛОУ-АВТ-6'!$AX40="Да",1,0)</x:f>
      </x:c>
      <x:c r="K40" s="705">
        <x:f>IF('ЭЛОУ-АВТ-6'!$BD40="Да",1,0)</x:f>
      </x:c>
      <x:c r="L40" s="706">
        <x:f>IF('ЭЛОУ-АВТ-6'!$BJ40="Да",1,0)</x:f>
      </x:c>
      <x:c r="M40" s="707">
        <x:f>IF('ЭЛОУ-АВТ-6'!$BP40="Да",1,0)</x:f>
      </x:c>
      <x:c r="N40" s="708">
        <x:f>IF('ЭЛОУ-АВТ-6'!$BV40="Да",1,0)</x:f>
      </x:c>
      <x:c r="O40" s="375">
        <x:f>IFERROR(ROUND(SUM(C40:N40)/($S$3),1),"")</x:f>
      </x:c>
    </x:row>
    <x:row r="41" spans="1:25" ht="15" customHeight="1" x14ac:dyDescent="0.25">
      <x:c r="A41" s="710"/>
      <x:c r="B41" s="363" t="s">
        <x:v>55</x:v>
      </x:c>
      <x:c r="C41" s="697">
        <x:f>IF('ЭЛОУ-АВТ-6'!$H41="Да",1,0)</x:f>
      </x:c>
      <x:c r="D41" s="698">
        <x:f>IF('ЭЛОУ-АВТ-6'!$N41="Да",1,0)</x:f>
      </x:c>
      <x:c r="E41" s="699">
        <x:f>IF('ЭЛОУ-АВТ-6'!$T41="Да",1,0)</x:f>
      </x:c>
      <x:c r="F41" s="700">
        <x:f>IF('ЭЛОУ-АВТ-6'!$Z41="Да",1,0)</x:f>
      </x:c>
      <x:c r="G41" s="701">
        <x:f>IF('ЭЛОУ-АВТ-6'!$AF41="Да",1,0)</x:f>
      </x:c>
      <x:c r="H41" s="702">
        <x:f>IF('ЭЛОУ-АВТ-6'!$AL41="Да",1,0)</x:f>
      </x:c>
      <x:c r="I41" s="703">
        <x:f>IF('ЭЛОУ-АВТ-6'!$AR41="Да",1,0)</x:f>
      </x:c>
      <x:c r="J41" s="704">
        <x:f>IF('ЭЛОУ-АВТ-6'!$AX41="Да",1,0)</x:f>
      </x:c>
      <x:c r="K41" s="705">
        <x:f>IF('ЭЛОУ-АВТ-6'!$BD41="Да",1,0)</x:f>
      </x:c>
      <x:c r="L41" s="706">
        <x:f>IF('ЭЛОУ-АВТ-6'!$BJ41="Да",1,0)</x:f>
      </x:c>
      <x:c r="M41" s="707">
        <x:f>IF('ЭЛОУ-АВТ-6'!$BP41="Да",1,0)</x:f>
      </x:c>
      <x:c r="N41" s="708">
        <x:f>IF('ЭЛОУ-АВТ-6'!$BV41="Да",1,0)</x:f>
      </x:c>
      <x:c r="O41" s="375">
        <x:f>IFERROR(ROUND(SUM(C41:N41)/($S$3),1),"")</x:f>
      </x:c>
    </x:row>
    <x:row r="42" spans="1:25" ht="15" customHeight="1" x14ac:dyDescent="0.25">
      <x:c r="A42" s="710"/>
      <x:c r="B42" s="363" t="s">
        <x:v>82</x:v>
      </x:c>
      <x:c r="C42" s="697">
        <x:f>IF('ЭЛОУ-АВТ-6'!$H42="Да",1,0)</x:f>
      </x:c>
      <x:c r="D42" s="698">
        <x:f>IF('ЭЛОУ-АВТ-6'!$N42="Да",1,0)</x:f>
      </x:c>
      <x:c r="E42" s="699">
        <x:f>IF('ЭЛОУ-АВТ-6'!$T42="Да",1,0)</x:f>
      </x:c>
      <x:c r="F42" s="700">
        <x:f>IF('ЭЛОУ-АВТ-6'!$Z42="Да",1,0)</x:f>
      </x:c>
      <x:c r="G42" s="701">
        <x:f>IF('ЭЛОУ-АВТ-6'!$AF42="Да",1,0)</x:f>
      </x:c>
      <x:c r="H42" s="702">
        <x:f>IF('ЭЛОУ-АВТ-6'!$AL42="Да",1,0)</x:f>
      </x:c>
      <x:c r="I42" s="703">
        <x:f>IF('ЭЛОУ-АВТ-6'!$AR42="Да",1,0)</x:f>
      </x:c>
      <x:c r="J42" s="704">
        <x:f>IF('ЭЛОУ-АВТ-6'!$AX42="Да",1,0)</x:f>
      </x:c>
      <x:c r="K42" s="705">
        <x:f>IF('ЭЛОУ-АВТ-6'!$BD42="Да",1,0)</x:f>
      </x:c>
      <x:c r="L42" s="706">
        <x:f>IF('ЭЛОУ-АВТ-6'!$BJ42="Да",1,0)</x:f>
      </x:c>
      <x:c r="M42" s="707">
        <x:f>IF('ЭЛОУ-АВТ-6'!$BP42="Да",1,0)</x:f>
      </x:c>
      <x:c r="N42" s="708">
        <x:f>IF('ЭЛОУ-АВТ-6'!$BV42="Да",1,0)</x:f>
      </x:c>
      <x:c r="O42" s="375">
        <x:f>IFERROR(ROUND(SUM(C42:N42)/($S$3),1),"")</x:f>
      </x:c>
    </x:row>
    <x:row r="43" spans="1:25" ht="15" customHeight="1" x14ac:dyDescent="0.25">
      <x:c r="A43" s="710"/>
      <x:c r="B43" s="363" t="s">
        <x:v>75</x:v>
      </x:c>
      <x:c r="C43" s="697">
        <x:f>IF('ЭЛОУ-АВТ-6'!$H43="Да",1,0)</x:f>
      </x:c>
      <x:c r="D43" s="698">
        <x:f>IF('ЭЛОУ-АВТ-6'!$N43="Да",1,0)</x:f>
      </x:c>
      <x:c r="E43" s="699">
        <x:f>IF('ЭЛОУ-АВТ-6'!$T43="Да",1,0)</x:f>
      </x:c>
      <x:c r="F43" s="700">
        <x:f>IF('ЭЛОУ-АВТ-6'!$Z43="Да",1,0)</x:f>
      </x:c>
      <x:c r="G43" s="701">
        <x:f>IF('ЭЛОУ-АВТ-6'!$AF43="Да",1,0)</x:f>
      </x:c>
      <x:c r="H43" s="702">
        <x:f>IF('ЭЛОУ-АВТ-6'!$AL43="Да",1,0)</x:f>
      </x:c>
      <x:c r="I43" s="703">
        <x:f>IF('ЭЛОУ-АВТ-6'!$AR43="Да",1,0)</x:f>
      </x:c>
      <x:c r="J43" s="704">
        <x:f>IF('ЭЛОУ-АВТ-6'!$AX43="Да",1,0)</x:f>
      </x:c>
      <x:c r="K43" s="705">
        <x:f>IF('ЭЛОУ-АВТ-6'!$BD43="Да",1,0)</x:f>
      </x:c>
      <x:c r="L43" s="706">
        <x:f>IF('ЭЛОУ-АВТ-6'!$BJ43="Да",1,0)</x:f>
      </x:c>
      <x:c r="M43" s="707">
        <x:f>IF('ЭЛОУ-АВТ-6'!$BP43="Да",1,0)</x:f>
      </x:c>
      <x:c r="N43" s="708">
        <x:f>IF('ЭЛОУ-АВТ-6'!$BV43="Да",1,0)</x:f>
      </x:c>
      <x:c r="O43" s="375">
        <x:f>IFERROR(ROUND(SUM(C43:N43)/($S$3),1),"")</x:f>
      </x:c>
    </x:row>
    <x:row r="44" spans="1:25" ht="15" customHeight="1" x14ac:dyDescent="0.25">
      <x:c r="A44" s="710"/>
      <x:c r="B44" s="363" t="s">
        <x:v>77</x:v>
      </x:c>
      <x:c r="C44" s="697">
        <x:f>IF('ЭЛОУ-АВТ-6'!$H44="Да",1,0)</x:f>
      </x:c>
      <x:c r="D44" s="698">
        <x:f>IF('ЭЛОУ-АВТ-6'!$N44="Да",1,0)</x:f>
      </x:c>
      <x:c r="E44" s="699">
        <x:f>IF('ЭЛОУ-АВТ-6'!$T44="Да",1,0)</x:f>
      </x:c>
      <x:c r="F44" s="700">
        <x:f>IF('ЭЛОУ-АВТ-6'!$Z44="Да",1,0)</x:f>
      </x:c>
      <x:c r="G44" s="701">
        <x:f>IF('ЭЛОУ-АВТ-6'!$AF44="Да",1,0)</x:f>
      </x:c>
      <x:c r="H44" s="702">
        <x:f>IF('ЭЛОУ-АВТ-6'!$AL44="Да",1,0)</x:f>
      </x:c>
      <x:c r="I44" s="703">
        <x:f>IF('ЭЛОУ-АВТ-6'!$AR44="Да",1,0)</x:f>
      </x:c>
      <x:c r="J44" s="704">
        <x:f>IF('ЭЛОУ-АВТ-6'!$AX44="Да",1,0)</x:f>
      </x:c>
      <x:c r="K44" s="705">
        <x:f>IF('ЭЛОУ-АВТ-6'!$BD44="Да",1,0)</x:f>
      </x:c>
      <x:c r="L44" s="706">
        <x:f>IF('ЭЛОУ-АВТ-6'!$BJ44="Да",1,0)</x:f>
      </x:c>
      <x:c r="M44" s="707">
        <x:f>IF('ЭЛОУ-АВТ-6'!$BP44="Да",1,0)</x:f>
      </x:c>
      <x:c r="N44" s="708">
        <x:f>IF('ЭЛОУ-АВТ-6'!$BV44="Да",1,0)</x:f>
      </x:c>
      <x:c r="O44" s="375">
        <x:f>IFERROR(ROUND(SUM(C44:N44)/($S$3),1),"")</x:f>
      </x:c>
    </x:row>
    <x:row r="45" spans="1:25" ht="15" customHeight="1" x14ac:dyDescent="0.25">
      <x:c r="A45" s="710"/>
      <x:c r="B45" s="363" t="s">
        <x:v>51</x:v>
      </x:c>
      <x:c r="C45" s="697">
        <x:f>IF('ЭЛОУ-АВТ-6'!$H45="Да",1,0)</x:f>
      </x:c>
      <x:c r="D45" s="698">
        <x:f>IF('ЭЛОУ-АВТ-6'!$N45="Да",1,0)</x:f>
      </x:c>
      <x:c r="E45" s="699">
        <x:f>IF('ЭЛОУ-АВТ-6'!$T45="Да",1,0)</x:f>
      </x:c>
      <x:c r="F45" s="700">
        <x:f>IF('ЭЛОУ-АВТ-6'!$Z45="Да",1,0)</x:f>
      </x:c>
      <x:c r="G45" s="701">
        <x:f>IF('ЭЛОУ-АВТ-6'!$AF45="Да",1,0)</x:f>
      </x:c>
      <x:c r="H45" s="702">
        <x:f>IF('ЭЛОУ-АВТ-6'!$AL45="Да",1,0)</x:f>
      </x:c>
      <x:c r="I45" s="703">
        <x:f>IF('ЭЛОУ-АВТ-6'!$AR45="Да",1,0)</x:f>
      </x:c>
      <x:c r="J45" s="704">
        <x:f>IF('ЭЛОУ-АВТ-6'!$AX45="Да",1,0)</x:f>
      </x:c>
      <x:c r="K45" s="705">
        <x:f>IF('ЭЛОУ-АВТ-6'!$BD45="Да",1,0)</x:f>
      </x:c>
      <x:c r="L45" s="706">
        <x:f>IF('ЭЛОУ-АВТ-6'!$BJ45="Да",1,0)</x:f>
      </x:c>
      <x:c r="M45" s="707">
        <x:f>IF('ЭЛОУ-АВТ-6'!$BP45="Да",1,0)</x:f>
      </x:c>
      <x:c r="N45" s="708">
        <x:f>IF('ЭЛОУ-АВТ-6'!$BV45="Да",1,0)</x:f>
      </x:c>
      <x:c r="O45" s="375">
        <x:f>IFERROR(ROUND(SUM(C45:N45)/($S$3),1),"")</x:f>
      </x:c>
    </x:row>
    <x:row r="46" spans="1:25" ht="15.75" customHeight="1" x14ac:dyDescent="0.3">
      <x:c r="A46" s="717"/>
      <x:c r="B46" s="379" t="s">
        <x:v>63</x:v>
      </x:c>
      <x:c r="C46" s="697">
        <x:f>IF('ЭЛОУ-АВТ-6'!$H46="Да",1,0)</x:f>
      </x:c>
      <x:c r="D46" s="698">
        <x:f>IF('ЭЛОУ-АВТ-6'!$N46="Да",1,0)</x:f>
      </x:c>
      <x:c r="E46" s="699">
        <x:f>IF('ЭЛОУ-АВТ-6'!$T46="Да",1,0)</x:f>
      </x:c>
      <x:c r="F46" s="700">
        <x:f>IF('ЭЛОУ-АВТ-6'!$Z46="Да",1,0)</x:f>
      </x:c>
      <x:c r="G46" s="701">
        <x:f>IF('ЭЛОУ-АВТ-6'!$AF46="Да",1,0)</x:f>
      </x:c>
      <x:c r="H46" s="702">
        <x:f>IF('ЭЛОУ-АВТ-6'!$AL46="Да",1,0)</x:f>
      </x:c>
      <x:c r="I46" s="703">
        <x:f>IF('ЭЛОУ-АВТ-6'!$AR46="Да",1,0)</x:f>
      </x:c>
      <x:c r="J46" s="704">
        <x:f>IF('ЭЛОУ-АВТ-6'!$AX46="Да",1,0)</x:f>
      </x:c>
      <x:c r="K46" s="705">
        <x:f>IF('ЭЛОУ-АВТ-6'!$BD46="Да",1,0)</x:f>
      </x:c>
      <x:c r="L46" s="706">
        <x:f>IF('ЭЛОУ-АВТ-6'!$BJ46="Да",1,0)</x:f>
      </x:c>
      <x:c r="M46" s="707">
        <x:f>IF('ЭЛОУ-АВТ-6'!$BP46="Да",1,0)</x:f>
      </x:c>
      <x:c r="N46" s="708">
        <x:f>IF('ЭЛОУ-АВТ-6'!$BV46="Да",1,0)</x:f>
      </x:c>
      <x:c r="O46" s="375">
        <x:f>IFERROR(ROUND(SUM(C46:N46)/($S$3),1),"")</x:f>
      </x:c>
    </x:row>
    <x:row r="47" spans="1:25" ht="15" customHeight="1" x14ac:dyDescent="0.25">
      <x:c r="A47" s="696" t="s">
        <x:v>1065</x:v>
      </x:c>
      <x:c r="B47" s="363" t="s">
        <x:v>1104</x:v>
      </x:c>
      <x:c r="C47" s="697">
        <x:f>IF('ГФУ-2'!$H3="Да",1,0)</x:f>
      </x:c>
      <x:c r="D47" s="698">
        <x:f>IF('ГФУ-2'!$N3="Да",1,0)</x:f>
      </x:c>
      <x:c r="E47" s="699">
        <x:f>IF('ГФУ-2'!$T3="Да",1,0)</x:f>
      </x:c>
      <x:c r="F47" s="700">
        <x:f>IF('ГФУ-2'!$Z3="Да",1,0)</x:f>
      </x:c>
      <x:c r="G47" s="701">
        <x:f>IF('ГФУ-2'!$AF3="Да",1,0)</x:f>
      </x:c>
      <x:c r="H47" s="702">
        <x:f>IF('ГФУ-2'!$AL3="Да",1,0)</x:f>
      </x:c>
      <x:c r="I47" s="703">
        <x:f>IF('ГФУ-2'!$AR3="Да",1,0)</x:f>
      </x:c>
      <x:c r="J47" s="704">
        <x:f>IF('ГФУ-2'!$AX3="Да",1,0)</x:f>
      </x:c>
      <x:c r="K47" s="705">
        <x:f>IF('ГФУ-2'!$BD3="Да",1,0)</x:f>
      </x:c>
      <x:c r="L47" s="706">
        <x:f>IF('ГФУ-2'!$BJ3="Да",1,0)</x:f>
      </x:c>
      <x:c r="M47" s="707">
        <x:f>IF('ГФУ-2'!$BP3="Да",1,0)</x:f>
      </x:c>
      <x:c r="N47" s="708">
        <x:f>IF('ГФУ-2'!$BV3="Да",1,0)</x:f>
      </x:c>
      <x:c r="O47" s="375">
        <x:f>IFERROR(ROUND(SUM(C47:N47)/($S$47),1),"")</x:f>
      </x:c>
      <x:c r="Q47" s="709" t="s">
        <x:v>1151</x:v>
      </x:c>
      <x:c r="R47" s="596"/>
      <x:c r="S47" s="376">
        <x:f>SUM(IF(COUNTIF(C47:C67,"&gt;0")&gt;0,1,0),IF(COUNTIF(D47:D67,"&gt;0")&gt;0,1,0),IF(COUNTIF(E47:E67,"&gt;0")&gt;0,1,0),IF(COUNTIF(F47:F67,"&gt;0")&gt;0,1,0),IF(COUNTIF(G47:G67,"&gt;0")&gt;0,1,0),IF(COUNTIF(H47:H67,"&gt;0")&gt;0,1,0),IF(COUNTIF(I47:I67,"&gt;0")&gt;0,1,0),IF(COUNTIF(J47:J67,"&gt;0")&gt;0,1,0),IF(COUNTIF(K47:K67,"&gt;0")&gt;0,1,0),IF(COUNTIF(L47:L67,"&gt;0")&gt;0,1,0),IF(COUNTIF(M47:M67,"&gt;0")&gt;0,1,0),IF(COUNTIF(N47:N67,"&gt;0")&gt;0,1,0))</x:f>
      </x:c>
    </x:row>
    <x:row r="48" spans="1:25" ht="15" customHeight="1" x14ac:dyDescent="0.25">
      <x:c r="A48" s="710"/>
      <x:c r="B48" s="363" t="s">
        <x:v>38</x:v>
      </x:c>
      <x:c r="C48" s="697">
        <x:f>IF('ГФУ-2'!$H4="Да",1,0)</x:f>
      </x:c>
      <x:c r="D48" s="698">
        <x:f>IF('ГФУ-2'!$N4="Да",1,0)</x:f>
      </x:c>
      <x:c r="E48" s="699">
        <x:f>IF('ГФУ-2'!$T4="Да",1,0)</x:f>
      </x:c>
      <x:c r="F48" s="700">
        <x:f>IF('ГФУ-2'!$Z4="Да",1,0)</x:f>
      </x:c>
      <x:c r="G48" s="701">
        <x:f>IF('ГФУ-2'!$AF4="Да",1,0)</x:f>
      </x:c>
      <x:c r="H48" s="702">
        <x:f>IF('ГФУ-2'!$AL4="Да",1,0)</x:f>
      </x:c>
      <x:c r="I48" s="703">
        <x:f>IF('ГФУ-2'!$AR4="Да",1,0)</x:f>
      </x:c>
      <x:c r="J48" s="704">
        <x:f>IF('ГФУ-2'!$AX4="Да",1,0)</x:f>
      </x:c>
      <x:c r="K48" s="705">
        <x:f>IF('ГФУ-2'!$BD4="Да",1,0)</x:f>
      </x:c>
      <x:c r="L48" s="706">
        <x:f>IF('ГФУ-2'!$BJ4="Да",1,0)</x:f>
      </x:c>
      <x:c r="M48" s="707">
        <x:f>IF('ГФУ-2'!$BP4="Да",1,0)</x:f>
      </x:c>
      <x:c r="N48" s="708">
        <x:f>IF('ГФУ-2'!$BV4="Да",1,0)</x:f>
      </x:c>
      <x:c r="O48" s="375">
        <x:f>IFERROR(ROUND(SUM(C48:N48)/($S$47),1),"")</x:f>
      </x:c>
      <x:c r="Q48" s="711"/>
      <x:c r="R48" s="712"/>
      <x:c r="S48" s="713"/>
    </x:row>
    <x:row r="49" spans="1:25" ht="15" customHeight="1" x14ac:dyDescent="0.25">
      <x:c r="A49" s="710"/>
      <x:c r="B49" s="363" t="s">
        <x:v>34</x:v>
      </x:c>
      <x:c r="C49" s="697">
        <x:f>IF('ГФУ-2'!$H5="Да",1,0)</x:f>
      </x:c>
      <x:c r="D49" s="698">
        <x:f>IF('ГФУ-2'!$N5="Да",1,0)</x:f>
      </x:c>
      <x:c r="E49" s="699">
        <x:f>IF('ГФУ-2'!$T5="Да",1,0)</x:f>
      </x:c>
      <x:c r="F49" s="700">
        <x:f>IF('ГФУ-2'!$Z5="Да",1,0)</x:f>
      </x:c>
      <x:c r="G49" s="701">
        <x:f>IF('ГФУ-2'!$AF5="Да",1,0)</x:f>
      </x:c>
      <x:c r="H49" s="702">
        <x:f>IF('ГФУ-2'!$AL5="Да",1,0)</x:f>
      </x:c>
      <x:c r="I49" s="703">
        <x:f>IF('ГФУ-2'!$AR5="Да",1,0)</x:f>
      </x:c>
      <x:c r="J49" s="704">
        <x:f>IF('ГФУ-2'!$AX5="Да",1,0)</x:f>
      </x:c>
      <x:c r="K49" s="705">
        <x:f>IF('ГФУ-2'!$BD5="Да",1,0)</x:f>
      </x:c>
      <x:c r="L49" s="706">
        <x:f>IF('ГФУ-2'!$BJ5="Да",1,0)</x:f>
      </x:c>
      <x:c r="M49" s="707">
        <x:f>IF('ГФУ-2'!$BP5="Да",1,0)</x:f>
      </x:c>
      <x:c r="N49" s="708">
        <x:f>IF('ГФУ-2'!$BV5="Да",1,0)</x:f>
      </x:c>
      <x:c r="O49" s="375">
        <x:f>IFERROR(ROUND(SUM(C49:N49)/($S$47),1),"")</x:f>
      </x:c>
      <x:c r="Q49" s="714"/>
      <x:c r="R49" s="715"/>
      <x:c r="S49" s="716"/>
    </x:row>
    <x:row r="50" spans="1:25" ht="15" customHeight="1" x14ac:dyDescent="0.25">
      <x:c r="A50" s="710"/>
      <x:c r="B50" s="363" t="s">
        <x:v>12</x:v>
      </x:c>
      <x:c r="C50" s="697">
        <x:f>IF('ГФУ-2'!$H6="Да",1,0)</x:f>
      </x:c>
      <x:c r="D50" s="698">
        <x:f>IF('ГФУ-2'!$N6="Да",1,0)</x:f>
      </x:c>
      <x:c r="E50" s="699">
        <x:f>IF('ГФУ-2'!$T6="Да",1,0)</x:f>
      </x:c>
      <x:c r="F50" s="700">
        <x:f>IF('ГФУ-2'!$Z6="Да",1,0)</x:f>
      </x:c>
      <x:c r="G50" s="701">
        <x:f>IF('ГФУ-2'!$AF6="Да",1,0)</x:f>
      </x:c>
      <x:c r="H50" s="702">
        <x:f>IF('ГФУ-2'!$AL6="Да",1,0)</x:f>
      </x:c>
      <x:c r="I50" s="703">
        <x:f>IF('ГФУ-2'!$AR6="Да",1,0)</x:f>
      </x:c>
      <x:c r="J50" s="704">
        <x:f>IF('ГФУ-2'!$AX6="Да",1,0)</x:f>
      </x:c>
      <x:c r="K50" s="705">
        <x:f>IF('ГФУ-2'!$BD6="Да",1,0)</x:f>
      </x:c>
      <x:c r="L50" s="706">
        <x:f>IF('ГФУ-2'!$BJ6="Да",1,0)</x:f>
      </x:c>
      <x:c r="M50" s="707">
        <x:f>IF('ГФУ-2'!$BP6="Да",1,0)</x:f>
      </x:c>
      <x:c r="N50" s="708">
        <x:f>IF('ГФУ-2'!$BV6="Да",1,0)</x:f>
      </x:c>
      <x:c r="O50" s="375">
        <x:f>IFERROR(ROUND(SUM(C50:N50)/($S$47),1),"")</x:f>
      </x:c>
    </x:row>
    <x:row r="51" spans="1:25" ht="15" customHeight="1" x14ac:dyDescent="0.25">
      <x:c r="A51" s="710"/>
      <x:c r="B51" s="363" t="s">
        <x:v>36</x:v>
      </x:c>
      <x:c r="C51" s="697">
        <x:f>IF('ГФУ-2'!$H7="Да",1,0)</x:f>
      </x:c>
      <x:c r="D51" s="698">
        <x:f>IF('ГФУ-2'!$N7="Да",1,0)</x:f>
      </x:c>
      <x:c r="E51" s="699">
        <x:f>IF('ГФУ-2'!$T7="Да",1,0)</x:f>
      </x:c>
      <x:c r="F51" s="700">
        <x:f>IF('ГФУ-2'!$Z7="Да",1,0)</x:f>
      </x:c>
      <x:c r="G51" s="701">
        <x:f>IF('ГФУ-2'!$AF7="Да",1,0)</x:f>
      </x:c>
      <x:c r="H51" s="702">
        <x:f>IF('ГФУ-2'!$AL7="Да",1,0)</x:f>
      </x:c>
      <x:c r="I51" s="703">
        <x:f>IF('ГФУ-2'!$AR7="Да",1,0)</x:f>
      </x:c>
      <x:c r="J51" s="704">
        <x:f>IF('ГФУ-2'!$AX7="Да",1,0)</x:f>
      </x:c>
      <x:c r="K51" s="705">
        <x:f>IF('ГФУ-2'!$BD7="Да",1,0)</x:f>
      </x:c>
      <x:c r="L51" s="706">
        <x:f>IF('ГФУ-2'!$BJ7="Да",1,0)</x:f>
      </x:c>
      <x:c r="M51" s="707">
        <x:f>IF('ГФУ-2'!$BP7="Да",1,0)</x:f>
      </x:c>
      <x:c r="N51" s="708">
        <x:f>IF('ГФУ-2'!$BV7="Да",1,0)</x:f>
      </x:c>
      <x:c r="O51" s="375">
        <x:f>IFERROR(ROUND(SUM(C51:N51)/($S$47),1),"")</x:f>
      </x:c>
    </x:row>
    <x:row r="52" spans="1:25" ht="15" customHeight="1" x14ac:dyDescent="0.25">
      <x:c r="A52" s="710"/>
      <x:c r="B52" s="363" t="s">
        <x:v>32</x:v>
      </x:c>
      <x:c r="C52" s="697">
        <x:f>IF('ГФУ-2'!$H8="Да",1,0)</x:f>
      </x:c>
      <x:c r="D52" s="698">
        <x:f>IF('ГФУ-2'!$N8="Да",1,0)</x:f>
      </x:c>
      <x:c r="E52" s="699">
        <x:f>IF('ГФУ-2'!$T8="Да",1,0)</x:f>
      </x:c>
      <x:c r="F52" s="700">
        <x:f>IF('ГФУ-2'!$Z8="Да",1,0)</x:f>
      </x:c>
      <x:c r="G52" s="701">
        <x:f>IF('ГФУ-2'!$AF8="Да",1,0)</x:f>
      </x:c>
      <x:c r="H52" s="702">
        <x:f>IF('ГФУ-2'!$AL8="Да",1,0)</x:f>
      </x:c>
      <x:c r="I52" s="703">
        <x:f>IF('ГФУ-2'!$AR8="Да",1,0)</x:f>
      </x:c>
      <x:c r="J52" s="704">
        <x:f>IF('ГФУ-2'!$AX8="Да",1,0)</x:f>
      </x:c>
      <x:c r="K52" s="705">
        <x:f>IF('ГФУ-2'!$BD8="Да",1,0)</x:f>
      </x:c>
      <x:c r="L52" s="706">
        <x:f>IF('ГФУ-2'!$BJ8="Да",1,0)</x:f>
      </x:c>
      <x:c r="M52" s="707">
        <x:f>IF('ГФУ-2'!$BP8="Да",1,0)</x:f>
      </x:c>
      <x:c r="N52" s="708">
        <x:f>IF('ГФУ-2'!$BV8="Да",1,0)</x:f>
      </x:c>
      <x:c r="O52" s="375">
        <x:f>IFERROR(ROUND(SUM(C52:N52)/($S$47),1),"")</x:f>
      </x:c>
    </x:row>
    <x:row r="53" spans="1:25" ht="15" customHeight="1" x14ac:dyDescent="0.25">
      <x:c r="A53" s="710"/>
      <x:c r="B53" s="363" t="s">
        <x:v>15</x:v>
      </x:c>
      <x:c r="C53" s="697">
        <x:f>IF('ГФУ-2'!$H9="Да",1,0)</x:f>
      </x:c>
      <x:c r="D53" s="698">
        <x:f>IF('ГФУ-2'!$N9="Да",1,0)</x:f>
      </x:c>
      <x:c r="E53" s="699">
        <x:f>IF('ГФУ-2'!$T9="Да",1,0)</x:f>
      </x:c>
      <x:c r="F53" s="700">
        <x:f>IF('ГФУ-2'!$Z9="Да",1,0)</x:f>
      </x:c>
      <x:c r="G53" s="701">
        <x:f>IF('ГФУ-2'!$AF9="Да",1,0)</x:f>
      </x:c>
      <x:c r="H53" s="702">
        <x:f>IF('ГФУ-2'!$AL9="Да",1,0)</x:f>
      </x:c>
      <x:c r="I53" s="703">
        <x:f>IF('ГФУ-2'!$AR9="Да",1,0)</x:f>
      </x:c>
      <x:c r="J53" s="704">
        <x:f>IF('ГФУ-2'!$AX9="Да",1,0)</x:f>
      </x:c>
      <x:c r="K53" s="705">
        <x:f>IF('ГФУ-2'!$BD9="Да",1,0)</x:f>
      </x:c>
      <x:c r="L53" s="706">
        <x:f>IF('ГФУ-2'!$BJ9="Да",1,0)</x:f>
      </x:c>
      <x:c r="M53" s="707">
        <x:f>IF('ГФУ-2'!$BP9="Да",1,0)</x:f>
      </x:c>
      <x:c r="N53" s="708">
        <x:f>IF('ГФУ-2'!$BV9="Да",1,0)</x:f>
      </x:c>
      <x:c r="O53" s="375">
        <x:f>IFERROR(ROUND(SUM(C53:N53)/($S$47),1),"")</x:f>
      </x:c>
    </x:row>
    <x:row r="54" spans="1:25" ht="15" customHeight="1" x14ac:dyDescent="0.25">
      <x:c r="A54" s="710"/>
      <x:c r="B54" s="363" t="s">
        <x:v>26</x:v>
      </x:c>
      <x:c r="C54" s="697">
        <x:f>IF('ГФУ-2'!$H10="Да",1,0)</x:f>
      </x:c>
      <x:c r="D54" s="698">
        <x:f>IF('ГФУ-2'!$N10="Да",1,0)</x:f>
      </x:c>
      <x:c r="E54" s="699">
        <x:f>IF('ГФУ-2'!$T10="Да",1,0)</x:f>
      </x:c>
      <x:c r="F54" s="700">
        <x:f>IF('ГФУ-2'!$Z10="Да",1,0)</x:f>
      </x:c>
      <x:c r="G54" s="701">
        <x:f>IF('ГФУ-2'!$AF10="Да",1,0)</x:f>
      </x:c>
      <x:c r="H54" s="702">
        <x:f>IF('ГФУ-2'!$AL10="Да",1,0)</x:f>
      </x:c>
      <x:c r="I54" s="703">
        <x:f>IF('ГФУ-2'!$AR10="Да",1,0)</x:f>
      </x:c>
      <x:c r="J54" s="704">
        <x:f>IF('ГФУ-2'!$AX10="Да",1,0)</x:f>
      </x:c>
      <x:c r="K54" s="705">
        <x:f>IF('ГФУ-2'!$BD10="Да",1,0)</x:f>
      </x:c>
      <x:c r="L54" s="706">
        <x:f>IF('ГФУ-2'!$BJ10="Да",1,0)</x:f>
      </x:c>
      <x:c r="M54" s="707">
        <x:f>IF('ГФУ-2'!$BP10="Да",1,0)</x:f>
      </x:c>
      <x:c r="N54" s="708">
        <x:f>IF('ГФУ-2'!$BV10="Да",1,0)</x:f>
      </x:c>
      <x:c r="O54" s="375">
        <x:f>IFERROR(ROUND(SUM(C54:N54)/($S$47),1),"")</x:f>
      </x:c>
    </x:row>
    <x:row r="55" spans="1:25" ht="15" customHeight="1" x14ac:dyDescent="0.25">
      <x:c r="A55" s="710"/>
      <x:c r="B55" s="363" t="s">
        <x:v>33</x:v>
      </x:c>
      <x:c r="C55" s="697">
        <x:f>IF('ГФУ-2'!$H11="Да",1,0)</x:f>
      </x:c>
      <x:c r="D55" s="698">
        <x:f>IF('ГФУ-2'!$N11="Да",1,0)</x:f>
      </x:c>
      <x:c r="E55" s="699">
        <x:f>IF('ГФУ-2'!$T11="Да",1,0)</x:f>
      </x:c>
      <x:c r="F55" s="700">
        <x:f>IF('ГФУ-2'!$Z11="Да",1,0)</x:f>
      </x:c>
      <x:c r="G55" s="701">
        <x:f>IF('ГФУ-2'!$AF11="Да",1,0)</x:f>
      </x:c>
      <x:c r="H55" s="702">
        <x:f>IF('ГФУ-2'!$AL11="Да",1,0)</x:f>
      </x:c>
      <x:c r="I55" s="703">
        <x:f>IF('ГФУ-2'!$AR11="Да",1,0)</x:f>
      </x:c>
      <x:c r="J55" s="704">
        <x:f>IF('ГФУ-2'!$AX11="Да",1,0)</x:f>
      </x:c>
      <x:c r="K55" s="705">
        <x:f>IF('ГФУ-2'!$BD11="Да",1,0)</x:f>
      </x:c>
      <x:c r="L55" s="706">
        <x:f>IF('ГФУ-2'!$BJ11="Да",1,0)</x:f>
      </x:c>
      <x:c r="M55" s="707">
        <x:f>IF('ГФУ-2'!$BP11="Да",1,0)</x:f>
      </x:c>
      <x:c r="N55" s="708">
        <x:f>IF('ГФУ-2'!$BV11="Да",1,0)</x:f>
      </x:c>
      <x:c r="O55" s="375">
        <x:f>IFERROR(ROUND(SUM(C55:N55)/($S$47),1),"")</x:f>
      </x:c>
    </x:row>
    <x:row r="56" spans="1:25" ht="15" customHeight="1" x14ac:dyDescent="0.25">
      <x:c r="A56" s="710"/>
      <x:c r="B56" s="363" t="s">
        <x:v>20</x:v>
      </x:c>
      <x:c r="C56" s="697">
        <x:f>IF('ГФУ-2'!$H12="Да",1,0)</x:f>
      </x:c>
      <x:c r="D56" s="698">
        <x:f>IF('ГФУ-2'!$N12="Да",1,0)</x:f>
      </x:c>
      <x:c r="E56" s="699">
        <x:f>IF('ГФУ-2'!$T12="Да",1,0)</x:f>
      </x:c>
      <x:c r="F56" s="700">
        <x:f>IF('ГФУ-2'!$Z12="Да",1,0)</x:f>
      </x:c>
      <x:c r="G56" s="701">
        <x:f>IF('ГФУ-2'!$AF12="Да",1,0)</x:f>
      </x:c>
      <x:c r="H56" s="702">
        <x:f>IF('ГФУ-2'!$AL12="Да",1,0)</x:f>
      </x:c>
      <x:c r="I56" s="703">
        <x:f>IF('ГФУ-2'!$AR12="Да",1,0)</x:f>
      </x:c>
      <x:c r="J56" s="704">
        <x:f>IF('ГФУ-2'!$AX12="Да",1,0)</x:f>
      </x:c>
      <x:c r="K56" s="705">
        <x:f>IF('ГФУ-2'!$BD12="Да",1,0)</x:f>
      </x:c>
      <x:c r="L56" s="706">
        <x:f>IF('ГФУ-2'!$BJ12="Да",1,0)</x:f>
      </x:c>
      <x:c r="M56" s="707">
        <x:f>IF('ГФУ-2'!$BP12="Да",1,0)</x:f>
      </x:c>
      <x:c r="N56" s="708">
        <x:f>IF('ГФУ-2'!$BV12="Да",1,0)</x:f>
      </x:c>
      <x:c r="O56" s="375">
        <x:f>IFERROR(ROUND(SUM(C56:N56)/($S$47),1),"")</x:f>
      </x:c>
    </x:row>
    <x:row r="57" spans="1:25" ht="15" customHeight="1" x14ac:dyDescent="0.25">
      <x:c r="A57" s="710"/>
      <x:c r="B57" s="363" t="s">
        <x:v>19</x:v>
      </x:c>
      <x:c r="C57" s="697">
        <x:f>IF('ГФУ-2'!$H13="Да",1,0)</x:f>
      </x:c>
      <x:c r="D57" s="698">
        <x:f>IF('ГФУ-2'!$N13="Да",1,0)</x:f>
      </x:c>
      <x:c r="E57" s="699">
        <x:f>IF('ГФУ-2'!$T13="Да",1,0)</x:f>
      </x:c>
      <x:c r="F57" s="700">
        <x:f>IF('ГФУ-2'!$Z13="Да",1,0)</x:f>
      </x:c>
      <x:c r="G57" s="701">
        <x:f>IF('ГФУ-2'!$AF13="Да",1,0)</x:f>
      </x:c>
      <x:c r="H57" s="702">
        <x:f>IF('ГФУ-2'!$AL13="Да",1,0)</x:f>
      </x:c>
      <x:c r="I57" s="703">
        <x:f>IF('ГФУ-2'!$AR13="Да",1,0)</x:f>
      </x:c>
      <x:c r="J57" s="704">
        <x:f>IF('ГФУ-2'!$AX13="Да",1,0)</x:f>
      </x:c>
      <x:c r="K57" s="705">
        <x:f>IF('ГФУ-2'!$BD13="Да",1,0)</x:f>
      </x:c>
      <x:c r="L57" s="706">
        <x:f>IF('ГФУ-2'!$BJ13="Да",1,0)</x:f>
      </x:c>
      <x:c r="M57" s="707">
        <x:f>IF('ГФУ-2'!$BP13="Да",1,0)</x:f>
      </x:c>
      <x:c r="N57" s="708">
        <x:f>IF('ГФУ-2'!$BV13="Да",1,0)</x:f>
      </x:c>
      <x:c r="O57" s="375">
        <x:f>IFERROR(ROUND(SUM(C57:N57)/($S$47),1),"")</x:f>
      </x:c>
    </x:row>
    <x:row r="58" spans="1:25" ht="15" customHeight="1" x14ac:dyDescent="0.25">
      <x:c r="A58" s="710"/>
      <x:c r="B58" s="363" t="s">
        <x:v>29</x:v>
      </x:c>
      <x:c r="C58" s="697">
        <x:f>IF('ГФУ-2'!$H14="Да",1,0)</x:f>
      </x:c>
      <x:c r="D58" s="698">
        <x:f>IF('ГФУ-2'!$N14="Да",1,0)</x:f>
      </x:c>
      <x:c r="E58" s="699">
        <x:f>IF('ГФУ-2'!$T14="Да",1,0)</x:f>
      </x:c>
      <x:c r="F58" s="700">
        <x:f>IF('ГФУ-2'!$Z14="Да",1,0)</x:f>
      </x:c>
      <x:c r="G58" s="701">
        <x:f>IF('ГФУ-2'!$AF14="Да",1,0)</x:f>
      </x:c>
      <x:c r="H58" s="702">
        <x:f>IF('ГФУ-2'!$AL14="Да",1,0)</x:f>
      </x:c>
      <x:c r="I58" s="703">
        <x:f>IF('ГФУ-2'!$AR14="Да",1,0)</x:f>
      </x:c>
      <x:c r="J58" s="704">
        <x:f>IF('ГФУ-2'!$AX14="Да",1,0)</x:f>
      </x:c>
      <x:c r="K58" s="705">
        <x:f>IF('ГФУ-2'!$BD14="Да",1,0)</x:f>
      </x:c>
      <x:c r="L58" s="706">
        <x:f>IF('ГФУ-2'!$BJ14="Да",1,0)</x:f>
      </x:c>
      <x:c r="M58" s="707">
        <x:f>IF('ГФУ-2'!$BP14="Да",1,0)</x:f>
      </x:c>
      <x:c r="N58" s="708">
        <x:f>IF('ГФУ-2'!$BV14="Да",1,0)</x:f>
      </x:c>
      <x:c r="O58" s="375">
        <x:f>IFERROR(ROUND(SUM(C58:N58)/($S$47),1),"")</x:f>
      </x:c>
    </x:row>
    <x:row r="59" spans="1:25" ht="15" customHeight="1" x14ac:dyDescent="0.25">
      <x:c r="A59" s="710"/>
      <x:c r="B59" s="363" t="s">
        <x:v>18</x:v>
      </x:c>
      <x:c r="C59" s="697">
        <x:f>IF('ГФУ-2'!$H15="Да",1,0)</x:f>
      </x:c>
      <x:c r="D59" s="698">
        <x:f>IF('ГФУ-2'!$N15="Да",1,0)</x:f>
      </x:c>
      <x:c r="E59" s="699">
        <x:f>IF('ГФУ-2'!$T15="Да",1,0)</x:f>
      </x:c>
      <x:c r="F59" s="700">
        <x:f>IF('ГФУ-2'!$Z15="Да",1,0)</x:f>
      </x:c>
      <x:c r="G59" s="701">
        <x:f>IF('ГФУ-2'!$AF15="Да",1,0)</x:f>
      </x:c>
      <x:c r="H59" s="702">
        <x:f>IF('ГФУ-2'!$AL15="Да",1,0)</x:f>
      </x:c>
      <x:c r="I59" s="703">
        <x:f>IF('ГФУ-2'!$AR15="Да",1,0)</x:f>
      </x:c>
      <x:c r="J59" s="704">
        <x:f>IF('ГФУ-2'!$AX15="Да",1,0)</x:f>
      </x:c>
      <x:c r="K59" s="705">
        <x:f>IF('ГФУ-2'!$BD15="Да",1,0)</x:f>
      </x:c>
      <x:c r="L59" s="706">
        <x:f>IF('ГФУ-2'!$BJ15="Да",1,0)</x:f>
      </x:c>
      <x:c r="M59" s="707">
        <x:f>IF('ГФУ-2'!$BP15="Да",1,0)</x:f>
      </x:c>
      <x:c r="N59" s="708">
        <x:f>IF('ГФУ-2'!$BV15="Да",1,0)</x:f>
      </x:c>
      <x:c r="O59" s="375">
        <x:f>IFERROR(ROUND(SUM(C59:N59)/($S$47),1),"")</x:f>
      </x:c>
    </x:row>
    <x:row r="60" spans="1:25" ht="15" customHeight="1" x14ac:dyDescent="0.25">
      <x:c r="A60" s="710"/>
      <x:c r="B60" s="363" t="s">
        <x:v>39</x:v>
      </x:c>
      <x:c r="C60" s="697">
        <x:f>IF('ГФУ-2'!$H16="Да",1,0)</x:f>
      </x:c>
      <x:c r="D60" s="698">
        <x:f>IF('ГФУ-2'!$N16="Да",1,0)</x:f>
      </x:c>
      <x:c r="E60" s="699">
        <x:f>IF('ГФУ-2'!$T16="Да",1,0)</x:f>
      </x:c>
      <x:c r="F60" s="700">
        <x:f>IF('ГФУ-2'!$Z16="Да",1,0)</x:f>
      </x:c>
      <x:c r="G60" s="701">
        <x:f>IF('ГФУ-2'!$AF16="Да",1,0)</x:f>
      </x:c>
      <x:c r="H60" s="702">
        <x:f>IF('ГФУ-2'!$AL16="Да",1,0)</x:f>
      </x:c>
      <x:c r="I60" s="703">
        <x:f>IF('ГФУ-2'!$AR16="Да",1,0)</x:f>
      </x:c>
      <x:c r="J60" s="704">
        <x:f>IF('ГФУ-2'!$AX16="Да",1,0)</x:f>
      </x:c>
      <x:c r="K60" s="705">
        <x:f>IF('ГФУ-2'!$BD16="Да",1,0)</x:f>
      </x:c>
      <x:c r="L60" s="706">
        <x:f>IF('ГФУ-2'!$BJ16="Да",1,0)</x:f>
      </x:c>
      <x:c r="M60" s="707">
        <x:f>IF('ГФУ-2'!$BP16="Да",1,0)</x:f>
      </x:c>
      <x:c r="N60" s="708">
        <x:f>IF('ГФУ-2'!$BV16="Да",1,0)</x:f>
      </x:c>
      <x:c r="O60" s="375">
        <x:f>IFERROR(ROUND(SUM(C60:N60)/($S$47),1),"")</x:f>
      </x:c>
    </x:row>
    <x:row r="61" spans="1:25" ht="15" customHeight="1" x14ac:dyDescent="0.25">
      <x:c r="A61" s="710"/>
      <x:c r="B61" s="363" t="s">
        <x:v>28</x:v>
      </x:c>
      <x:c r="C61" s="697">
        <x:f>IF('ГФУ-2'!$H17="Да",1,0)</x:f>
      </x:c>
      <x:c r="D61" s="698">
        <x:f>IF('ГФУ-2'!$N17="Да",1,0)</x:f>
      </x:c>
      <x:c r="E61" s="699">
        <x:f>IF('ГФУ-2'!$T17="Да",1,0)</x:f>
      </x:c>
      <x:c r="F61" s="700">
        <x:f>IF('ГФУ-2'!$Z17="Да",1,0)</x:f>
      </x:c>
      <x:c r="G61" s="701">
        <x:f>IF('ГФУ-2'!$AF17="Да",1,0)</x:f>
      </x:c>
      <x:c r="H61" s="702">
        <x:f>IF('ГФУ-2'!$AL17="Да",1,0)</x:f>
      </x:c>
      <x:c r="I61" s="703">
        <x:f>IF('ГФУ-2'!$AR17="Да",1,0)</x:f>
      </x:c>
      <x:c r="J61" s="704">
        <x:f>IF('ГФУ-2'!$AX17="Да",1,0)</x:f>
      </x:c>
      <x:c r="K61" s="705">
        <x:f>IF('ГФУ-2'!$BD17="Да",1,0)</x:f>
      </x:c>
      <x:c r="L61" s="706">
        <x:f>IF('ГФУ-2'!$BJ17="Да",1,0)</x:f>
      </x:c>
      <x:c r="M61" s="707">
        <x:f>IF('ГФУ-2'!$BP17="Да",1,0)</x:f>
      </x:c>
      <x:c r="N61" s="708">
        <x:f>IF('ГФУ-2'!$BV17="Да",1,0)</x:f>
      </x:c>
      <x:c r="O61" s="375">
        <x:f>IFERROR(ROUND(SUM(C61:N61)/($S$47),1),"")</x:f>
      </x:c>
    </x:row>
    <x:row r="62" spans="1:25" ht="15" customHeight="1" x14ac:dyDescent="0.25">
      <x:c r="A62" s="710"/>
      <x:c r="B62" s="363" t="s">
        <x:v>22</x:v>
      </x:c>
      <x:c r="C62" s="697">
        <x:f>IF('ГФУ-2'!$H18="Да",1,0)</x:f>
      </x:c>
      <x:c r="D62" s="698">
        <x:f>IF('ГФУ-2'!$N18="Да",1,0)</x:f>
      </x:c>
      <x:c r="E62" s="699">
        <x:f>IF('ГФУ-2'!$T18="Да",1,0)</x:f>
      </x:c>
      <x:c r="F62" s="700">
        <x:f>IF('ГФУ-2'!$Z18="Да",1,0)</x:f>
      </x:c>
      <x:c r="G62" s="701">
        <x:f>IF('ГФУ-2'!$AF18="Да",1,0)</x:f>
      </x:c>
      <x:c r="H62" s="702">
        <x:f>IF('ГФУ-2'!$AL18="Да",1,0)</x:f>
      </x:c>
      <x:c r="I62" s="703">
        <x:f>IF('ГФУ-2'!$AR18="Да",1,0)</x:f>
      </x:c>
      <x:c r="J62" s="704">
        <x:f>IF('ГФУ-2'!$AX18="Да",1,0)</x:f>
      </x:c>
      <x:c r="K62" s="705">
        <x:f>IF('ГФУ-2'!$BD18="Да",1,0)</x:f>
      </x:c>
      <x:c r="L62" s="706">
        <x:f>IF('ГФУ-2'!$BJ18="Да",1,0)</x:f>
      </x:c>
      <x:c r="M62" s="707">
        <x:f>IF('ГФУ-2'!$BP18="Да",1,0)</x:f>
      </x:c>
      <x:c r="N62" s="708">
        <x:f>IF('ГФУ-2'!$BV18="Да",1,0)</x:f>
      </x:c>
      <x:c r="O62" s="375">
        <x:f>IFERROR(ROUND(SUM(C62:N62)/($S$47),1),"")</x:f>
      </x:c>
    </x:row>
    <x:row r="63" spans="1:25" ht="15" customHeight="1" x14ac:dyDescent="0.25">
      <x:c r="A63" s="710"/>
      <x:c r="B63" s="363" t="s">
        <x:v>31</x:v>
      </x:c>
      <x:c r="C63" s="697">
        <x:f>IF('ГФУ-2'!$H19="Да",1,0)</x:f>
      </x:c>
      <x:c r="D63" s="698">
        <x:f>IF('ГФУ-2'!$N19="Да",1,0)</x:f>
      </x:c>
      <x:c r="E63" s="699">
        <x:f>IF('ГФУ-2'!$T19="Да",1,0)</x:f>
      </x:c>
      <x:c r="F63" s="700">
        <x:f>IF('ГФУ-2'!$Z19="Да",1,0)</x:f>
      </x:c>
      <x:c r="G63" s="701">
        <x:f>IF('ГФУ-2'!$AF19="Да",1,0)</x:f>
      </x:c>
      <x:c r="H63" s="702">
        <x:f>IF('ГФУ-2'!$AL19="Да",1,0)</x:f>
      </x:c>
      <x:c r="I63" s="703">
        <x:f>IF('ГФУ-2'!$AR19="Да",1,0)</x:f>
      </x:c>
      <x:c r="J63" s="704">
        <x:f>IF('ГФУ-2'!$AX19="Да",1,0)</x:f>
      </x:c>
      <x:c r="K63" s="705">
        <x:f>IF('ГФУ-2'!$BD19="Да",1,0)</x:f>
      </x:c>
      <x:c r="L63" s="706">
        <x:f>IF('ГФУ-2'!$BJ19="Да",1,0)</x:f>
      </x:c>
      <x:c r="M63" s="707">
        <x:f>IF('ГФУ-2'!$BP19="Да",1,0)</x:f>
      </x:c>
      <x:c r="N63" s="708">
        <x:f>IF('ГФУ-2'!$BV19="Да",1,0)</x:f>
      </x:c>
      <x:c r="O63" s="375">
        <x:f>IFERROR(ROUND(SUM(C63:N63)/($S$47),1),"")</x:f>
      </x:c>
    </x:row>
    <x:row r="64" spans="1:25" ht="15" customHeight="1" x14ac:dyDescent="0.25">
      <x:c r="A64" s="710"/>
      <x:c r="B64" s="363" t="s">
        <x:v>35</x:v>
      </x:c>
      <x:c r="C64" s="697">
        <x:f>IF('ГФУ-2'!$H20="Да",1,0)</x:f>
      </x:c>
      <x:c r="D64" s="698">
        <x:f>IF('ГФУ-2'!$N20="Да",1,0)</x:f>
      </x:c>
      <x:c r="E64" s="699">
        <x:f>IF('ГФУ-2'!$T20="Да",1,0)</x:f>
      </x:c>
      <x:c r="F64" s="700">
        <x:f>IF('ГФУ-2'!$Z20="Да",1,0)</x:f>
      </x:c>
      <x:c r="G64" s="701">
        <x:f>IF('ГФУ-2'!$AF20="Да",1,0)</x:f>
      </x:c>
      <x:c r="H64" s="702">
        <x:f>IF('ГФУ-2'!$AL20="Да",1,0)</x:f>
      </x:c>
      <x:c r="I64" s="703">
        <x:f>IF('ГФУ-2'!$AR20="Да",1,0)</x:f>
      </x:c>
      <x:c r="J64" s="704">
        <x:f>IF('ГФУ-2'!$AX20="Да",1,0)</x:f>
      </x:c>
      <x:c r="K64" s="705">
        <x:f>IF('ГФУ-2'!$BD20="Да",1,0)</x:f>
      </x:c>
      <x:c r="L64" s="706">
        <x:f>IF('ГФУ-2'!$BJ20="Да",1,0)</x:f>
      </x:c>
      <x:c r="M64" s="707">
        <x:f>IF('ГФУ-2'!$BP20="Да",1,0)</x:f>
      </x:c>
      <x:c r="N64" s="708">
        <x:f>IF('ГФУ-2'!$BV20="Да",1,0)</x:f>
      </x:c>
      <x:c r="O64" s="375">
        <x:f>IFERROR(ROUND(SUM(C64:N64)/($S$47),1),"")</x:f>
      </x:c>
    </x:row>
    <x:row r="65" spans="1:25" ht="15" customHeight="1" x14ac:dyDescent="0.25">
      <x:c r="A65" s="710"/>
      <x:c r="B65" s="363" t="s">
        <x:v>27</x:v>
      </x:c>
      <x:c r="C65" s="697">
        <x:f>IF('ГФУ-2'!$H21="Да",1,0)</x:f>
      </x:c>
      <x:c r="D65" s="698">
        <x:f>IF('ГФУ-2'!$N21="Да",1,0)</x:f>
      </x:c>
      <x:c r="E65" s="699">
        <x:f>IF('ГФУ-2'!$T21="Да",1,0)</x:f>
      </x:c>
      <x:c r="F65" s="700">
        <x:f>IF('ГФУ-2'!$Z21="Да",1,0)</x:f>
      </x:c>
      <x:c r="G65" s="701">
        <x:f>IF('ГФУ-2'!$AF21="Да",1,0)</x:f>
      </x:c>
      <x:c r="H65" s="702">
        <x:f>IF('ГФУ-2'!$AL21="Да",1,0)</x:f>
      </x:c>
      <x:c r="I65" s="703">
        <x:f>IF('ГФУ-2'!$AR21="Да",1,0)</x:f>
      </x:c>
      <x:c r="J65" s="704">
        <x:f>IF('ГФУ-2'!$AX21="Да",1,0)</x:f>
      </x:c>
      <x:c r="K65" s="705">
        <x:f>IF('ГФУ-2'!$BD21="Да",1,0)</x:f>
      </x:c>
      <x:c r="L65" s="706">
        <x:f>IF('ГФУ-2'!$BJ21="Да",1,0)</x:f>
      </x:c>
      <x:c r="M65" s="707">
        <x:f>IF('ГФУ-2'!$BP21="Да",1,0)</x:f>
      </x:c>
      <x:c r="N65" s="708">
        <x:f>IF('ГФУ-2'!$BV21="Да",1,0)</x:f>
      </x:c>
      <x:c r="O65" s="375">
        <x:f>IFERROR(ROUND(SUM(C65:N65)/($S$47),1),"")</x:f>
      </x:c>
    </x:row>
    <x:row r="66" spans="1:25" ht="15" customHeight="1" x14ac:dyDescent="0.25">
      <x:c r="A66" s="710"/>
      <x:c r="B66" s="363" t="s">
        <x:v>30</x:v>
      </x:c>
      <x:c r="C66" s="697">
        <x:f>IF('ГФУ-2'!$H22="Да",1,0)</x:f>
      </x:c>
      <x:c r="D66" s="698">
        <x:f>IF('ГФУ-2'!$N22="Да",1,0)</x:f>
      </x:c>
      <x:c r="E66" s="699">
        <x:f>IF('ГФУ-2'!$T22="Да",1,0)</x:f>
      </x:c>
      <x:c r="F66" s="700">
        <x:f>IF('ГФУ-2'!$Z22="Да",1,0)</x:f>
      </x:c>
      <x:c r="G66" s="701">
        <x:f>IF('ГФУ-2'!$AF22="Да",1,0)</x:f>
      </x:c>
      <x:c r="H66" s="702">
        <x:f>IF('ГФУ-2'!$AL22="Да",1,0)</x:f>
      </x:c>
      <x:c r="I66" s="703">
        <x:f>IF('ГФУ-2'!$AR22="Да",1,0)</x:f>
      </x:c>
      <x:c r="J66" s="704">
        <x:f>IF('ГФУ-2'!$AX22="Да",1,0)</x:f>
      </x:c>
      <x:c r="K66" s="705">
        <x:f>IF('ГФУ-2'!$BD22="Да",1,0)</x:f>
      </x:c>
      <x:c r="L66" s="706">
        <x:f>IF('ГФУ-2'!$BJ22="Да",1,0)</x:f>
      </x:c>
      <x:c r="M66" s="707">
        <x:f>IF('ГФУ-2'!$BP22="Да",1,0)</x:f>
      </x:c>
      <x:c r="N66" s="708">
        <x:f>IF('ГФУ-2'!$BV22="Да",1,0)</x:f>
      </x:c>
      <x:c r="O66" s="375">
        <x:f>IFERROR(ROUND(SUM(C66:N66)/($S$47),1),"")</x:f>
      </x:c>
    </x:row>
    <x:row r="67" spans="1:25" ht="15.75" customHeight="1" x14ac:dyDescent="0.25">
      <x:c r="A67" s="717"/>
      <x:c r="B67" s="379" t="s">
        <x:v>25</x:v>
      </x:c>
      <x:c r="C67" s="697">
        <x:f>IF('ГФУ-2'!$H23="Да",1,0)</x:f>
      </x:c>
      <x:c r="D67" s="698">
        <x:f>IF('ГФУ-2'!$N23="Да",1,0)</x:f>
      </x:c>
      <x:c r="E67" s="699">
        <x:f>IF('ГФУ-2'!$T23="Да",1,0)</x:f>
      </x:c>
      <x:c r="F67" s="700">
        <x:f>IF('ГФУ-2'!$Z23="Да",1,0)</x:f>
      </x:c>
      <x:c r="G67" s="701">
        <x:f>IF('ГФУ-2'!$AF23="Да",1,0)</x:f>
      </x:c>
      <x:c r="H67" s="702">
        <x:f>IF('ГФУ-2'!$AL23="Да",1,0)</x:f>
      </x:c>
      <x:c r="I67" s="703">
        <x:f>IF('ГФУ-2'!$AR23="Да",1,0)</x:f>
      </x:c>
      <x:c r="J67" s="704">
        <x:f>IF('ГФУ-2'!$AX23="Да",1,0)</x:f>
      </x:c>
      <x:c r="K67" s="705">
        <x:f>IF('ГФУ-2'!$BD23="Да",1,0)</x:f>
      </x:c>
      <x:c r="L67" s="706">
        <x:f>IF('ГФУ-2'!$BJ23="Да",1,0)</x:f>
      </x:c>
      <x:c r="M67" s="707">
        <x:f>IF('ГФУ-2'!$BP23="Да",1,0)</x:f>
      </x:c>
      <x:c r="N67" s="708">
        <x:f>IF('ГФУ-2'!$BV23="Да",1,0)</x:f>
      </x:c>
      <x:c r="O67" s="375">
        <x:f>IFERROR(ROUND(SUM(C67:N67)/($S$47),1),"")</x:f>
      </x:c>
    </x:row>
    <x:row r="68" spans="1:25" ht="15" customHeight="1" x14ac:dyDescent="0.25">
      <x:c r="A68" s="696" t="s">
        <x:v>1066</x:v>
      </x:c>
      <x:c r="B68" s="363" t="s">
        <x:v>143</x:v>
      </x:c>
      <x:c r="C68" s="697">
        <x:f>IF('ВБ'!$H3="Да",1,0)</x:f>
      </x:c>
      <x:c r="D68" s="698">
        <x:f>IF('ВБ'!$N3="Да",1,0)</x:f>
      </x:c>
      <x:c r="E68" s="699">
        <x:f>IF('ВБ'!$T3="Да",1,0)</x:f>
      </x:c>
      <x:c r="F68" s="700">
        <x:f>IF('ВБ'!$Z3="Да",1,0)</x:f>
      </x:c>
      <x:c r="G68" s="701">
        <x:f>IF('ВБ'!$AF3="Да",1,0)</x:f>
      </x:c>
      <x:c r="H68" s="702">
        <x:f>IF('ВБ'!$AL3="Да",1,0)</x:f>
      </x:c>
      <x:c r="I68" s="703">
        <x:f>IF('ВБ'!$AR3="Да",1,0)</x:f>
      </x:c>
      <x:c r="J68" s="704">
        <x:f>IF('ВБ'!$AX3="Да",1,0)</x:f>
      </x:c>
      <x:c r="K68" s="705">
        <x:f>IF('ВБ'!$BD3="Да",1,0)</x:f>
      </x:c>
      <x:c r="L68" s="706">
        <x:f>IF('ВБ'!$BJ3="Да",1,0)</x:f>
      </x:c>
      <x:c r="M68" s="707">
        <x:f>IF('ВБ'!$BP3="Да",1,0)</x:f>
      </x:c>
      <x:c r="N68" s="708">
        <x:f>IF('ВБ'!$BV3="Да",1,0)</x:f>
      </x:c>
      <x:c r="O68" s="375">
        <x:f>IFERROR(ROUND(SUM(C68:N68)/($S$68),1),"")</x:f>
      </x:c>
      <x:c r="Q68" s="709" t="s">
        <x:v>1151</x:v>
      </x:c>
      <x:c r="R68" s="596"/>
      <x:c r="S68" s="376">
        <x:f>SUM(IF(COUNTIF(C68:C95,"&gt;0")&gt;0,1,0),IF(COUNTIF(D68:D95,"&gt;0")&gt;0,1,0),IF(COUNTIF(E68:E95,"&gt;0")&gt;0,1,0),IF(COUNTIF(F68:F95,"&gt;0")&gt;0,1,0),IF(COUNTIF(G68:G95,"&gt;0")&gt;0,1,0),IF(COUNTIF(H68:H95,"&gt;0")&gt;0,1,0),IF(COUNTIF(I68:I95,"&gt;0")&gt;0,1,0),IF(COUNTIF(J68:J95,"&gt;0")&gt;0,1,0),IF(COUNTIF(K68:K95,"&gt;0")&gt;0,1,0),IF(COUNTIF(L68:L95,"&gt;0")&gt;0,1,0),IF(COUNTIF(M68:M95,"&gt;0")&gt;0,1,0),IF(COUNTIF(N68:N95,"&gt;0")&gt;0,1,0))</x:f>
      </x:c>
    </x:row>
    <x:row r="69" spans="1:25" ht="15" customHeight="1" x14ac:dyDescent="0.3">
      <x:c r="A69" s="710"/>
      <x:c r="B69" s="363" t="s">
        <x:v>144</x:v>
      </x:c>
      <x:c r="C69" s="697">
        <x:f>IF('ВБ'!$H4="Да",1,0)</x:f>
      </x:c>
      <x:c r="D69" s="698">
        <x:f>IF('ВБ'!$N4="Да",1,0)</x:f>
      </x:c>
      <x:c r="E69" s="699">
        <x:f>IF('ВБ'!$T4="Да",1,0)</x:f>
      </x:c>
      <x:c r="F69" s="700">
        <x:f>IF('ВБ'!$Z4="Да",1,0)</x:f>
      </x:c>
      <x:c r="G69" s="701">
        <x:f>IF('ВБ'!$AF4="Да",1,0)</x:f>
      </x:c>
      <x:c r="H69" s="702">
        <x:f>IF('ВБ'!$AL4="Да",1,0)</x:f>
      </x:c>
      <x:c r="I69" s="703">
        <x:f>IF('ВБ'!$AR4="Да",1,0)</x:f>
      </x:c>
      <x:c r="J69" s="704">
        <x:f>IF('ВБ'!$AX4="Да",1,0)</x:f>
      </x:c>
      <x:c r="K69" s="705">
        <x:f>IF('ВБ'!$BD4="Да",1,0)</x:f>
      </x:c>
      <x:c r="L69" s="706">
        <x:f>IF('ВБ'!$BJ4="Да",1,0)</x:f>
      </x:c>
      <x:c r="M69" s="707">
        <x:f>IF('ВБ'!$BP4="Да",1,0)</x:f>
      </x:c>
      <x:c r="N69" s="708">
        <x:f>IF('ВБ'!$BV4="Да",1,0)</x:f>
      </x:c>
      <x:c r="O69" s="375">
        <x:f>IFERROR(ROUND(SUM(C69:N69)/($S$68),1),"")</x:f>
      </x:c>
      <x:c r="Q69" s="711"/>
      <x:c r="R69" s="712"/>
      <x:c r="S69" s="713"/>
    </x:row>
    <x:row r="70" spans="1:25" ht="15" customHeight="1" x14ac:dyDescent="0.25">
      <x:c r="A70" s="710"/>
      <x:c r="B70" s="363" t="s">
        <x:v>158</x:v>
      </x:c>
      <x:c r="C70" s="697">
        <x:f>IF('ВБ'!$H5="Да",1,0)</x:f>
      </x:c>
      <x:c r="D70" s="698">
        <x:f>IF('ВБ'!$N5="Да",1,0)</x:f>
      </x:c>
      <x:c r="E70" s="699">
        <x:f>IF('ВБ'!$T5="Да",1,0)</x:f>
      </x:c>
      <x:c r="F70" s="700">
        <x:f>IF('ВБ'!$Z5="Да",1,0)</x:f>
      </x:c>
      <x:c r="G70" s="701">
        <x:f>IF('ВБ'!$AF5="Да",1,0)</x:f>
      </x:c>
      <x:c r="H70" s="702">
        <x:f>IF('ВБ'!$AL5="Да",1,0)</x:f>
      </x:c>
      <x:c r="I70" s="703">
        <x:f>IF('ВБ'!$AR5="Да",1,0)</x:f>
      </x:c>
      <x:c r="J70" s="704">
        <x:f>IF('ВБ'!$AX5="Да",1,0)</x:f>
      </x:c>
      <x:c r="K70" s="705">
        <x:f>IF('ВБ'!$BD5="Да",1,0)</x:f>
      </x:c>
      <x:c r="L70" s="706">
        <x:f>IF('ВБ'!$BJ5="Да",1,0)</x:f>
      </x:c>
      <x:c r="M70" s="707">
        <x:f>IF('ВБ'!$BP5="Да",1,0)</x:f>
      </x:c>
      <x:c r="N70" s="708">
        <x:f>IF('ВБ'!$BV5="Да",1,0)</x:f>
      </x:c>
      <x:c r="O70" s="375">
        <x:f>IFERROR(ROUND(SUM(C70:N70)/($S$68),1),"")</x:f>
      </x:c>
      <x:c r="Q70" s="714"/>
      <x:c r="R70" s="715"/>
      <x:c r="S70" s="716"/>
    </x:row>
    <x:row r="71" spans="1:25" ht="15" customHeight="1" x14ac:dyDescent="0.25">
      <x:c r="A71" s="710"/>
      <x:c r="B71" s="363" t="s">
        <x:v>145</x:v>
      </x:c>
      <x:c r="C71" s="697">
        <x:f>IF('ВБ'!$H6="Да",1,0)</x:f>
      </x:c>
      <x:c r="D71" s="698">
        <x:f>IF('ВБ'!$N6="Да",1,0)</x:f>
      </x:c>
      <x:c r="E71" s="699">
        <x:f>IF('ВБ'!$T6="Да",1,0)</x:f>
      </x:c>
      <x:c r="F71" s="700">
        <x:f>IF('ВБ'!$Z6="Да",1,0)</x:f>
      </x:c>
      <x:c r="G71" s="701">
        <x:f>IF('ВБ'!$AF6="Да",1,0)</x:f>
      </x:c>
      <x:c r="H71" s="702">
        <x:f>IF('ВБ'!$AL6="Да",1,0)</x:f>
      </x:c>
      <x:c r="I71" s="703">
        <x:f>IF('ВБ'!$AR6="Да",1,0)</x:f>
      </x:c>
      <x:c r="J71" s="704">
        <x:f>IF('ВБ'!$AX6="Да",1,0)</x:f>
      </x:c>
      <x:c r="K71" s="705">
        <x:f>IF('ВБ'!$BD6="Да",1,0)</x:f>
      </x:c>
      <x:c r="L71" s="706">
        <x:f>IF('ВБ'!$BJ6="Да",1,0)</x:f>
      </x:c>
      <x:c r="M71" s="707">
        <x:f>IF('ВБ'!$BP6="Да",1,0)</x:f>
      </x:c>
      <x:c r="N71" s="708">
        <x:f>IF('ВБ'!$BV6="Да",1,0)</x:f>
      </x:c>
      <x:c r="O71" s="375">
        <x:f>IFERROR(ROUND(SUM(C71:N71)/($S$68),1),"")</x:f>
      </x:c>
    </x:row>
    <x:row r="72" spans="1:25" ht="15" customHeight="1" x14ac:dyDescent="0.25">
      <x:c r="A72" s="710"/>
      <x:c r="B72" s="363" t="s">
        <x:v>146</x:v>
      </x:c>
      <x:c r="C72" s="697">
        <x:f>IF('ВБ'!$H7="Да",1,0)</x:f>
      </x:c>
      <x:c r="D72" s="698">
        <x:f>IF('ВБ'!$N7="Да",1,0)</x:f>
      </x:c>
      <x:c r="E72" s="699">
        <x:f>IF('ВБ'!$T7="Да",1,0)</x:f>
      </x:c>
      <x:c r="F72" s="700">
        <x:f>IF('ВБ'!$Z7="Да",1,0)</x:f>
      </x:c>
      <x:c r="G72" s="701">
        <x:f>IF('ВБ'!$AF7="Да",1,0)</x:f>
      </x:c>
      <x:c r="H72" s="702">
        <x:f>IF('ВБ'!$AL7="Да",1,0)</x:f>
      </x:c>
      <x:c r="I72" s="703">
        <x:f>IF('ВБ'!$AR7="Да",1,0)</x:f>
      </x:c>
      <x:c r="J72" s="704">
        <x:f>IF('ВБ'!$AX7="Да",1,0)</x:f>
      </x:c>
      <x:c r="K72" s="705">
        <x:f>IF('ВБ'!$BD7="Да",1,0)</x:f>
      </x:c>
      <x:c r="L72" s="706">
        <x:f>IF('ВБ'!$BJ7="Да",1,0)</x:f>
      </x:c>
      <x:c r="M72" s="707">
        <x:f>IF('ВБ'!$BP7="Да",1,0)</x:f>
      </x:c>
      <x:c r="N72" s="708">
        <x:f>IF('ВБ'!$BV7="Да",1,0)</x:f>
      </x:c>
      <x:c r="O72" s="375">
        <x:f>IFERROR(ROUND(SUM(C72:N72)/($S$68),1),"")</x:f>
      </x:c>
    </x:row>
    <x:row r="73" spans="1:25" ht="15" customHeight="1" x14ac:dyDescent="0.25">
      <x:c r="A73" s="710"/>
      <x:c r="B73" s="363" t="s">
        <x:v>142</x:v>
      </x:c>
      <x:c r="C73" s="697">
        <x:f>IF('ВБ'!$H8="Да",1,0)</x:f>
      </x:c>
      <x:c r="D73" s="698">
        <x:f>IF('ВБ'!$N8="Да",1,0)</x:f>
      </x:c>
      <x:c r="E73" s="699">
        <x:f>IF('ВБ'!$T8="Да",1,0)</x:f>
      </x:c>
      <x:c r="F73" s="700">
        <x:f>IF('ВБ'!$Z8="Да",1,0)</x:f>
      </x:c>
      <x:c r="G73" s="701">
        <x:f>IF('ВБ'!$AF8="Да",1,0)</x:f>
      </x:c>
      <x:c r="H73" s="702">
        <x:f>IF('ВБ'!$AL8="Да",1,0)</x:f>
      </x:c>
      <x:c r="I73" s="703">
        <x:f>IF('ВБ'!$AR8="Да",1,0)</x:f>
      </x:c>
      <x:c r="J73" s="704">
        <x:f>IF('ВБ'!$AX8="Да",1,0)</x:f>
      </x:c>
      <x:c r="K73" s="705">
        <x:f>IF('ВБ'!$BD8="Да",1,0)</x:f>
      </x:c>
      <x:c r="L73" s="706">
        <x:f>IF('ВБ'!$BJ8="Да",1,0)</x:f>
      </x:c>
      <x:c r="M73" s="707">
        <x:f>IF('ВБ'!$BP8="Да",1,0)</x:f>
      </x:c>
      <x:c r="N73" s="708">
        <x:f>IF('ВБ'!$BV8="Да",1,0)</x:f>
      </x:c>
      <x:c r="O73" s="375">
        <x:f>IFERROR(ROUND(SUM(C73:N73)/($S$68),1),"")</x:f>
      </x:c>
    </x:row>
    <x:row r="74" spans="1:25" ht="15" customHeight="1" x14ac:dyDescent="0.25">
      <x:c r="A74" s="710"/>
      <x:c r="B74" s="363" t="s">
        <x:v>159</x:v>
      </x:c>
      <x:c r="C74" s="697">
        <x:f>IF('ВБ'!$H9="Да",1,0)</x:f>
      </x:c>
      <x:c r="D74" s="698">
        <x:f>IF('ВБ'!$N9="Да",1,0)</x:f>
      </x:c>
      <x:c r="E74" s="699">
        <x:f>IF('ВБ'!$T9="Да",1,0)</x:f>
      </x:c>
      <x:c r="F74" s="700">
        <x:f>IF('ВБ'!$Z9="Да",1,0)</x:f>
      </x:c>
      <x:c r="G74" s="701">
        <x:f>IF('ВБ'!$AF9="Да",1,0)</x:f>
      </x:c>
      <x:c r="H74" s="702">
        <x:f>IF('ВБ'!$AL9="Да",1,0)</x:f>
      </x:c>
      <x:c r="I74" s="703">
        <x:f>IF('ВБ'!$AR9="Да",1,0)</x:f>
      </x:c>
      <x:c r="J74" s="704">
        <x:f>IF('ВБ'!$AX9="Да",1,0)</x:f>
      </x:c>
      <x:c r="K74" s="705">
        <x:f>IF('ВБ'!$BD9="Да",1,0)</x:f>
      </x:c>
      <x:c r="L74" s="706">
        <x:f>IF('ВБ'!$BJ9="Да",1,0)</x:f>
      </x:c>
      <x:c r="M74" s="707">
        <x:f>IF('ВБ'!$BP9="Да",1,0)</x:f>
      </x:c>
      <x:c r="N74" s="708">
        <x:f>IF('ВБ'!$BV9="Да",1,0)</x:f>
      </x:c>
      <x:c r="O74" s="375">
        <x:f>IFERROR(ROUND(SUM(C74:N74)/($S$68),1),"")</x:f>
      </x:c>
    </x:row>
    <x:row r="75" spans="1:25" ht="15" customHeight="1" x14ac:dyDescent="0.25">
      <x:c r="A75" s="710"/>
      <x:c r="B75" s="363" t="s">
        <x:v>1105</x:v>
      </x:c>
      <x:c r="C75" s="697">
        <x:f>IF('ВБ'!$H10="Да",1,0)</x:f>
      </x:c>
      <x:c r="D75" s="698">
        <x:f>IF('ВБ'!$N10="Да",1,0)</x:f>
      </x:c>
      <x:c r="E75" s="699">
        <x:f>IF('ВБ'!$T10="Да",1,0)</x:f>
      </x:c>
      <x:c r="F75" s="700">
        <x:f>IF('ВБ'!$Z10="Да",1,0)</x:f>
      </x:c>
      <x:c r="G75" s="701">
        <x:f>IF('ВБ'!$AF10="Да",1,0)</x:f>
      </x:c>
      <x:c r="H75" s="702">
        <x:f>IF('ВБ'!$AL10="Да",1,0)</x:f>
      </x:c>
      <x:c r="I75" s="703">
        <x:f>IF('ВБ'!$AR10="Да",1,0)</x:f>
      </x:c>
      <x:c r="J75" s="704">
        <x:f>IF('ВБ'!$AX10="Да",1,0)</x:f>
      </x:c>
      <x:c r="K75" s="705">
        <x:f>IF('ВБ'!$BD10="Да",1,0)</x:f>
      </x:c>
      <x:c r="L75" s="706">
        <x:f>IF('ВБ'!$BJ10="Да",1,0)</x:f>
      </x:c>
      <x:c r="M75" s="707">
        <x:f>IF('ВБ'!$BP10="Да",1,0)</x:f>
      </x:c>
      <x:c r="N75" s="708">
        <x:f>IF('ВБ'!$BV10="Да",1,0)</x:f>
      </x:c>
      <x:c r="O75" s="375">
        <x:f>IFERROR(ROUND(SUM(C75:N75)/($S$68),1),"")</x:f>
      </x:c>
    </x:row>
    <x:row r="76" spans="1:25" ht="15" customHeight="1" x14ac:dyDescent="0.25">
      <x:c r="A76" s="710"/>
      <x:c r="B76" s="363" t="s">
        <x:v>138</x:v>
      </x:c>
      <x:c r="C76" s="697">
        <x:f>IF('ВБ'!$H11="Да",1,0)</x:f>
      </x:c>
      <x:c r="D76" s="698">
        <x:f>IF('ВБ'!$N11="Да",1,0)</x:f>
      </x:c>
      <x:c r="E76" s="699">
        <x:f>IF('ВБ'!$T11="Да",1,0)</x:f>
      </x:c>
      <x:c r="F76" s="700">
        <x:f>IF('ВБ'!$Z11="Да",1,0)</x:f>
      </x:c>
      <x:c r="G76" s="701">
        <x:f>IF('ВБ'!$AF11="Да",1,0)</x:f>
      </x:c>
      <x:c r="H76" s="702">
        <x:f>IF('ВБ'!$AL11="Да",1,0)</x:f>
      </x:c>
      <x:c r="I76" s="703">
        <x:f>IF('ВБ'!$AR11="Да",1,0)</x:f>
      </x:c>
      <x:c r="J76" s="704">
        <x:f>IF('ВБ'!$AX11="Да",1,0)</x:f>
      </x:c>
      <x:c r="K76" s="705">
        <x:f>IF('ВБ'!$BD11="Да",1,0)</x:f>
      </x:c>
      <x:c r="L76" s="706">
        <x:f>IF('ВБ'!$BJ11="Да",1,0)</x:f>
      </x:c>
      <x:c r="M76" s="707">
        <x:f>IF('ВБ'!$BP11="Да",1,0)</x:f>
      </x:c>
      <x:c r="N76" s="708">
        <x:f>IF('ВБ'!$BV11="Да",1,0)</x:f>
      </x:c>
      <x:c r="O76" s="375">
        <x:f>IFERROR(ROUND(SUM(C76:N76)/($S$68),1),"")</x:f>
      </x:c>
    </x:row>
    <x:row r="77" spans="1:25" ht="15" customHeight="1" x14ac:dyDescent="0.25">
      <x:c r="A77" s="710"/>
      <x:c r="B77" s="363" t="s">
        <x:v>147</x:v>
      </x:c>
      <x:c r="C77" s="697">
        <x:f>IF('ВБ'!$H12="Да",1,0)</x:f>
      </x:c>
      <x:c r="D77" s="698">
        <x:f>IF('ВБ'!$N12="Да",1,0)</x:f>
      </x:c>
      <x:c r="E77" s="699">
        <x:f>IF('ВБ'!$T12="Да",1,0)</x:f>
      </x:c>
      <x:c r="F77" s="700">
        <x:f>IF('ВБ'!$Z12="Да",1,0)</x:f>
      </x:c>
      <x:c r="G77" s="701">
        <x:f>IF('ВБ'!$AF12="Да",1,0)</x:f>
      </x:c>
      <x:c r="H77" s="702">
        <x:f>IF('ВБ'!$AL12="Да",1,0)</x:f>
      </x:c>
      <x:c r="I77" s="703">
        <x:f>IF('ВБ'!$AR12="Да",1,0)</x:f>
      </x:c>
      <x:c r="J77" s="704">
        <x:f>IF('ВБ'!$AX12="Да",1,0)</x:f>
      </x:c>
      <x:c r="K77" s="705">
        <x:f>IF('ВБ'!$BD12="Да",1,0)</x:f>
      </x:c>
      <x:c r="L77" s="706">
        <x:f>IF('ВБ'!$BJ12="Да",1,0)</x:f>
      </x:c>
      <x:c r="M77" s="707">
        <x:f>IF('ВБ'!$BP12="Да",1,0)</x:f>
      </x:c>
      <x:c r="N77" s="708">
        <x:f>IF('ВБ'!$BV12="Да",1,0)</x:f>
      </x:c>
      <x:c r="O77" s="375">
        <x:f>IFERROR(ROUND(SUM(C77:N77)/($S$68),1),"")</x:f>
      </x:c>
    </x:row>
    <x:row r="78" spans="1:25" ht="15" customHeight="1" x14ac:dyDescent="0.25">
      <x:c r="A78" s="710"/>
      <x:c r="B78" s="363" t="s">
        <x:v>1106</x:v>
      </x:c>
      <x:c r="C78" s="697">
        <x:f>IF('ВБ'!$H13="Да",1,0)</x:f>
      </x:c>
      <x:c r="D78" s="698">
        <x:f>IF('ВБ'!$N13="Да",1,0)</x:f>
      </x:c>
      <x:c r="E78" s="699">
        <x:f>IF('ВБ'!$T13="Да",1,0)</x:f>
      </x:c>
      <x:c r="F78" s="700">
        <x:f>IF('ВБ'!$Z13="Да",1,0)</x:f>
      </x:c>
      <x:c r="G78" s="701">
        <x:f>IF('ВБ'!$AF13="Да",1,0)</x:f>
      </x:c>
      <x:c r="H78" s="702">
        <x:f>IF('ВБ'!$AL13="Да",1,0)</x:f>
      </x:c>
      <x:c r="I78" s="703">
        <x:f>IF('ВБ'!$AR13="Да",1,0)</x:f>
      </x:c>
      <x:c r="J78" s="704">
        <x:f>IF('ВБ'!$AX13="Да",1,0)</x:f>
      </x:c>
      <x:c r="K78" s="705">
        <x:f>IF('ВБ'!$BD13="Да",1,0)</x:f>
      </x:c>
      <x:c r="L78" s="706">
        <x:f>IF('ВБ'!$BJ13="Да",1,0)</x:f>
      </x:c>
      <x:c r="M78" s="707">
        <x:f>IF('ВБ'!$BP13="Да",1,0)</x:f>
      </x:c>
      <x:c r="N78" s="708">
        <x:f>IF('ВБ'!$BV13="Да",1,0)</x:f>
      </x:c>
      <x:c r="O78" s="375">
        <x:f>IFERROR(ROUND(SUM(C78:N78)/($S$68),1),"")</x:f>
      </x:c>
    </x:row>
    <x:row r="79" spans="1:25" ht="15" customHeight="1" x14ac:dyDescent="0.25">
      <x:c r="A79" s="710"/>
      <x:c r="B79" s="363" t="s">
        <x:v>148</x:v>
      </x:c>
      <x:c r="C79" s="697">
        <x:f>IF('ВБ'!$H14="Да",1,0)</x:f>
      </x:c>
      <x:c r="D79" s="698">
        <x:f>IF('ВБ'!$N14="Да",1,0)</x:f>
      </x:c>
      <x:c r="E79" s="699">
        <x:f>IF('ВБ'!$T14="Да",1,0)</x:f>
      </x:c>
      <x:c r="F79" s="700">
        <x:f>IF('ВБ'!$Z14="Да",1,0)</x:f>
      </x:c>
      <x:c r="G79" s="701">
        <x:f>IF('ВБ'!$AF14="Да",1,0)</x:f>
      </x:c>
      <x:c r="H79" s="702">
        <x:f>IF('ВБ'!$AL14="Да",1,0)</x:f>
      </x:c>
      <x:c r="I79" s="703">
        <x:f>IF('ВБ'!$AR14="Да",1,0)</x:f>
      </x:c>
      <x:c r="J79" s="704">
        <x:f>IF('ВБ'!$AX14="Да",1,0)</x:f>
      </x:c>
      <x:c r="K79" s="705">
        <x:f>IF('ВБ'!$BD14="Да",1,0)</x:f>
      </x:c>
      <x:c r="L79" s="706">
        <x:f>IF('ВБ'!$BJ14="Да",1,0)</x:f>
      </x:c>
      <x:c r="M79" s="707">
        <x:f>IF('ВБ'!$BP14="Да",1,0)</x:f>
      </x:c>
      <x:c r="N79" s="708">
        <x:f>IF('ВБ'!$BV14="Да",1,0)</x:f>
      </x:c>
      <x:c r="O79" s="375">
        <x:f>IFERROR(ROUND(SUM(C79:N79)/($S$68),1),"")</x:f>
      </x:c>
    </x:row>
    <x:row r="80" spans="1:25" ht="15" customHeight="1" x14ac:dyDescent="0.25">
      <x:c r="A80" s="710"/>
      <x:c r="B80" s="363" t="s">
        <x:v>149</x:v>
      </x:c>
      <x:c r="C80" s="697">
        <x:f>IF('ВБ'!$H15="Да",1,0)</x:f>
      </x:c>
      <x:c r="D80" s="698">
        <x:f>IF('ВБ'!$N15="Да",1,0)</x:f>
      </x:c>
      <x:c r="E80" s="699">
        <x:f>IF('ВБ'!$T15="Да",1,0)</x:f>
      </x:c>
      <x:c r="F80" s="700">
        <x:f>IF('ВБ'!$Z15="Да",1,0)</x:f>
      </x:c>
      <x:c r="G80" s="701">
        <x:f>IF('ВБ'!$AF15="Да",1,0)</x:f>
      </x:c>
      <x:c r="H80" s="702">
        <x:f>IF('ВБ'!$AL15="Да",1,0)</x:f>
      </x:c>
      <x:c r="I80" s="703">
        <x:f>IF('ВБ'!$AR15="Да",1,0)</x:f>
      </x:c>
      <x:c r="J80" s="704">
        <x:f>IF('ВБ'!$AX15="Да",1,0)</x:f>
      </x:c>
      <x:c r="K80" s="705">
        <x:f>IF('ВБ'!$BD15="Да",1,0)</x:f>
      </x:c>
      <x:c r="L80" s="706">
        <x:f>IF('ВБ'!$BJ15="Да",1,0)</x:f>
      </x:c>
      <x:c r="M80" s="707">
        <x:f>IF('ВБ'!$BP15="Да",1,0)</x:f>
      </x:c>
      <x:c r="N80" s="708">
        <x:f>IF('ВБ'!$BV15="Да",1,0)</x:f>
      </x:c>
      <x:c r="O80" s="375">
        <x:f>IFERROR(ROUND(SUM(C80:N80)/($S$68),1),"")</x:f>
      </x:c>
    </x:row>
    <x:row r="81" spans="1:25" ht="15" customHeight="1" x14ac:dyDescent="0.25">
      <x:c r="A81" s="710"/>
      <x:c r="B81" s="363" t="s">
        <x:v>150</x:v>
      </x:c>
      <x:c r="C81" s="697">
        <x:f>IF('ВБ'!$H16="Да",1,0)</x:f>
      </x:c>
      <x:c r="D81" s="698">
        <x:f>IF('ВБ'!$N16="Да",1,0)</x:f>
      </x:c>
      <x:c r="E81" s="699">
        <x:f>IF('ВБ'!$T16="Да",1,0)</x:f>
      </x:c>
      <x:c r="F81" s="700">
        <x:f>IF('ВБ'!$Z16="Да",1,0)</x:f>
      </x:c>
      <x:c r="G81" s="701">
        <x:f>IF('ВБ'!$AF16="Да",1,0)</x:f>
      </x:c>
      <x:c r="H81" s="702">
        <x:f>IF('ВБ'!$AL16="Да",1,0)</x:f>
      </x:c>
      <x:c r="I81" s="703">
        <x:f>IF('ВБ'!$AR16="Да",1,0)</x:f>
      </x:c>
      <x:c r="J81" s="704">
        <x:f>IF('ВБ'!$AX16="Да",1,0)</x:f>
      </x:c>
      <x:c r="K81" s="705">
        <x:f>IF('ВБ'!$BD16="Да",1,0)</x:f>
      </x:c>
      <x:c r="L81" s="706">
        <x:f>IF('ВБ'!$BJ16="Да",1,0)</x:f>
      </x:c>
      <x:c r="M81" s="707">
        <x:f>IF('ВБ'!$BP16="Да",1,0)</x:f>
      </x:c>
      <x:c r="N81" s="708">
        <x:f>IF('ВБ'!$BV16="Да",1,0)</x:f>
      </x:c>
      <x:c r="O81" s="375">
        <x:f>IFERROR(ROUND(SUM(C81:N81)/($S$68),1),"")</x:f>
      </x:c>
    </x:row>
    <x:row r="82" spans="1:25" ht="15" customHeight="1" x14ac:dyDescent="0.25">
      <x:c r="A82" s="710"/>
      <x:c r="B82" s="363" t="s">
        <x:v>160</x:v>
      </x:c>
      <x:c r="C82" s="697">
        <x:f>IF('ВБ'!$H17="Да",1,0)</x:f>
      </x:c>
      <x:c r="D82" s="698">
        <x:f>IF('ВБ'!$N17="Да",1,0)</x:f>
      </x:c>
      <x:c r="E82" s="699">
        <x:f>IF('ВБ'!$T17="Да",1,0)</x:f>
      </x:c>
      <x:c r="F82" s="700">
        <x:f>IF('ВБ'!$Z17="Да",1,0)</x:f>
      </x:c>
      <x:c r="G82" s="701">
        <x:f>IF('ВБ'!$AF17="Да",1,0)</x:f>
      </x:c>
      <x:c r="H82" s="702">
        <x:f>IF('ВБ'!$AL17="Да",1,0)</x:f>
      </x:c>
      <x:c r="I82" s="703">
        <x:f>IF('ВБ'!$AR17="Да",1,0)</x:f>
      </x:c>
      <x:c r="J82" s="704">
        <x:f>IF('ВБ'!$AX17="Да",1,0)</x:f>
      </x:c>
      <x:c r="K82" s="705">
        <x:f>IF('ВБ'!$BD17="Да",1,0)</x:f>
      </x:c>
      <x:c r="L82" s="706">
        <x:f>IF('ВБ'!$BJ17="Да",1,0)</x:f>
      </x:c>
      <x:c r="M82" s="707">
        <x:f>IF('ВБ'!$BP17="Да",1,0)</x:f>
      </x:c>
      <x:c r="N82" s="708">
        <x:f>IF('ВБ'!$BV17="Да",1,0)</x:f>
      </x:c>
      <x:c r="O82" s="375">
        <x:f>IFERROR(ROUND(SUM(C82:N82)/($S$68),1),"")</x:f>
      </x:c>
    </x:row>
    <x:row r="83" spans="1:25" ht="15" customHeight="1" x14ac:dyDescent="0.25">
      <x:c r="A83" s="710"/>
      <x:c r="B83" s="363" t="s">
        <x:v>151</x:v>
      </x:c>
      <x:c r="C83" s="697">
        <x:f>IF('ВБ'!$H18="Да",1,0)</x:f>
      </x:c>
      <x:c r="D83" s="698">
        <x:f>IF('ВБ'!$N18="Да",1,0)</x:f>
      </x:c>
      <x:c r="E83" s="699">
        <x:f>IF('ВБ'!$T18="Да",1,0)</x:f>
      </x:c>
      <x:c r="F83" s="700">
        <x:f>IF('ВБ'!$Z18="Да",1,0)</x:f>
      </x:c>
      <x:c r="G83" s="701">
        <x:f>IF('ВБ'!$AF18="Да",1,0)</x:f>
      </x:c>
      <x:c r="H83" s="702">
        <x:f>IF('ВБ'!$AL18="Да",1,0)</x:f>
      </x:c>
      <x:c r="I83" s="703">
        <x:f>IF('ВБ'!$AR18="Да",1,0)</x:f>
      </x:c>
      <x:c r="J83" s="704">
        <x:f>IF('ВБ'!$AX18="Да",1,0)</x:f>
      </x:c>
      <x:c r="K83" s="705">
        <x:f>IF('ВБ'!$BD18="Да",1,0)</x:f>
      </x:c>
      <x:c r="L83" s="706">
        <x:f>IF('ВБ'!$BJ18="Да",1,0)</x:f>
      </x:c>
      <x:c r="M83" s="707">
        <x:f>IF('ВБ'!$BP18="Да",1,0)</x:f>
      </x:c>
      <x:c r="N83" s="708">
        <x:f>IF('ВБ'!$BV18="Да",1,0)</x:f>
      </x:c>
      <x:c r="O83" s="375">
        <x:f>IFERROR(ROUND(SUM(C83:N83)/($S$68),1),"")</x:f>
      </x:c>
    </x:row>
    <x:row r="84" spans="1:25" ht="15" customHeight="1" x14ac:dyDescent="0.25">
      <x:c r="A84" s="710"/>
      <x:c r="B84" s="363" t="s">
        <x:v>152</x:v>
      </x:c>
      <x:c r="C84" s="697">
        <x:f>IF('ВБ'!$H19="Да",1,0)</x:f>
      </x:c>
      <x:c r="D84" s="698">
        <x:f>IF('ВБ'!$N19="Да",1,0)</x:f>
      </x:c>
      <x:c r="E84" s="699">
        <x:f>IF('ВБ'!$T19="Да",1,0)</x:f>
      </x:c>
      <x:c r="F84" s="700">
        <x:f>IF('ВБ'!$Z19="Да",1,0)</x:f>
      </x:c>
      <x:c r="G84" s="701">
        <x:f>IF('ВБ'!$AF19="Да",1,0)</x:f>
      </x:c>
      <x:c r="H84" s="702">
        <x:f>IF('ВБ'!$AL19="Да",1,0)</x:f>
      </x:c>
      <x:c r="I84" s="703">
        <x:f>IF('ВБ'!$AR19="Да",1,0)</x:f>
      </x:c>
      <x:c r="J84" s="704">
        <x:f>IF('ВБ'!$AX19="Да",1,0)</x:f>
      </x:c>
      <x:c r="K84" s="705">
        <x:f>IF('ВБ'!$BD19="Да",1,0)</x:f>
      </x:c>
      <x:c r="L84" s="706">
        <x:f>IF('ВБ'!$BJ19="Да",1,0)</x:f>
      </x:c>
      <x:c r="M84" s="707">
        <x:f>IF('ВБ'!$BP19="Да",1,0)</x:f>
      </x:c>
      <x:c r="N84" s="708">
        <x:f>IF('ВБ'!$BV19="Да",1,0)</x:f>
      </x:c>
      <x:c r="O84" s="375">
        <x:f>IFERROR(ROUND(SUM(C84:N84)/($S$68),1),"")</x:f>
      </x:c>
    </x:row>
    <x:row r="85" spans="1:25" ht="15" customHeight="1" x14ac:dyDescent="0.25">
      <x:c r="A85" s="710"/>
      <x:c r="B85" s="363" t="s">
        <x:v>136</x:v>
      </x:c>
      <x:c r="C85" s="697">
        <x:f>IF('ВБ'!$H20="Да",1,0)</x:f>
      </x:c>
      <x:c r="D85" s="698">
        <x:f>IF('ВБ'!$N20="Да",1,0)</x:f>
      </x:c>
      <x:c r="E85" s="699">
        <x:f>IF('ВБ'!$T20="Да",1,0)</x:f>
      </x:c>
      <x:c r="F85" s="700">
        <x:f>IF('ВБ'!$Z20="Да",1,0)</x:f>
      </x:c>
      <x:c r="G85" s="701">
        <x:f>IF('ВБ'!$AF20="Да",1,0)</x:f>
      </x:c>
      <x:c r="H85" s="702">
        <x:f>IF('ВБ'!$AL20="Да",1,0)</x:f>
      </x:c>
      <x:c r="I85" s="703">
        <x:f>IF('ВБ'!$AR20="Да",1,0)</x:f>
      </x:c>
      <x:c r="J85" s="704">
        <x:f>IF('ВБ'!$AX20="Да",1,0)</x:f>
      </x:c>
      <x:c r="K85" s="705">
        <x:f>IF('ВБ'!$BD20="Да",1,0)</x:f>
      </x:c>
      <x:c r="L85" s="706">
        <x:f>IF('ВБ'!$BJ20="Да",1,0)</x:f>
      </x:c>
      <x:c r="M85" s="707">
        <x:f>IF('ВБ'!$BP20="Да",1,0)</x:f>
      </x:c>
      <x:c r="N85" s="708">
        <x:f>IF('ВБ'!$BV20="Да",1,0)</x:f>
      </x:c>
      <x:c r="O85" s="375">
        <x:f>IFERROR(ROUND(SUM(C85:N85)/($S$68),1),"")</x:f>
      </x:c>
    </x:row>
    <x:row r="86" spans="1:25" ht="15" customHeight="1" x14ac:dyDescent="0.25">
      <x:c r="A86" s="710"/>
      <x:c r="B86" s="363" t="s">
        <x:v>153</x:v>
      </x:c>
      <x:c r="C86" s="697">
        <x:f>IF('ВБ'!$H21="Да",1,0)</x:f>
      </x:c>
      <x:c r="D86" s="698">
        <x:f>IF('ВБ'!$N21="Да",1,0)</x:f>
      </x:c>
      <x:c r="E86" s="699">
        <x:f>IF('ВБ'!$T21="Да",1,0)</x:f>
      </x:c>
      <x:c r="F86" s="700">
        <x:f>IF('ВБ'!$Z21="Да",1,0)</x:f>
      </x:c>
      <x:c r="G86" s="701">
        <x:f>IF('ВБ'!$AF21="Да",1,0)</x:f>
      </x:c>
      <x:c r="H86" s="702">
        <x:f>IF('ВБ'!$AL21="Да",1,0)</x:f>
      </x:c>
      <x:c r="I86" s="703">
        <x:f>IF('ВБ'!$AR21="Да",1,0)</x:f>
      </x:c>
      <x:c r="J86" s="704">
        <x:f>IF('ВБ'!$AX21="Да",1,0)</x:f>
      </x:c>
      <x:c r="K86" s="705">
        <x:f>IF('ВБ'!$BD21="Да",1,0)</x:f>
      </x:c>
      <x:c r="L86" s="706">
        <x:f>IF('ВБ'!$BJ21="Да",1,0)</x:f>
      </x:c>
      <x:c r="M86" s="707">
        <x:f>IF('ВБ'!$BP21="Да",1,0)</x:f>
      </x:c>
      <x:c r="N86" s="708">
        <x:f>IF('ВБ'!$BV21="Да",1,0)</x:f>
      </x:c>
      <x:c r="O86" s="375">
        <x:f>IFERROR(ROUND(SUM(C86:N86)/($S$68),1),"")</x:f>
      </x:c>
    </x:row>
    <x:row r="87" spans="1:25" ht="15" customHeight="1" x14ac:dyDescent="0.25">
      <x:c r="A87" s="710"/>
      <x:c r="B87" s="363" t="s">
        <x:v>154</x:v>
      </x:c>
      <x:c r="C87" s="697">
        <x:f>IF('ВБ'!$H22="Да",1,0)</x:f>
      </x:c>
      <x:c r="D87" s="698">
        <x:f>IF('ВБ'!$N22="Да",1,0)</x:f>
      </x:c>
      <x:c r="E87" s="699">
        <x:f>IF('ВБ'!$T22="Да",1,0)</x:f>
      </x:c>
      <x:c r="F87" s="700">
        <x:f>IF('ВБ'!$Z22="Да",1,0)</x:f>
      </x:c>
      <x:c r="G87" s="701">
        <x:f>IF('ВБ'!$AF22="Да",1,0)</x:f>
      </x:c>
      <x:c r="H87" s="702">
        <x:f>IF('ВБ'!$AL22="Да",1,0)</x:f>
      </x:c>
      <x:c r="I87" s="703">
        <x:f>IF('ВБ'!$AR22="Да",1,0)</x:f>
      </x:c>
      <x:c r="J87" s="704">
        <x:f>IF('ВБ'!$AX22="Да",1,0)</x:f>
      </x:c>
      <x:c r="K87" s="705">
        <x:f>IF('ВБ'!$BD22="Да",1,0)</x:f>
      </x:c>
      <x:c r="L87" s="706">
        <x:f>IF('ВБ'!$BJ22="Да",1,0)</x:f>
      </x:c>
      <x:c r="M87" s="707">
        <x:f>IF('ВБ'!$BP22="Да",1,0)</x:f>
      </x:c>
      <x:c r="N87" s="708">
        <x:f>IF('ВБ'!$BV22="Да",1,0)</x:f>
      </x:c>
      <x:c r="O87" s="375">
        <x:f>IFERROR(ROUND(SUM(C87:N87)/($S$68),1),"")</x:f>
      </x:c>
    </x:row>
    <x:row r="88" spans="1:25" ht="15" customHeight="1" x14ac:dyDescent="0.25">
      <x:c r="A88" s="710"/>
      <x:c r="B88" s="363" t="s">
        <x:v>139</x:v>
      </x:c>
      <x:c r="C88" s="697">
        <x:f>IF('ВБ'!$H23="Да",1,0)</x:f>
      </x:c>
      <x:c r="D88" s="698">
        <x:f>IF('ВБ'!$N23="Да",1,0)</x:f>
      </x:c>
      <x:c r="E88" s="699">
        <x:f>IF('ВБ'!$T23="Да",1,0)</x:f>
      </x:c>
      <x:c r="F88" s="700">
        <x:f>IF('ВБ'!$Z23="Да",1,0)</x:f>
      </x:c>
      <x:c r="G88" s="701">
        <x:f>IF('ВБ'!$AF23="Да",1,0)</x:f>
      </x:c>
      <x:c r="H88" s="702">
        <x:f>IF('ВБ'!$AL23="Да",1,0)</x:f>
      </x:c>
      <x:c r="I88" s="703">
        <x:f>IF('ВБ'!$AR23="Да",1,0)</x:f>
      </x:c>
      <x:c r="J88" s="704">
        <x:f>IF('ВБ'!$AX23="Да",1,0)</x:f>
      </x:c>
      <x:c r="K88" s="705">
        <x:f>IF('ВБ'!$BD23="Да",1,0)</x:f>
      </x:c>
      <x:c r="L88" s="706">
        <x:f>IF('ВБ'!$BJ23="Да",1,0)</x:f>
      </x:c>
      <x:c r="M88" s="707">
        <x:f>IF('ВБ'!$BP23="Да",1,0)</x:f>
      </x:c>
      <x:c r="N88" s="708">
        <x:f>IF('ВБ'!$BV23="Да",1,0)</x:f>
      </x:c>
      <x:c r="O88" s="375">
        <x:f>IFERROR(ROUND(SUM(C88:N88)/($S$68),1),"")</x:f>
      </x:c>
    </x:row>
    <x:row r="89" spans="1:25" ht="15" customHeight="1" x14ac:dyDescent="0.25">
      <x:c r="A89" s="710"/>
      <x:c r="B89" s="363" t="s">
        <x:v>1107</x:v>
      </x:c>
      <x:c r="C89" s="697">
        <x:f>IF('ВБ'!$H24="Да",1,0)</x:f>
      </x:c>
      <x:c r="D89" s="698">
        <x:f>IF('ВБ'!$N24="Да",1,0)</x:f>
      </x:c>
      <x:c r="E89" s="699">
        <x:f>IF('ВБ'!$T24="Да",1,0)</x:f>
      </x:c>
      <x:c r="F89" s="700">
        <x:f>IF('ВБ'!$Z24="Да",1,0)</x:f>
      </x:c>
      <x:c r="G89" s="701">
        <x:f>IF('ВБ'!$AF24="Да",1,0)</x:f>
      </x:c>
      <x:c r="H89" s="702">
        <x:f>IF('ВБ'!$AL24="Да",1,0)</x:f>
      </x:c>
      <x:c r="I89" s="703">
        <x:f>IF('ВБ'!$AR24="Да",1,0)</x:f>
      </x:c>
      <x:c r="J89" s="704">
        <x:f>IF('ВБ'!$AX24="Да",1,0)</x:f>
      </x:c>
      <x:c r="K89" s="705">
        <x:f>IF('ВБ'!$BD24="Да",1,0)</x:f>
      </x:c>
      <x:c r="L89" s="706">
        <x:f>IF('ВБ'!$BJ24="Да",1,0)</x:f>
      </x:c>
      <x:c r="M89" s="707">
        <x:f>IF('ВБ'!$BP24="Да",1,0)</x:f>
      </x:c>
      <x:c r="N89" s="708">
        <x:f>IF('ВБ'!$BV24="Да",1,0)</x:f>
      </x:c>
      <x:c r="O89" s="375">
        <x:f>IFERROR(ROUND(SUM(C89:N89)/($S$68),1),"")</x:f>
      </x:c>
    </x:row>
    <x:row r="90" spans="1:25" ht="15" customHeight="1" x14ac:dyDescent="0.25">
      <x:c r="A90" s="710"/>
      <x:c r="B90" s="363" t="s">
        <x:v>155</x:v>
      </x:c>
      <x:c r="C90" s="697">
        <x:f>IF('ВБ'!$H25="Да",1,0)</x:f>
      </x:c>
      <x:c r="D90" s="698">
        <x:f>IF('ВБ'!$N25="Да",1,0)</x:f>
      </x:c>
      <x:c r="E90" s="699">
        <x:f>IF('ВБ'!$T25="Да",1,0)</x:f>
      </x:c>
      <x:c r="F90" s="700">
        <x:f>IF('ВБ'!$Z25="Да",1,0)</x:f>
      </x:c>
      <x:c r="G90" s="701">
        <x:f>IF('ВБ'!$AF25="Да",1,0)</x:f>
      </x:c>
      <x:c r="H90" s="702">
        <x:f>IF('ВБ'!$AL25="Да",1,0)</x:f>
      </x:c>
      <x:c r="I90" s="703">
        <x:f>IF('ВБ'!$AR25="Да",1,0)</x:f>
      </x:c>
      <x:c r="J90" s="704">
        <x:f>IF('ВБ'!$AX25="Да",1,0)</x:f>
      </x:c>
      <x:c r="K90" s="705">
        <x:f>IF('ВБ'!$BD25="Да",1,0)</x:f>
      </x:c>
      <x:c r="L90" s="706">
        <x:f>IF('ВБ'!$BJ25="Да",1,0)</x:f>
      </x:c>
      <x:c r="M90" s="707">
        <x:f>IF('ВБ'!$BP25="Да",1,0)</x:f>
      </x:c>
      <x:c r="N90" s="708">
        <x:f>IF('ВБ'!$BV25="Да",1,0)</x:f>
      </x:c>
      <x:c r="O90" s="375">
        <x:f>IFERROR(ROUND(SUM(C90:N90)/($S$68),1),"")</x:f>
      </x:c>
    </x:row>
    <x:row r="91" spans="1:25" ht="15" customHeight="1" x14ac:dyDescent="0.25">
      <x:c r="A91" s="710"/>
      <x:c r="B91" s="363" t="s">
        <x:v>140</x:v>
      </x:c>
      <x:c r="C91" s="697">
        <x:f>IF('ВБ'!$H26="Да",1,0)</x:f>
      </x:c>
      <x:c r="D91" s="698">
        <x:f>IF('ВБ'!$N26="Да",1,0)</x:f>
      </x:c>
      <x:c r="E91" s="699">
        <x:f>IF('ВБ'!$T26="Да",1,0)</x:f>
      </x:c>
      <x:c r="F91" s="700">
        <x:f>IF('ВБ'!$Z26="Да",1,0)</x:f>
      </x:c>
      <x:c r="G91" s="701">
        <x:f>IF('ВБ'!$AF26="Да",1,0)</x:f>
      </x:c>
      <x:c r="H91" s="702">
        <x:f>IF('ВБ'!$AL26="Да",1,0)</x:f>
      </x:c>
      <x:c r="I91" s="703">
        <x:f>IF('ВБ'!$AR26="Да",1,0)</x:f>
      </x:c>
      <x:c r="J91" s="704">
        <x:f>IF('ВБ'!$AX26="Да",1,0)</x:f>
      </x:c>
      <x:c r="K91" s="705">
        <x:f>IF('ВБ'!$BD26="Да",1,0)</x:f>
      </x:c>
      <x:c r="L91" s="706">
        <x:f>IF('ВБ'!$BJ26="Да",1,0)</x:f>
      </x:c>
      <x:c r="M91" s="707">
        <x:f>IF('ВБ'!$BP26="Да",1,0)</x:f>
      </x:c>
      <x:c r="N91" s="708">
        <x:f>IF('ВБ'!$BV26="Да",1,0)</x:f>
      </x:c>
      <x:c r="O91" s="375">
        <x:f>IFERROR(ROUND(SUM(C91:N91)/($S$68),1),"")</x:f>
      </x:c>
    </x:row>
    <x:row r="92" spans="1:25" ht="15" customHeight="1" x14ac:dyDescent="0.25">
      <x:c r="A92" s="710"/>
      <x:c r="B92" s="363" t="s">
        <x:v>141</x:v>
      </x:c>
      <x:c r="C92" s="697">
        <x:f>IF('ВБ'!$H27="Да",1,0)</x:f>
      </x:c>
      <x:c r="D92" s="698">
        <x:f>IF('ВБ'!$N27="Да",1,0)</x:f>
      </x:c>
      <x:c r="E92" s="699">
        <x:f>IF('ВБ'!$T27="Да",1,0)</x:f>
      </x:c>
      <x:c r="F92" s="700">
        <x:f>IF('ВБ'!$Z27="Да",1,0)</x:f>
      </x:c>
      <x:c r="G92" s="701">
        <x:f>IF('ВБ'!$AF27="Да",1,0)</x:f>
      </x:c>
      <x:c r="H92" s="702">
        <x:f>IF('ВБ'!$AL27="Да",1,0)</x:f>
      </x:c>
      <x:c r="I92" s="703">
        <x:f>IF('ВБ'!$AR27="Да",1,0)</x:f>
      </x:c>
      <x:c r="J92" s="704">
        <x:f>IF('ВБ'!$AX27="Да",1,0)</x:f>
      </x:c>
      <x:c r="K92" s="705">
        <x:f>IF('ВБ'!$BD27="Да",1,0)</x:f>
      </x:c>
      <x:c r="L92" s="706">
        <x:f>IF('ВБ'!$BJ27="Да",1,0)</x:f>
      </x:c>
      <x:c r="M92" s="707">
        <x:f>IF('ВБ'!$BP27="Да",1,0)</x:f>
      </x:c>
      <x:c r="N92" s="708">
        <x:f>IF('ВБ'!$BV27="Да",1,0)</x:f>
      </x:c>
      <x:c r="O92" s="375">
        <x:f>IFERROR(ROUND(SUM(C92:N92)/($S$68),1),"")</x:f>
      </x:c>
    </x:row>
    <x:row r="93" spans="1:25" ht="15" customHeight="1" x14ac:dyDescent="0.25">
      <x:c r="A93" s="710"/>
      <x:c r="B93" s="363" t="s">
        <x:v>156</x:v>
      </x:c>
      <x:c r="C93" s="697">
        <x:f>IF('ВБ'!$H28="Да",1,0)</x:f>
      </x:c>
      <x:c r="D93" s="698">
        <x:f>IF('ВБ'!$N28="Да",1,0)</x:f>
      </x:c>
      <x:c r="E93" s="699">
        <x:f>IF('ВБ'!$T28="Да",1,0)</x:f>
      </x:c>
      <x:c r="F93" s="700">
        <x:f>IF('ВБ'!$Z28="Да",1,0)</x:f>
      </x:c>
      <x:c r="G93" s="701">
        <x:f>IF('ВБ'!$AF28="Да",1,0)</x:f>
      </x:c>
      <x:c r="H93" s="702">
        <x:f>IF('ВБ'!$AL28="Да",1,0)</x:f>
      </x:c>
      <x:c r="I93" s="703">
        <x:f>IF('ВБ'!$AR28="Да",1,0)</x:f>
      </x:c>
      <x:c r="J93" s="704">
        <x:f>IF('ВБ'!$AX28="Да",1,0)</x:f>
      </x:c>
      <x:c r="K93" s="705">
        <x:f>IF('ВБ'!$BD28="Да",1,0)</x:f>
      </x:c>
      <x:c r="L93" s="706">
        <x:f>IF('ВБ'!$BJ28="Да",1,0)</x:f>
      </x:c>
      <x:c r="M93" s="707">
        <x:f>IF('ВБ'!$BP28="Да",1,0)</x:f>
      </x:c>
      <x:c r="N93" s="708">
        <x:f>IF('ВБ'!$BV28="Да",1,0)</x:f>
      </x:c>
      <x:c r="O93" s="375">
        <x:f>IFERROR(ROUND(SUM(C93:N93)/($S$68),1),"")</x:f>
      </x:c>
    </x:row>
    <x:row r="94" spans="1:25" ht="15" customHeight="1" x14ac:dyDescent="0.25">
      <x:c r="A94" s="710"/>
      <x:c r="B94" s="363" t="s">
        <x:v>157</x:v>
      </x:c>
      <x:c r="C94" s="697">
        <x:f>IF('ВБ'!$H29="Да",1,0)</x:f>
      </x:c>
      <x:c r="D94" s="698">
        <x:f>IF('ВБ'!$N29="Да",1,0)</x:f>
      </x:c>
      <x:c r="E94" s="699">
        <x:f>IF('ВБ'!$T29="Да",1,0)</x:f>
      </x:c>
      <x:c r="F94" s="700">
        <x:f>IF('ВБ'!$Z29="Да",1,0)</x:f>
      </x:c>
      <x:c r="G94" s="701">
        <x:f>IF('ВБ'!$AF29="Да",1,0)</x:f>
      </x:c>
      <x:c r="H94" s="702">
        <x:f>IF('ВБ'!$AL29="Да",1,0)</x:f>
      </x:c>
      <x:c r="I94" s="703">
        <x:f>IF('ВБ'!$AR29="Да",1,0)</x:f>
      </x:c>
      <x:c r="J94" s="704">
        <x:f>IF('ВБ'!$AX29="Да",1,0)</x:f>
      </x:c>
      <x:c r="K94" s="705">
        <x:f>IF('ВБ'!$BD29="Да",1,0)</x:f>
      </x:c>
      <x:c r="L94" s="706">
        <x:f>IF('ВБ'!$BJ29="Да",1,0)</x:f>
      </x:c>
      <x:c r="M94" s="707">
        <x:f>IF('ВБ'!$BP29="Да",1,0)</x:f>
      </x:c>
      <x:c r="N94" s="708">
        <x:f>IF('ВБ'!$BV29="Да",1,0)</x:f>
      </x:c>
      <x:c r="O94" s="375">
        <x:f>IFERROR(ROUND(SUM(C94:N94)/($S$68),1),"")</x:f>
      </x:c>
    </x:row>
    <x:row r="95" spans="1:25" ht="15.75" customHeight="1" x14ac:dyDescent="0.25">
      <x:c r="A95" s="717"/>
      <x:c r="B95" s="379" t="s">
        <x:v>161</x:v>
      </x:c>
      <x:c r="C95" s="697">
        <x:f>IF('ВБ'!$H30="Да",1,0)</x:f>
      </x:c>
      <x:c r="D95" s="698">
        <x:f>IF('ВБ'!$N30="Да",1,0)</x:f>
      </x:c>
      <x:c r="E95" s="699">
        <x:f>IF('ВБ'!$T30="Да",1,0)</x:f>
      </x:c>
      <x:c r="F95" s="700">
        <x:f>IF('ВБ'!$Z30="Да",1,0)</x:f>
      </x:c>
      <x:c r="G95" s="701">
        <x:f>IF('ВБ'!$AF30="Да",1,0)</x:f>
      </x:c>
      <x:c r="H95" s="702">
        <x:f>IF('ВБ'!$AL30="Да",1,0)</x:f>
      </x:c>
      <x:c r="I95" s="703">
        <x:f>IF('ВБ'!$AR30="Да",1,0)</x:f>
      </x:c>
      <x:c r="J95" s="704">
        <x:f>IF('ВБ'!$AX30="Да",1,0)</x:f>
      </x:c>
      <x:c r="K95" s="705">
        <x:f>IF('ВБ'!$BD30="Да",1,0)</x:f>
      </x:c>
      <x:c r="L95" s="706">
        <x:f>IF('ВБ'!$BJ30="Да",1,0)</x:f>
      </x:c>
      <x:c r="M95" s="707">
        <x:f>IF('ВБ'!$BP30="Да",1,0)</x:f>
      </x:c>
      <x:c r="N95" s="708">
        <x:f>IF('ВБ'!$BV30="Да",1,0)</x:f>
      </x:c>
      <x:c r="O95" s="375">
        <x:f>IFERROR(ROUND(SUM(C95:N95)/($S$68),1),"")</x:f>
      </x:c>
    </x:row>
    <x:row r="96" spans="1:25" ht="15" customHeight="1" x14ac:dyDescent="0.25">
      <x:c r="A96" s="696" t="s">
        <x:v>1067</x:v>
      </x:c>
      <x:c r="B96" s="363" t="s">
        <x:v>116</x:v>
      </x:c>
      <x:c r="C96" s="697">
        <x:f>IF('УПБ'!$H3="Да",1,0)</x:f>
      </x:c>
      <x:c r="D96" s="698">
        <x:f>IF('УПБ'!$N3="Да",1,0)</x:f>
      </x:c>
      <x:c r="E96" s="699">
        <x:f>IF('УПБ'!$T3="Да",1,0)</x:f>
      </x:c>
      <x:c r="F96" s="700">
        <x:f>IF('УПБ'!$Z3="Да",1,0)</x:f>
      </x:c>
      <x:c r="G96" s="701">
        <x:f>IF('УПБ'!$AF3="Да",1,0)</x:f>
      </x:c>
      <x:c r="H96" s="702">
        <x:f>IF('УПБ'!$AL3="Да",1,0)</x:f>
      </x:c>
      <x:c r="I96" s="703">
        <x:f>IF('УПБ'!$AR3="Да",1,0)</x:f>
      </x:c>
      <x:c r="J96" s="704">
        <x:f>IF('УПБ'!$AX3="Да",1,0)</x:f>
      </x:c>
      <x:c r="K96" s="705">
        <x:f>IF('УПБ'!$BD3="Да",1,0)</x:f>
      </x:c>
      <x:c r="L96" s="706">
        <x:f>IF('УПБ'!$BJ3="Да",1,0)</x:f>
      </x:c>
      <x:c r="M96" s="707">
        <x:f>IF('УПБ'!$BP3="Да",1,0)</x:f>
      </x:c>
      <x:c r="N96" s="708">
        <x:f>IF('УПБ'!$BV3="Да",1,0)</x:f>
      </x:c>
      <x:c r="O96" s="375">
        <x:f>IFERROR(ROUND(SUM(C96:N96)/($S$96),1),"")</x:f>
      </x:c>
      <x:c r="Q96" s="709" t="s">
        <x:v>1151</x:v>
      </x:c>
      <x:c r="R96" s="596"/>
      <x:c r="S96" s="376">
        <x:f>SUM(IF(COUNTIF(C96:C142,"&gt;0")&gt;0,1,0),IF(COUNTIF(D96:D142,"&gt;0")&gt;0,1,0),IF(COUNTIF(E96:E142,"&gt;0")&gt;0,1,0),IF(COUNTIF(F96:F142,"&gt;0")&gt;0,1,0),IF(COUNTIF(G96:G142,"&gt;0")&gt;0,1,0),IF(COUNTIF(H96:H142,"&gt;0")&gt;0,1,0),IF(COUNTIF(I96:I142,"&gt;0")&gt;0,1,0),IF(COUNTIF(J96:J142,"&gt;0")&gt;0,1,0),IF(COUNTIF(K96:K142,"&gt;0")&gt;0,1,0),IF(COUNTIF(L96:L142,"&gt;0")&gt;0,1,0),IF(COUNTIF(M96:M142,"&gt;0")&gt;0,1,0),IF(COUNTIF(N96:N142,"&gt;0")&gt;0,1,0))</x:f>
      </x:c>
    </x:row>
    <x:row r="97" spans="1:25" ht="15" customHeight="1" x14ac:dyDescent="0.25">
      <x:c r="A97" s="710"/>
      <x:c r="B97" s="363" t="s">
        <x:v>102</x:v>
      </x:c>
      <x:c r="C97" s="697">
        <x:f>IF('УПБ'!$H4="Да",1,0)</x:f>
      </x:c>
      <x:c r="D97" s="698">
        <x:f>IF('УПБ'!$N4="Да",1,0)</x:f>
      </x:c>
      <x:c r="E97" s="699">
        <x:f>IF('УПБ'!$T4="Да",1,0)</x:f>
      </x:c>
      <x:c r="F97" s="700">
        <x:f>IF('УПБ'!$Z4="Да",1,0)</x:f>
      </x:c>
      <x:c r="G97" s="701">
        <x:f>IF('УПБ'!$AF4="Да",1,0)</x:f>
      </x:c>
      <x:c r="H97" s="702">
        <x:f>IF('УПБ'!$AL4="Да",1,0)</x:f>
      </x:c>
      <x:c r="I97" s="703">
        <x:f>IF('УПБ'!$AR4="Да",1,0)</x:f>
      </x:c>
      <x:c r="J97" s="704">
        <x:f>IF('УПБ'!$AX4="Да",1,0)</x:f>
      </x:c>
      <x:c r="K97" s="705">
        <x:f>IF('УПБ'!$BD4="Да",1,0)</x:f>
      </x:c>
      <x:c r="L97" s="706">
        <x:f>IF('УПБ'!$BJ4="Да",1,0)</x:f>
      </x:c>
      <x:c r="M97" s="707">
        <x:f>IF('УПБ'!$BP4="Да",1,0)</x:f>
      </x:c>
      <x:c r="N97" s="708">
        <x:f>IF('УПБ'!$BV4="Да",1,0)</x:f>
      </x:c>
      <x:c r="O97" s="375">
        <x:f>IFERROR(ROUND(SUM(C97:N97)/($S$96),1),"")</x:f>
      </x:c>
      <x:c r="Q97" s="711"/>
      <x:c r="R97" s="712"/>
      <x:c r="S97" s="713"/>
    </x:row>
    <x:row r="98" spans="1:25" ht="15" customHeight="1" x14ac:dyDescent="0.25">
      <x:c r="A98" s="710"/>
      <x:c r="B98" s="363" t="s">
        <x:v>88</x:v>
      </x:c>
      <x:c r="C98" s="697">
        <x:f>IF('УПБ'!$H5="Да",1,0)</x:f>
      </x:c>
      <x:c r="D98" s="698">
        <x:f>IF('УПБ'!$N5="Да",1,0)</x:f>
      </x:c>
      <x:c r="E98" s="699">
        <x:f>IF('УПБ'!$T5="Да",1,0)</x:f>
      </x:c>
      <x:c r="F98" s="700">
        <x:f>IF('УПБ'!$Z5="Да",1,0)</x:f>
      </x:c>
      <x:c r="G98" s="701">
        <x:f>IF('УПБ'!$AF5="Да",1,0)</x:f>
      </x:c>
      <x:c r="H98" s="702">
        <x:f>IF('УПБ'!$AL5="Да",1,0)</x:f>
      </x:c>
      <x:c r="I98" s="703">
        <x:f>IF('УПБ'!$AR5="Да",1,0)</x:f>
      </x:c>
      <x:c r="J98" s="704">
        <x:f>IF('УПБ'!$AX5="Да",1,0)</x:f>
      </x:c>
      <x:c r="K98" s="705">
        <x:f>IF('УПБ'!$BD5="Да",1,0)</x:f>
      </x:c>
      <x:c r="L98" s="706">
        <x:f>IF('УПБ'!$BJ5="Да",1,0)</x:f>
      </x:c>
      <x:c r="M98" s="707">
        <x:f>IF('УПБ'!$BP5="Да",1,0)</x:f>
      </x:c>
      <x:c r="N98" s="708">
        <x:f>IF('УПБ'!$BV5="Да",1,0)</x:f>
      </x:c>
      <x:c r="O98" s="375">
        <x:f>IFERROR(ROUND(SUM(C98:N98)/($S$96),1),"")</x:f>
      </x:c>
      <x:c r="Q98" s="714"/>
      <x:c r="R98" s="715"/>
      <x:c r="S98" s="716"/>
    </x:row>
    <x:row r="99" spans="1:25" ht="15" customHeight="1" x14ac:dyDescent="0.3">
      <x:c r="A99" s="710"/>
      <x:c r="B99" s="363" t="s">
        <x:v>125</x:v>
      </x:c>
      <x:c r="C99" s="697">
        <x:f>IF('УПБ'!$H6="Да",1,0)</x:f>
      </x:c>
      <x:c r="D99" s="698">
        <x:f>IF('УПБ'!$N6="Да",1,0)</x:f>
      </x:c>
      <x:c r="E99" s="699">
        <x:f>IF('УПБ'!$T6="Да",1,0)</x:f>
      </x:c>
      <x:c r="F99" s="700">
        <x:f>IF('УПБ'!$Z6="Да",1,0)</x:f>
      </x:c>
      <x:c r="G99" s="701">
        <x:f>IF('УПБ'!$AF6="Да",1,0)</x:f>
      </x:c>
      <x:c r="H99" s="702">
        <x:f>IF('УПБ'!$AL6="Да",1,0)</x:f>
      </x:c>
      <x:c r="I99" s="703">
        <x:f>IF('УПБ'!$AR6="Да",1,0)</x:f>
      </x:c>
      <x:c r="J99" s="704">
        <x:f>IF('УПБ'!$AX6="Да",1,0)</x:f>
      </x:c>
      <x:c r="K99" s="705">
        <x:f>IF('УПБ'!$BD6="Да",1,0)</x:f>
      </x:c>
      <x:c r="L99" s="706">
        <x:f>IF('УПБ'!$BJ6="Да",1,0)</x:f>
      </x:c>
      <x:c r="M99" s="707">
        <x:f>IF('УПБ'!$BP6="Да",1,0)</x:f>
      </x:c>
      <x:c r="N99" s="708">
        <x:f>IF('УПБ'!$BV6="Да",1,0)</x:f>
      </x:c>
      <x:c r="O99" s="375">
        <x:f>IFERROR(ROUND(SUM(C99:N99)/($S$96),1),"")</x:f>
      </x:c>
    </x:row>
    <x:row r="100" spans="1:25" ht="15" customHeight="1" x14ac:dyDescent="0.25">
      <x:c r="A100" s="710"/>
      <x:c r="B100" s="363" t="s">
        <x:v>95</x:v>
      </x:c>
      <x:c r="C100" s="697">
        <x:f>IF('УПБ'!$H7="Да",1,0)</x:f>
      </x:c>
      <x:c r="D100" s="698">
        <x:f>IF('УПБ'!$N7="Да",1,0)</x:f>
      </x:c>
      <x:c r="E100" s="699">
        <x:f>IF('УПБ'!$T7="Да",1,0)</x:f>
      </x:c>
      <x:c r="F100" s="700">
        <x:f>IF('УПБ'!$Z7="Да",1,0)</x:f>
      </x:c>
      <x:c r="G100" s="701">
        <x:f>IF('УПБ'!$AF7="Да",1,0)</x:f>
      </x:c>
      <x:c r="H100" s="702">
        <x:f>IF('УПБ'!$AL7="Да",1,0)</x:f>
      </x:c>
      <x:c r="I100" s="703">
        <x:f>IF('УПБ'!$AR7="Да",1,0)</x:f>
      </x:c>
      <x:c r="J100" s="704">
        <x:f>IF('УПБ'!$AX7="Да",1,0)</x:f>
      </x:c>
      <x:c r="K100" s="705">
        <x:f>IF('УПБ'!$BD7="Да",1,0)</x:f>
      </x:c>
      <x:c r="L100" s="706">
        <x:f>IF('УПБ'!$BJ7="Да",1,0)</x:f>
      </x:c>
      <x:c r="M100" s="707">
        <x:f>IF('УПБ'!$BP7="Да",1,0)</x:f>
      </x:c>
      <x:c r="N100" s="708">
        <x:f>IF('УПБ'!$BV7="Да",1,0)</x:f>
      </x:c>
      <x:c r="O100" s="375">
        <x:f>IFERROR(ROUND(SUM(C100:N100)/($S$96),1),"")</x:f>
      </x:c>
    </x:row>
    <x:row r="101" spans="1:25" ht="15" customHeight="1" x14ac:dyDescent="0.25">
      <x:c r="A101" s="710"/>
      <x:c r="B101" s="363" t="s">
        <x:v>90</x:v>
      </x:c>
      <x:c r="C101" s="697">
        <x:f>IF('УПБ'!$H8="Да",1,0)</x:f>
      </x:c>
      <x:c r="D101" s="698">
        <x:f>IF('УПБ'!$N8="Да",1,0)</x:f>
      </x:c>
      <x:c r="E101" s="699">
        <x:f>IF('УПБ'!$T8="Да",1,0)</x:f>
      </x:c>
      <x:c r="F101" s="700">
        <x:f>IF('УПБ'!$Z8="Да",1,0)</x:f>
      </x:c>
      <x:c r="G101" s="701">
        <x:f>IF('УПБ'!$AF8="Да",1,0)</x:f>
      </x:c>
      <x:c r="H101" s="702">
        <x:f>IF('УПБ'!$AL8="Да",1,0)</x:f>
      </x:c>
      <x:c r="I101" s="703">
        <x:f>IF('УПБ'!$AR8="Да",1,0)</x:f>
      </x:c>
      <x:c r="J101" s="704">
        <x:f>IF('УПБ'!$AX8="Да",1,0)</x:f>
      </x:c>
      <x:c r="K101" s="705">
        <x:f>IF('УПБ'!$BD8="Да",1,0)</x:f>
      </x:c>
      <x:c r="L101" s="706">
        <x:f>IF('УПБ'!$BJ8="Да",1,0)</x:f>
      </x:c>
      <x:c r="M101" s="707">
        <x:f>IF('УПБ'!$BP8="Да",1,0)</x:f>
      </x:c>
      <x:c r="N101" s="708">
        <x:f>IF('УПБ'!$BV8="Да",1,0)</x:f>
      </x:c>
      <x:c r="O101" s="375">
        <x:f>IFERROR(ROUND(SUM(C101:N101)/($S$96),1),"")</x:f>
      </x:c>
    </x:row>
    <x:row r="102" spans="1:25" ht="15" customHeight="1" x14ac:dyDescent="0.25">
      <x:c r="A102" s="710"/>
      <x:c r="B102" s="363" t="s">
        <x:v>112</x:v>
      </x:c>
      <x:c r="C102" s="697">
        <x:f>IF('УПБ'!$H9="Да",1,0)</x:f>
      </x:c>
      <x:c r="D102" s="698">
        <x:f>IF('УПБ'!$N9="Да",1,0)</x:f>
      </x:c>
      <x:c r="E102" s="699">
        <x:f>IF('УПБ'!$T9="Да",1,0)</x:f>
      </x:c>
      <x:c r="F102" s="700">
        <x:f>IF('УПБ'!$Z9="Да",1,0)</x:f>
      </x:c>
      <x:c r="G102" s="701">
        <x:f>IF('УПБ'!$AF9="Да",1,0)</x:f>
      </x:c>
      <x:c r="H102" s="702">
        <x:f>IF('УПБ'!$AL9="Да",1,0)</x:f>
      </x:c>
      <x:c r="I102" s="703">
        <x:f>IF('УПБ'!$AR9="Да",1,0)</x:f>
      </x:c>
      <x:c r="J102" s="704">
        <x:f>IF('УПБ'!$AX9="Да",1,0)</x:f>
      </x:c>
      <x:c r="K102" s="705">
        <x:f>IF('УПБ'!$BD9="Да",1,0)</x:f>
      </x:c>
      <x:c r="L102" s="706">
        <x:f>IF('УПБ'!$BJ9="Да",1,0)</x:f>
      </x:c>
      <x:c r="M102" s="707">
        <x:f>IF('УПБ'!$BP9="Да",1,0)</x:f>
      </x:c>
      <x:c r="N102" s="708">
        <x:f>IF('УПБ'!$BV9="Да",1,0)</x:f>
      </x:c>
      <x:c r="O102" s="375">
        <x:f>IFERROR(ROUND(SUM(C102:N102)/($S$96),1),"")</x:f>
      </x:c>
    </x:row>
    <x:row r="103" spans="1:25" ht="15" customHeight="1" x14ac:dyDescent="0.25">
      <x:c r="A103" s="710"/>
      <x:c r="B103" s="363" t="s">
        <x:v>114</x:v>
      </x:c>
      <x:c r="C103" s="697">
        <x:f>IF('УПБ'!$H10="Да",1,0)</x:f>
      </x:c>
      <x:c r="D103" s="698">
        <x:f>IF('УПБ'!$N10="Да",1,0)</x:f>
      </x:c>
      <x:c r="E103" s="699">
        <x:f>IF('УПБ'!$T10="Да",1,0)</x:f>
      </x:c>
      <x:c r="F103" s="700">
        <x:f>IF('УПБ'!$Z10="Да",1,0)</x:f>
      </x:c>
      <x:c r="G103" s="701">
        <x:f>IF('УПБ'!$AF10="Да",1,0)</x:f>
      </x:c>
      <x:c r="H103" s="702">
        <x:f>IF('УПБ'!$AL10="Да",1,0)</x:f>
      </x:c>
      <x:c r="I103" s="703">
        <x:f>IF('УПБ'!$AR10="Да",1,0)</x:f>
      </x:c>
      <x:c r="J103" s="704">
        <x:f>IF('УПБ'!$AX10="Да",1,0)</x:f>
      </x:c>
      <x:c r="K103" s="705">
        <x:f>IF('УПБ'!$BD10="Да",1,0)</x:f>
      </x:c>
      <x:c r="L103" s="706">
        <x:f>IF('УПБ'!$BJ10="Да",1,0)</x:f>
      </x:c>
      <x:c r="M103" s="707">
        <x:f>IF('УПБ'!$BP10="Да",1,0)</x:f>
      </x:c>
      <x:c r="N103" s="708">
        <x:f>IF('УПБ'!$BV10="Да",1,0)</x:f>
      </x:c>
      <x:c r="O103" s="375">
        <x:f>IFERROR(ROUND(SUM(C103:N103)/($S$96),1),"")</x:f>
      </x:c>
    </x:row>
    <x:row r="104" spans="1:25" ht="15" customHeight="1" x14ac:dyDescent="0.25">
      <x:c r="A104" s="710"/>
      <x:c r="B104" s="363" t="s">
        <x:v>101</x:v>
      </x:c>
      <x:c r="C104" s="697">
        <x:f>IF('УПБ'!$H11="Да",1,0)</x:f>
      </x:c>
      <x:c r="D104" s="698">
        <x:f>IF('УПБ'!$N11="Да",1,0)</x:f>
      </x:c>
      <x:c r="E104" s="699">
        <x:f>IF('УПБ'!$T11="Да",1,0)</x:f>
      </x:c>
      <x:c r="F104" s="700">
        <x:f>IF('УПБ'!$Z11="Да",1,0)</x:f>
      </x:c>
      <x:c r="G104" s="701">
        <x:f>IF('УПБ'!$AF11="Да",1,0)</x:f>
      </x:c>
      <x:c r="H104" s="702">
        <x:f>IF('УПБ'!$AL11="Да",1,0)</x:f>
      </x:c>
      <x:c r="I104" s="703">
        <x:f>IF('УПБ'!$AR11="Да",1,0)</x:f>
      </x:c>
      <x:c r="J104" s="704">
        <x:f>IF('УПБ'!$AX11="Да",1,0)</x:f>
      </x:c>
      <x:c r="K104" s="705">
        <x:f>IF('УПБ'!$BD11="Да",1,0)</x:f>
      </x:c>
      <x:c r="L104" s="706">
        <x:f>IF('УПБ'!$BJ11="Да",1,0)</x:f>
      </x:c>
      <x:c r="M104" s="707">
        <x:f>IF('УПБ'!$BP11="Да",1,0)</x:f>
      </x:c>
      <x:c r="N104" s="708">
        <x:f>IF('УПБ'!$BV11="Да",1,0)</x:f>
      </x:c>
      <x:c r="O104" s="375">
        <x:f>IFERROR(ROUND(SUM(C104:N104)/($S$96),1),"")</x:f>
      </x:c>
    </x:row>
    <x:row r="105" spans="1:25" ht="15" customHeight="1" x14ac:dyDescent="0.25">
      <x:c r="A105" s="710"/>
      <x:c r="B105" s="363" t="s">
        <x:v>133</x:v>
      </x:c>
      <x:c r="C105" s="697">
        <x:f>IF('УПБ'!$H12="Да",1,0)</x:f>
      </x:c>
      <x:c r="D105" s="698">
        <x:f>IF('УПБ'!$N12="Да",1,0)</x:f>
      </x:c>
      <x:c r="E105" s="699">
        <x:f>IF('УПБ'!$T12="Да",1,0)</x:f>
      </x:c>
      <x:c r="F105" s="700">
        <x:f>IF('УПБ'!$Z12="Да",1,0)</x:f>
      </x:c>
      <x:c r="G105" s="701">
        <x:f>IF('УПБ'!$AF12="Да",1,0)</x:f>
      </x:c>
      <x:c r="H105" s="702">
        <x:f>IF('УПБ'!$AL12="Да",1,0)</x:f>
      </x:c>
      <x:c r="I105" s="703">
        <x:f>IF('УПБ'!$AR12="Да",1,0)</x:f>
      </x:c>
      <x:c r="J105" s="704">
        <x:f>IF('УПБ'!$AX12="Да",1,0)</x:f>
      </x:c>
      <x:c r="K105" s="705">
        <x:f>IF('УПБ'!$BD12="Да",1,0)</x:f>
      </x:c>
      <x:c r="L105" s="706">
        <x:f>IF('УПБ'!$BJ12="Да",1,0)</x:f>
      </x:c>
      <x:c r="M105" s="707">
        <x:f>IF('УПБ'!$BP12="Да",1,0)</x:f>
      </x:c>
      <x:c r="N105" s="708">
        <x:f>IF('УПБ'!$BV12="Да",1,0)</x:f>
      </x:c>
      <x:c r="O105" s="375">
        <x:f>IFERROR(ROUND(SUM(C105:N105)/($S$96),1),"")</x:f>
      </x:c>
    </x:row>
    <x:row r="106" spans="1:25" ht="15" customHeight="1" x14ac:dyDescent="0.25">
      <x:c r="A106" s="710"/>
      <x:c r="B106" s="363" t="s">
        <x:v>129</x:v>
      </x:c>
      <x:c r="C106" s="697">
        <x:f>IF('УПБ'!$H13="Да",1,0)</x:f>
      </x:c>
      <x:c r="D106" s="698">
        <x:f>IF('УПБ'!$N13="Да",1,0)</x:f>
      </x:c>
      <x:c r="E106" s="699">
        <x:f>IF('УПБ'!$T13="Да",1,0)</x:f>
      </x:c>
      <x:c r="F106" s="700">
        <x:f>IF('УПБ'!$Z13="Да",1,0)</x:f>
      </x:c>
      <x:c r="G106" s="701">
        <x:f>IF('УПБ'!$AF13="Да",1,0)</x:f>
      </x:c>
      <x:c r="H106" s="702">
        <x:f>IF('УПБ'!$AL13="Да",1,0)</x:f>
      </x:c>
      <x:c r="I106" s="703">
        <x:f>IF('УПБ'!$AR13="Да",1,0)</x:f>
      </x:c>
      <x:c r="J106" s="704">
        <x:f>IF('УПБ'!$AX13="Да",1,0)</x:f>
      </x:c>
      <x:c r="K106" s="705">
        <x:f>IF('УПБ'!$BD13="Да",1,0)</x:f>
      </x:c>
      <x:c r="L106" s="706">
        <x:f>IF('УПБ'!$BJ13="Да",1,0)</x:f>
      </x:c>
      <x:c r="M106" s="707">
        <x:f>IF('УПБ'!$BP13="Да",1,0)</x:f>
      </x:c>
      <x:c r="N106" s="708">
        <x:f>IF('УПБ'!$BV13="Да",1,0)</x:f>
      </x:c>
      <x:c r="O106" s="375">
        <x:f>IFERROR(ROUND(SUM(C106:N106)/($S$96),1),"")</x:f>
      </x:c>
    </x:row>
    <x:row r="107" spans="1:25" ht="15" customHeight="1" x14ac:dyDescent="0.25">
      <x:c r="A107" s="710"/>
      <x:c r="B107" s="363" t="s">
        <x:v>121</x:v>
      </x:c>
      <x:c r="C107" s="697">
        <x:f>IF('УПБ'!$H14="Да",1,0)</x:f>
      </x:c>
      <x:c r="D107" s="698">
        <x:f>IF('УПБ'!$N14="Да",1,0)</x:f>
      </x:c>
      <x:c r="E107" s="699">
        <x:f>IF('УПБ'!$T14="Да",1,0)</x:f>
      </x:c>
      <x:c r="F107" s="700">
        <x:f>IF('УПБ'!$Z14="Да",1,0)</x:f>
      </x:c>
      <x:c r="G107" s="701">
        <x:f>IF('УПБ'!$AF14="Да",1,0)</x:f>
      </x:c>
      <x:c r="H107" s="702">
        <x:f>IF('УПБ'!$AL14="Да",1,0)</x:f>
      </x:c>
      <x:c r="I107" s="703">
        <x:f>IF('УПБ'!$AR14="Да",1,0)</x:f>
      </x:c>
      <x:c r="J107" s="704">
        <x:f>IF('УПБ'!$AX14="Да",1,0)</x:f>
      </x:c>
      <x:c r="K107" s="705">
        <x:f>IF('УПБ'!$BD14="Да",1,0)</x:f>
      </x:c>
      <x:c r="L107" s="706">
        <x:f>IF('УПБ'!$BJ14="Да",1,0)</x:f>
      </x:c>
      <x:c r="M107" s="707">
        <x:f>IF('УПБ'!$BP14="Да",1,0)</x:f>
      </x:c>
      <x:c r="N107" s="708">
        <x:f>IF('УПБ'!$BV14="Да",1,0)</x:f>
      </x:c>
      <x:c r="O107" s="375">
        <x:f>IFERROR(ROUND(SUM(C107:N107)/($S$96),1),"")</x:f>
      </x:c>
    </x:row>
    <x:row r="108" spans="1:25" ht="15" customHeight="1" x14ac:dyDescent="0.25">
      <x:c r="A108" s="710"/>
      <x:c r="B108" s="363" t="s">
        <x:v>122</x:v>
      </x:c>
      <x:c r="C108" s="697">
        <x:f>IF('УПБ'!$H15="Да",1,0)</x:f>
      </x:c>
      <x:c r="D108" s="698">
        <x:f>IF('УПБ'!$N15="Да",1,0)</x:f>
      </x:c>
      <x:c r="E108" s="699">
        <x:f>IF('УПБ'!$T15="Да",1,0)</x:f>
      </x:c>
      <x:c r="F108" s="700">
        <x:f>IF('УПБ'!$Z15="Да",1,0)</x:f>
      </x:c>
      <x:c r="G108" s="701">
        <x:f>IF('УПБ'!$AF15="Да",1,0)</x:f>
      </x:c>
      <x:c r="H108" s="702">
        <x:f>IF('УПБ'!$AL15="Да",1,0)</x:f>
      </x:c>
      <x:c r="I108" s="703">
        <x:f>IF('УПБ'!$AR15="Да",1,0)</x:f>
      </x:c>
      <x:c r="J108" s="704">
        <x:f>IF('УПБ'!$AX15="Да",1,0)</x:f>
      </x:c>
      <x:c r="K108" s="705">
        <x:f>IF('УПБ'!$BD15="Да",1,0)</x:f>
      </x:c>
      <x:c r="L108" s="706">
        <x:f>IF('УПБ'!$BJ15="Да",1,0)</x:f>
      </x:c>
      <x:c r="M108" s="707">
        <x:f>IF('УПБ'!$BP15="Да",1,0)</x:f>
      </x:c>
      <x:c r="N108" s="708">
        <x:f>IF('УПБ'!$BV15="Да",1,0)</x:f>
      </x:c>
      <x:c r="O108" s="375">
        <x:f>IFERROR(ROUND(SUM(C108:N108)/($S$96),1),"")</x:f>
      </x:c>
    </x:row>
    <x:row r="109" spans="1:25" ht="15" customHeight="1" x14ac:dyDescent="0.25">
      <x:c r="A109" s="710"/>
      <x:c r="B109" s="363" t="s">
        <x:v>110</x:v>
      </x:c>
      <x:c r="C109" s="697">
        <x:f>IF('УПБ'!$H16="Да",1,0)</x:f>
      </x:c>
      <x:c r="D109" s="698">
        <x:f>IF('УПБ'!$N16="Да",1,0)</x:f>
      </x:c>
      <x:c r="E109" s="699">
        <x:f>IF('УПБ'!$T16="Да",1,0)</x:f>
      </x:c>
      <x:c r="F109" s="700">
        <x:f>IF('УПБ'!$Z16="Да",1,0)</x:f>
      </x:c>
      <x:c r="G109" s="701">
        <x:f>IF('УПБ'!$AF16="Да",1,0)</x:f>
      </x:c>
      <x:c r="H109" s="702">
        <x:f>IF('УПБ'!$AL16="Да",1,0)</x:f>
      </x:c>
      <x:c r="I109" s="703">
        <x:f>IF('УПБ'!$AR16="Да",1,0)</x:f>
      </x:c>
      <x:c r="J109" s="704">
        <x:f>IF('УПБ'!$AX16="Да",1,0)</x:f>
      </x:c>
      <x:c r="K109" s="705">
        <x:f>IF('УПБ'!$BD16="Да",1,0)</x:f>
      </x:c>
      <x:c r="L109" s="706">
        <x:f>IF('УПБ'!$BJ16="Да",1,0)</x:f>
      </x:c>
      <x:c r="M109" s="707">
        <x:f>IF('УПБ'!$BP16="Да",1,0)</x:f>
      </x:c>
      <x:c r="N109" s="708">
        <x:f>IF('УПБ'!$BV16="Да",1,0)</x:f>
      </x:c>
      <x:c r="O109" s="375">
        <x:f>IFERROR(ROUND(SUM(C109:N109)/($S$96),1),"")</x:f>
      </x:c>
    </x:row>
    <x:row r="110" spans="1:25" ht="15" customHeight="1" x14ac:dyDescent="0.25">
      <x:c r="A110" s="710"/>
      <x:c r="B110" s="363" t="s">
        <x:v>104</x:v>
      </x:c>
      <x:c r="C110" s="697">
        <x:f>IF('УПБ'!$H17="Да",1,0)</x:f>
      </x:c>
      <x:c r="D110" s="698">
        <x:f>IF('УПБ'!$N17="Да",1,0)</x:f>
      </x:c>
      <x:c r="E110" s="699">
        <x:f>IF('УПБ'!$T17="Да",1,0)</x:f>
      </x:c>
      <x:c r="F110" s="700">
        <x:f>IF('УПБ'!$Z17="Да",1,0)</x:f>
      </x:c>
      <x:c r="G110" s="701">
        <x:f>IF('УПБ'!$AF17="Да",1,0)</x:f>
      </x:c>
      <x:c r="H110" s="702">
        <x:f>IF('УПБ'!$AL17="Да",1,0)</x:f>
      </x:c>
      <x:c r="I110" s="703">
        <x:f>IF('УПБ'!$AR17="Да",1,0)</x:f>
      </x:c>
      <x:c r="J110" s="704">
        <x:f>IF('УПБ'!$AX17="Да",1,0)</x:f>
      </x:c>
      <x:c r="K110" s="705">
        <x:f>IF('УПБ'!$BD17="Да",1,0)</x:f>
      </x:c>
      <x:c r="L110" s="706">
        <x:f>IF('УПБ'!$BJ17="Да",1,0)</x:f>
      </x:c>
      <x:c r="M110" s="707">
        <x:f>IF('УПБ'!$BP17="Да",1,0)</x:f>
      </x:c>
      <x:c r="N110" s="708">
        <x:f>IF('УПБ'!$BV17="Да",1,0)</x:f>
      </x:c>
      <x:c r="O110" s="375">
        <x:f>IFERROR(ROUND(SUM(C110:N110)/($S$96),1),"")</x:f>
      </x:c>
    </x:row>
    <x:row r="111" spans="1:25" ht="15" customHeight="1" x14ac:dyDescent="0.25">
      <x:c r="A111" s="710"/>
      <x:c r="B111" s="363" t="s">
        <x:v>132</x:v>
      </x:c>
      <x:c r="C111" s="697">
        <x:f>IF('УПБ'!$H18="Да",1,0)</x:f>
      </x:c>
      <x:c r="D111" s="698">
        <x:f>IF('УПБ'!$N18="Да",1,0)</x:f>
      </x:c>
      <x:c r="E111" s="699">
        <x:f>IF('УПБ'!$T18="Да",1,0)</x:f>
      </x:c>
      <x:c r="F111" s="700">
        <x:f>IF('УПБ'!$Z18="Да",1,0)</x:f>
      </x:c>
      <x:c r="G111" s="701">
        <x:f>IF('УПБ'!$AF18="Да",1,0)</x:f>
      </x:c>
      <x:c r="H111" s="702">
        <x:f>IF('УПБ'!$AL18="Да",1,0)</x:f>
      </x:c>
      <x:c r="I111" s="703">
        <x:f>IF('УПБ'!$AR18="Да",1,0)</x:f>
      </x:c>
      <x:c r="J111" s="704">
        <x:f>IF('УПБ'!$AX18="Да",1,0)</x:f>
      </x:c>
      <x:c r="K111" s="705">
        <x:f>IF('УПБ'!$BD18="Да",1,0)</x:f>
      </x:c>
      <x:c r="L111" s="706">
        <x:f>IF('УПБ'!$BJ18="Да",1,0)</x:f>
      </x:c>
      <x:c r="M111" s="707">
        <x:f>IF('УПБ'!$BP18="Да",1,0)</x:f>
      </x:c>
      <x:c r="N111" s="708">
        <x:f>IF('УПБ'!$BV18="Да",1,0)</x:f>
      </x:c>
      <x:c r="O111" s="375">
        <x:f>IFERROR(ROUND(SUM(C111:N111)/($S$96),1),"")</x:f>
      </x:c>
    </x:row>
    <x:row r="112" spans="1:25" ht="15" customHeight="1" x14ac:dyDescent="0.25">
      <x:c r="A112" s="710"/>
      <x:c r="B112" s="363" t="s">
        <x:v>120</x:v>
      </x:c>
      <x:c r="C112" s="697">
        <x:f>IF('УПБ'!$H19="Да",1,0)</x:f>
      </x:c>
      <x:c r="D112" s="698">
        <x:f>IF('УПБ'!$N19="Да",1,0)</x:f>
      </x:c>
      <x:c r="E112" s="699">
        <x:f>IF('УПБ'!$T19="Да",1,0)</x:f>
      </x:c>
      <x:c r="F112" s="700">
        <x:f>IF('УПБ'!$Z19="Да",1,0)</x:f>
      </x:c>
      <x:c r="G112" s="701">
        <x:f>IF('УПБ'!$AF19="Да",1,0)</x:f>
      </x:c>
      <x:c r="H112" s="702">
        <x:f>IF('УПБ'!$AL19="Да",1,0)</x:f>
      </x:c>
      <x:c r="I112" s="703">
        <x:f>IF('УПБ'!$AR19="Да",1,0)</x:f>
      </x:c>
      <x:c r="J112" s="704">
        <x:f>IF('УПБ'!$AX19="Да",1,0)</x:f>
      </x:c>
      <x:c r="K112" s="705">
        <x:f>IF('УПБ'!$BD19="Да",1,0)</x:f>
      </x:c>
      <x:c r="L112" s="706">
        <x:f>IF('УПБ'!$BJ19="Да",1,0)</x:f>
      </x:c>
      <x:c r="M112" s="707">
        <x:f>IF('УПБ'!$BP19="Да",1,0)</x:f>
      </x:c>
      <x:c r="N112" s="708">
        <x:f>IF('УПБ'!$BV19="Да",1,0)</x:f>
      </x:c>
      <x:c r="O112" s="375">
        <x:f>IFERROR(ROUND(SUM(C112:N112)/($S$96),1),"")</x:f>
      </x:c>
    </x:row>
    <x:row r="113" spans="1:25" ht="15" customHeight="1" x14ac:dyDescent="0.25">
      <x:c r="A113" s="710"/>
      <x:c r="B113" s="363" t="s">
        <x:v>134</x:v>
      </x:c>
      <x:c r="C113" s="697">
        <x:f>IF('УПБ'!$H20="Да",1,0)</x:f>
      </x:c>
      <x:c r="D113" s="698">
        <x:f>IF('УПБ'!$N20="Да",1,0)</x:f>
      </x:c>
      <x:c r="E113" s="699">
        <x:f>IF('УПБ'!$T20="Да",1,0)</x:f>
      </x:c>
      <x:c r="F113" s="700">
        <x:f>IF('УПБ'!$Z20="Да",1,0)</x:f>
      </x:c>
      <x:c r="G113" s="701">
        <x:f>IF('УПБ'!$AF20="Да",1,0)</x:f>
      </x:c>
      <x:c r="H113" s="702">
        <x:f>IF('УПБ'!$AL20="Да",1,0)</x:f>
      </x:c>
      <x:c r="I113" s="703">
        <x:f>IF('УПБ'!$AR20="Да",1,0)</x:f>
      </x:c>
      <x:c r="J113" s="704">
        <x:f>IF('УПБ'!$AX20="Да",1,0)</x:f>
      </x:c>
      <x:c r="K113" s="705">
        <x:f>IF('УПБ'!$BD20="Да",1,0)</x:f>
      </x:c>
      <x:c r="L113" s="706">
        <x:f>IF('УПБ'!$BJ20="Да",1,0)</x:f>
      </x:c>
      <x:c r="M113" s="707">
        <x:f>IF('УПБ'!$BP20="Да",1,0)</x:f>
      </x:c>
      <x:c r="N113" s="708">
        <x:f>IF('УПБ'!$BV20="Да",1,0)</x:f>
      </x:c>
      <x:c r="O113" s="375">
        <x:f>IFERROR(ROUND(SUM(C113:N113)/($S$96),1),"")</x:f>
      </x:c>
    </x:row>
    <x:row r="114" spans="1:25" ht="15" customHeight="1" x14ac:dyDescent="0.25">
      <x:c r="A114" s="710"/>
      <x:c r="B114" s="363" t="s">
        <x:v>113</x:v>
      </x:c>
      <x:c r="C114" s="697">
        <x:f>IF('УПБ'!$H21="Да",1,0)</x:f>
      </x:c>
      <x:c r="D114" s="698">
        <x:f>IF('УПБ'!$N21="Да",1,0)</x:f>
      </x:c>
      <x:c r="E114" s="699">
        <x:f>IF('УПБ'!$T21="Да",1,0)</x:f>
      </x:c>
      <x:c r="F114" s="700">
        <x:f>IF('УПБ'!$Z21="Да",1,0)</x:f>
      </x:c>
      <x:c r="G114" s="701">
        <x:f>IF('УПБ'!$AF21="Да",1,0)</x:f>
      </x:c>
      <x:c r="H114" s="702">
        <x:f>IF('УПБ'!$AL21="Да",1,0)</x:f>
      </x:c>
      <x:c r="I114" s="703">
        <x:f>IF('УПБ'!$AR21="Да",1,0)</x:f>
      </x:c>
      <x:c r="J114" s="704">
        <x:f>IF('УПБ'!$AX21="Да",1,0)</x:f>
      </x:c>
      <x:c r="K114" s="705">
        <x:f>IF('УПБ'!$BD21="Да",1,0)</x:f>
      </x:c>
      <x:c r="L114" s="706">
        <x:f>IF('УПБ'!$BJ21="Да",1,0)</x:f>
      </x:c>
      <x:c r="M114" s="707">
        <x:f>IF('УПБ'!$BP21="Да",1,0)</x:f>
      </x:c>
      <x:c r="N114" s="708">
        <x:f>IF('УПБ'!$BV21="Да",1,0)</x:f>
      </x:c>
      <x:c r="O114" s="375">
        <x:f>IFERROR(ROUND(SUM(C114:N114)/($S$96),1),"")</x:f>
      </x:c>
    </x:row>
    <x:row r="115" spans="1:25" ht="15" customHeight="1" x14ac:dyDescent="0.25">
      <x:c r="A115" s="710"/>
      <x:c r="B115" s="363" t="s">
        <x:v>107</x:v>
      </x:c>
      <x:c r="C115" s="697">
        <x:f>IF('УПБ'!$H22="Да",1,0)</x:f>
      </x:c>
      <x:c r="D115" s="698">
        <x:f>IF('УПБ'!$N22="Да",1,0)</x:f>
      </x:c>
      <x:c r="E115" s="699">
        <x:f>IF('УПБ'!$T22="Да",1,0)</x:f>
      </x:c>
      <x:c r="F115" s="700">
        <x:f>IF('УПБ'!$Z22="Да",1,0)</x:f>
      </x:c>
      <x:c r="G115" s="701">
        <x:f>IF('УПБ'!$AF22="Да",1,0)</x:f>
      </x:c>
      <x:c r="H115" s="702">
        <x:f>IF('УПБ'!$AL22="Да",1,0)</x:f>
      </x:c>
      <x:c r="I115" s="703">
        <x:f>IF('УПБ'!$AR22="Да",1,0)</x:f>
      </x:c>
      <x:c r="J115" s="704">
        <x:f>IF('УПБ'!$AX22="Да",1,0)</x:f>
      </x:c>
      <x:c r="K115" s="705">
        <x:f>IF('УПБ'!$BD22="Да",1,0)</x:f>
      </x:c>
      <x:c r="L115" s="706">
        <x:f>IF('УПБ'!$BJ22="Да",1,0)</x:f>
      </x:c>
      <x:c r="M115" s="707">
        <x:f>IF('УПБ'!$BP22="Да",1,0)</x:f>
      </x:c>
      <x:c r="N115" s="708">
        <x:f>IF('УПБ'!$BV22="Да",1,0)</x:f>
      </x:c>
      <x:c r="O115" s="375">
        <x:f>IFERROR(ROUND(SUM(C115:N115)/($S$96),1),"")</x:f>
      </x:c>
    </x:row>
    <x:row r="116" spans="1:25" ht="15" customHeight="1" x14ac:dyDescent="0.25">
      <x:c r="A116" s="710"/>
      <x:c r="B116" s="363" t="s">
        <x:v>123</x:v>
      </x:c>
      <x:c r="C116" s="697">
        <x:f>IF('УПБ'!$H23="Да",1,0)</x:f>
      </x:c>
      <x:c r="D116" s="698">
        <x:f>IF('УПБ'!$N23="Да",1,0)</x:f>
      </x:c>
      <x:c r="E116" s="699">
        <x:f>IF('УПБ'!$T23="Да",1,0)</x:f>
      </x:c>
      <x:c r="F116" s="700">
        <x:f>IF('УПБ'!$Z23="Да",1,0)</x:f>
      </x:c>
      <x:c r="G116" s="701">
        <x:f>IF('УПБ'!$AF23="Да",1,0)</x:f>
      </x:c>
      <x:c r="H116" s="702">
        <x:f>IF('УПБ'!$AL23="Да",1,0)</x:f>
      </x:c>
      <x:c r="I116" s="703">
        <x:f>IF('УПБ'!$AR23="Да",1,0)</x:f>
      </x:c>
      <x:c r="J116" s="704">
        <x:f>IF('УПБ'!$AX23="Да",1,0)</x:f>
      </x:c>
      <x:c r="K116" s="705">
        <x:f>IF('УПБ'!$BD23="Да",1,0)</x:f>
      </x:c>
      <x:c r="L116" s="706">
        <x:f>IF('УПБ'!$BJ23="Да",1,0)</x:f>
      </x:c>
      <x:c r="M116" s="707">
        <x:f>IF('УПБ'!$BP23="Да",1,0)</x:f>
      </x:c>
      <x:c r="N116" s="708">
        <x:f>IF('УПБ'!$BV23="Да",1,0)</x:f>
      </x:c>
      <x:c r="O116" s="375">
        <x:f>IFERROR(ROUND(SUM(C116:N116)/($S$96),1),"")</x:f>
      </x:c>
    </x:row>
    <x:row r="117" spans="1:25" ht="15" customHeight="1" x14ac:dyDescent="0.25">
      <x:c r="A117" s="710"/>
      <x:c r="B117" s="363" t="s">
        <x:v>126</x:v>
      </x:c>
      <x:c r="C117" s="697">
        <x:f>IF('УПБ'!$H24="Да",1,0)</x:f>
      </x:c>
      <x:c r="D117" s="698">
        <x:f>IF('УПБ'!$N24="Да",1,0)</x:f>
      </x:c>
      <x:c r="E117" s="699">
        <x:f>IF('УПБ'!$T24="Да",1,0)</x:f>
      </x:c>
      <x:c r="F117" s="700">
        <x:f>IF('УПБ'!$Z24="Да",1,0)</x:f>
      </x:c>
      <x:c r="G117" s="701">
        <x:f>IF('УПБ'!$AF24="Да",1,0)</x:f>
      </x:c>
      <x:c r="H117" s="702">
        <x:f>IF('УПБ'!$AL24="Да",1,0)</x:f>
      </x:c>
      <x:c r="I117" s="703">
        <x:f>IF('УПБ'!$AR24="Да",1,0)</x:f>
      </x:c>
      <x:c r="J117" s="704">
        <x:f>IF('УПБ'!$AX24="Да",1,0)</x:f>
      </x:c>
      <x:c r="K117" s="705">
        <x:f>IF('УПБ'!$BD24="Да",1,0)</x:f>
      </x:c>
      <x:c r="L117" s="706">
        <x:f>IF('УПБ'!$BJ24="Да",1,0)</x:f>
      </x:c>
      <x:c r="M117" s="707">
        <x:f>IF('УПБ'!$BP24="Да",1,0)</x:f>
      </x:c>
      <x:c r="N117" s="708">
        <x:f>IF('УПБ'!$BV24="Да",1,0)</x:f>
      </x:c>
      <x:c r="O117" s="375">
        <x:f>IFERROR(ROUND(SUM(C117:N117)/($S$96),1),"")</x:f>
      </x:c>
    </x:row>
    <x:row r="118" spans="1:25" ht="15" customHeight="1" x14ac:dyDescent="0.25">
      <x:c r="A118" s="710"/>
      <x:c r="B118" s="363" t="s">
        <x:v>93</x:v>
      </x:c>
      <x:c r="C118" s="697">
        <x:f>IF('УПБ'!$H25="Да",1,0)</x:f>
      </x:c>
      <x:c r="D118" s="698">
        <x:f>IF('УПБ'!$N25="Да",1,0)</x:f>
      </x:c>
      <x:c r="E118" s="699">
        <x:f>IF('УПБ'!$T25="Да",1,0)</x:f>
      </x:c>
      <x:c r="F118" s="700">
        <x:f>IF('УПБ'!$Z25="Да",1,0)</x:f>
      </x:c>
      <x:c r="G118" s="701">
        <x:f>IF('УПБ'!$AF25="Да",1,0)</x:f>
      </x:c>
      <x:c r="H118" s="702">
        <x:f>IF('УПБ'!$AL25="Да",1,0)</x:f>
      </x:c>
      <x:c r="I118" s="703">
        <x:f>IF('УПБ'!$AR25="Да",1,0)</x:f>
      </x:c>
      <x:c r="J118" s="704">
        <x:f>IF('УПБ'!$AX25="Да",1,0)</x:f>
      </x:c>
      <x:c r="K118" s="705">
        <x:f>IF('УПБ'!$BD25="Да",1,0)</x:f>
      </x:c>
      <x:c r="L118" s="706">
        <x:f>IF('УПБ'!$BJ25="Да",1,0)</x:f>
      </x:c>
      <x:c r="M118" s="707">
        <x:f>IF('УПБ'!$BP25="Да",1,0)</x:f>
      </x:c>
      <x:c r="N118" s="708">
        <x:f>IF('УПБ'!$BV25="Да",1,0)</x:f>
      </x:c>
      <x:c r="O118" s="375">
        <x:f>IFERROR(ROUND(SUM(C118:N118)/($S$96),1),"")</x:f>
      </x:c>
    </x:row>
    <x:row r="119" spans="1:25" ht="15" customHeight="1" x14ac:dyDescent="0.25">
      <x:c r="A119" s="710"/>
      <x:c r="B119" s="363" t="s">
        <x:v>130</x:v>
      </x:c>
      <x:c r="C119" s="697">
        <x:f>IF('УПБ'!$H26="Да",1,0)</x:f>
      </x:c>
      <x:c r="D119" s="698">
        <x:f>IF('УПБ'!$N26="Да",1,0)</x:f>
      </x:c>
      <x:c r="E119" s="699">
        <x:f>IF('УПБ'!$T26="Да",1,0)</x:f>
      </x:c>
      <x:c r="F119" s="700">
        <x:f>IF('УПБ'!$Z26="Да",1,0)</x:f>
      </x:c>
      <x:c r="G119" s="701">
        <x:f>IF('УПБ'!$AF26="Да",1,0)</x:f>
      </x:c>
      <x:c r="H119" s="702">
        <x:f>IF('УПБ'!$AL26="Да",1,0)</x:f>
      </x:c>
      <x:c r="I119" s="703">
        <x:f>IF('УПБ'!$AR26="Да",1,0)</x:f>
      </x:c>
      <x:c r="J119" s="704">
        <x:f>IF('УПБ'!$AX26="Да",1,0)</x:f>
      </x:c>
      <x:c r="K119" s="705">
        <x:f>IF('УПБ'!$BD26="Да",1,0)</x:f>
      </x:c>
      <x:c r="L119" s="706">
        <x:f>IF('УПБ'!$BJ26="Да",1,0)</x:f>
      </x:c>
      <x:c r="M119" s="707">
        <x:f>IF('УПБ'!$BP26="Да",1,0)</x:f>
      </x:c>
      <x:c r="N119" s="708">
        <x:f>IF('УПБ'!$BV26="Да",1,0)</x:f>
      </x:c>
      <x:c r="O119" s="375">
        <x:f>IFERROR(ROUND(SUM(C119:N119)/($S$96),1),"")</x:f>
      </x:c>
    </x:row>
    <x:row r="120" spans="1:25" ht="15" customHeight="1" x14ac:dyDescent="0.25">
      <x:c r="A120" s="710"/>
      <x:c r="B120" s="363" t="s">
        <x:v>131</x:v>
      </x:c>
      <x:c r="C120" s="697">
        <x:f>IF('УПБ'!$H27="Да",1,0)</x:f>
      </x:c>
      <x:c r="D120" s="698">
        <x:f>IF('УПБ'!$N27="Да",1,0)</x:f>
      </x:c>
      <x:c r="E120" s="699">
        <x:f>IF('УПБ'!$T27="Да",1,0)</x:f>
      </x:c>
      <x:c r="F120" s="700">
        <x:f>IF('УПБ'!$Z27="Да",1,0)</x:f>
      </x:c>
      <x:c r="G120" s="701">
        <x:f>IF('УПБ'!$AF27="Да",1,0)</x:f>
      </x:c>
      <x:c r="H120" s="702">
        <x:f>IF('УПБ'!$AL27="Да",1,0)</x:f>
      </x:c>
      <x:c r="I120" s="703">
        <x:f>IF('УПБ'!$AR27="Да",1,0)</x:f>
      </x:c>
      <x:c r="J120" s="704">
        <x:f>IF('УПБ'!$AX27="Да",1,0)</x:f>
      </x:c>
      <x:c r="K120" s="705">
        <x:f>IF('УПБ'!$BD27="Да",1,0)</x:f>
      </x:c>
      <x:c r="L120" s="706">
        <x:f>IF('УПБ'!$BJ27="Да",1,0)</x:f>
      </x:c>
      <x:c r="M120" s="707">
        <x:f>IF('УПБ'!$BP27="Да",1,0)</x:f>
      </x:c>
      <x:c r="N120" s="708">
        <x:f>IF('УПБ'!$BV27="Да",1,0)</x:f>
      </x:c>
      <x:c r="O120" s="375">
        <x:f>IFERROR(ROUND(SUM(C120:N120)/($S$96),1),"")</x:f>
      </x:c>
    </x:row>
    <x:row r="121" spans="1:25" ht="15" customHeight="1" x14ac:dyDescent="0.25">
      <x:c r="A121" s="710"/>
      <x:c r="B121" s="363" t="s">
        <x:v>108</x:v>
      </x:c>
      <x:c r="C121" s="697">
        <x:f>IF('УПБ'!$H28="Да",1,0)</x:f>
      </x:c>
      <x:c r="D121" s="698">
        <x:f>IF('УПБ'!$N28="Да",1,0)</x:f>
      </x:c>
      <x:c r="E121" s="699">
        <x:f>IF('УПБ'!$T28="Да",1,0)</x:f>
      </x:c>
      <x:c r="F121" s="700">
        <x:f>IF('УПБ'!$Z28="Да",1,0)</x:f>
      </x:c>
      <x:c r="G121" s="701">
        <x:f>IF('УПБ'!$AF28="Да",1,0)</x:f>
      </x:c>
      <x:c r="H121" s="702">
        <x:f>IF('УПБ'!$AL28="Да",1,0)</x:f>
      </x:c>
      <x:c r="I121" s="703">
        <x:f>IF('УПБ'!$AR28="Да",1,0)</x:f>
      </x:c>
      <x:c r="J121" s="704">
        <x:f>IF('УПБ'!$AX28="Да",1,0)</x:f>
      </x:c>
      <x:c r="K121" s="705">
        <x:f>IF('УПБ'!$BD28="Да",1,0)</x:f>
      </x:c>
      <x:c r="L121" s="706">
        <x:f>IF('УПБ'!$BJ28="Да",1,0)</x:f>
      </x:c>
      <x:c r="M121" s="707">
        <x:f>IF('УПБ'!$BP28="Да",1,0)</x:f>
      </x:c>
      <x:c r="N121" s="708">
        <x:f>IF('УПБ'!$BV28="Да",1,0)</x:f>
      </x:c>
      <x:c r="O121" s="375">
        <x:f>IFERROR(ROUND(SUM(C121:N121)/($S$96),1),"")</x:f>
      </x:c>
    </x:row>
    <x:row r="122" spans="1:25" ht="15" customHeight="1" x14ac:dyDescent="0.25">
      <x:c r="A122" s="710"/>
      <x:c r="B122" s="363" t="s">
        <x:v>109</x:v>
      </x:c>
      <x:c r="C122" s="697">
        <x:f>IF('УПБ'!$H29="Да",1,0)</x:f>
      </x:c>
      <x:c r="D122" s="698">
        <x:f>IF('УПБ'!$N29="Да",1,0)</x:f>
      </x:c>
      <x:c r="E122" s="699">
        <x:f>IF('УПБ'!$T29="Да",1,0)</x:f>
      </x:c>
      <x:c r="F122" s="700">
        <x:f>IF('УПБ'!$Z29="Да",1,0)</x:f>
      </x:c>
      <x:c r="G122" s="701">
        <x:f>IF('УПБ'!$AF29="Да",1,0)</x:f>
      </x:c>
      <x:c r="H122" s="702">
        <x:f>IF('УПБ'!$AL29="Да",1,0)</x:f>
      </x:c>
      <x:c r="I122" s="703">
        <x:f>IF('УПБ'!$AR29="Да",1,0)</x:f>
      </x:c>
      <x:c r="J122" s="704">
        <x:f>IF('УПБ'!$AX29="Да",1,0)</x:f>
      </x:c>
      <x:c r="K122" s="705">
        <x:f>IF('УПБ'!$BD29="Да",1,0)</x:f>
      </x:c>
      <x:c r="L122" s="706">
        <x:f>IF('УПБ'!$BJ29="Да",1,0)</x:f>
      </x:c>
      <x:c r="M122" s="707">
        <x:f>IF('УПБ'!$BP29="Да",1,0)</x:f>
      </x:c>
      <x:c r="N122" s="708">
        <x:f>IF('УПБ'!$BV29="Да",1,0)</x:f>
      </x:c>
      <x:c r="O122" s="375">
        <x:f>IFERROR(ROUND(SUM(C122:N122)/($S$96),1),"")</x:f>
      </x:c>
    </x:row>
    <x:row r="123" spans="1:25" ht="15" customHeight="1" x14ac:dyDescent="0.25">
      <x:c r="A123" s="710"/>
      <x:c r="B123" s="363" t="s">
        <x:v>128</x:v>
      </x:c>
      <x:c r="C123" s="697">
        <x:f>IF('УПБ'!$H30="Да",1,0)</x:f>
      </x:c>
      <x:c r="D123" s="698">
        <x:f>IF('УПБ'!$N30="Да",1,0)</x:f>
      </x:c>
      <x:c r="E123" s="699">
        <x:f>IF('УПБ'!$T30="Да",1,0)</x:f>
      </x:c>
      <x:c r="F123" s="700">
        <x:f>IF('УПБ'!$Z30="Да",1,0)</x:f>
      </x:c>
      <x:c r="G123" s="701">
        <x:f>IF('УПБ'!$AF30="Да",1,0)</x:f>
      </x:c>
      <x:c r="H123" s="702">
        <x:f>IF('УПБ'!$AL30="Да",1,0)</x:f>
      </x:c>
      <x:c r="I123" s="703">
        <x:f>IF('УПБ'!$AR30="Да",1,0)</x:f>
      </x:c>
      <x:c r="J123" s="704">
        <x:f>IF('УПБ'!$AX30="Да",1,0)</x:f>
      </x:c>
      <x:c r="K123" s="705">
        <x:f>IF('УПБ'!$BD30="Да",1,0)</x:f>
      </x:c>
      <x:c r="L123" s="706">
        <x:f>IF('УПБ'!$BJ30="Да",1,0)</x:f>
      </x:c>
      <x:c r="M123" s="707">
        <x:f>IF('УПБ'!$BP30="Да",1,0)</x:f>
      </x:c>
      <x:c r="N123" s="708">
        <x:f>IF('УПБ'!$BV30="Да",1,0)</x:f>
      </x:c>
      <x:c r="O123" s="375">
        <x:f>IFERROR(ROUND(SUM(C123:N123)/($S$96),1),"")</x:f>
      </x:c>
    </x:row>
    <x:row r="124" spans="1:25" ht="15" customHeight="1" x14ac:dyDescent="0.25">
      <x:c r="A124" s="710"/>
      <x:c r="B124" s="363" t="s">
        <x:v>105</x:v>
      </x:c>
      <x:c r="C124" s="697">
        <x:f>IF('УПБ'!$H31="Да",1,0)</x:f>
      </x:c>
      <x:c r="D124" s="698">
        <x:f>IF('УПБ'!$N31="Да",1,0)</x:f>
      </x:c>
      <x:c r="E124" s="699">
        <x:f>IF('УПБ'!$T31="Да",1,0)</x:f>
      </x:c>
      <x:c r="F124" s="700">
        <x:f>IF('УПБ'!$Z31="Да",1,0)</x:f>
      </x:c>
      <x:c r="G124" s="701">
        <x:f>IF('УПБ'!$AF31="Да",1,0)</x:f>
      </x:c>
      <x:c r="H124" s="702">
        <x:f>IF('УПБ'!$AL31="Да",1,0)</x:f>
      </x:c>
      <x:c r="I124" s="703">
        <x:f>IF('УПБ'!$AR31="Да",1,0)</x:f>
      </x:c>
      <x:c r="J124" s="704">
        <x:f>IF('УПБ'!$AX31="Да",1,0)</x:f>
      </x:c>
      <x:c r="K124" s="705">
        <x:f>IF('УПБ'!$BD31="Да",1,0)</x:f>
      </x:c>
      <x:c r="L124" s="706">
        <x:f>IF('УПБ'!$BJ31="Да",1,0)</x:f>
      </x:c>
      <x:c r="M124" s="707">
        <x:f>IF('УПБ'!$BP31="Да",1,0)</x:f>
      </x:c>
      <x:c r="N124" s="708">
        <x:f>IF('УПБ'!$BV31="Да",1,0)</x:f>
      </x:c>
      <x:c r="O124" s="375">
        <x:f>IFERROR(ROUND(SUM(C124:N124)/($S$96),1),"")</x:f>
      </x:c>
    </x:row>
    <x:row r="125" spans="1:25" ht="15" customHeight="1" x14ac:dyDescent="0.25">
      <x:c r="A125" s="710"/>
      <x:c r="B125" s="363" t="s">
        <x:v>135</x:v>
      </x:c>
      <x:c r="C125" s="697">
        <x:f>IF('УПБ'!$H32="Да",1,0)</x:f>
      </x:c>
      <x:c r="D125" s="698">
        <x:f>IF('УПБ'!$N32="Да",1,0)</x:f>
      </x:c>
      <x:c r="E125" s="699">
        <x:f>IF('УПБ'!$T32="Да",1,0)</x:f>
      </x:c>
      <x:c r="F125" s="700">
        <x:f>IF('УПБ'!$Z32="Да",1,0)</x:f>
      </x:c>
      <x:c r="G125" s="701">
        <x:f>IF('УПБ'!$AF32="Да",1,0)</x:f>
      </x:c>
      <x:c r="H125" s="702">
        <x:f>IF('УПБ'!$AL32="Да",1,0)</x:f>
      </x:c>
      <x:c r="I125" s="703">
        <x:f>IF('УПБ'!$AR32="Да",1,0)</x:f>
      </x:c>
      <x:c r="J125" s="704">
        <x:f>IF('УПБ'!$AX32="Да",1,0)</x:f>
      </x:c>
      <x:c r="K125" s="705">
        <x:f>IF('УПБ'!$BD32="Да",1,0)</x:f>
      </x:c>
      <x:c r="L125" s="706">
        <x:f>IF('УПБ'!$BJ32="Да",1,0)</x:f>
      </x:c>
      <x:c r="M125" s="707">
        <x:f>IF('УПБ'!$BP32="Да",1,0)</x:f>
      </x:c>
      <x:c r="N125" s="708">
        <x:f>IF('УПБ'!$BV32="Да",1,0)</x:f>
      </x:c>
      <x:c r="O125" s="375">
        <x:f>IFERROR(ROUND(SUM(C125:N125)/($S$96),1),"")</x:f>
      </x:c>
    </x:row>
    <x:row r="126" spans="1:25" ht="15" customHeight="1" x14ac:dyDescent="0.25">
      <x:c r="A126" s="710"/>
      <x:c r="B126" s="363" t="s">
        <x:v>100</x:v>
      </x:c>
      <x:c r="C126" s="697">
        <x:f>IF('УПБ'!$H33="Да",1,0)</x:f>
      </x:c>
      <x:c r="D126" s="698">
        <x:f>IF('УПБ'!$N33="Да",1,0)</x:f>
      </x:c>
      <x:c r="E126" s="699">
        <x:f>IF('УПБ'!$T33="Да",1,0)</x:f>
      </x:c>
      <x:c r="F126" s="700">
        <x:f>IF('УПБ'!$Z33="Да",1,0)</x:f>
      </x:c>
      <x:c r="G126" s="701">
        <x:f>IF('УПБ'!$AF33="Да",1,0)</x:f>
      </x:c>
      <x:c r="H126" s="702">
        <x:f>IF('УПБ'!$AL33="Да",1,0)</x:f>
      </x:c>
      <x:c r="I126" s="703">
        <x:f>IF('УПБ'!$AR33="Да",1,0)</x:f>
      </x:c>
      <x:c r="J126" s="704">
        <x:f>IF('УПБ'!$AX33="Да",1,0)</x:f>
      </x:c>
      <x:c r="K126" s="705">
        <x:f>IF('УПБ'!$BD33="Да",1,0)</x:f>
      </x:c>
      <x:c r="L126" s="706">
        <x:f>IF('УПБ'!$BJ33="Да",1,0)</x:f>
      </x:c>
      <x:c r="M126" s="707">
        <x:f>IF('УПБ'!$BP33="Да",1,0)</x:f>
      </x:c>
      <x:c r="N126" s="708">
        <x:f>IF('УПБ'!$BV33="Да",1,0)</x:f>
      </x:c>
      <x:c r="O126" s="375">
        <x:f>IFERROR(ROUND(SUM(C126:N126)/($S$96),1),"")</x:f>
      </x:c>
    </x:row>
    <x:row r="127" spans="1:25" ht="15" customHeight="1" x14ac:dyDescent="0.25">
      <x:c r="A127" s="710"/>
      <x:c r="B127" s="363" t="s">
        <x:v>98</x:v>
      </x:c>
      <x:c r="C127" s="697">
        <x:f>IF('УПБ'!$H34="Да",1,0)</x:f>
      </x:c>
      <x:c r="D127" s="698">
        <x:f>IF('УПБ'!$N34="Да",1,0)</x:f>
      </x:c>
      <x:c r="E127" s="699">
        <x:f>IF('УПБ'!$T34="Да",1,0)</x:f>
      </x:c>
      <x:c r="F127" s="700">
        <x:f>IF('УПБ'!$Z34="Да",1,0)</x:f>
      </x:c>
      <x:c r="G127" s="701">
        <x:f>IF('УПБ'!$AF34="Да",1,0)</x:f>
      </x:c>
      <x:c r="H127" s="702">
        <x:f>IF('УПБ'!$AL34="Да",1,0)</x:f>
      </x:c>
      <x:c r="I127" s="703">
        <x:f>IF('УПБ'!$AR34="Да",1,0)</x:f>
      </x:c>
      <x:c r="J127" s="704">
        <x:f>IF('УПБ'!$AX34="Да",1,0)</x:f>
      </x:c>
      <x:c r="K127" s="705">
        <x:f>IF('УПБ'!$BD34="Да",1,0)</x:f>
      </x:c>
      <x:c r="L127" s="706">
        <x:f>IF('УПБ'!$BJ34="Да",1,0)</x:f>
      </x:c>
      <x:c r="M127" s="707">
        <x:f>IF('УПБ'!$BP34="Да",1,0)</x:f>
      </x:c>
      <x:c r="N127" s="708">
        <x:f>IF('УПБ'!$BV34="Да",1,0)</x:f>
      </x:c>
      <x:c r="O127" s="375">
        <x:f>IFERROR(ROUND(SUM(C127:N127)/($S$96),1),"")</x:f>
      </x:c>
    </x:row>
    <x:row r="128" spans="1:25" ht="15" customHeight="1" x14ac:dyDescent="0.25">
      <x:c r="A128" s="710"/>
      <x:c r="B128" s="363" t="s">
        <x:v>119</x:v>
      </x:c>
      <x:c r="C128" s="697">
        <x:f>IF('УПБ'!$H35="Да",1,0)</x:f>
      </x:c>
      <x:c r="D128" s="698">
        <x:f>IF('УПБ'!$N35="Да",1,0)</x:f>
      </x:c>
      <x:c r="E128" s="699">
        <x:f>IF('УПБ'!$T35="Да",1,0)</x:f>
      </x:c>
      <x:c r="F128" s="700">
        <x:f>IF('УПБ'!$Z35="Да",1,0)</x:f>
      </x:c>
      <x:c r="G128" s="701">
        <x:f>IF('УПБ'!$AF35="Да",1,0)</x:f>
      </x:c>
      <x:c r="H128" s="702">
        <x:f>IF('УПБ'!$AL35="Да",1,0)</x:f>
      </x:c>
      <x:c r="I128" s="703">
        <x:f>IF('УПБ'!$AR35="Да",1,0)</x:f>
      </x:c>
      <x:c r="J128" s="704">
        <x:f>IF('УПБ'!$AX35="Да",1,0)</x:f>
      </x:c>
      <x:c r="K128" s="705">
        <x:f>IF('УПБ'!$BD35="Да",1,0)</x:f>
      </x:c>
      <x:c r="L128" s="706">
        <x:f>IF('УПБ'!$BJ35="Да",1,0)</x:f>
      </x:c>
      <x:c r="M128" s="707">
        <x:f>IF('УПБ'!$BP35="Да",1,0)</x:f>
      </x:c>
      <x:c r="N128" s="708">
        <x:f>IF('УПБ'!$BV35="Да",1,0)</x:f>
      </x:c>
      <x:c r="O128" s="375">
        <x:f>IFERROR(ROUND(SUM(C128:N128)/($S$96),1),"")</x:f>
      </x:c>
    </x:row>
    <x:row r="129" spans="1:25" ht="15" customHeight="1" x14ac:dyDescent="0.25">
      <x:c r="A129" s="710"/>
      <x:c r="B129" s="363" t="s">
        <x:v>117</x:v>
      </x:c>
      <x:c r="C129" s="697">
        <x:f>IF('УПБ'!$H36="Да",1,0)</x:f>
      </x:c>
      <x:c r="D129" s="698">
        <x:f>IF('УПБ'!$N36="Да",1,0)</x:f>
      </x:c>
      <x:c r="E129" s="699">
        <x:f>IF('УПБ'!$T36="Да",1,0)</x:f>
      </x:c>
      <x:c r="F129" s="700">
        <x:f>IF('УПБ'!$Z36="Да",1,0)</x:f>
      </x:c>
      <x:c r="G129" s="701">
        <x:f>IF('УПБ'!$AF36="Да",1,0)</x:f>
      </x:c>
      <x:c r="H129" s="702">
        <x:f>IF('УПБ'!$AL36="Да",1,0)</x:f>
      </x:c>
      <x:c r="I129" s="703">
        <x:f>IF('УПБ'!$AR36="Да",1,0)</x:f>
      </x:c>
      <x:c r="J129" s="704">
        <x:f>IF('УПБ'!$AX36="Да",1,0)</x:f>
      </x:c>
      <x:c r="K129" s="705">
        <x:f>IF('УПБ'!$BD36="Да",1,0)</x:f>
      </x:c>
      <x:c r="L129" s="706">
        <x:f>IF('УПБ'!$BJ36="Да",1,0)</x:f>
      </x:c>
      <x:c r="M129" s="707">
        <x:f>IF('УПБ'!$BP36="Да",1,0)</x:f>
      </x:c>
      <x:c r="N129" s="708">
        <x:f>IF('УПБ'!$BV36="Да",1,0)</x:f>
      </x:c>
      <x:c r="O129" s="375">
        <x:f>IFERROR(ROUND(SUM(C129:N129)/($S$96),1),"")</x:f>
      </x:c>
    </x:row>
    <x:row r="130" spans="1:25" ht="15" customHeight="1" x14ac:dyDescent="0.25">
      <x:c r="A130" s="710"/>
      <x:c r="B130" s="363" t="s">
        <x:v>99</x:v>
      </x:c>
      <x:c r="C130" s="697">
        <x:f>IF('УПБ'!$H37="Да",1,0)</x:f>
      </x:c>
      <x:c r="D130" s="698">
        <x:f>IF('УПБ'!$N37="Да",1,0)</x:f>
      </x:c>
      <x:c r="E130" s="699">
        <x:f>IF('УПБ'!$T37="Да",1,0)</x:f>
      </x:c>
      <x:c r="F130" s="700">
        <x:f>IF('УПБ'!$Z37="Да",1,0)</x:f>
      </x:c>
      <x:c r="G130" s="701">
        <x:f>IF('УПБ'!$AF37="Да",1,0)</x:f>
      </x:c>
      <x:c r="H130" s="702">
        <x:f>IF('УПБ'!$AL37="Да",1,0)</x:f>
      </x:c>
      <x:c r="I130" s="703">
        <x:f>IF('УПБ'!$AR37="Да",1,0)</x:f>
      </x:c>
      <x:c r="J130" s="704">
        <x:f>IF('УПБ'!$AX37="Да",1,0)</x:f>
      </x:c>
      <x:c r="K130" s="705">
        <x:f>IF('УПБ'!$BD37="Да",1,0)</x:f>
      </x:c>
      <x:c r="L130" s="706">
        <x:f>IF('УПБ'!$BJ37="Да",1,0)</x:f>
      </x:c>
      <x:c r="M130" s="707">
        <x:f>IF('УПБ'!$BP37="Да",1,0)</x:f>
      </x:c>
      <x:c r="N130" s="708">
        <x:f>IF('УПБ'!$BV37="Да",1,0)</x:f>
      </x:c>
      <x:c r="O130" s="375">
        <x:f>IFERROR(ROUND(SUM(C130:N130)/($S$96),1),"")</x:f>
      </x:c>
    </x:row>
    <x:row r="131" spans="1:25" ht="15" customHeight="1" x14ac:dyDescent="0.25">
      <x:c r="A131" s="710"/>
      <x:c r="B131" s="363" t="s">
        <x:v>118</x:v>
      </x:c>
      <x:c r="C131" s="697">
        <x:f>IF('УПБ'!$H38="Да",1,0)</x:f>
      </x:c>
      <x:c r="D131" s="698">
        <x:f>IF('УПБ'!$N38="Да",1,0)</x:f>
      </x:c>
      <x:c r="E131" s="699">
        <x:f>IF('УПБ'!$T38="Да",1,0)</x:f>
      </x:c>
      <x:c r="F131" s="700">
        <x:f>IF('УПБ'!$Z38="Да",1,0)</x:f>
      </x:c>
      <x:c r="G131" s="701">
        <x:f>IF('УПБ'!$AF38="Да",1,0)</x:f>
      </x:c>
      <x:c r="H131" s="702">
        <x:f>IF('УПБ'!$AL38="Да",1,0)</x:f>
      </x:c>
      <x:c r="I131" s="703">
        <x:f>IF('УПБ'!$AR38="Да",1,0)</x:f>
      </x:c>
      <x:c r="J131" s="704">
        <x:f>IF('УПБ'!$AX38="Да",1,0)</x:f>
      </x:c>
      <x:c r="K131" s="705">
        <x:f>IF('УПБ'!$BD38="Да",1,0)</x:f>
      </x:c>
      <x:c r="L131" s="706">
        <x:f>IF('УПБ'!$BJ38="Да",1,0)</x:f>
      </x:c>
      <x:c r="M131" s="707">
        <x:f>IF('УПБ'!$BP38="Да",1,0)</x:f>
      </x:c>
      <x:c r="N131" s="708">
        <x:f>IF('УПБ'!$BV38="Да",1,0)</x:f>
      </x:c>
      <x:c r="O131" s="375">
        <x:f>IFERROR(ROUND(SUM(C131:N131)/($S$96),1),"")</x:f>
      </x:c>
    </x:row>
    <x:row r="132" spans="1:25" ht="15" customHeight="1" x14ac:dyDescent="0.25">
      <x:c r="A132" s="710"/>
      <x:c r="B132" s="363" t="s">
        <x:v>103</x:v>
      </x:c>
      <x:c r="C132" s="697">
        <x:f>IF('УПБ'!$H39="Да",1,0)</x:f>
      </x:c>
      <x:c r="D132" s="698">
        <x:f>IF('УПБ'!$N39="Да",1,0)</x:f>
      </x:c>
      <x:c r="E132" s="699">
        <x:f>IF('УПБ'!$T39="Да",1,0)</x:f>
      </x:c>
      <x:c r="F132" s="700">
        <x:f>IF('УПБ'!$Z39="Да",1,0)</x:f>
      </x:c>
      <x:c r="G132" s="701">
        <x:f>IF('УПБ'!$AF39="Да",1,0)</x:f>
      </x:c>
      <x:c r="H132" s="702">
        <x:f>IF('УПБ'!$AL39="Да",1,0)</x:f>
      </x:c>
      <x:c r="I132" s="703">
        <x:f>IF('УПБ'!$AR39="Да",1,0)</x:f>
      </x:c>
      <x:c r="J132" s="704">
        <x:f>IF('УПБ'!$AX39="Да",1,0)</x:f>
      </x:c>
      <x:c r="K132" s="705">
        <x:f>IF('УПБ'!$BD39="Да",1,0)</x:f>
      </x:c>
      <x:c r="L132" s="706">
        <x:f>IF('УПБ'!$BJ39="Да",1,0)</x:f>
      </x:c>
      <x:c r="M132" s="707">
        <x:f>IF('УПБ'!$BP39="Да",1,0)</x:f>
      </x:c>
      <x:c r="N132" s="708">
        <x:f>IF('УПБ'!$BV39="Да",1,0)</x:f>
      </x:c>
      <x:c r="O132" s="375">
        <x:f>IFERROR(ROUND(SUM(C132:N132)/($S$96),1),"")</x:f>
      </x:c>
    </x:row>
    <x:row r="133" spans="1:25" ht="15" customHeight="1" x14ac:dyDescent="0.25">
      <x:c r="A133" s="710"/>
      <x:c r="B133" s="363" t="s">
        <x:v>127</x:v>
      </x:c>
      <x:c r="C133" s="697">
        <x:f>IF('УПБ'!$H40="Да",1,0)</x:f>
      </x:c>
      <x:c r="D133" s="698">
        <x:f>IF('УПБ'!$N40="Да",1,0)</x:f>
      </x:c>
      <x:c r="E133" s="699">
        <x:f>IF('УПБ'!$T40="Да",1,0)</x:f>
      </x:c>
      <x:c r="F133" s="700">
        <x:f>IF('УПБ'!$Z40="Да",1,0)</x:f>
      </x:c>
      <x:c r="G133" s="701">
        <x:f>IF('УПБ'!$AF40="Да",1,0)</x:f>
      </x:c>
      <x:c r="H133" s="702">
        <x:f>IF('УПБ'!$AL40="Да",1,0)</x:f>
      </x:c>
      <x:c r="I133" s="703">
        <x:f>IF('УПБ'!$AR40="Да",1,0)</x:f>
      </x:c>
      <x:c r="J133" s="704">
        <x:f>IF('УПБ'!$AX40="Да",1,0)</x:f>
      </x:c>
      <x:c r="K133" s="705">
        <x:f>IF('УПБ'!$BD40="Да",1,0)</x:f>
      </x:c>
      <x:c r="L133" s="706">
        <x:f>IF('УПБ'!$BJ40="Да",1,0)</x:f>
      </x:c>
      <x:c r="M133" s="707">
        <x:f>IF('УПБ'!$BP40="Да",1,0)</x:f>
      </x:c>
      <x:c r="N133" s="708">
        <x:f>IF('УПБ'!$BV40="Да",1,0)</x:f>
      </x:c>
      <x:c r="O133" s="375">
        <x:f>IFERROR(ROUND(SUM(C133:N133)/($S$96),1),"")</x:f>
      </x:c>
    </x:row>
    <x:row r="134" spans="1:25" ht="15" customHeight="1" x14ac:dyDescent="0.25">
      <x:c r="A134" s="710"/>
      <x:c r="B134" s="363" t="s">
        <x:v>92</x:v>
      </x:c>
      <x:c r="C134" s="697">
        <x:f>IF('УПБ'!$H41="Да",1,0)</x:f>
      </x:c>
      <x:c r="D134" s="698">
        <x:f>IF('УПБ'!$N41="Да",1,0)</x:f>
      </x:c>
      <x:c r="E134" s="699">
        <x:f>IF('УПБ'!$T41="Да",1,0)</x:f>
      </x:c>
      <x:c r="F134" s="700">
        <x:f>IF('УПБ'!$Z41="Да",1,0)</x:f>
      </x:c>
      <x:c r="G134" s="701">
        <x:f>IF('УПБ'!$AF41="Да",1,0)</x:f>
      </x:c>
      <x:c r="H134" s="702">
        <x:f>IF('УПБ'!$AL41="Да",1,0)</x:f>
      </x:c>
      <x:c r="I134" s="703">
        <x:f>IF('УПБ'!$AR41="Да",1,0)</x:f>
      </x:c>
      <x:c r="J134" s="704">
        <x:f>IF('УПБ'!$AX41="Да",1,0)</x:f>
      </x:c>
      <x:c r="K134" s="705">
        <x:f>IF('УПБ'!$BD41="Да",1,0)</x:f>
      </x:c>
      <x:c r="L134" s="706">
        <x:f>IF('УПБ'!$BJ41="Да",1,0)</x:f>
      </x:c>
      <x:c r="M134" s="707">
        <x:f>IF('УПБ'!$BP41="Да",1,0)</x:f>
      </x:c>
      <x:c r="N134" s="708">
        <x:f>IF('УПБ'!$BV41="Да",1,0)</x:f>
      </x:c>
      <x:c r="O134" s="375">
        <x:f>IFERROR(ROUND(SUM(C134:N134)/($S$96),1),"")</x:f>
      </x:c>
    </x:row>
    <x:row r="135" spans="1:25" ht="15" customHeight="1" x14ac:dyDescent="0.25">
      <x:c r="A135" s="710"/>
      <x:c r="B135" s="363" t="s">
        <x:v>97</x:v>
      </x:c>
      <x:c r="C135" s="697">
        <x:f>IF('УПБ'!$H42="Да",1,0)</x:f>
      </x:c>
      <x:c r="D135" s="698">
        <x:f>IF('УПБ'!$N42="Да",1,0)</x:f>
      </x:c>
      <x:c r="E135" s="699">
        <x:f>IF('УПБ'!$T42="Да",1,0)</x:f>
      </x:c>
      <x:c r="F135" s="700">
        <x:f>IF('УПБ'!$Z42="Да",1,0)</x:f>
      </x:c>
      <x:c r="G135" s="701">
        <x:f>IF('УПБ'!$AF42="Да",1,0)</x:f>
      </x:c>
      <x:c r="H135" s="702">
        <x:f>IF('УПБ'!$AL42="Да",1,0)</x:f>
      </x:c>
      <x:c r="I135" s="703">
        <x:f>IF('УПБ'!$AR42="Да",1,0)</x:f>
      </x:c>
      <x:c r="J135" s="704">
        <x:f>IF('УПБ'!$AX42="Да",1,0)</x:f>
      </x:c>
      <x:c r="K135" s="705">
        <x:f>IF('УПБ'!$BD42="Да",1,0)</x:f>
      </x:c>
      <x:c r="L135" s="706">
        <x:f>IF('УПБ'!$BJ42="Да",1,0)</x:f>
      </x:c>
      <x:c r="M135" s="707">
        <x:f>IF('УПБ'!$BP42="Да",1,0)</x:f>
      </x:c>
      <x:c r="N135" s="708">
        <x:f>IF('УПБ'!$BV42="Да",1,0)</x:f>
      </x:c>
      <x:c r="O135" s="375">
        <x:f>IFERROR(ROUND(SUM(C135:N135)/($S$96),1),"")</x:f>
      </x:c>
    </x:row>
    <x:row r="136" spans="1:25" ht="15" customHeight="1" x14ac:dyDescent="0.25">
      <x:c r="A136" s="710"/>
      <x:c r="B136" s="363" t="s">
        <x:v>106</x:v>
      </x:c>
      <x:c r="C136" s="697">
        <x:f>IF('УПБ'!$H43="Да",1,0)</x:f>
      </x:c>
      <x:c r="D136" s="698">
        <x:f>IF('УПБ'!$N43="Да",1,0)</x:f>
      </x:c>
      <x:c r="E136" s="699">
        <x:f>IF('УПБ'!$T43="Да",1,0)</x:f>
      </x:c>
      <x:c r="F136" s="700">
        <x:f>IF('УПБ'!$Z43="Да",1,0)</x:f>
      </x:c>
      <x:c r="G136" s="701">
        <x:f>IF('УПБ'!$AF43="Да",1,0)</x:f>
      </x:c>
      <x:c r="H136" s="702">
        <x:f>IF('УПБ'!$AL43="Да",1,0)</x:f>
      </x:c>
      <x:c r="I136" s="703">
        <x:f>IF('УПБ'!$AR43="Да",1,0)</x:f>
      </x:c>
      <x:c r="J136" s="704">
        <x:f>IF('УПБ'!$AX43="Да",1,0)</x:f>
      </x:c>
      <x:c r="K136" s="705">
        <x:f>IF('УПБ'!$BD43="Да",1,0)</x:f>
      </x:c>
      <x:c r="L136" s="706">
        <x:f>IF('УПБ'!$BJ43="Да",1,0)</x:f>
      </x:c>
      <x:c r="M136" s="707">
        <x:f>IF('УПБ'!$BP43="Да",1,0)</x:f>
      </x:c>
      <x:c r="N136" s="708">
        <x:f>IF('УПБ'!$BV43="Да",1,0)</x:f>
      </x:c>
      <x:c r="O136" s="375">
        <x:f>IFERROR(ROUND(SUM(C136:N136)/($S$96),1),"")</x:f>
      </x:c>
    </x:row>
    <x:row r="137" spans="1:25" ht="15" customHeight="1" x14ac:dyDescent="0.25">
      <x:c r="A137" s="710"/>
      <x:c r="B137" s="363" t="s">
        <x:v>94</x:v>
      </x:c>
      <x:c r="C137" s="697">
        <x:f>IF('УПБ'!$H44="Да",1,0)</x:f>
      </x:c>
      <x:c r="D137" s="698">
        <x:f>IF('УПБ'!$N44="Да",1,0)</x:f>
      </x:c>
      <x:c r="E137" s="699">
        <x:f>IF('УПБ'!$T44="Да",1,0)</x:f>
      </x:c>
      <x:c r="F137" s="700">
        <x:f>IF('УПБ'!$Z44="Да",1,0)</x:f>
      </x:c>
      <x:c r="G137" s="701">
        <x:f>IF('УПБ'!$AF44="Да",1,0)</x:f>
      </x:c>
      <x:c r="H137" s="702">
        <x:f>IF('УПБ'!$AL44="Да",1,0)</x:f>
      </x:c>
      <x:c r="I137" s="703">
        <x:f>IF('УПБ'!$AR44="Да",1,0)</x:f>
      </x:c>
      <x:c r="J137" s="704">
        <x:f>IF('УПБ'!$AX44="Да",1,0)</x:f>
      </x:c>
      <x:c r="K137" s="705">
        <x:f>IF('УПБ'!$BD44="Да",1,0)</x:f>
      </x:c>
      <x:c r="L137" s="706">
        <x:f>IF('УПБ'!$BJ44="Да",1,0)</x:f>
      </x:c>
      <x:c r="M137" s="707">
        <x:f>IF('УПБ'!$BP44="Да",1,0)</x:f>
      </x:c>
      <x:c r="N137" s="708">
        <x:f>IF('УПБ'!$BV44="Да",1,0)</x:f>
      </x:c>
      <x:c r="O137" s="375">
        <x:f>IFERROR(ROUND(SUM(C137:N137)/($S$96),1),"")</x:f>
      </x:c>
    </x:row>
    <x:row r="138" spans="1:25" ht="15" customHeight="1" x14ac:dyDescent="0.25">
      <x:c r="A138" s="710"/>
      <x:c r="B138" s="363" t="s">
        <x:v>111</x:v>
      </x:c>
      <x:c r="C138" s="697">
        <x:f>IF('УПБ'!$H45="Да",1,0)</x:f>
      </x:c>
      <x:c r="D138" s="698">
        <x:f>IF('УПБ'!$N45="Да",1,0)</x:f>
      </x:c>
      <x:c r="E138" s="699">
        <x:f>IF('УПБ'!$T45="Да",1,0)</x:f>
      </x:c>
      <x:c r="F138" s="700">
        <x:f>IF('УПБ'!$Z45="Да",1,0)</x:f>
      </x:c>
      <x:c r="G138" s="701">
        <x:f>IF('УПБ'!$AF45="Да",1,0)</x:f>
      </x:c>
      <x:c r="H138" s="702">
        <x:f>IF('УПБ'!$AL45="Да",1,0)</x:f>
      </x:c>
      <x:c r="I138" s="703">
        <x:f>IF('УПБ'!$AR45="Да",1,0)</x:f>
      </x:c>
      <x:c r="J138" s="704">
        <x:f>IF('УПБ'!$AX45="Да",1,0)</x:f>
      </x:c>
      <x:c r="K138" s="705">
        <x:f>IF('УПБ'!$BD45="Да",1,0)</x:f>
      </x:c>
      <x:c r="L138" s="706">
        <x:f>IF('УПБ'!$BJ45="Да",1,0)</x:f>
      </x:c>
      <x:c r="M138" s="707">
        <x:f>IF('УПБ'!$BP45="Да",1,0)</x:f>
      </x:c>
      <x:c r="N138" s="708">
        <x:f>IF('УПБ'!$BV45="Да",1,0)</x:f>
      </x:c>
      <x:c r="O138" s="375">
        <x:f>IFERROR(ROUND(SUM(C138:N138)/($S$96),1),"")</x:f>
      </x:c>
    </x:row>
    <x:row r="139" spans="1:25" ht="15" customHeight="1" x14ac:dyDescent="0.25">
      <x:c r="A139" s="710"/>
      <x:c r="B139" s="363" t="s">
        <x:v>115</x:v>
      </x:c>
      <x:c r="C139" s="697">
        <x:f>IF('УПБ'!$H46="Да",1,0)</x:f>
      </x:c>
      <x:c r="D139" s="698">
        <x:f>IF('УПБ'!$N46="Да",1,0)</x:f>
      </x:c>
      <x:c r="E139" s="699">
        <x:f>IF('УПБ'!$T46="Да",1,0)</x:f>
      </x:c>
      <x:c r="F139" s="700">
        <x:f>IF('УПБ'!$Z46="Да",1,0)</x:f>
      </x:c>
      <x:c r="G139" s="701">
        <x:f>IF('УПБ'!$AF46="Да",1,0)</x:f>
      </x:c>
      <x:c r="H139" s="702">
        <x:f>IF('УПБ'!$AL46="Да",1,0)</x:f>
      </x:c>
      <x:c r="I139" s="703">
        <x:f>IF('УПБ'!$AR46="Да",1,0)</x:f>
      </x:c>
      <x:c r="J139" s="704">
        <x:f>IF('УПБ'!$AX46="Да",1,0)</x:f>
      </x:c>
      <x:c r="K139" s="705">
        <x:f>IF('УПБ'!$BD46="Да",1,0)</x:f>
      </x:c>
      <x:c r="L139" s="706">
        <x:f>IF('УПБ'!$BJ46="Да",1,0)</x:f>
      </x:c>
      <x:c r="M139" s="707">
        <x:f>IF('УПБ'!$BP46="Да",1,0)</x:f>
      </x:c>
      <x:c r="N139" s="708">
        <x:f>IF('УПБ'!$BV46="Да",1,0)</x:f>
      </x:c>
      <x:c r="O139" s="375">
        <x:f>IFERROR(ROUND(SUM(C139:N139)/($S$96),1),"")</x:f>
      </x:c>
    </x:row>
    <x:row r="140" spans="1:25" ht="15" customHeight="1" x14ac:dyDescent="0.25">
      <x:c r="A140" s="710"/>
      <x:c r="B140" s="363" t="s">
        <x:v>124</x:v>
      </x:c>
      <x:c r="C140" s="697">
        <x:f>IF('УПБ'!$H47="Да",1,0)</x:f>
      </x:c>
      <x:c r="D140" s="698">
        <x:f>IF('УПБ'!$N47="Да",1,0)</x:f>
      </x:c>
      <x:c r="E140" s="699">
        <x:f>IF('УПБ'!$T47="Да",1,0)</x:f>
      </x:c>
      <x:c r="F140" s="700">
        <x:f>IF('УПБ'!$Z47="Да",1,0)</x:f>
      </x:c>
      <x:c r="G140" s="701">
        <x:f>IF('УПБ'!$AF47="Да",1,0)</x:f>
      </x:c>
      <x:c r="H140" s="702">
        <x:f>IF('УПБ'!$AL47="Да",1,0)</x:f>
      </x:c>
      <x:c r="I140" s="703">
        <x:f>IF('УПБ'!$AR47="Да",1,0)</x:f>
      </x:c>
      <x:c r="J140" s="704">
        <x:f>IF('УПБ'!$AX47="Да",1,0)</x:f>
      </x:c>
      <x:c r="K140" s="705">
        <x:f>IF('УПБ'!$BD47="Да",1,0)</x:f>
      </x:c>
      <x:c r="L140" s="706">
        <x:f>IF('УПБ'!$BJ47="Да",1,0)</x:f>
      </x:c>
      <x:c r="M140" s="707">
        <x:f>IF('УПБ'!$BP47="Да",1,0)</x:f>
      </x:c>
      <x:c r="N140" s="708">
        <x:f>IF('УПБ'!$BV47="Да",1,0)</x:f>
      </x:c>
      <x:c r="O140" s="375">
        <x:f>IFERROR(ROUND(SUM(C140:N140)/($S$96),1),"")</x:f>
      </x:c>
    </x:row>
    <x:row r="141" spans="1:25" ht="15" customHeight="1" x14ac:dyDescent="0.25">
      <x:c r="A141" s="710"/>
      <x:c r="B141" s="363" t="s">
        <x:v>96</x:v>
      </x:c>
      <x:c r="C141" s="697">
        <x:f>IF('УПБ'!$H48="Да",1,0)</x:f>
      </x:c>
      <x:c r="D141" s="698">
        <x:f>IF('УПБ'!$N48="Да",1,0)</x:f>
      </x:c>
      <x:c r="E141" s="699">
        <x:f>IF('УПБ'!$T48="Да",1,0)</x:f>
      </x:c>
      <x:c r="F141" s="700">
        <x:f>IF('УПБ'!$Z48="Да",1,0)</x:f>
      </x:c>
      <x:c r="G141" s="701">
        <x:f>IF('УПБ'!$AF48="Да",1,0)</x:f>
      </x:c>
      <x:c r="H141" s="702">
        <x:f>IF('УПБ'!$AL48="Да",1,0)</x:f>
      </x:c>
      <x:c r="I141" s="703">
        <x:f>IF('УПБ'!$AR48="Да",1,0)</x:f>
      </x:c>
      <x:c r="J141" s="704">
        <x:f>IF('УПБ'!$AX48="Да",1,0)</x:f>
      </x:c>
      <x:c r="K141" s="705">
        <x:f>IF('УПБ'!$BD48="Да",1,0)</x:f>
      </x:c>
      <x:c r="L141" s="706">
        <x:f>IF('УПБ'!$BJ48="Да",1,0)</x:f>
      </x:c>
      <x:c r="M141" s="707">
        <x:f>IF('УПБ'!$BP48="Да",1,0)</x:f>
      </x:c>
      <x:c r="N141" s="708">
        <x:f>IF('УПБ'!$BV48="Да",1,0)</x:f>
      </x:c>
      <x:c r="O141" s="375">
        <x:f>IFERROR(ROUND(SUM(C141:N141)/($S$96),1),"")</x:f>
      </x:c>
    </x:row>
    <x:row r="142" spans="1:25" ht="15.75" customHeight="1" x14ac:dyDescent="0.25">
      <x:c r="A142" s="717"/>
      <x:c r="B142" s="379" t="s">
        <x:v>91</x:v>
      </x:c>
      <x:c r="C142" s="697">
        <x:f>IF('УПБ'!$H49="Да",1,0)</x:f>
      </x:c>
      <x:c r="D142" s="698">
        <x:f>IF('УПБ'!$N49="Да",1,0)</x:f>
      </x:c>
      <x:c r="E142" s="699">
        <x:f>IF('УПБ'!$T49="Да",1,0)</x:f>
      </x:c>
      <x:c r="F142" s="700">
        <x:f>IF('УПБ'!$Z49="Да",1,0)</x:f>
      </x:c>
      <x:c r="G142" s="701">
        <x:f>IF('УПБ'!$AF49="Да",1,0)</x:f>
      </x:c>
      <x:c r="H142" s="702">
        <x:f>IF('УПБ'!$AL49="Да",1,0)</x:f>
      </x:c>
      <x:c r="I142" s="703">
        <x:f>IF('УПБ'!$AR49="Да",1,0)</x:f>
      </x:c>
      <x:c r="J142" s="704">
        <x:f>IF('УПБ'!$AX49="Да",1,0)</x:f>
      </x:c>
      <x:c r="K142" s="705">
        <x:f>IF('УПБ'!$BD49="Да",1,0)</x:f>
      </x:c>
      <x:c r="L142" s="706">
        <x:f>IF('УПБ'!$BJ49="Да",1,0)</x:f>
      </x:c>
      <x:c r="M142" s="707">
        <x:f>IF('УПБ'!$BP49="Да",1,0)</x:f>
      </x:c>
      <x:c r="N142" s="708">
        <x:f>IF('УПБ'!$BV49="Да",1,0)</x:f>
      </x:c>
      <x:c r="O142" s="375">
        <x:f>IFERROR(ROUND(SUM(C142:N142)/($S$96),1),"")</x:f>
      </x:c>
    </x:row>
    <x:row r="143" spans="1:25" ht="15" customHeight="1" x14ac:dyDescent="0.25">
      <x:c r="A143" s="696" t="s">
        <x:v>1068</x:v>
      </x:c>
      <x:c r="B143" s="363" t="s">
        <x:v>269</x:v>
      </x:c>
      <x:c r="C143" s="697">
        <x:f>IF('ЛЧ_35_11_1000'!$H3="Да",1,0)</x:f>
      </x:c>
      <x:c r="D143" s="698">
        <x:f>IF('ЛЧ_35_11_1000'!$N3="Да",1,0)</x:f>
      </x:c>
      <x:c r="E143" s="699">
        <x:f>IF('ЛЧ_35_11_1000'!$T3="Да",1,0)</x:f>
      </x:c>
      <x:c r="F143" s="700">
        <x:f>IF('ЛЧ_35_11_1000'!$Z3="Да",1,0)</x:f>
      </x:c>
      <x:c r="G143" s="701">
        <x:f>IF('ЛЧ_35_11_1000'!$AF3="Да",1,0)</x:f>
      </x:c>
      <x:c r="H143" s="702">
        <x:f>IF('ЛЧ_35_11_1000'!$AL3="Да",1,0)</x:f>
      </x:c>
      <x:c r="I143" s="703">
        <x:f>IF('ЛЧ_35_11_1000'!$AR3="Да",1,0)</x:f>
      </x:c>
      <x:c r="J143" s="704">
        <x:f>IF('ЛЧ_35_11_1000'!$AX3="Да",1,0)</x:f>
      </x:c>
      <x:c r="K143" s="705">
        <x:f>IF('ЛЧ_35_11_1000'!$BD3="Да",1,0)</x:f>
      </x:c>
      <x:c r="L143" s="706">
        <x:f>IF('ЛЧ_35_11_1000'!$BJ3="Да",1,0)</x:f>
      </x:c>
      <x:c r="M143" s="707">
        <x:f>IF('ЛЧ_35_11_1000'!$BP3="Да",1,0)</x:f>
      </x:c>
      <x:c r="N143" s="708">
        <x:f>IF('ЛЧ_35_11_1000'!$BV3="Да",1,0)</x:f>
      </x:c>
      <x:c r="O143" s="375">
        <x:f>IFERROR(ROUND(SUM(C143:N143)/($S$143),1),"")</x:f>
      </x:c>
      <x:c r="Q143" s="709" t="s">
        <x:v>1151</x:v>
      </x:c>
      <x:c r="R143" s="596"/>
      <x:c r="S143" s="376">
        <x:f>SUM(IF(COUNTIF(C143:C185,"&gt;0")&gt;0,1,0),IF(COUNTIF(D143:D185,"&gt;0")&gt;0,1,0),IF(COUNTIF(E143:E185,"&gt;0")&gt;0,1,0),IF(COUNTIF(F143:F185,"&gt;0")&gt;0,1,0),IF(COUNTIF(G143:G185,"&gt;0")&gt;0,1,0),IF(COUNTIF(H143:H185,"&gt;0")&gt;0,1,0),IF(COUNTIF(I143:I185,"&gt;0")&gt;0,1,0),IF(COUNTIF(J143:J185,"&gt;0")&gt;0,1,0),IF(COUNTIF(K143:K185,"&gt;0")&gt;0,1,0),IF(COUNTIF(L143:L185,"&gt;0")&gt;0,1,0),IF(COUNTIF(M143:M185,"&gt;0")&gt;0,1,0),IF(COUNTIF(N143:N185,"&gt;0")&gt;0,1,0))</x:f>
      </x:c>
    </x:row>
    <x:row r="144" spans="1:25" ht="15" customHeight="1" x14ac:dyDescent="0.25">
      <x:c r="A144" s="710"/>
      <x:c r="B144" s="363" t="s">
        <x:v>287</x:v>
      </x:c>
      <x:c r="C144" s="697">
        <x:f>IF('ЛЧ_35_11_1000'!$H4="Да",1,0)</x:f>
      </x:c>
      <x:c r="D144" s="698">
        <x:f>IF('ЛЧ_35_11_1000'!$N4="Да",1,0)</x:f>
      </x:c>
      <x:c r="E144" s="699">
        <x:f>IF('ЛЧ_35_11_1000'!$T4="Да",1,0)</x:f>
      </x:c>
      <x:c r="F144" s="700">
        <x:f>IF('ЛЧ_35_11_1000'!$Z4="Да",1,0)</x:f>
      </x:c>
      <x:c r="G144" s="701">
        <x:f>IF('ЛЧ_35_11_1000'!$AF4="Да",1,0)</x:f>
      </x:c>
      <x:c r="H144" s="702">
        <x:f>IF('ЛЧ_35_11_1000'!$AL4="Да",1,0)</x:f>
      </x:c>
      <x:c r="I144" s="703">
        <x:f>IF('ЛЧ_35_11_1000'!$AR4="Да",1,0)</x:f>
      </x:c>
      <x:c r="J144" s="704">
        <x:f>IF('ЛЧ_35_11_1000'!$AX4="Да",1,0)</x:f>
      </x:c>
      <x:c r="K144" s="705">
        <x:f>IF('ЛЧ_35_11_1000'!$BD4="Да",1,0)</x:f>
      </x:c>
      <x:c r="L144" s="706">
        <x:f>IF('ЛЧ_35_11_1000'!$BJ4="Да",1,0)</x:f>
      </x:c>
      <x:c r="M144" s="707">
        <x:f>IF('ЛЧ_35_11_1000'!$BP4="Да",1,0)</x:f>
      </x:c>
      <x:c r="N144" s="708">
        <x:f>IF('ЛЧ_35_11_1000'!$BV4="Да",1,0)</x:f>
      </x:c>
      <x:c r="O144" s="375">
        <x:f>IFERROR(ROUND(SUM(C144:N144)/($S$143),1),"")</x:f>
      </x:c>
      <x:c r="Q144" s="711"/>
      <x:c r="R144" s="712"/>
      <x:c r="S144" s="713"/>
    </x:row>
    <x:row r="145" spans="1:25" ht="15" customHeight="1" x14ac:dyDescent="0.25">
      <x:c r="A145" s="710"/>
      <x:c r="B145" s="363" t="s">
        <x:v>281</x:v>
      </x:c>
      <x:c r="C145" s="697">
        <x:f>IF('ЛЧ_35_11_1000'!$H5="Да",1,0)</x:f>
      </x:c>
      <x:c r="D145" s="698">
        <x:f>IF('ЛЧ_35_11_1000'!$N5="Да",1,0)</x:f>
      </x:c>
      <x:c r="E145" s="699">
        <x:f>IF('ЛЧ_35_11_1000'!$T5="Да",1,0)</x:f>
      </x:c>
      <x:c r="F145" s="700">
        <x:f>IF('ЛЧ_35_11_1000'!$Z5="Да",1,0)</x:f>
      </x:c>
      <x:c r="G145" s="701">
        <x:f>IF('ЛЧ_35_11_1000'!$AF5="Да",1,0)</x:f>
      </x:c>
      <x:c r="H145" s="702">
        <x:f>IF('ЛЧ_35_11_1000'!$AL5="Да",1,0)</x:f>
      </x:c>
      <x:c r="I145" s="703">
        <x:f>IF('ЛЧ_35_11_1000'!$AR5="Да",1,0)</x:f>
      </x:c>
      <x:c r="J145" s="704">
        <x:f>IF('ЛЧ_35_11_1000'!$AX5="Да",1,0)</x:f>
      </x:c>
      <x:c r="K145" s="705">
        <x:f>IF('ЛЧ_35_11_1000'!$BD5="Да",1,0)</x:f>
      </x:c>
      <x:c r="L145" s="706">
        <x:f>IF('ЛЧ_35_11_1000'!$BJ5="Да",1,0)</x:f>
      </x:c>
      <x:c r="M145" s="707">
        <x:f>IF('ЛЧ_35_11_1000'!$BP5="Да",1,0)</x:f>
      </x:c>
      <x:c r="N145" s="708">
        <x:f>IF('ЛЧ_35_11_1000'!$BV5="Да",1,0)</x:f>
      </x:c>
      <x:c r="O145" s="375">
        <x:f>IFERROR(ROUND(SUM(C145:N145)/($S$143),1),"")</x:f>
      </x:c>
      <x:c r="Q145" s="714"/>
      <x:c r="R145" s="715"/>
      <x:c r="S145" s="716"/>
    </x:row>
    <x:row r="146" spans="1:25" ht="15" customHeight="1" x14ac:dyDescent="0.25">
      <x:c r="A146" s="710"/>
      <x:c r="B146" s="363" t="s">
        <x:v>256</x:v>
      </x:c>
      <x:c r="C146" s="697">
        <x:f>IF('ЛЧ_35_11_1000'!$H6="Да",1,0)</x:f>
      </x:c>
      <x:c r="D146" s="698">
        <x:f>IF('ЛЧ_35_11_1000'!$N6="Да",1,0)</x:f>
      </x:c>
      <x:c r="E146" s="699">
        <x:f>IF('ЛЧ_35_11_1000'!$T6="Да",1,0)</x:f>
      </x:c>
      <x:c r="F146" s="700">
        <x:f>IF('ЛЧ_35_11_1000'!$Z6="Да",1,0)</x:f>
      </x:c>
      <x:c r="G146" s="701">
        <x:f>IF('ЛЧ_35_11_1000'!$AF6="Да",1,0)</x:f>
      </x:c>
      <x:c r="H146" s="702">
        <x:f>IF('ЛЧ_35_11_1000'!$AL6="Да",1,0)</x:f>
      </x:c>
      <x:c r="I146" s="703">
        <x:f>IF('ЛЧ_35_11_1000'!$AR6="Да",1,0)</x:f>
      </x:c>
      <x:c r="J146" s="704">
        <x:f>IF('ЛЧ_35_11_1000'!$AX6="Да",1,0)</x:f>
      </x:c>
      <x:c r="K146" s="705">
        <x:f>IF('ЛЧ_35_11_1000'!$BD6="Да",1,0)</x:f>
      </x:c>
      <x:c r="L146" s="706">
        <x:f>IF('ЛЧ_35_11_1000'!$BJ6="Да",1,0)</x:f>
      </x:c>
      <x:c r="M146" s="707">
        <x:f>IF('ЛЧ_35_11_1000'!$BP6="Да",1,0)</x:f>
      </x:c>
      <x:c r="N146" s="708">
        <x:f>IF('ЛЧ_35_11_1000'!$BV6="Да",1,0)</x:f>
      </x:c>
      <x:c r="O146" s="375">
        <x:f>IFERROR(ROUND(SUM(C146:N146)/($S$143),1),"")</x:f>
      </x:c>
    </x:row>
    <x:row r="147" spans="1:25" ht="15" customHeight="1" x14ac:dyDescent="0.3">
      <x:c r="A147" s="710"/>
      <x:c r="B147" s="363" t="s">
        <x:v>277</x:v>
      </x:c>
      <x:c r="C147" s="697">
        <x:f>IF('ЛЧ_35_11_1000'!$H7="Да",1,0)</x:f>
      </x:c>
      <x:c r="D147" s="698">
        <x:f>IF('ЛЧ_35_11_1000'!$N7="Да",1,0)</x:f>
      </x:c>
      <x:c r="E147" s="699">
        <x:f>IF('ЛЧ_35_11_1000'!$T7="Да",1,0)</x:f>
      </x:c>
      <x:c r="F147" s="700">
        <x:f>IF('ЛЧ_35_11_1000'!$Z7="Да",1,0)</x:f>
      </x:c>
      <x:c r="G147" s="701">
        <x:f>IF('ЛЧ_35_11_1000'!$AF7="Да",1,0)</x:f>
      </x:c>
      <x:c r="H147" s="702">
        <x:f>IF('ЛЧ_35_11_1000'!$AL7="Да",1,0)</x:f>
      </x:c>
      <x:c r="I147" s="703">
        <x:f>IF('ЛЧ_35_11_1000'!$AR7="Да",1,0)</x:f>
      </x:c>
      <x:c r="J147" s="704">
        <x:f>IF('ЛЧ_35_11_1000'!$AX7="Да",1,0)</x:f>
      </x:c>
      <x:c r="K147" s="705">
        <x:f>IF('ЛЧ_35_11_1000'!$BD7="Да",1,0)</x:f>
      </x:c>
      <x:c r="L147" s="706">
        <x:f>IF('ЛЧ_35_11_1000'!$BJ7="Да",1,0)</x:f>
      </x:c>
      <x:c r="M147" s="707">
        <x:f>IF('ЛЧ_35_11_1000'!$BP7="Да",1,0)</x:f>
      </x:c>
      <x:c r="N147" s="708">
        <x:f>IF('ЛЧ_35_11_1000'!$BV7="Да",1,0)</x:f>
      </x:c>
      <x:c r="O147" s="375">
        <x:f>IFERROR(ROUND(SUM(C147:N147)/($S$143),1),"")</x:f>
      </x:c>
    </x:row>
    <x:row r="148" spans="1:25" ht="15" customHeight="1" x14ac:dyDescent="0.25">
      <x:c r="A148" s="710"/>
      <x:c r="B148" s="363" t="s">
        <x:v>267</x:v>
      </x:c>
      <x:c r="C148" s="697">
        <x:f>IF('ЛЧ_35_11_1000'!$H8="Да",1,0)</x:f>
      </x:c>
      <x:c r="D148" s="698">
        <x:f>IF('ЛЧ_35_11_1000'!$N8="Да",1,0)</x:f>
      </x:c>
      <x:c r="E148" s="699">
        <x:f>IF('ЛЧ_35_11_1000'!$T8="Да",1,0)</x:f>
      </x:c>
      <x:c r="F148" s="700">
        <x:f>IF('ЛЧ_35_11_1000'!$Z8="Да",1,0)</x:f>
      </x:c>
      <x:c r="G148" s="701">
        <x:f>IF('ЛЧ_35_11_1000'!$AF8="Да",1,0)</x:f>
      </x:c>
      <x:c r="H148" s="702">
        <x:f>IF('ЛЧ_35_11_1000'!$AL8="Да",1,0)</x:f>
      </x:c>
      <x:c r="I148" s="703">
        <x:f>IF('ЛЧ_35_11_1000'!$AR8="Да",1,0)</x:f>
      </x:c>
      <x:c r="J148" s="704">
        <x:f>IF('ЛЧ_35_11_1000'!$AX8="Да",1,0)</x:f>
      </x:c>
      <x:c r="K148" s="705">
        <x:f>IF('ЛЧ_35_11_1000'!$BD8="Да",1,0)</x:f>
      </x:c>
      <x:c r="L148" s="706">
        <x:f>IF('ЛЧ_35_11_1000'!$BJ8="Да",1,0)</x:f>
      </x:c>
      <x:c r="M148" s="707">
        <x:f>IF('ЛЧ_35_11_1000'!$BP8="Да",1,0)</x:f>
      </x:c>
      <x:c r="N148" s="708">
        <x:f>IF('ЛЧ_35_11_1000'!$BV8="Да",1,0)</x:f>
      </x:c>
      <x:c r="O148" s="375">
        <x:f>IFERROR(ROUND(SUM(C148:N148)/($S$143),1),"")</x:f>
      </x:c>
    </x:row>
    <x:row r="149" spans="1:25" ht="15" customHeight="1" x14ac:dyDescent="0.25">
      <x:c r="A149" s="710"/>
      <x:c r="B149" s="363" t="s">
        <x:v>289</x:v>
      </x:c>
      <x:c r="C149" s="697">
        <x:f>IF('ЛЧ_35_11_1000'!$H9="Да",1,0)</x:f>
      </x:c>
      <x:c r="D149" s="698">
        <x:f>IF('ЛЧ_35_11_1000'!$N9="Да",1,0)</x:f>
      </x:c>
      <x:c r="E149" s="699">
        <x:f>IF('ЛЧ_35_11_1000'!$T9="Да",1,0)</x:f>
      </x:c>
      <x:c r="F149" s="700">
        <x:f>IF('ЛЧ_35_11_1000'!$Z9="Да",1,0)</x:f>
      </x:c>
      <x:c r="G149" s="701">
        <x:f>IF('ЛЧ_35_11_1000'!$AF9="Да",1,0)</x:f>
      </x:c>
      <x:c r="H149" s="702">
        <x:f>IF('ЛЧ_35_11_1000'!$AL9="Да",1,0)</x:f>
      </x:c>
      <x:c r="I149" s="703">
        <x:f>IF('ЛЧ_35_11_1000'!$AR9="Да",1,0)</x:f>
      </x:c>
      <x:c r="J149" s="704">
        <x:f>IF('ЛЧ_35_11_1000'!$AX9="Да",1,0)</x:f>
      </x:c>
      <x:c r="K149" s="705">
        <x:f>IF('ЛЧ_35_11_1000'!$BD9="Да",1,0)</x:f>
      </x:c>
      <x:c r="L149" s="706">
        <x:f>IF('ЛЧ_35_11_1000'!$BJ9="Да",1,0)</x:f>
      </x:c>
      <x:c r="M149" s="707">
        <x:f>IF('ЛЧ_35_11_1000'!$BP9="Да",1,0)</x:f>
      </x:c>
      <x:c r="N149" s="708">
        <x:f>IF('ЛЧ_35_11_1000'!$BV9="Да",1,0)</x:f>
      </x:c>
      <x:c r="O149" s="375">
        <x:f>IFERROR(ROUND(SUM(C149:N149)/($S$143),1),"")</x:f>
      </x:c>
    </x:row>
    <x:row r="150" spans="1:25" ht="15" customHeight="1" x14ac:dyDescent="0.25">
      <x:c r="A150" s="710"/>
      <x:c r="B150" s="363" t="s">
        <x:v>291</x:v>
      </x:c>
      <x:c r="C150" s="697">
        <x:f>IF('ЛЧ_35_11_1000'!$H10="Да",1,0)</x:f>
      </x:c>
      <x:c r="D150" s="698">
        <x:f>IF('ЛЧ_35_11_1000'!$N10="Да",1,0)</x:f>
      </x:c>
      <x:c r="E150" s="699">
        <x:f>IF('ЛЧ_35_11_1000'!$T10="Да",1,0)</x:f>
      </x:c>
      <x:c r="F150" s="700">
        <x:f>IF('ЛЧ_35_11_1000'!$Z10="Да",1,0)</x:f>
      </x:c>
      <x:c r="G150" s="701">
        <x:f>IF('ЛЧ_35_11_1000'!$AF10="Да",1,0)</x:f>
      </x:c>
      <x:c r="H150" s="702">
        <x:f>IF('ЛЧ_35_11_1000'!$AL10="Да",1,0)</x:f>
      </x:c>
      <x:c r="I150" s="703">
        <x:f>IF('ЛЧ_35_11_1000'!$AR10="Да",1,0)</x:f>
      </x:c>
      <x:c r="J150" s="704">
        <x:f>IF('ЛЧ_35_11_1000'!$AX10="Да",1,0)</x:f>
      </x:c>
      <x:c r="K150" s="705">
        <x:f>IF('ЛЧ_35_11_1000'!$BD10="Да",1,0)</x:f>
      </x:c>
      <x:c r="L150" s="706">
        <x:f>IF('ЛЧ_35_11_1000'!$BJ10="Да",1,0)</x:f>
      </x:c>
      <x:c r="M150" s="707">
        <x:f>IF('ЛЧ_35_11_1000'!$BP10="Да",1,0)</x:f>
      </x:c>
      <x:c r="N150" s="708">
        <x:f>IF('ЛЧ_35_11_1000'!$BV10="Да",1,0)</x:f>
      </x:c>
      <x:c r="O150" s="375">
        <x:f>IFERROR(ROUND(SUM(C150:N150)/($S$143),1),"")</x:f>
      </x:c>
    </x:row>
    <x:row r="151" spans="1:25" ht="15" customHeight="1" x14ac:dyDescent="0.25">
      <x:c r="A151" s="710"/>
      <x:c r="B151" s="363" t="s">
        <x:v>268</x:v>
      </x:c>
      <x:c r="C151" s="697">
        <x:f>IF('ЛЧ_35_11_1000'!$H11="Да",1,0)</x:f>
      </x:c>
      <x:c r="D151" s="698">
        <x:f>IF('ЛЧ_35_11_1000'!$N11="Да",1,0)</x:f>
      </x:c>
      <x:c r="E151" s="699">
        <x:f>IF('ЛЧ_35_11_1000'!$T11="Да",1,0)</x:f>
      </x:c>
      <x:c r="F151" s="700">
        <x:f>IF('ЛЧ_35_11_1000'!$Z11="Да",1,0)</x:f>
      </x:c>
      <x:c r="G151" s="701">
        <x:f>IF('ЛЧ_35_11_1000'!$AF11="Да",1,0)</x:f>
      </x:c>
      <x:c r="H151" s="702">
        <x:f>IF('ЛЧ_35_11_1000'!$AL11="Да",1,0)</x:f>
      </x:c>
      <x:c r="I151" s="703">
        <x:f>IF('ЛЧ_35_11_1000'!$AR11="Да",1,0)</x:f>
      </x:c>
      <x:c r="J151" s="704">
        <x:f>IF('ЛЧ_35_11_1000'!$AX11="Да",1,0)</x:f>
      </x:c>
      <x:c r="K151" s="705">
        <x:f>IF('ЛЧ_35_11_1000'!$BD11="Да",1,0)</x:f>
      </x:c>
      <x:c r="L151" s="706">
        <x:f>IF('ЛЧ_35_11_1000'!$BJ11="Да",1,0)</x:f>
      </x:c>
      <x:c r="M151" s="707">
        <x:f>IF('ЛЧ_35_11_1000'!$BP11="Да",1,0)</x:f>
      </x:c>
      <x:c r="N151" s="708">
        <x:f>IF('ЛЧ_35_11_1000'!$BV11="Да",1,0)</x:f>
      </x:c>
      <x:c r="O151" s="375">
        <x:f>IFERROR(ROUND(SUM(C151:N151)/($S$143),1),"")</x:f>
      </x:c>
    </x:row>
    <x:row r="152" spans="1:25" ht="15" customHeight="1" x14ac:dyDescent="0.25">
      <x:c r="A152" s="710"/>
      <x:c r="B152" s="363" t="s">
        <x:v>282</x:v>
      </x:c>
      <x:c r="C152" s="697">
        <x:f>IF('ЛЧ_35_11_1000'!$H12="Да",1,0)</x:f>
      </x:c>
      <x:c r="D152" s="698">
        <x:f>IF('ЛЧ_35_11_1000'!$N12="Да",1,0)</x:f>
      </x:c>
      <x:c r="E152" s="699">
        <x:f>IF('ЛЧ_35_11_1000'!$T12="Да",1,0)</x:f>
      </x:c>
      <x:c r="F152" s="700">
        <x:f>IF('ЛЧ_35_11_1000'!$Z12="Да",1,0)</x:f>
      </x:c>
      <x:c r="G152" s="701">
        <x:f>IF('ЛЧ_35_11_1000'!$AF12="Да",1,0)</x:f>
      </x:c>
      <x:c r="H152" s="702">
        <x:f>IF('ЛЧ_35_11_1000'!$AL12="Да",1,0)</x:f>
      </x:c>
      <x:c r="I152" s="703">
        <x:f>IF('ЛЧ_35_11_1000'!$AR12="Да",1,0)</x:f>
      </x:c>
      <x:c r="J152" s="704">
        <x:f>IF('ЛЧ_35_11_1000'!$AX12="Да",1,0)</x:f>
      </x:c>
      <x:c r="K152" s="705">
        <x:f>IF('ЛЧ_35_11_1000'!$BD12="Да",1,0)</x:f>
      </x:c>
      <x:c r="L152" s="706">
        <x:f>IF('ЛЧ_35_11_1000'!$BJ12="Да",1,0)</x:f>
      </x:c>
      <x:c r="M152" s="707">
        <x:f>IF('ЛЧ_35_11_1000'!$BP12="Да",1,0)</x:f>
      </x:c>
      <x:c r="N152" s="708">
        <x:f>IF('ЛЧ_35_11_1000'!$BV12="Да",1,0)</x:f>
      </x:c>
      <x:c r="O152" s="375">
        <x:f>IFERROR(ROUND(SUM(C152:N152)/($S$143),1),"")</x:f>
      </x:c>
    </x:row>
    <x:row r="153" spans="1:25" ht="15" customHeight="1" x14ac:dyDescent="0.25">
      <x:c r="A153" s="710"/>
      <x:c r="B153" s="363" t="s">
        <x:v>257</x:v>
      </x:c>
      <x:c r="C153" s="697">
        <x:f>IF('ЛЧ_35_11_1000'!$H13="Да",1,0)</x:f>
      </x:c>
      <x:c r="D153" s="698">
        <x:f>IF('ЛЧ_35_11_1000'!$N13="Да",1,0)</x:f>
      </x:c>
      <x:c r="E153" s="699">
        <x:f>IF('ЛЧ_35_11_1000'!$T13="Да",1,0)</x:f>
      </x:c>
      <x:c r="F153" s="700">
        <x:f>IF('ЛЧ_35_11_1000'!$Z13="Да",1,0)</x:f>
      </x:c>
      <x:c r="G153" s="701">
        <x:f>IF('ЛЧ_35_11_1000'!$AF13="Да",1,0)</x:f>
      </x:c>
      <x:c r="H153" s="702">
        <x:f>IF('ЛЧ_35_11_1000'!$AL13="Да",1,0)</x:f>
      </x:c>
      <x:c r="I153" s="703">
        <x:f>IF('ЛЧ_35_11_1000'!$AR13="Да",1,0)</x:f>
      </x:c>
      <x:c r="J153" s="704">
        <x:f>IF('ЛЧ_35_11_1000'!$AX13="Да",1,0)</x:f>
      </x:c>
      <x:c r="K153" s="705">
        <x:f>IF('ЛЧ_35_11_1000'!$BD13="Да",1,0)</x:f>
      </x:c>
      <x:c r="L153" s="706">
        <x:f>IF('ЛЧ_35_11_1000'!$BJ13="Да",1,0)</x:f>
      </x:c>
      <x:c r="M153" s="707">
        <x:f>IF('ЛЧ_35_11_1000'!$BP13="Да",1,0)</x:f>
      </x:c>
      <x:c r="N153" s="708">
        <x:f>IF('ЛЧ_35_11_1000'!$BV13="Да",1,0)</x:f>
      </x:c>
      <x:c r="O153" s="375">
        <x:f>IFERROR(ROUND(SUM(C153:N153)/($S$143),1),"")</x:f>
      </x:c>
    </x:row>
    <x:row r="154" spans="1:25" ht="15" customHeight="1" x14ac:dyDescent="0.25">
      <x:c r="A154" s="710"/>
      <x:c r="B154" s="363" t="s">
        <x:v>251</x:v>
      </x:c>
      <x:c r="C154" s="697">
        <x:f>IF('ЛЧ_35_11_1000'!$H14="Да",1,0)</x:f>
      </x:c>
      <x:c r="D154" s="698">
        <x:f>IF('ЛЧ_35_11_1000'!$N14="Да",1,0)</x:f>
      </x:c>
      <x:c r="E154" s="699">
        <x:f>IF('ЛЧ_35_11_1000'!$T14="Да",1,0)</x:f>
      </x:c>
      <x:c r="F154" s="700">
        <x:f>IF('ЛЧ_35_11_1000'!$Z14="Да",1,0)</x:f>
      </x:c>
      <x:c r="G154" s="701">
        <x:f>IF('ЛЧ_35_11_1000'!$AF14="Да",1,0)</x:f>
      </x:c>
      <x:c r="H154" s="702">
        <x:f>IF('ЛЧ_35_11_1000'!$AL14="Да",1,0)</x:f>
      </x:c>
      <x:c r="I154" s="703">
        <x:f>IF('ЛЧ_35_11_1000'!$AR14="Да",1,0)</x:f>
      </x:c>
      <x:c r="J154" s="704">
        <x:f>IF('ЛЧ_35_11_1000'!$AX14="Да",1,0)</x:f>
      </x:c>
      <x:c r="K154" s="705">
        <x:f>IF('ЛЧ_35_11_1000'!$BD14="Да",1,0)</x:f>
      </x:c>
      <x:c r="L154" s="706">
        <x:f>IF('ЛЧ_35_11_1000'!$BJ14="Да",1,0)</x:f>
      </x:c>
      <x:c r="M154" s="707">
        <x:f>IF('ЛЧ_35_11_1000'!$BP14="Да",1,0)</x:f>
      </x:c>
      <x:c r="N154" s="708">
        <x:f>IF('ЛЧ_35_11_1000'!$BV14="Да",1,0)</x:f>
      </x:c>
      <x:c r="O154" s="375">
        <x:f>IFERROR(ROUND(SUM(C154:N154)/($S$143),1),"")</x:f>
      </x:c>
    </x:row>
    <x:row r="155" spans="1:25" ht="15" customHeight="1" x14ac:dyDescent="0.25">
      <x:c r="A155" s="710"/>
      <x:c r="B155" s="363" t="s">
        <x:v>290</x:v>
      </x:c>
      <x:c r="C155" s="697">
        <x:f>IF('ЛЧ_35_11_1000'!$H15="Да",1,0)</x:f>
      </x:c>
      <x:c r="D155" s="698">
        <x:f>IF('ЛЧ_35_11_1000'!$N15="Да",1,0)</x:f>
      </x:c>
      <x:c r="E155" s="699">
        <x:f>IF('ЛЧ_35_11_1000'!$T15="Да",1,0)</x:f>
      </x:c>
      <x:c r="F155" s="700">
        <x:f>IF('ЛЧ_35_11_1000'!$Z15="Да",1,0)</x:f>
      </x:c>
      <x:c r="G155" s="701">
        <x:f>IF('ЛЧ_35_11_1000'!$AF15="Да",1,0)</x:f>
      </x:c>
      <x:c r="H155" s="702">
        <x:f>IF('ЛЧ_35_11_1000'!$AL15="Да",1,0)</x:f>
      </x:c>
      <x:c r="I155" s="703">
        <x:f>IF('ЛЧ_35_11_1000'!$AR15="Да",1,0)</x:f>
      </x:c>
      <x:c r="J155" s="704">
        <x:f>IF('ЛЧ_35_11_1000'!$AX15="Да",1,0)</x:f>
      </x:c>
      <x:c r="K155" s="705">
        <x:f>IF('ЛЧ_35_11_1000'!$BD15="Да",1,0)</x:f>
      </x:c>
      <x:c r="L155" s="706">
        <x:f>IF('ЛЧ_35_11_1000'!$BJ15="Да",1,0)</x:f>
      </x:c>
      <x:c r="M155" s="707">
        <x:f>IF('ЛЧ_35_11_1000'!$BP15="Да",1,0)</x:f>
      </x:c>
      <x:c r="N155" s="708">
        <x:f>IF('ЛЧ_35_11_1000'!$BV15="Да",1,0)</x:f>
      </x:c>
      <x:c r="O155" s="375">
        <x:f>IFERROR(ROUND(SUM(C155:N155)/($S$143),1),"")</x:f>
      </x:c>
    </x:row>
    <x:row r="156" spans="1:25" ht="15" customHeight="1" x14ac:dyDescent="0.25">
      <x:c r="A156" s="710"/>
      <x:c r="B156" s="363" t="s">
        <x:v>271</x:v>
      </x:c>
      <x:c r="C156" s="697">
        <x:f>IF('ЛЧ_35_11_1000'!$H16="Да",1,0)</x:f>
      </x:c>
      <x:c r="D156" s="698">
        <x:f>IF('ЛЧ_35_11_1000'!$N16="Да",1,0)</x:f>
      </x:c>
      <x:c r="E156" s="699">
        <x:f>IF('ЛЧ_35_11_1000'!$T16="Да",1,0)</x:f>
      </x:c>
      <x:c r="F156" s="700">
        <x:f>IF('ЛЧ_35_11_1000'!$Z16="Да",1,0)</x:f>
      </x:c>
      <x:c r="G156" s="701">
        <x:f>IF('ЛЧ_35_11_1000'!$AF16="Да",1,0)</x:f>
      </x:c>
      <x:c r="H156" s="702">
        <x:f>IF('ЛЧ_35_11_1000'!$AL16="Да",1,0)</x:f>
      </x:c>
      <x:c r="I156" s="703">
        <x:f>IF('ЛЧ_35_11_1000'!$AR16="Да",1,0)</x:f>
      </x:c>
      <x:c r="J156" s="704">
        <x:f>IF('ЛЧ_35_11_1000'!$AX16="Да",1,0)</x:f>
      </x:c>
      <x:c r="K156" s="705">
        <x:f>IF('ЛЧ_35_11_1000'!$BD16="Да",1,0)</x:f>
      </x:c>
      <x:c r="L156" s="706">
        <x:f>IF('ЛЧ_35_11_1000'!$BJ16="Да",1,0)</x:f>
      </x:c>
      <x:c r="M156" s="707">
        <x:f>IF('ЛЧ_35_11_1000'!$BP16="Да",1,0)</x:f>
      </x:c>
      <x:c r="N156" s="708">
        <x:f>IF('ЛЧ_35_11_1000'!$BV16="Да",1,0)</x:f>
      </x:c>
      <x:c r="O156" s="375">
        <x:f>IFERROR(ROUND(SUM(C156:N156)/($S$143),1),"")</x:f>
      </x:c>
    </x:row>
    <x:row r="157" spans="1:25" ht="15" customHeight="1" x14ac:dyDescent="0.25">
      <x:c r="A157" s="710"/>
      <x:c r="B157" s="363" t="s">
        <x:v>272</x:v>
      </x:c>
      <x:c r="C157" s="697">
        <x:f>IF('ЛЧ_35_11_1000'!$H17="Да",1,0)</x:f>
      </x:c>
      <x:c r="D157" s="698">
        <x:f>IF('ЛЧ_35_11_1000'!$N17="Да",1,0)</x:f>
      </x:c>
      <x:c r="E157" s="699">
        <x:f>IF('ЛЧ_35_11_1000'!$T17="Да",1,0)</x:f>
      </x:c>
      <x:c r="F157" s="700">
        <x:f>IF('ЛЧ_35_11_1000'!$Z17="Да",1,0)</x:f>
      </x:c>
      <x:c r="G157" s="701">
        <x:f>IF('ЛЧ_35_11_1000'!$AF17="Да",1,0)</x:f>
      </x:c>
      <x:c r="H157" s="702">
        <x:f>IF('ЛЧ_35_11_1000'!$AL17="Да",1,0)</x:f>
      </x:c>
      <x:c r="I157" s="703">
        <x:f>IF('ЛЧ_35_11_1000'!$AR17="Да",1,0)</x:f>
      </x:c>
      <x:c r="J157" s="704">
        <x:f>IF('ЛЧ_35_11_1000'!$AX17="Да",1,0)</x:f>
      </x:c>
      <x:c r="K157" s="705">
        <x:f>IF('ЛЧ_35_11_1000'!$BD17="Да",1,0)</x:f>
      </x:c>
      <x:c r="L157" s="706">
        <x:f>IF('ЛЧ_35_11_1000'!$BJ17="Да",1,0)</x:f>
      </x:c>
      <x:c r="M157" s="707">
        <x:f>IF('ЛЧ_35_11_1000'!$BP17="Да",1,0)</x:f>
      </x:c>
      <x:c r="N157" s="708">
        <x:f>IF('ЛЧ_35_11_1000'!$BV17="Да",1,0)</x:f>
      </x:c>
      <x:c r="O157" s="375">
        <x:f>IFERROR(ROUND(SUM(C157:N157)/($S$143),1),"")</x:f>
      </x:c>
    </x:row>
    <x:row r="158" spans="1:25" ht="15" customHeight="1" x14ac:dyDescent="0.25">
      <x:c r="A158" s="710"/>
      <x:c r="B158" s="363" t="s">
        <x:v>292</x:v>
      </x:c>
      <x:c r="C158" s="697">
        <x:f>IF('ЛЧ_35_11_1000'!$H18="Да",1,0)</x:f>
      </x:c>
      <x:c r="D158" s="698">
        <x:f>IF('ЛЧ_35_11_1000'!$N18="Да",1,0)</x:f>
      </x:c>
      <x:c r="E158" s="699">
        <x:f>IF('ЛЧ_35_11_1000'!$T18="Да",1,0)</x:f>
      </x:c>
      <x:c r="F158" s="700">
        <x:f>IF('ЛЧ_35_11_1000'!$Z18="Да",1,0)</x:f>
      </x:c>
      <x:c r="G158" s="701">
        <x:f>IF('ЛЧ_35_11_1000'!$AF18="Да",1,0)</x:f>
      </x:c>
      <x:c r="H158" s="702">
        <x:f>IF('ЛЧ_35_11_1000'!$AL18="Да",1,0)</x:f>
      </x:c>
      <x:c r="I158" s="703">
        <x:f>IF('ЛЧ_35_11_1000'!$AR18="Да",1,0)</x:f>
      </x:c>
      <x:c r="J158" s="704">
        <x:f>IF('ЛЧ_35_11_1000'!$AX18="Да",1,0)</x:f>
      </x:c>
      <x:c r="K158" s="705">
        <x:f>IF('ЛЧ_35_11_1000'!$BD18="Да",1,0)</x:f>
      </x:c>
      <x:c r="L158" s="706">
        <x:f>IF('ЛЧ_35_11_1000'!$BJ18="Да",1,0)</x:f>
      </x:c>
      <x:c r="M158" s="707">
        <x:f>IF('ЛЧ_35_11_1000'!$BP18="Да",1,0)</x:f>
      </x:c>
      <x:c r="N158" s="708">
        <x:f>IF('ЛЧ_35_11_1000'!$BV18="Да",1,0)</x:f>
      </x:c>
      <x:c r="O158" s="375">
        <x:f>IFERROR(ROUND(SUM(C158:N158)/($S$143),1),"")</x:f>
      </x:c>
    </x:row>
    <x:row r="159" spans="1:25" ht="15" customHeight="1" x14ac:dyDescent="0.25">
      <x:c r="A159" s="710"/>
      <x:c r="B159" s="363" t="s">
        <x:v>254</x:v>
      </x:c>
      <x:c r="C159" s="697">
        <x:f>IF('ЛЧ_35_11_1000'!$H19="Да",1,0)</x:f>
      </x:c>
      <x:c r="D159" s="698">
        <x:f>IF('ЛЧ_35_11_1000'!$N19="Да",1,0)</x:f>
      </x:c>
      <x:c r="E159" s="699">
        <x:f>IF('ЛЧ_35_11_1000'!$T19="Да",1,0)</x:f>
      </x:c>
      <x:c r="F159" s="700">
        <x:f>IF('ЛЧ_35_11_1000'!$Z19="Да",1,0)</x:f>
      </x:c>
      <x:c r="G159" s="701">
        <x:f>IF('ЛЧ_35_11_1000'!$AF19="Да",1,0)</x:f>
      </x:c>
      <x:c r="H159" s="702">
        <x:f>IF('ЛЧ_35_11_1000'!$AL19="Да",1,0)</x:f>
      </x:c>
      <x:c r="I159" s="703">
        <x:f>IF('ЛЧ_35_11_1000'!$AR19="Да",1,0)</x:f>
      </x:c>
      <x:c r="J159" s="704">
        <x:f>IF('ЛЧ_35_11_1000'!$AX19="Да",1,0)</x:f>
      </x:c>
      <x:c r="K159" s="705">
        <x:f>IF('ЛЧ_35_11_1000'!$BD19="Да",1,0)</x:f>
      </x:c>
      <x:c r="L159" s="706">
        <x:f>IF('ЛЧ_35_11_1000'!$BJ19="Да",1,0)</x:f>
      </x:c>
      <x:c r="M159" s="707">
        <x:f>IF('ЛЧ_35_11_1000'!$BP19="Да",1,0)</x:f>
      </x:c>
      <x:c r="N159" s="708">
        <x:f>IF('ЛЧ_35_11_1000'!$BV19="Да",1,0)</x:f>
      </x:c>
      <x:c r="O159" s="375">
        <x:f>IFERROR(ROUND(SUM(C159:N159)/($S$143),1),"")</x:f>
      </x:c>
    </x:row>
    <x:row r="160" spans="1:25" ht="15" customHeight="1" x14ac:dyDescent="0.25">
      <x:c r="A160" s="710"/>
      <x:c r="B160" s="363" t="s">
        <x:v>288</x:v>
      </x:c>
      <x:c r="C160" s="697">
        <x:f>IF('ЛЧ_35_11_1000'!$H20="Да",1,0)</x:f>
      </x:c>
      <x:c r="D160" s="698">
        <x:f>IF('ЛЧ_35_11_1000'!$N20="Да",1,0)</x:f>
      </x:c>
      <x:c r="E160" s="699">
        <x:f>IF('ЛЧ_35_11_1000'!$T20="Да",1,0)</x:f>
      </x:c>
      <x:c r="F160" s="700">
        <x:f>IF('ЛЧ_35_11_1000'!$Z20="Да",1,0)</x:f>
      </x:c>
      <x:c r="G160" s="701">
        <x:f>IF('ЛЧ_35_11_1000'!$AF20="Да",1,0)</x:f>
      </x:c>
      <x:c r="H160" s="702">
        <x:f>IF('ЛЧ_35_11_1000'!$AL20="Да",1,0)</x:f>
      </x:c>
      <x:c r="I160" s="703">
        <x:f>IF('ЛЧ_35_11_1000'!$AR20="Да",1,0)</x:f>
      </x:c>
      <x:c r="J160" s="704">
        <x:f>IF('ЛЧ_35_11_1000'!$AX20="Да",1,0)</x:f>
      </x:c>
      <x:c r="K160" s="705">
        <x:f>IF('ЛЧ_35_11_1000'!$BD20="Да",1,0)</x:f>
      </x:c>
      <x:c r="L160" s="706">
        <x:f>IF('ЛЧ_35_11_1000'!$BJ20="Да",1,0)</x:f>
      </x:c>
      <x:c r="M160" s="707">
        <x:f>IF('ЛЧ_35_11_1000'!$BP20="Да",1,0)</x:f>
      </x:c>
      <x:c r="N160" s="708">
        <x:f>IF('ЛЧ_35_11_1000'!$BV20="Да",1,0)</x:f>
      </x:c>
      <x:c r="O160" s="375">
        <x:f>IFERROR(ROUND(SUM(C160:N160)/($S$143),1),"")</x:f>
      </x:c>
    </x:row>
    <x:row r="161" spans="1:25" ht="15" customHeight="1" x14ac:dyDescent="0.25">
      <x:c r="A161" s="710"/>
      <x:c r="B161" s="363" t="s">
        <x:v>262</x:v>
      </x:c>
      <x:c r="C161" s="697">
        <x:f>IF('ЛЧ_35_11_1000'!$H21="Да",1,0)</x:f>
      </x:c>
      <x:c r="D161" s="698">
        <x:f>IF('ЛЧ_35_11_1000'!$N21="Да",1,0)</x:f>
      </x:c>
      <x:c r="E161" s="699">
        <x:f>IF('ЛЧ_35_11_1000'!$T21="Да",1,0)</x:f>
      </x:c>
      <x:c r="F161" s="700">
        <x:f>IF('ЛЧ_35_11_1000'!$Z21="Да",1,0)</x:f>
      </x:c>
      <x:c r="G161" s="701">
        <x:f>IF('ЛЧ_35_11_1000'!$AF21="Да",1,0)</x:f>
      </x:c>
      <x:c r="H161" s="702">
        <x:f>IF('ЛЧ_35_11_1000'!$AL21="Да",1,0)</x:f>
      </x:c>
      <x:c r="I161" s="703">
        <x:f>IF('ЛЧ_35_11_1000'!$AR21="Да",1,0)</x:f>
      </x:c>
      <x:c r="J161" s="704">
        <x:f>IF('ЛЧ_35_11_1000'!$AX21="Да",1,0)</x:f>
      </x:c>
      <x:c r="K161" s="705">
        <x:f>IF('ЛЧ_35_11_1000'!$BD21="Да",1,0)</x:f>
      </x:c>
      <x:c r="L161" s="706">
        <x:f>IF('ЛЧ_35_11_1000'!$BJ21="Да",1,0)</x:f>
      </x:c>
      <x:c r="M161" s="707">
        <x:f>IF('ЛЧ_35_11_1000'!$BP21="Да",1,0)</x:f>
      </x:c>
      <x:c r="N161" s="708">
        <x:f>IF('ЛЧ_35_11_1000'!$BV21="Да",1,0)</x:f>
      </x:c>
      <x:c r="O161" s="375">
        <x:f>IFERROR(ROUND(SUM(C161:N161)/($S$143),1),"")</x:f>
      </x:c>
    </x:row>
    <x:row r="162" spans="1:25" ht="15" customHeight="1" x14ac:dyDescent="0.25">
      <x:c r="A162" s="710"/>
      <x:c r="B162" s="363" t="s">
        <x:v>261</x:v>
      </x:c>
      <x:c r="C162" s="697">
        <x:f>IF('ЛЧ_35_11_1000'!$H22="Да",1,0)</x:f>
      </x:c>
      <x:c r="D162" s="698">
        <x:f>IF('ЛЧ_35_11_1000'!$N22="Да",1,0)</x:f>
      </x:c>
      <x:c r="E162" s="699">
        <x:f>IF('ЛЧ_35_11_1000'!$T22="Да",1,0)</x:f>
      </x:c>
      <x:c r="F162" s="700">
        <x:f>IF('ЛЧ_35_11_1000'!$Z22="Да",1,0)</x:f>
      </x:c>
      <x:c r="G162" s="701">
        <x:f>IF('ЛЧ_35_11_1000'!$AF22="Да",1,0)</x:f>
      </x:c>
      <x:c r="H162" s="702">
        <x:f>IF('ЛЧ_35_11_1000'!$AL22="Да",1,0)</x:f>
      </x:c>
      <x:c r="I162" s="703">
        <x:f>IF('ЛЧ_35_11_1000'!$AR22="Да",1,0)</x:f>
      </x:c>
      <x:c r="J162" s="704">
        <x:f>IF('ЛЧ_35_11_1000'!$AX22="Да",1,0)</x:f>
      </x:c>
      <x:c r="K162" s="705">
        <x:f>IF('ЛЧ_35_11_1000'!$BD22="Да",1,0)</x:f>
      </x:c>
      <x:c r="L162" s="706">
        <x:f>IF('ЛЧ_35_11_1000'!$BJ22="Да",1,0)</x:f>
      </x:c>
      <x:c r="M162" s="707">
        <x:f>IF('ЛЧ_35_11_1000'!$BP22="Да",1,0)</x:f>
      </x:c>
      <x:c r="N162" s="708">
        <x:f>IF('ЛЧ_35_11_1000'!$BV22="Да",1,0)</x:f>
      </x:c>
      <x:c r="O162" s="375">
        <x:f>IFERROR(ROUND(SUM(C162:N162)/($S$143),1),"")</x:f>
      </x:c>
    </x:row>
    <x:row r="163" spans="1:25" ht="15" customHeight="1" x14ac:dyDescent="0.25">
      <x:c r="A163" s="710"/>
      <x:c r="B163" s="363" t="s">
        <x:v>260</x:v>
      </x:c>
      <x:c r="C163" s="697">
        <x:f>IF('ЛЧ_35_11_1000'!$H23="Да",1,0)</x:f>
      </x:c>
      <x:c r="D163" s="698">
        <x:f>IF('ЛЧ_35_11_1000'!$N23="Да",1,0)</x:f>
      </x:c>
      <x:c r="E163" s="699">
        <x:f>IF('ЛЧ_35_11_1000'!$T23="Да",1,0)</x:f>
      </x:c>
      <x:c r="F163" s="700">
        <x:f>IF('ЛЧ_35_11_1000'!$Z23="Да",1,0)</x:f>
      </x:c>
      <x:c r="G163" s="701">
        <x:f>IF('ЛЧ_35_11_1000'!$AF23="Да",1,0)</x:f>
      </x:c>
      <x:c r="H163" s="702">
        <x:f>IF('ЛЧ_35_11_1000'!$AL23="Да",1,0)</x:f>
      </x:c>
      <x:c r="I163" s="703">
        <x:f>IF('ЛЧ_35_11_1000'!$AR23="Да",1,0)</x:f>
      </x:c>
      <x:c r="J163" s="704">
        <x:f>IF('ЛЧ_35_11_1000'!$AX23="Да",1,0)</x:f>
      </x:c>
      <x:c r="K163" s="705">
        <x:f>IF('ЛЧ_35_11_1000'!$BD23="Да",1,0)</x:f>
      </x:c>
      <x:c r="L163" s="706">
        <x:f>IF('ЛЧ_35_11_1000'!$BJ23="Да",1,0)</x:f>
      </x:c>
      <x:c r="M163" s="707">
        <x:f>IF('ЛЧ_35_11_1000'!$BP23="Да",1,0)</x:f>
      </x:c>
      <x:c r="N163" s="708">
        <x:f>IF('ЛЧ_35_11_1000'!$BV23="Да",1,0)</x:f>
      </x:c>
      <x:c r="O163" s="375">
        <x:f>IFERROR(ROUND(SUM(C163:N163)/($S$143),1),"")</x:f>
      </x:c>
    </x:row>
    <x:row r="164" spans="1:25" ht="15" customHeight="1" x14ac:dyDescent="0.25">
      <x:c r="A164" s="710"/>
      <x:c r="B164" s="363" t="s">
        <x:v>259</x:v>
      </x:c>
      <x:c r="C164" s="697">
        <x:f>IF('ЛЧ_35_11_1000'!$H24="Да",1,0)</x:f>
      </x:c>
      <x:c r="D164" s="698">
        <x:f>IF('ЛЧ_35_11_1000'!$N24="Да",1,0)</x:f>
      </x:c>
      <x:c r="E164" s="699">
        <x:f>IF('ЛЧ_35_11_1000'!$T24="Да",1,0)</x:f>
      </x:c>
      <x:c r="F164" s="700">
        <x:f>IF('ЛЧ_35_11_1000'!$Z24="Да",1,0)</x:f>
      </x:c>
      <x:c r="G164" s="701">
        <x:f>IF('ЛЧ_35_11_1000'!$AF24="Да",1,0)</x:f>
      </x:c>
      <x:c r="H164" s="702">
        <x:f>IF('ЛЧ_35_11_1000'!$AL24="Да",1,0)</x:f>
      </x:c>
      <x:c r="I164" s="703">
        <x:f>IF('ЛЧ_35_11_1000'!$AR24="Да",1,0)</x:f>
      </x:c>
      <x:c r="J164" s="704">
        <x:f>IF('ЛЧ_35_11_1000'!$AX24="Да",1,0)</x:f>
      </x:c>
      <x:c r="K164" s="705">
        <x:f>IF('ЛЧ_35_11_1000'!$BD24="Да",1,0)</x:f>
      </x:c>
      <x:c r="L164" s="706">
        <x:f>IF('ЛЧ_35_11_1000'!$BJ24="Да",1,0)</x:f>
      </x:c>
      <x:c r="M164" s="707">
        <x:f>IF('ЛЧ_35_11_1000'!$BP24="Да",1,0)</x:f>
      </x:c>
      <x:c r="N164" s="708">
        <x:f>IF('ЛЧ_35_11_1000'!$BV24="Да",1,0)</x:f>
      </x:c>
      <x:c r="O164" s="375">
        <x:f>IFERROR(ROUND(SUM(C164:N164)/($S$143),1),"")</x:f>
      </x:c>
    </x:row>
    <x:row r="165" spans="1:25" ht="15" customHeight="1" x14ac:dyDescent="0.25">
      <x:c r="A165" s="710"/>
      <x:c r="B165" s="363" t="s">
        <x:v>266</x:v>
      </x:c>
      <x:c r="C165" s="697">
        <x:f>IF('ЛЧ_35_11_1000'!$H25="Да",1,0)</x:f>
      </x:c>
      <x:c r="D165" s="698">
        <x:f>IF('ЛЧ_35_11_1000'!$N25="Да",1,0)</x:f>
      </x:c>
      <x:c r="E165" s="699">
        <x:f>IF('ЛЧ_35_11_1000'!$T25="Да",1,0)</x:f>
      </x:c>
      <x:c r="F165" s="700">
        <x:f>IF('ЛЧ_35_11_1000'!$Z25="Да",1,0)</x:f>
      </x:c>
      <x:c r="G165" s="701">
        <x:f>IF('ЛЧ_35_11_1000'!$AF25="Да",1,0)</x:f>
      </x:c>
      <x:c r="H165" s="702">
        <x:f>IF('ЛЧ_35_11_1000'!$AL25="Да",1,0)</x:f>
      </x:c>
      <x:c r="I165" s="703">
        <x:f>IF('ЛЧ_35_11_1000'!$AR25="Да",1,0)</x:f>
      </x:c>
      <x:c r="J165" s="704">
        <x:f>IF('ЛЧ_35_11_1000'!$AX25="Да",1,0)</x:f>
      </x:c>
      <x:c r="K165" s="705">
        <x:f>IF('ЛЧ_35_11_1000'!$BD25="Да",1,0)</x:f>
      </x:c>
      <x:c r="L165" s="706">
        <x:f>IF('ЛЧ_35_11_1000'!$BJ25="Да",1,0)</x:f>
      </x:c>
      <x:c r="M165" s="707">
        <x:f>IF('ЛЧ_35_11_1000'!$BP25="Да",1,0)</x:f>
      </x:c>
      <x:c r="N165" s="708">
        <x:f>IF('ЛЧ_35_11_1000'!$BV25="Да",1,0)</x:f>
      </x:c>
      <x:c r="O165" s="375">
        <x:f>IFERROR(ROUND(SUM(C165:N165)/($S$143),1),"")</x:f>
      </x:c>
    </x:row>
    <x:row r="166" spans="1:25" ht="15" customHeight="1" x14ac:dyDescent="0.25">
      <x:c r="A166" s="710"/>
      <x:c r="B166" s="363" t="s">
        <x:v>273</x:v>
      </x:c>
      <x:c r="C166" s="697">
        <x:f>IF('ЛЧ_35_11_1000'!$H26="Да",1,0)</x:f>
      </x:c>
      <x:c r="D166" s="698">
        <x:f>IF('ЛЧ_35_11_1000'!$N26="Да",1,0)</x:f>
      </x:c>
      <x:c r="E166" s="699">
        <x:f>IF('ЛЧ_35_11_1000'!$T26="Да",1,0)</x:f>
      </x:c>
      <x:c r="F166" s="700">
        <x:f>IF('ЛЧ_35_11_1000'!$Z26="Да",1,0)</x:f>
      </x:c>
      <x:c r="G166" s="701">
        <x:f>IF('ЛЧ_35_11_1000'!$AF26="Да",1,0)</x:f>
      </x:c>
      <x:c r="H166" s="702">
        <x:f>IF('ЛЧ_35_11_1000'!$AL26="Да",1,0)</x:f>
      </x:c>
      <x:c r="I166" s="703">
        <x:f>IF('ЛЧ_35_11_1000'!$AR26="Да",1,0)</x:f>
      </x:c>
      <x:c r="J166" s="704">
        <x:f>IF('ЛЧ_35_11_1000'!$AX26="Да",1,0)</x:f>
      </x:c>
      <x:c r="K166" s="705">
        <x:f>IF('ЛЧ_35_11_1000'!$BD26="Да",1,0)</x:f>
      </x:c>
      <x:c r="L166" s="706">
        <x:f>IF('ЛЧ_35_11_1000'!$BJ26="Да",1,0)</x:f>
      </x:c>
      <x:c r="M166" s="707">
        <x:f>IF('ЛЧ_35_11_1000'!$BP26="Да",1,0)</x:f>
      </x:c>
      <x:c r="N166" s="708">
        <x:f>IF('ЛЧ_35_11_1000'!$BV26="Да",1,0)</x:f>
      </x:c>
      <x:c r="O166" s="375">
        <x:f>IFERROR(ROUND(SUM(C166:N166)/($S$143),1),"")</x:f>
      </x:c>
    </x:row>
    <x:row r="167" spans="1:25" ht="15" customHeight="1" x14ac:dyDescent="0.25">
      <x:c r="A167" s="710"/>
      <x:c r="B167" s="363" t="s">
        <x:v>263</x:v>
      </x:c>
      <x:c r="C167" s="697">
        <x:f>IF('ЛЧ_35_11_1000'!$H27="Да",1,0)</x:f>
      </x:c>
      <x:c r="D167" s="698">
        <x:f>IF('ЛЧ_35_11_1000'!$N27="Да",1,0)</x:f>
      </x:c>
      <x:c r="E167" s="699">
        <x:f>IF('ЛЧ_35_11_1000'!$T27="Да",1,0)</x:f>
      </x:c>
      <x:c r="F167" s="700">
        <x:f>IF('ЛЧ_35_11_1000'!$Z27="Да",1,0)</x:f>
      </x:c>
      <x:c r="G167" s="701">
        <x:f>IF('ЛЧ_35_11_1000'!$AF27="Да",1,0)</x:f>
      </x:c>
      <x:c r="H167" s="702">
        <x:f>IF('ЛЧ_35_11_1000'!$AL27="Да",1,0)</x:f>
      </x:c>
      <x:c r="I167" s="703">
        <x:f>IF('ЛЧ_35_11_1000'!$AR27="Да",1,0)</x:f>
      </x:c>
      <x:c r="J167" s="704">
        <x:f>IF('ЛЧ_35_11_1000'!$AX27="Да",1,0)</x:f>
      </x:c>
      <x:c r="K167" s="705">
        <x:f>IF('ЛЧ_35_11_1000'!$BD27="Да",1,0)</x:f>
      </x:c>
      <x:c r="L167" s="706">
        <x:f>IF('ЛЧ_35_11_1000'!$BJ27="Да",1,0)</x:f>
      </x:c>
      <x:c r="M167" s="707">
        <x:f>IF('ЛЧ_35_11_1000'!$BP27="Да",1,0)</x:f>
      </x:c>
      <x:c r="N167" s="708">
        <x:f>IF('ЛЧ_35_11_1000'!$BV27="Да",1,0)</x:f>
      </x:c>
      <x:c r="O167" s="375">
        <x:f>IFERROR(ROUND(SUM(C167:N167)/($S$143),1),"")</x:f>
      </x:c>
    </x:row>
    <x:row r="168" spans="1:25" ht="15" customHeight="1" x14ac:dyDescent="0.25">
      <x:c r="A168" s="710"/>
      <x:c r="B168" s="363" t="s">
        <x:v>265</x:v>
      </x:c>
      <x:c r="C168" s="697">
        <x:f>IF('ЛЧ_35_11_1000'!$H28="Да",1,0)</x:f>
      </x:c>
      <x:c r="D168" s="698">
        <x:f>IF('ЛЧ_35_11_1000'!$N28="Да",1,0)</x:f>
      </x:c>
      <x:c r="E168" s="699">
        <x:f>IF('ЛЧ_35_11_1000'!$T28="Да",1,0)</x:f>
      </x:c>
      <x:c r="F168" s="700">
        <x:f>IF('ЛЧ_35_11_1000'!$Z28="Да",1,0)</x:f>
      </x:c>
      <x:c r="G168" s="701">
        <x:f>IF('ЛЧ_35_11_1000'!$AF28="Да",1,0)</x:f>
      </x:c>
      <x:c r="H168" s="702">
        <x:f>IF('ЛЧ_35_11_1000'!$AL28="Да",1,0)</x:f>
      </x:c>
      <x:c r="I168" s="703">
        <x:f>IF('ЛЧ_35_11_1000'!$AR28="Да",1,0)</x:f>
      </x:c>
      <x:c r="J168" s="704">
        <x:f>IF('ЛЧ_35_11_1000'!$AX28="Да",1,0)</x:f>
      </x:c>
      <x:c r="K168" s="705">
        <x:f>IF('ЛЧ_35_11_1000'!$BD28="Да",1,0)</x:f>
      </x:c>
      <x:c r="L168" s="706">
        <x:f>IF('ЛЧ_35_11_1000'!$BJ28="Да",1,0)</x:f>
      </x:c>
      <x:c r="M168" s="707">
        <x:f>IF('ЛЧ_35_11_1000'!$BP28="Да",1,0)</x:f>
      </x:c>
      <x:c r="N168" s="708">
        <x:f>IF('ЛЧ_35_11_1000'!$BV28="Да",1,0)</x:f>
      </x:c>
      <x:c r="O168" s="375">
        <x:f>IFERROR(ROUND(SUM(C168:N168)/($S$143),1),"")</x:f>
      </x:c>
    </x:row>
    <x:row r="169" spans="1:25" ht="15" customHeight="1" x14ac:dyDescent="0.25">
      <x:c r="A169" s="710"/>
      <x:c r="B169" s="363" t="s">
        <x:v>284</x:v>
      </x:c>
      <x:c r="C169" s="697">
        <x:f>IF('ЛЧ_35_11_1000'!$H29="Да",1,0)</x:f>
      </x:c>
      <x:c r="D169" s="698">
        <x:f>IF('ЛЧ_35_11_1000'!$N29="Да",1,0)</x:f>
      </x:c>
      <x:c r="E169" s="699">
        <x:f>IF('ЛЧ_35_11_1000'!$T29="Да",1,0)</x:f>
      </x:c>
      <x:c r="F169" s="700">
        <x:f>IF('ЛЧ_35_11_1000'!$Z29="Да",1,0)</x:f>
      </x:c>
      <x:c r="G169" s="701">
        <x:f>IF('ЛЧ_35_11_1000'!$AF29="Да",1,0)</x:f>
      </x:c>
      <x:c r="H169" s="702">
        <x:f>IF('ЛЧ_35_11_1000'!$AL29="Да",1,0)</x:f>
      </x:c>
      <x:c r="I169" s="703">
        <x:f>IF('ЛЧ_35_11_1000'!$AR29="Да",1,0)</x:f>
      </x:c>
      <x:c r="J169" s="704">
        <x:f>IF('ЛЧ_35_11_1000'!$AX29="Да",1,0)</x:f>
      </x:c>
      <x:c r="K169" s="705">
        <x:f>IF('ЛЧ_35_11_1000'!$BD29="Да",1,0)</x:f>
      </x:c>
      <x:c r="L169" s="706">
        <x:f>IF('ЛЧ_35_11_1000'!$BJ29="Да",1,0)</x:f>
      </x:c>
      <x:c r="M169" s="707">
        <x:f>IF('ЛЧ_35_11_1000'!$BP29="Да",1,0)</x:f>
      </x:c>
      <x:c r="N169" s="708">
        <x:f>IF('ЛЧ_35_11_1000'!$BV29="Да",1,0)</x:f>
      </x:c>
      <x:c r="O169" s="375">
        <x:f>IFERROR(ROUND(SUM(C169:N169)/($S$143),1),"")</x:f>
      </x:c>
    </x:row>
    <x:row r="170" spans="1:25" ht="15" customHeight="1" x14ac:dyDescent="0.25">
      <x:c r="A170" s="710"/>
      <x:c r="B170" s="363" t="s">
        <x:v>270</x:v>
      </x:c>
      <x:c r="C170" s="697">
        <x:f>IF('ЛЧ_35_11_1000'!$H30="Да",1,0)</x:f>
      </x:c>
      <x:c r="D170" s="698">
        <x:f>IF('ЛЧ_35_11_1000'!$N30="Да",1,0)</x:f>
      </x:c>
      <x:c r="E170" s="699">
        <x:f>IF('ЛЧ_35_11_1000'!$T30="Да",1,0)</x:f>
      </x:c>
      <x:c r="F170" s="700">
        <x:f>IF('ЛЧ_35_11_1000'!$Z30="Да",1,0)</x:f>
      </x:c>
      <x:c r="G170" s="701">
        <x:f>IF('ЛЧ_35_11_1000'!$AF30="Да",1,0)</x:f>
      </x:c>
      <x:c r="H170" s="702">
        <x:f>IF('ЛЧ_35_11_1000'!$AL30="Да",1,0)</x:f>
      </x:c>
      <x:c r="I170" s="703">
        <x:f>IF('ЛЧ_35_11_1000'!$AR30="Да",1,0)</x:f>
      </x:c>
      <x:c r="J170" s="704">
        <x:f>IF('ЛЧ_35_11_1000'!$AX30="Да",1,0)</x:f>
      </x:c>
      <x:c r="K170" s="705">
        <x:f>IF('ЛЧ_35_11_1000'!$BD30="Да",1,0)</x:f>
      </x:c>
      <x:c r="L170" s="706">
        <x:f>IF('ЛЧ_35_11_1000'!$BJ30="Да",1,0)</x:f>
      </x:c>
      <x:c r="M170" s="707">
        <x:f>IF('ЛЧ_35_11_1000'!$BP30="Да",1,0)</x:f>
      </x:c>
      <x:c r="N170" s="708">
        <x:f>IF('ЛЧ_35_11_1000'!$BV30="Да",1,0)</x:f>
      </x:c>
      <x:c r="O170" s="375">
        <x:f>IFERROR(ROUND(SUM(C170:N170)/($S$143),1),"")</x:f>
      </x:c>
    </x:row>
    <x:row r="171" spans="1:25" ht="15" customHeight="1" x14ac:dyDescent="0.25">
      <x:c r="A171" s="710"/>
      <x:c r="B171" s="363" t="s">
        <x:v>274</x:v>
      </x:c>
      <x:c r="C171" s="697">
        <x:f>IF('ЛЧ_35_11_1000'!$H31="Да",1,0)</x:f>
      </x:c>
      <x:c r="D171" s="698">
        <x:f>IF('ЛЧ_35_11_1000'!$N31="Да",1,0)</x:f>
      </x:c>
      <x:c r="E171" s="699">
        <x:f>IF('ЛЧ_35_11_1000'!$T31="Да",1,0)</x:f>
      </x:c>
      <x:c r="F171" s="700">
        <x:f>IF('ЛЧ_35_11_1000'!$Z31="Да",1,0)</x:f>
      </x:c>
      <x:c r="G171" s="701">
        <x:f>IF('ЛЧ_35_11_1000'!$AF31="Да",1,0)</x:f>
      </x:c>
      <x:c r="H171" s="702">
        <x:f>IF('ЛЧ_35_11_1000'!$AL31="Да",1,0)</x:f>
      </x:c>
      <x:c r="I171" s="703">
        <x:f>IF('ЛЧ_35_11_1000'!$AR31="Да",1,0)</x:f>
      </x:c>
      <x:c r="J171" s="704">
        <x:f>IF('ЛЧ_35_11_1000'!$AX31="Да",1,0)</x:f>
      </x:c>
      <x:c r="K171" s="705">
        <x:f>IF('ЛЧ_35_11_1000'!$BD31="Да",1,0)</x:f>
      </x:c>
      <x:c r="L171" s="706">
        <x:f>IF('ЛЧ_35_11_1000'!$BJ31="Да",1,0)</x:f>
      </x:c>
      <x:c r="M171" s="707">
        <x:f>IF('ЛЧ_35_11_1000'!$BP31="Да",1,0)</x:f>
      </x:c>
      <x:c r="N171" s="708">
        <x:f>IF('ЛЧ_35_11_1000'!$BV31="Да",1,0)</x:f>
      </x:c>
      <x:c r="O171" s="375">
        <x:f>IFERROR(ROUND(SUM(C171:N171)/($S$143),1),"")</x:f>
      </x:c>
    </x:row>
    <x:row r="172" spans="1:25" ht="15" customHeight="1" x14ac:dyDescent="0.25">
      <x:c r="A172" s="710"/>
      <x:c r="B172" s="363" t="s">
        <x:v>258</x:v>
      </x:c>
      <x:c r="C172" s="697">
        <x:f>IF('ЛЧ_35_11_1000'!$H32="Да",1,0)</x:f>
      </x:c>
      <x:c r="D172" s="698">
        <x:f>IF('ЛЧ_35_11_1000'!$N32="Да",1,0)</x:f>
      </x:c>
      <x:c r="E172" s="699">
        <x:f>IF('ЛЧ_35_11_1000'!$T32="Да",1,0)</x:f>
      </x:c>
      <x:c r="F172" s="700">
        <x:f>IF('ЛЧ_35_11_1000'!$Z32="Да",1,0)</x:f>
      </x:c>
      <x:c r="G172" s="701">
        <x:f>IF('ЛЧ_35_11_1000'!$AF32="Да",1,0)</x:f>
      </x:c>
      <x:c r="H172" s="702">
        <x:f>IF('ЛЧ_35_11_1000'!$AL32="Да",1,0)</x:f>
      </x:c>
      <x:c r="I172" s="703">
        <x:f>IF('ЛЧ_35_11_1000'!$AR32="Да",1,0)</x:f>
      </x:c>
      <x:c r="J172" s="704">
        <x:f>IF('ЛЧ_35_11_1000'!$AX32="Да",1,0)</x:f>
      </x:c>
      <x:c r="K172" s="705">
        <x:f>IF('ЛЧ_35_11_1000'!$BD32="Да",1,0)</x:f>
      </x:c>
      <x:c r="L172" s="706">
        <x:f>IF('ЛЧ_35_11_1000'!$BJ32="Да",1,0)</x:f>
      </x:c>
      <x:c r="M172" s="707">
        <x:f>IF('ЛЧ_35_11_1000'!$BP32="Да",1,0)</x:f>
      </x:c>
      <x:c r="N172" s="708">
        <x:f>IF('ЛЧ_35_11_1000'!$BV32="Да",1,0)</x:f>
      </x:c>
      <x:c r="O172" s="375">
        <x:f>IFERROR(ROUND(SUM(C172:N172)/($S$143),1),"")</x:f>
      </x:c>
    </x:row>
    <x:row r="173" spans="1:25" ht="15" customHeight="1" x14ac:dyDescent="0.25">
      <x:c r="A173" s="710"/>
      <x:c r="B173" s="363" t="s">
        <x:v>249</x:v>
      </x:c>
      <x:c r="C173" s="697">
        <x:f>IF('ЛЧ_35_11_1000'!$H33="Да",1,0)</x:f>
      </x:c>
      <x:c r="D173" s="698">
        <x:f>IF('ЛЧ_35_11_1000'!$N33="Да",1,0)</x:f>
      </x:c>
      <x:c r="E173" s="699">
        <x:f>IF('ЛЧ_35_11_1000'!$T33="Да",1,0)</x:f>
      </x:c>
      <x:c r="F173" s="700">
        <x:f>IF('ЛЧ_35_11_1000'!$Z33="Да",1,0)</x:f>
      </x:c>
      <x:c r="G173" s="701">
        <x:f>IF('ЛЧ_35_11_1000'!$AF33="Да",1,0)</x:f>
      </x:c>
      <x:c r="H173" s="702">
        <x:f>IF('ЛЧ_35_11_1000'!$AL33="Да",1,0)</x:f>
      </x:c>
      <x:c r="I173" s="703">
        <x:f>IF('ЛЧ_35_11_1000'!$AR33="Да",1,0)</x:f>
      </x:c>
      <x:c r="J173" s="704">
        <x:f>IF('ЛЧ_35_11_1000'!$AX33="Да",1,0)</x:f>
      </x:c>
      <x:c r="K173" s="705">
        <x:f>IF('ЛЧ_35_11_1000'!$BD33="Да",1,0)</x:f>
      </x:c>
      <x:c r="L173" s="706">
        <x:f>IF('ЛЧ_35_11_1000'!$BJ33="Да",1,0)</x:f>
      </x:c>
      <x:c r="M173" s="707">
        <x:f>IF('ЛЧ_35_11_1000'!$BP33="Да",1,0)</x:f>
      </x:c>
      <x:c r="N173" s="708">
        <x:f>IF('ЛЧ_35_11_1000'!$BV33="Да",1,0)</x:f>
      </x:c>
      <x:c r="O173" s="375">
        <x:f>IFERROR(ROUND(SUM(C173:N173)/($S$143),1),"")</x:f>
      </x:c>
    </x:row>
    <x:row r="174" spans="1:25" ht="15" customHeight="1" x14ac:dyDescent="0.25">
      <x:c r="A174" s="710"/>
      <x:c r="B174" s="363" t="s">
        <x:v>278</x:v>
      </x:c>
      <x:c r="C174" s="697">
        <x:f>IF('ЛЧ_35_11_1000'!$H34="Да",1,0)</x:f>
      </x:c>
      <x:c r="D174" s="698">
        <x:f>IF('ЛЧ_35_11_1000'!$N34="Да",1,0)</x:f>
      </x:c>
      <x:c r="E174" s="699">
        <x:f>IF('ЛЧ_35_11_1000'!$T34="Да",1,0)</x:f>
      </x:c>
      <x:c r="F174" s="700">
        <x:f>IF('ЛЧ_35_11_1000'!$Z34="Да",1,0)</x:f>
      </x:c>
      <x:c r="G174" s="701">
        <x:f>IF('ЛЧ_35_11_1000'!$AF34="Да",1,0)</x:f>
      </x:c>
      <x:c r="H174" s="702">
        <x:f>IF('ЛЧ_35_11_1000'!$AL34="Да",1,0)</x:f>
      </x:c>
      <x:c r="I174" s="703">
        <x:f>IF('ЛЧ_35_11_1000'!$AR34="Да",1,0)</x:f>
      </x:c>
      <x:c r="J174" s="704">
        <x:f>IF('ЛЧ_35_11_1000'!$AX34="Да",1,0)</x:f>
      </x:c>
      <x:c r="K174" s="705">
        <x:f>IF('ЛЧ_35_11_1000'!$BD34="Да",1,0)</x:f>
      </x:c>
      <x:c r="L174" s="706">
        <x:f>IF('ЛЧ_35_11_1000'!$BJ34="Да",1,0)</x:f>
      </x:c>
      <x:c r="M174" s="707">
        <x:f>IF('ЛЧ_35_11_1000'!$BP34="Да",1,0)</x:f>
      </x:c>
      <x:c r="N174" s="708">
        <x:f>IF('ЛЧ_35_11_1000'!$BV34="Да",1,0)</x:f>
      </x:c>
      <x:c r="O174" s="375">
        <x:f>IFERROR(ROUND(SUM(C174:N174)/($S$143),1),"")</x:f>
      </x:c>
    </x:row>
    <x:row r="175" spans="1:25" ht="15" customHeight="1" x14ac:dyDescent="0.25">
      <x:c r="A175" s="710"/>
      <x:c r="B175" s="363" t="s">
        <x:v>264</x:v>
      </x:c>
      <x:c r="C175" s="697">
        <x:f>IF('ЛЧ_35_11_1000'!$H35="Да",1,0)</x:f>
      </x:c>
      <x:c r="D175" s="698">
        <x:f>IF('ЛЧ_35_11_1000'!$N35="Да",1,0)</x:f>
      </x:c>
      <x:c r="E175" s="699">
        <x:f>IF('ЛЧ_35_11_1000'!$T35="Да",1,0)</x:f>
      </x:c>
      <x:c r="F175" s="700">
        <x:f>IF('ЛЧ_35_11_1000'!$Z35="Да",1,0)</x:f>
      </x:c>
      <x:c r="G175" s="701">
        <x:f>IF('ЛЧ_35_11_1000'!$AF35="Да",1,0)</x:f>
      </x:c>
      <x:c r="H175" s="702">
        <x:f>IF('ЛЧ_35_11_1000'!$AL35="Да",1,0)</x:f>
      </x:c>
      <x:c r="I175" s="703">
        <x:f>IF('ЛЧ_35_11_1000'!$AR35="Да",1,0)</x:f>
      </x:c>
      <x:c r="J175" s="704">
        <x:f>IF('ЛЧ_35_11_1000'!$AX35="Да",1,0)</x:f>
      </x:c>
      <x:c r="K175" s="705">
        <x:f>IF('ЛЧ_35_11_1000'!$BD35="Да",1,0)</x:f>
      </x:c>
      <x:c r="L175" s="706">
        <x:f>IF('ЛЧ_35_11_1000'!$BJ35="Да",1,0)</x:f>
      </x:c>
      <x:c r="M175" s="707">
        <x:f>IF('ЛЧ_35_11_1000'!$BP35="Да",1,0)</x:f>
      </x:c>
      <x:c r="N175" s="708">
        <x:f>IF('ЛЧ_35_11_1000'!$BV35="Да",1,0)</x:f>
      </x:c>
      <x:c r="O175" s="375">
        <x:f>IFERROR(ROUND(SUM(C175:N175)/($S$143),1),"")</x:f>
      </x:c>
    </x:row>
    <x:row r="176" spans="1:25" ht="15" customHeight="1" x14ac:dyDescent="0.25">
      <x:c r="A176" s="710"/>
      <x:c r="B176" s="363" t="s">
        <x:v>283</x:v>
      </x:c>
      <x:c r="C176" s="697">
        <x:f>IF('ЛЧ_35_11_1000'!$H36="Да",1,0)</x:f>
      </x:c>
      <x:c r="D176" s="698">
        <x:f>IF('ЛЧ_35_11_1000'!$N36="Да",1,0)</x:f>
      </x:c>
      <x:c r="E176" s="699">
        <x:f>IF('ЛЧ_35_11_1000'!$T36="Да",1,0)</x:f>
      </x:c>
      <x:c r="F176" s="700">
        <x:f>IF('ЛЧ_35_11_1000'!$Z36="Да",1,0)</x:f>
      </x:c>
      <x:c r="G176" s="701">
        <x:f>IF('ЛЧ_35_11_1000'!$AF36="Да",1,0)</x:f>
      </x:c>
      <x:c r="H176" s="702">
        <x:f>IF('ЛЧ_35_11_1000'!$AL36="Да",1,0)</x:f>
      </x:c>
      <x:c r="I176" s="703">
        <x:f>IF('ЛЧ_35_11_1000'!$AR36="Да",1,0)</x:f>
      </x:c>
      <x:c r="J176" s="704">
        <x:f>IF('ЛЧ_35_11_1000'!$AX36="Да",1,0)</x:f>
      </x:c>
      <x:c r="K176" s="705">
        <x:f>IF('ЛЧ_35_11_1000'!$BD36="Да",1,0)</x:f>
      </x:c>
      <x:c r="L176" s="706">
        <x:f>IF('ЛЧ_35_11_1000'!$BJ36="Да",1,0)</x:f>
      </x:c>
      <x:c r="M176" s="707">
        <x:f>IF('ЛЧ_35_11_1000'!$BP36="Да",1,0)</x:f>
      </x:c>
      <x:c r="N176" s="708">
        <x:f>IF('ЛЧ_35_11_1000'!$BV36="Да",1,0)</x:f>
      </x:c>
      <x:c r="O176" s="375">
        <x:f>IFERROR(ROUND(SUM(C176:N176)/($S$143),1),"")</x:f>
      </x:c>
    </x:row>
    <x:row r="177" spans="1:25" ht="15" customHeight="1" x14ac:dyDescent="0.25">
      <x:c r="A177" s="710"/>
      <x:c r="B177" s="363" t="s">
        <x:v>286</x:v>
      </x:c>
      <x:c r="C177" s="697">
        <x:f>IF('ЛЧ_35_11_1000'!$H37="Да",1,0)</x:f>
      </x:c>
      <x:c r="D177" s="698">
        <x:f>IF('ЛЧ_35_11_1000'!$N37="Да",1,0)</x:f>
      </x:c>
      <x:c r="E177" s="699">
        <x:f>IF('ЛЧ_35_11_1000'!$T37="Да",1,0)</x:f>
      </x:c>
      <x:c r="F177" s="700">
        <x:f>IF('ЛЧ_35_11_1000'!$Z37="Да",1,0)</x:f>
      </x:c>
      <x:c r="G177" s="701">
        <x:f>IF('ЛЧ_35_11_1000'!$AF37="Да",1,0)</x:f>
      </x:c>
      <x:c r="H177" s="702">
        <x:f>IF('ЛЧ_35_11_1000'!$AL37="Да",1,0)</x:f>
      </x:c>
      <x:c r="I177" s="703">
        <x:f>IF('ЛЧ_35_11_1000'!$AR37="Да",1,0)</x:f>
      </x:c>
      <x:c r="J177" s="704">
        <x:f>IF('ЛЧ_35_11_1000'!$AX37="Да",1,0)</x:f>
      </x:c>
      <x:c r="K177" s="705">
        <x:f>IF('ЛЧ_35_11_1000'!$BD37="Да",1,0)</x:f>
      </x:c>
      <x:c r="L177" s="706">
        <x:f>IF('ЛЧ_35_11_1000'!$BJ37="Да",1,0)</x:f>
      </x:c>
      <x:c r="M177" s="707">
        <x:f>IF('ЛЧ_35_11_1000'!$BP37="Да",1,0)</x:f>
      </x:c>
      <x:c r="N177" s="708">
        <x:f>IF('ЛЧ_35_11_1000'!$BV37="Да",1,0)</x:f>
      </x:c>
      <x:c r="O177" s="375">
        <x:f>IFERROR(ROUND(SUM(C177:N177)/($S$143),1),"")</x:f>
      </x:c>
    </x:row>
    <x:row r="178" spans="1:25" ht="15" customHeight="1" x14ac:dyDescent="0.25">
      <x:c r="A178" s="710"/>
      <x:c r="B178" s="363" t="s">
        <x:v>279</x:v>
      </x:c>
      <x:c r="C178" s="697">
        <x:f>IF('ЛЧ_35_11_1000'!$H38="Да",1,0)</x:f>
      </x:c>
      <x:c r="D178" s="698">
        <x:f>IF('ЛЧ_35_11_1000'!$N38="Да",1,0)</x:f>
      </x:c>
      <x:c r="E178" s="699">
        <x:f>IF('ЛЧ_35_11_1000'!$T38="Да",1,0)</x:f>
      </x:c>
      <x:c r="F178" s="700">
        <x:f>IF('ЛЧ_35_11_1000'!$Z38="Да",1,0)</x:f>
      </x:c>
      <x:c r="G178" s="701">
        <x:f>IF('ЛЧ_35_11_1000'!$AF38="Да",1,0)</x:f>
      </x:c>
      <x:c r="H178" s="702">
        <x:f>IF('ЛЧ_35_11_1000'!$AL38="Да",1,0)</x:f>
      </x:c>
      <x:c r="I178" s="703">
        <x:f>IF('ЛЧ_35_11_1000'!$AR38="Да",1,0)</x:f>
      </x:c>
      <x:c r="J178" s="704">
        <x:f>IF('ЛЧ_35_11_1000'!$AX38="Да",1,0)</x:f>
      </x:c>
      <x:c r="K178" s="705">
        <x:f>IF('ЛЧ_35_11_1000'!$BD38="Да",1,0)</x:f>
      </x:c>
      <x:c r="L178" s="706">
        <x:f>IF('ЛЧ_35_11_1000'!$BJ38="Да",1,0)</x:f>
      </x:c>
      <x:c r="M178" s="707">
        <x:f>IF('ЛЧ_35_11_1000'!$BP38="Да",1,0)</x:f>
      </x:c>
      <x:c r="N178" s="708">
        <x:f>IF('ЛЧ_35_11_1000'!$BV38="Да",1,0)</x:f>
      </x:c>
      <x:c r="O178" s="375">
        <x:f>IFERROR(ROUND(SUM(C178:N178)/($S$143),1),"")</x:f>
      </x:c>
    </x:row>
    <x:row r="179" spans="1:25" ht="15" customHeight="1" x14ac:dyDescent="0.25">
      <x:c r="A179" s="710"/>
      <x:c r="B179" s="363" t="s">
        <x:v>255</x:v>
      </x:c>
      <x:c r="C179" s="697">
        <x:f>IF('ЛЧ_35_11_1000'!$H39="Да",1,0)</x:f>
      </x:c>
      <x:c r="D179" s="698">
        <x:f>IF('ЛЧ_35_11_1000'!$N39="Да",1,0)</x:f>
      </x:c>
      <x:c r="E179" s="699">
        <x:f>IF('ЛЧ_35_11_1000'!$T39="Да",1,0)</x:f>
      </x:c>
      <x:c r="F179" s="700">
        <x:f>IF('ЛЧ_35_11_1000'!$Z39="Да",1,0)</x:f>
      </x:c>
      <x:c r="G179" s="701">
        <x:f>IF('ЛЧ_35_11_1000'!$AF39="Да",1,0)</x:f>
      </x:c>
      <x:c r="H179" s="702">
        <x:f>IF('ЛЧ_35_11_1000'!$AL39="Да",1,0)</x:f>
      </x:c>
      <x:c r="I179" s="703">
        <x:f>IF('ЛЧ_35_11_1000'!$AR39="Да",1,0)</x:f>
      </x:c>
      <x:c r="J179" s="704">
        <x:f>IF('ЛЧ_35_11_1000'!$AX39="Да",1,0)</x:f>
      </x:c>
      <x:c r="K179" s="705">
        <x:f>IF('ЛЧ_35_11_1000'!$BD39="Да",1,0)</x:f>
      </x:c>
      <x:c r="L179" s="706">
        <x:f>IF('ЛЧ_35_11_1000'!$BJ39="Да",1,0)</x:f>
      </x:c>
      <x:c r="M179" s="707">
        <x:f>IF('ЛЧ_35_11_1000'!$BP39="Да",1,0)</x:f>
      </x:c>
      <x:c r="N179" s="708">
        <x:f>IF('ЛЧ_35_11_1000'!$BV39="Да",1,0)</x:f>
      </x:c>
      <x:c r="O179" s="375">
        <x:f>IFERROR(ROUND(SUM(C179:N179)/($S$143),1),"")</x:f>
      </x:c>
    </x:row>
    <x:row r="180" spans="1:25" ht="15" customHeight="1" x14ac:dyDescent="0.25">
      <x:c r="A180" s="710"/>
      <x:c r="B180" s="363" t="s">
        <x:v>285</x:v>
      </x:c>
      <x:c r="C180" s="697">
        <x:f>IF('ЛЧ_35_11_1000'!$H40="Да",1,0)</x:f>
      </x:c>
      <x:c r="D180" s="698">
        <x:f>IF('ЛЧ_35_11_1000'!$N40="Да",1,0)</x:f>
      </x:c>
      <x:c r="E180" s="699">
        <x:f>IF('ЛЧ_35_11_1000'!$T40="Да",1,0)</x:f>
      </x:c>
      <x:c r="F180" s="700">
        <x:f>IF('ЛЧ_35_11_1000'!$Z40="Да",1,0)</x:f>
      </x:c>
      <x:c r="G180" s="701">
        <x:f>IF('ЛЧ_35_11_1000'!$AF40="Да",1,0)</x:f>
      </x:c>
      <x:c r="H180" s="702">
        <x:f>IF('ЛЧ_35_11_1000'!$AL40="Да",1,0)</x:f>
      </x:c>
      <x:c r="I180" s="703">
        <x:f>IF('ЛЧ_35_11_1000'!$AR40="Да",1,0)</x:f>
      </x:c>
      <x:c r="J180" s="704">
        <x:f>IF('ЛЧ_35_11_1000'!$AX40="Да",1,0)</x:f>
      </x:c>
      <x:c r="K180" s="705">
        <x:f>IF('ЛЧ_35_11_1000'!$BD40="Да",1,0)</x:f>
      </x:c>
      <x:c r="L180" s="706">
        <x:f>IF('ЛЧ_35_11_1000'!$BJ40="Да",1,0)</x:f>
      </x:c>
      <x:c r="M180" s="707">
        <x:f>IF('ЛЧ_35_11_1000'!$BP40="Да",1,0)</x:f>
      </x:c>
      <x:c r="N180" s="708">
        <x:f>IF('ЛЧ_35_11_1000'!$BV40="Да",1,0)</x:f>
      </x:c>
      <x:c r="O180" s="375">
        <x:f>IFERROR(ROUND(SUM(C180:N180)/($S$143),1),"")</x:f>
      </x:c>
    </x:row>
    <x:row r="181" spans="1:25" ht="15" customHeight="1" x14ac:dyDescent="0.25">
      <x:c r="A181" s="710"/>
      <x:c r="B181" s="363" t="s">
        <x:v>252</x:v>
      </x:c>
      <x:c r="C181" s="697">
        <x:f>IF('ЛЧ_35_11_1000'!$H41="Да",1,0)</x:f>
      </x:c>
      <x:c r="D181" s="698">
        <x:f>IF('ЛЧ_35_11_1000'!$N41="Да",1,0)</x:f>
      </x:c>
      <x:c r="E181" s="699">
        <x:f>IF('ЛЧ_35_11_1000'!$T41="Да",1,0)</x:f>
      </x:c>
      <x:c r="F181" s="700">
        <x:f>IF('ЛЧ_35_11_1000'!$Z41="Да",1,0)</x:f>
      </x:c>
      <x:c r="G181" s="701">
        <x:f>IF('ЛЧ_35_11_1000'!$AF41="Да",1,0)</x:f>
      </x:c>
      <x:c r="H181" s="702">
        <x:f>IF('ЛЧ_35_11_1000'!$AL41="Да",1,0)</x:f>
      </x:c>
      <x:c r="I181" s="703">
        <x:f>IF('ЛЧ_35_11_1000'!$AR41="Да",1,0)</x:f>
      </x:c>
      <x:c r="J181" s="704">
        <x:f>IF('ЛЧ_35_11_1000'!$AX41="Да",1,0)</x:f>
      </x:c>
      <x:c r="K181" s="705">
        <x:f>IF('ЛЧ_35_11_1000'!$BD41="Да",1,0)</x:f>
      </x:c>
      <x:c r="L181" s="706">
        <x:f>IF('ЛЧ_35_11_1000'!$BJ41="Да",1,0)</x:f>
      </x:c>
      <x:c r="M181" s="707">
        <x:f>IF('ЛЧ_35_11_1000'!$BP41="Да",1,0)</x:f>
      </x:c>
      <x:c r="N181" s="708">
        <x:f>IF('ЛЧ_35_11_1000'!$BV41="Да",1,0)</x:f>
      </x:c>
      <x:c r="O181" s="375">
        <x:f>IFERROR(ROUND(SUM(C181:N181)/($S$143),1),"")</x:f>
      </x:c>
    </x:row>
    <x:row r="182" spans="1:25" ht="15" customHeight="1" x14ac:dyDescent="0.25">
      <x:c r="A182" s="710"/>
      <x:c r="B182" s="363" t="s">
        <x:v>276</x:v>
      </x:c>
      <x:c r="C182" s="697">
        <x:f>IF('ЛЧ_35_11_1000'!$H42="Да",1,0)</x:f>
      </x:c>
      <x:c r="D182" s="698">
        <x:f>IF('ЛЧ_35_11_1000'!$N42="Да",1,0)</x:f>
      </x:c>
      <x:c r="E182" s="699">
        <x:f>IF('ЛЧ_35_11_1000'!$T42="Да",1,0)</x:f>
      </x:c>
      <x:c r="F182" s="700">
        <x:f>IF('ЛЧ_35_11_1000'!$Z42="Да",1,0)</x:f>
      </x:c>
      <x:c r="G182" s="701">
        <x:f>IF('ЛЧ_35_11_1000'!$AF42="Да",1,0)</x:f>
      </x:c>
      <x:c r="H182" s="702">
        <x:f>IF('ЛЧ_35_11_1000'!$AL42="Да",1,0)</x:f>
      </x:c>
      <x:c r="I182" s="703">
        <x:f>IF('ЛЧ_35_11_1000'!$AR42="Да",1,0)</x:f>
      </x:c>
      <x:c r="J182" s="704">
        <x:f>IF('ЛЧ_35_11_1000'!$AX42="Да",1,0)</x:f>
      </x:c>
      <x:c r="K182" s="705">
        <x:f>IF('ЛЧ_35_11_1000'!$BD42="Да",1,0)</x:f>
      </x:c>
      <x:c r="L182" s="706">
        <x:f>IF('ЛЧ_35_11_1000'!$BJ42="Да",1,0)</x:f>
      </x:c>
      <x:c r="M182" s="707">
        <x:f>IF('ЛЧ_35_11_1000'!$BP42="Да",1,0)</x:f>
      </x:c>
      <x:c r="N182" s="708">
        <x:f>IF('ЛЧ_35_11_1000'!$BV42="Да",1,0)</x:f>
      </x:c>
      <x:c r="O182" s="375">
        <x:f>IFERROR(ROUND(SUM(C182:N182)/($S$143),1),"")</x:f>
      </x:c>
    </x:row>
    <x:row r="183" spans="1:25" ht="15" customHeight="1" x14ac:dyDescent="0.25">
      <x:c r="A183" s="710"/>
      <x:c r="B183" s="363" t="s">
        <x:v>275</x:v>
      </x:c>
      <x:c r="C183" s="697">
        <x:f>IF('ЛЧ_35_11_1000'!$H43="Да",1,0)</x:f>
      </x:c>
      <x:c r="D183" s="698">
        <x:f>IF('ЛЧ_35_11_1000'!$N43="Да",1,0)</x:f>
      </x:c>
      <x:c r="E183" s="699">
        <x:f>IF('ЛЧ_35_11_1000'!$T43="Да",1,0)</x:f>
      </x:c>
      <x:c r="F183" s="700">
        <x:f>IF('ЛЧ_35_11_1000'!$Z43="Да",1,0)</x:f>
      </x:c>
      <x:c r="G183" s="701">
        <x:f>IF('ЛЧ_35_11_1000'!$AF43="Да",1,0)</x:f>
      </x:c>
      <x:c r="H183" s="702">
        <x:f>IF('ЛЧ_35_11_1000'!$AL43="Да",1,0)</x:f>
      </x:c>
      <x:c r="I183" s="703">
        <x:f>IF('ЛЧ_35_11_1000'!$AR43="Да",1,0)</x:f>
      </x:c>
      <x:c r="J183" s="704">
        <x:f>IF('ЛЧ_35_11_1000'!$AX43="Да",1,0)</x:f>
      </x:c>
      <x:c r="K183" s="705">
        <x:f>IF('ЛЧ_35_11_1000'!$BD43="Да",1,0)</x:f>
      </x:c>
      <x:c r="L183" s="706">
        <x:f>IF('ЛЧ_35_11_1000'!$BJ43="Да",1,0)</x:f>
      </x:c>
      <x:c r="M183" s="707">
        <x:f>IF('ЛЧ_35_11_1000'!$BP43="Да",1,0)</x:f>
      </x:c>
      <x:c r="N183" s="708">
        <x:f>IF('ЛЧ_35_11_1000'!$BV43="Да",1,0)</x:f>
      </x:c>
      <x:c r="O183" s="375">
        <x:f>IFERROR(ROUND(SUM(C183:N183)/($S$143),1),"")</x:f>
      </x:c>
    </x:row>
    <x:row r="184" spans="1:25" ht="15" customHeight="1" x14ac:dyDescent="0.25">
      <x:c r="A184" s="710"/>
      <x:c r="B184" s="363" t="s">
        <x:v>280</x:v>
      </x:c>
      <x:c r="C184" s="697">
        <x:f>IF('ЛЧ_35_11_1000'!$H44="Да",1,0)</x:f>
      </x:c>
      <x:c r="D184" s="698">
        <x:f>IF('ЛЧ_35_11_1000'!$N44="Да",1,0)</x:f>
      </x:c>
      <x:c r="E184" s="699">
        <x:f>IF('ЛЧ_35_11_1000'!$T44="Да",1,0)</x:f>
      </x:c>
      <x:c r="F184" s="700">
        <x:f>IF('ЛЧ_35_11_1000'!$Z44="Да",1,0)</x:f>
      </x:c>
      <x:c r="G184" s="701">
        <x:f>IF('ЛЧ_35_11_1000'!$AF44="Да",1,0)</x:f>
      </x:c>
      <x:c r="H184" s="702">
        <x:f>IF('ЛЧ_35_11_1000'!$AL44="Да",1,0)</x:f>
      </x:c>
      <x:c r="I184" s="703">
        <x:f>IF('ЛЧ_35_11_1000'!$AR44="Да",1,0)</x:f>
      </x:c>
      <x:c r="J184" s="704">
        <x:f>IF('ЛЧ_35_11_1000'!$AX44="Да",1,0)</x:f>
      </x:c>
      <x:c r="K184" s="705">
        <x:f>IF('ЛЧ_35_11_1000'!$BD44="Да",1,0)</x:f>
      </x:c>
      <x:c r="L184" s="706">
        <x:f>IF('ЛЧ_35_11_1000'!$BJ44="Да",1,0)</x:f>
      </x:c>
      <x:c r="M184" s="707">
        <x:f>IF('ЛЧ_35_11_1000'!$BP44="Да",1,0)</x:f>
      </x:c>
      <x:c r="N184" s="708">
        <x:f>IF('ЛЧ_35_11_1000'!$BV44="Да",1,0)</x:f>
      </x:c>
      <x:c r="O184" s="375">
        <x:f>IFERROR(ROUND(SUM(C184:N184)/($S$143),1),"")</x:f>
      </x:c>
    </x:row>
    <x:row r="185" spans="1:25" ht="15.75" customHeight="1" x14ac:dyDescent="0.25">
      <x:c r="A185" s="717"/>
      <x:c r="B185" s="379" t="s">
        <x:v>253</x:v>
      </x:c>
      <x:c r="C185" s="697">
        <x:f>IF('ЛЧ_35_11_1000'!$H45="Да",1,0)</x:f>
      </x:c>
      <x:c r="D185" s="698">
        <x:f>IF('ЛЧ_35_11_1000'!$N45="Да",1,0)</x:f>
      </x:c>
      <x:c r="E185" s="699">
        <x:f>IF('ЛЧ_35_11_1000'!$T45="Да",1,0)</x:f>
      </x:c>
      <x:c r="F185" s="700">
        <x:f>IF('ЛЧ_35_11_1000'!$Z45="Да",1,0)</x:f>
      </x:c>
      <x:c r="G185" s="701">
        <x:f>IF('ЛЧ_35_11_1000'!$AF45="Да",1,0)</x:f>
      </x:c>
      <x:c r="H185" s="702">
        <x:f>IF('ЛЧ_35_11_1000'!$AL45="Да",1,0)</x:f>
      </x:c>
      <x:c r="I185" s="703">
        <x:f>IF('ЛЧ_35_11_1000'!$AR45="Да",1,0)</x:f>
      </x:c>
      <x:c r="J185" s="704">
        <x:f>IF('ЛЧ_35_11_1000'!$AX45="Да",1,0)</x:f>
      </x:c>
      <x:c r="K185" s="705">
        <x:f>IF('ЛЧ_35_11_1000'!$BD45="Да",1,0)</x:f>
      </x:c>
      <x:c r="L185" s="706">
        <x:f>IF('ЛЧ_35_11_1000'!$BJ45="Да",1,0)</x:f>
      </x:c>
      <x:c r="M185" s="707">
        <x:f>IF('ЛЧ_35_11_1000'!$BP45="Да",1,0)</x:f>
      </x:c>
      <x:c r="N185" s="708">
        <x:f>IF('ЛЧ_35_11_1000'!$BV45="Да",1,0)</x:f>
      </x:c>
      <x:c r="O185" s="375">
        <x:f>IFERROR(ROUND(SUM(C185:N185)/($S$143),1),"")</x:f>
      </x:c>
    </x:row>
    <x:row r="186" spans="1:25" ht="15" customHeight="1" x14ac:dyDescent="0.25">
      <x:c r="A186" s="696" t="s">
        <x:v>1069</x:v>
      </x:c>
      <x:c r="B186" s="363" t="s">
        <x:v>220</x:v>
      </x:c>
      <x:c r="C186" s="697">
        <x:f>IF('УИЛН+КЦА'!$H3="Да",1,0)</x:f>
      </x:c>
      <x:c r="D186" s="698">
        <x:f>IF('УИЛН+КЦА'!$N3="Да",1,0)</x:f>
      </x:c>
      <x:c r="E186" s="699">
        <x:f>IF('УИЛН+КЦА'!$T3="Да",1,0)</x:f>
      </x:c>
      <x:c r="F186" s="700">
        <x:f>IF('УИЛН+КЦА'!$Z3="Да",1,0)</x:f>
      </x:c>
      <x:c r="G186" s="701">
        <x:f>IF('УИЛН+КЦА'!$AF3="Да",1,0)</x:f>
      </x:c>
      <x:c r="H186" s="702">
        <x:f>IF('УИЛН+КЦА'!$AL3="Да",1,0)</x:f>
      </x:c>
      <x:c r="I186" s="703">
        <x:f>IF('УИЛН+КЦА'!$AR3="Да",1,0)</x:f>
      </x:c>
      <x:c r="J186" s="704">
        <x:f>IF('УИЛН+КЦА'!$AX3="Да",1,0)</x:f>
      </x:c>
      <x:c r="K186" s="705">
        <x:f>IF('УИЛН+КЦА'!$BD3="Да",1,0)</x:f>
      </x:c>
      <x:c r="L186" s="706">
        <x:f>IF('УИЛН+КЦА'!$BJ3="Да",1,0)</x:f>
      </x:c>
      <x:c r="M186" s="707">
        <x:f>IF('УИЛН+КЦА'!$BP3="Да",1,0)</x:f>
      </x:c>
      <x:c r="N186" s="708">
        <x:f>IF('УИЛН+КЦА'!$BV3="Да",1,0)</x:f>
      </x:c>
      <x:c r="O186" s="375">
        <x:f>IFERROR(ROUND(SUM(C186:N186)/($S$186),1),"")</x:f>
      </x:c>
      <x:c r="Q186" s="709" t="s">
        <x:v>1151</x:v>
      </x:c>
      <x:c r="R186" s="596"/>
      <x:c r="S186" s="376">
        <x:f>SUM(IF(COUNTIF(C186:C217,"&gt;0")&gt;0,1,0),IF(COUNTIF(D186:D217,"&gt;0")&gt;0,1,0),IF(COUNTIF(E186:E217,"&gt;0")&gt;0,1,0),IF(COUNTIF(F186:F217,"&gt;0")&gt;0,1,0),IF(COUNTIF(G186:G217,"&gt;0")&gt;0,1,0),IF(COUNTIF(H186:H217,"&gt;0")&gt;0,1,0),IF(COUNTIF(I186:I217,"&gt;0")&gt;0,1,0),IF(COUNTIF(J186:J217,"&gt;0")&gt;0,1,0),IF(COUNTIF(K186:K217,"&gt;0")&gt;0,1,0),IF(COUNTIF(L186:L217,"&gt;0")&gt;0,1,0),IF(COUNTIF(M186:M217,"&gt;0")&gt;0,1,0),IF(COUNTIF(N186:N217,"&gt;0")&gt;0,1,0))</x:f>
      </x:c>
    </x:row>
    <x:row r="187" spans="1:25" ht="15" customHeight="1" x14ac:dyDescent="0.25">
      <x:c r="A187" s="710"/>
      <x:c r="B187" s="363" t="s">
        <x:v>231</x:v>
      </x:c>
      <x:c r="C187" s="697">
        <x:f>IF('УИЛН+КЦА'!$H4="Да",1,0)</x:f>
      </x:c>
      <x:c r="D187" s="698">
        <x:f>IF('УИЛН+КЦА'!$N4="Да",1,0)</x:f>
      </x:c>
      <x:c r="E187" s="699">
        <x:f>IF('УИЛН+КЦА'!$T4="Да",1,0)</x:f>
      </x:c>
      <x:c r="F187" s="700">
        <x:f>IF('УИЛН+КЦА'!$Z4="Да",1,0)</x:f>
      </x:c>
      <x:c r="G187" s="701">
        <x:f>IF('УИЛН+КЦА'!$AF4="Да",1,0)</x:f>
      </x:c>
      <x:c r="H187" s="702">
        <x:f>IF('УИЛН+КЦА'!$AL4="Да",1,0)</x:f>
      </x:c>
      <x:c r="I187" s="703">
        <x:f>IF('УИЛН+КЦА'!$AR4="Да",1,0)</x:f>
      </x:c>
      <x:c r="J187" s="704">
        <x:f>IF('УИЛН+КЦА'!$AX4="Да",1,0)</x:f>
      </x:c>
      <x:c r="K187" s="705">
        <x:f>IF('УИЛН+КЦА'!$BD4="Да",1,0)</x:f>
      </x:c>
      <x:c r="L187" s="706">
        <x:f>IF('УИЛН+КЦА'!$BJ4="Да",1,0)</x:f>
      </x:c>
      <x:c r="M187" s="707">
        <x:f>IF('УИЛН+КЦА'!$BP4="Да",1,0)</x:f>
      </x:c>
      <x:c r="N187" s="708">
        <x:f>IF('УИЛН+КЦА'!$BV4="Да",1,0)</x:f>
      </x:c>
      <x:c r="O187" s="375">
        <x:f>IFERROR(ROUND(SUM(C187:N187)/($S$186),1),"")</x:f>
      </x:c>
      <x:c r="Q187" s="711"/>
      <x:c r="R187" s="712"/>
      <x:c r="S187" s="713"/>
    </x:row>
    <x:row r="188" spans="1:25" ht="15" customHeight="1" x14ac:dyDescent="0.25">
      <x:c r="A188" s="710"/>
      <x:c r="B188" s="363" t="s">
        <x:v>237</x:v>
      </x:c>
      <x:c r="C188" s="697">
        <x:f>IF('УИЛН+КЦА'!$H5="Да",1,0)</x:f>
      </x:c>
      <x:c r="D188" s="698">
        <x:f>IF('УИЛН+КЦА'!$N5="Да",1,0)</x:f>
      </x:c>
      <x:c r="E188" s="699">
        <x:f>IF('УИЛН+КЦА'!$T5="Да",1,0)</x:f>
      </x:c>
      <x:c r="F188" s="700">
        <x:f>IF('УИЛН+КЦА'!$Z5="Да",1,0)</x:f>
      </x:c>
      <x:c r="G188" s="701">
        <x:f>IF('УИЛН+КЦА'!$AF5="Да",1,0)</x:f>
      </x:c>
      <x:c r="H188" s="702">
        <x:f>IF('УИЛН+КЦА'!$AL5="Да",1,0)</x:f>
      </x:c>
      <x:c r="I188" s="703">
        <x:f>IF('УИЛН+КЦА'!$AR5="Да",1,0)</x:f>
      </x:c>
      <x:c r="J188" s="704">
        <x:f>IF('УИЛН+КЦА'!$AX5="Да",1,0)</x:f>
      </x:c>
      <x:c r="K188" s="705">
        <x:f>IF('УИЛН+КЦА'!$BD5="Да",1,0)</x:f>
      </x:c>
      <x:c r="L188" s="706">
        <x:f>IF('УИЛН+КЦА'!$BJ5="Да",1,0)</x:f>
      </x:c>
      <x:c r="M188" s="707">
        <x:f>IF('УИЛН+КЦА'!$BP5="Да",1,0)</x:f>
      </x:c>
      <x:c r="N188" s="708">
        <x:f>IF('УИЛН+КЦА'!$BV5="Да",1,0)</x:f>
      </x:c>
      <x:c r="O188" s="375">
        <x:f>IFERROR(ROUND(SUM(C188:N188)/($S$186),1),"")</x:f>
      </x:c>
      <x:c r="Q188" s="714"/>
      <x:c r="R188" s="715"/>
      <x:c r="S188" s="716"/>
    </x:row>
    <x:row r="189" spans="1:25" ht="15" customHeight="1" x14ac:dyDescent="0.25">
      <x:c r="A189" s="710"/>
      <x:c r="B189" s="363" t="s">
        <x:v>227</x:v>
      </x:c>
      <x:c r="C189" s="697">
        <x:f>IF('УИЛН+КЦА'!$H6="Да",1,0)</x:f>
      </x:c>
      <x:c r="D189" s="698">
        <x:f>IF('УИЛН+КЦА'!$N6="Да",1,0)</x:f>
      </x:c>
      <x:c r="E189" s="699">
        <x:f>IF('УИЛН+КЦА'!$T6="Да",1,0)</x:f>
      </x:c>
      <x:c r="F189" s="700">
        <x:f>IF('УИЛН+КЦА'!$Z6="Да",1,0)</x:f>
      </x:c>
      <x:c r="G189" s="701">
        <x:f>IF('УИЛН+КЦА'!$AF6="Да",1,0)</x:f>
      </x:c>
      <x:c r="H189" s="702">
        <x:f>IF('УИЛН+КЦА'!$AL6="Да",1,0)</x:f>
      </x:c>
      <x:c r="I189" s="703">
        <x:f>IF('УИЛН+КЦА'!$AR6="Да",1,0)</x:f>
      </x:c>
      <x:c r="J189" s="704">
        <x:f>IF('УИЛН+КЦА'!$AX6="Да",1,0)</x:f>
      </x:c>
      <x:c r="K189" s="705">
        <x:f>IF('УИЛН+КЦА'!$BD6="Да",1,0)</x:f>
      </x:c>
      <x:c r="L189" s="706">
        <x:f>IF('УИЛН+КЦА'!$BJ6="Да",1,0)</x:f>
      </x:c>
      <x:c r="M189" s="707">
        <x:f>IF('УИЛН+КЦА'!$BP6="Да",1,0)</x:f>
      </x:c>
      <x:c r="N189" s="708">
        <x:f>IF('УИЛН+КЦА'!$BV6="Да",1,0)</x:f>
      </x:c>
      <x:c r="O189" s="375">
        <x:f>IFERROR(ROUND(SUM(C189:N189)/($S$186),1),"")</x:f>
      </x:c>
    </x:row>
    <x:row r="190" spans="1:25" ht="15" customHeight="1" x14ac:dyDescent="0.25">
      <x:c r="A190" s="710"/>
      <x:c r="B190" s="363" t="s">
        <x:v>247</x:v>
      </x:c>
      <x:c r="C190" s="697">
        <x:f>IF('УИЛН+КЦА'!$H7="Да",1,0)</x:f>
      </x:c>
      <x:c r="D190" s="698">
        <x:f>IF('УИЛН+КЦА'!$N7="Да",1,0)</x:f>
      </x:c>
      <x:c r="E190" s="699">
        <x:f>IF('УИЛН+КЦА'!$T7="Да",1,0)</x:f>
      </x:c>
      <x:c r="F190" s="700">
        <x:f>IF('УИЛН+КЦА'!$Z7="Да",1,0)</x:f>
      </x:c>
      <x:c r="G190" s="701">
        <x:f>IF('УИЛН+КЦА'!$AF7="Да",1,0)</x:f>
      </x:c>
      <x:c r="H190" s="702">
        <x:f>IF('УИЛН+КЦА'!$AL7="Да",1,0)</x:f>
      </x:c>
      <x:c r="I190" s="703">
        <x:f>IF('УИЛН+КЦА'!$AR7="Да",1,0)</x:f>
      </x:c>
      <x:c r="J190" s="704">
        <x:f>IF('УИЛН+КЦА'!$AX7="Да",1,0)</x:f>
      </x:c>
      <x:c r="K190" s="705">
        <x:f>IF('УИЛН+КЦА'!$BD7="Да",1,0)</x:f>
      </x:c>
      <x:c r="L190" s="706">
        <x:f>IF('УИЛН+КЦА'!$BJ7="Да",1,0)</x:f>
      </x:c>
      <x:c r="M190" s="707">
        <x:f>IF('УИЛН+КЦА'!$BP7="Да",1,0)</x:f>
      </x:c>
      <x:c r="N190" s="708">
        <x:f>IF('УИЛН+КЦА'!$BV7="Да",1,0)</x:f>
      </x:c>
      <x:c r="O190" s="375">
        <x:f>IFERROR(ROUND(SUM(C190:N190)/($S$186),1),"")</x:f>
      </x:c>
    </x:row>
    <x:row r="191" spans="1:25" ht="15" customHeight="1" x14ac:dyDescent="0.25">
      <x:c r="A191" s="710"/>
      <x:c r="B191" s="363" t="s">
        <x:v>218</x:v>
      </x:c>
      <x:c r="C191" s="697">
        <x:f>IF('УИЛН+КЦА'!$H8="Да",1,0)</x:f>
      </x:c>
      <x:c r="D191" s="698">
        <x:f>IF('УИЛН+КЦА'!$N8="Да",1,0)</x:f>
      </x:c>
      <x:c r="E191" s="699">
        <x:f>IF('УИЛН+КЦА'!$T8="Да",1,0)</x:f>
      </x:c>
      <x:c r="F191" s="700">
        <x:f>IF('УИЛН+КЦА'!$Z8="Да",1,0)</x:f>
      </x:c>
      <x:c r="G191" s="701">
        <x:f>IF('УИЛН+КЦА'!$AF8="Да",1,0)</x:f>
      </x:c>
      <x:c r="H191" s="702">
        <x:f>IF('УИЛН+КЦА'!$AL8="Да",1,0)</x:f>
      </x:c>
      <x:c r="I191" s="703">
        <x:f>IF('УИЛН+КЦА'!$AR8="Да",1,0)</x:f>
      </x:c>
      <x:c r="J191" s="704">
        <x:f>IF('УИЛН+КЦА'!$AX8="Да",1,0)</x:f>
      </x:c>
      <x:c r="K191" s="705">
        <x:f>IF('УИЛН+КЦА'!$BD8="Да",1,0)</x:f>
      </x:c>
      <x:c r="L191" s="706">
        <x:f>IF('УИЛН+КЦА'!$BJ8="Да",1,0)</x:f>
      </x:c>
      <x:c r="M191" s="707">
        <x:f>IF('УИЛН+КЦА'!$BP8="Да",1,0)</x:f>
      </x:c>
      <x:c r="N191" s="708">
        <x:f>IF('УИЛН+КЦА'!$BV8="Да",1,0)</x:f>
      </x:c>
      <x:c r="O191" s="375">
        <x:f>IFERROR(ROUND(SUM(C191:N191)/($S$186),1),"")</x:f>
      </x:c>
    </x:row>
    <x:row r="192" spans="1:25" ht="15" customHeight="1" x14ac:dyDescent="0.25">
      <x:c r="A192" s="710"/>
      <x:c r="B192" s="363" t="s">
        <x:v>214</x:v>
      </x:c>
      <x:c r="C192" s="697">
        <x:f>IF('УИЛН+КЦА'!$H9="Да",1,0)</x:f>
      </x:c>
      <x:c r="D192" s="698">
        <x:f>IF('УИЛН+КЦА'!$N9="Да",1,0)</x:f>
      </x:c>
      <x:c r="E192" s="699">
        <x:f>IF('УИЛН+КЦА'!$T9="Да",1,0)</x:f>
      </x:c>
      <x:c r="F192" s="700">
        <x:f>IF('УИЛН+КЦА'!$Z9="Да",1,0)</x:f>
      </x:c>
      <x:c r="G192" s="701">
        <x:f>IF('УИЛН+КЦА'!$AF9="Да",1,0)</x:f>
      </x:c>
      <x:c r="H192" s="702">
        <x:f>IF('УИЛН+КЦА'!$AL9="Да",1,0)</x:f>
      </x:c>
      <x:c r="I192" s="703">
        <x:f>IF('УИЛН+КЦА'!$AR9="Да",1,0)</x:f>
      </x:c>
      <x:c r="J192" s="704">
        <x:f>IF('УИЛН+КЦА'!$AX9="Да",1,0)</x:f>
      </x:c>
      <x:c r="K192" s="705">
        <x:f>IF('УИЛН+КЦА'!$BD9="Да",1,0)</x:f>
      </x:c>
      <x:c r="L192" s="706">
        <x:f>IF('УИЛН+КЦА'!$BJ9="Да",1,0)</x:f>
      </x:c>
      <x:c r="M192" s="707">
        <x:f>IF('УИЛН+КЦА'!$BP9="Да",1,0)</x:f>
      </x:c>
      <x:c r="N192" s="708">
        <x:f>IF('УИЛН+КЦА'!$BV9="Да",1,0)</x:f>
      </x:c>
      <x:c r="O192" s="375">
        <x:f>IFERROR(ROUND(SUM(C192:N192)/($S$186),1),"")</x:f>
      </x:c>
    </x:row>
    <x:row r="193" spans="1:25" ht="15" customHeight="1" x14ac:dyDescent="0.25">
      <x:c r="A193" s="710"/>
      <x:c r="B193" s="363" t="s">
        <x:v>244</x:v>
      </x:c>
      <x:c r="C193" s="697">
        <x:f>IF('УИЛН+КЦА'!$H10="Да",1,0)</x:f>
      </x:c>
      <x:c r="D193" s="698">
        <x:f>IF('УИЛН+КЦА'!$N10="Да",1,0)</x:f>
      </x:c>
      <x:c r="E193" s="699">
        <x:f>IF('УИЛН+КЦА'!$T10="Да",1,0)</x:f>
      </x:c>
      <x:c r="F193" s="700">
        <x:f>IF('УИЛН+КЦА'!$Z10="Да",1,0)</x:f>
      </x:c>
      <x:c r="G193" s="701">
        <x:f>IF('УИЛН+КЦА'!$AF10="Да",1,0)</x:f>
      </x:c>
      <x:c r="H193" s="702">
        <x:f>IF('УИЛН+КЦА'!$AL10="Да",1,0)</x:f>
      </x:c>
      <x:c r="I193" s="703">
        <x:f>IF('УИЛН+КЦА'!$AR10="Да",1,0)</x:f>
      </x:c>
      <x:c r="J193" s="704">
        <x:f>IF('УИЛН+КЦА'!$AX10="Да",1,0)</x:f>
      </x:c>
      <x:c r="K193" s="705">
        <x:f>IF('УИЛН+КЦА'!$BD10="Да",1,0)</x:f>
      </x:c>
      <x:c r="L193" s="706">
        <x:f>IF('УИЛН+КЦА'!$BJ10="Да",1,0)</x:f>
      </x:c>
      <x:c r="M193" s="707">
        <x:f>IF('УИЛН+КЦА'!$BP10="Да",1,0)</x:f>
      </x:c>
      <x:c r="N193" s="708">
        <x:f>IF('УИЛН+КЦА'!$BV10="Да",1,0)</x:f>
      </x:c>
      <x:c r="O193" s="375">
        <x:f>IFERROR(ROUND(SUM(C193:N193)/($S$186),1),"")</x:f>
      </x:c>
    </x:row>
    <x:row r="194" spans="1:25" ht="15" customHeight="1" x14ac:dyDescent="0.25">
      <x:c r="A194" s="710"/>
      <x:c r="B194" s="363" t="s">
        <x:v>219</x:v>
      </x:c>
      <x:c r="C194" s="697">
        <x:f>IF('УИЛН+КЦА'!$H11="Да",1,0)</x:f>
      </x:c>
      <x:c r="D194" s="698">
        <x:f>IF('УИЛН+КЦА'!$N11="Да",1,0)</x:f>
      </x:c>
      <x:c r="E194" s="699">
        <x:f>IF('УИЛН+КЦА'!$T11="Да",1,0)</x:f>
      </x:c>
      <x:c r="F194" s="700">
        <x:f>IF('УИЛН+КЦА'!$Z11="Да",1,0)</x:f>
      </x:c>
      <x:c r="G194" s="701">
        <x:f>IF('УИЛН+КЦА'!$AF11="Да",1,0)</x:f>
      </x:c>
      <x:c r="H194" s="702">
        <x:f>IF('УИЛН+КЦА'!$AL11="Да",1,0)</x:f>
      </x:c>
      <x:c r="I194" s="703">
        <x:f>IF('УИЛН+КЦА'!$AR11="Да",1,0)</x:f>
      </x:c>
      <x:c r="J194" s="704">
        <x:f>IF('УИЛН+КЦА'!$AX11="Да",1,0)</x:f>
      </x:c>
      <x:c r="K194" s="705">
        <x:f>IF('УИЛН+КЦА'!$BD11="Да",1,0)</x:f>
      </x:c>
      <x:c r="L194" s="706">
        <x:f>IF('УИЛН+КЦА'!$BJ11="Да",1,0)</x:f>
      </x:c>
      <x:c r="M194" s="707">
        <x:f>IF('УИЛН+КЦА'!$BP11="Да",1,0)</x:f>
      </x:c>
      <x:c r="N194" s="708">
        <x:f>IF('УИЛН+КЦА'!$BV11="Да",1,0)</x:f>
      </x:c>
      <x:c r="O194" s="375">
        <x:f>IFERROR(ROUND(SUM(C194:N194)/($S$186),1),"")</x:f>
      </x:c>
    </x:row>
    <x:row r="195" spans="1:25" ht="15" customHeight="1" x14ac:dyDescent="0.25">
      <x:c r="A195" s="710"/>
      <x:c r="B195" s="363" t="s">
        <x:v>223</x:v>
      </x:c>
      <x:c r="C195" s="697">
        <x:f>IF('УИЛН+КЦА'!$H12="Да",1,0)</x:f>
      </x:c>
      <x:c r="D195" s="698">
        <x:f>IF('УИЛН+КЦА'!$N12="Да",1,0)</x:f>
      </x:c>
      <x:c r="E195" s="699">
        <x:f>IF('УИЛН+КЦА'!$T12="Да",1,0)</x:f>
      </x:c>
      <x:c r="F195" s="700">
        <x:f>IF('УИЛН+КЦА'!$Z12="Да",1,0)</x:f>
      </x:c>
      <x:c r="G195" s="701">
        <x:f>IF('УИЛН+КЦА'!$AF12="Да",1,0)</x:f>
      </x:c>
      <x:c r="H195" s="702">
        <x:f>IF('УИЛН+КЦА'!$AL12="Да",1,0)</x:f>
      </x:c>
      <x:c r="I195" s="703">
        <x:f>IF('УИЛН+КЦА'!$AR12="Да",1,0)</x:f>
      </x:c>
      <x:c r="J195" s="704">
        <x:f>IF('УИЛН+КЦА'!$AX12="Да",1,0)</x:f>
      </x:c>
      <x:c r="K195" s="705">
        <x:f>IF('УИЛН+КЦА'!$BD12="Да",1,0)</x:f>
      </x:c>
      <x:c r="L195" s="706">
        <x:f>IF('УИЛН+КЦА'!$BJ12="Да",1,0)</x:f>
      </x:c>
      <x:c r="M195" s="707">
        <x:f>IF('УИЛН+КЦА'!$BP12="Да",1,0)</x:f>
      </x:c>
      <x:c r="N195" s="708">
        <x:f>IF('УИЛН+КЦА'!$BV12="Да",1,0)</x:f>
      </x:c>
      <x:c r="O195" s="375">
        <x:f>IFERROR(ROUND(SUM(C195:N195)/($S$186),1),"")</x:f>
      </x:c>
    </x:row>
    <x:row r="196" spans="1:25" ht="15" customHeight="1" x14ac:dyDescent="0.3">
      <x:c r="A196" s="710"/>
      <x:c r="B196" s="363" t="s">
        <x:v>236</x:v>
      </x:c>
      <x:c r="C196" s="697">
        <x:f>IF('УИЛН+КЦА'!$H13="Да",1,0)</x:f>
      </x:c>
      <x:c r="D196" s="698">
        <x:f>IF('УИЛН+КЦА'!$N13="Да",1,0)</x:f>
      </x:c>
      <x:c r="E196" s="699">
        <x:f>IF('УИЛН+КЦА'!$T13="Да",1,0)</x:f>
      </x:c>
      <x:c r="F196" s="700">
        <x:f>IF('УИЛН+КЦА'!$Z13="Да",1,0)</x:f>
      </x:c>
      <x:c r="G196" s="701">
        <x:f>IF('УИЛН+КЦА'!$AF13="Да",1,0)</x:f>
      </x:c>
      <x:c r="H196" s="702">
        <x:f>IF('УИЛН+КЦА'!$AL13="Да",1,0)</x:f>
      </x:c>
      <x:c r="I196" s="703">
        <x:f>IF('УИЛН+КЦА'!$AR13="Да",1,0)</x:f>
      </x:c>
      <x:c r="J196" s="704">
        <x:f>IF('УИЛН+КЦА'!$AX13="Да",1,0)</x:f>
      </x:c>
      <x:c r="K196" s="705">
        <x:f>IF('УИЛН+КЦА'!$BD13="Да",1,0)</x:f>
      </x:c>
      <x:c r="L196" s="706">
        <x:f>IF('УИЛН+КЦА'!$BJ13="Да",1,0)</x:f>
      </x:c>
      <x:c r="M196" s="707">
        <x:f>IF('УИЛН+КЦА'!$BP13="Да",1,0)</x:f>
      </x:c>
      <x:c r="N196" s="708">
        <x:f>IF('УИЛН+КЦА'!$BV13="Да",1,0)</x:f>
      </x:c>
      <x:c r="O196" s="375">
        <x:f>IFERROR(ROUND(SUM(C196:N196)/($S$186),1),"")</x:f>
      </x:c>
    </x:row>
    <x:row r="197" spans="1:25" ht="15" customHeight="1" x14ac:dyDescent="0.25">
      <x:c r="A197" s="710"/>
      <x:c r="B197" s="363" t="s">
        <x:v>226</x:v>
      </x:c>
      <x:c r="C197" s="697">
        <x:f>IF('УИЛН+КЦА'!$H14="Да",1,0)</x:f>
      </x:c>
      <x:c r="D197" s="698">
        <x:f>IF('УИЛН+КЦА'!$N14="Да",1,0)</x:f>
      </x:c>
      <x:c r="E197" s="699">
        <x:f>IF('УИЛН+КЦА'!$T14="Да",1,0)</x:f>
      </x:c>
      <x:c r="F197" s="700">
        <x:f>IF('УИЛН+КЦА'!$Z14="Да",1,0)</x:f>
      </x:c>
      <x:c r="G197" s="701">
        <x:f>IF('УИЛН+КЦА'!$AF14="Да",1,0)</x:f>
      </x:c>
      <x:c r="H197" s="702">
        <x:f>IF('УИЛН+КЦА'!$AL14="Да",1,0)</x:f>
      </x:c>
      <x:c r="I197" s="703">
        <x:f>IF('УИЛН+КЦА'!$AR14="Да",1,0)</x:f>
      </x:c>
      <x:c r="J197" s="704">
        <x:f>IF('УИЛН+КЦА'!$AX14="Да",1,0)</x:f>
      </x:c>
      <x:c r="K197" s="705">
        <x:f>IF('УИЛН+КЦА'!$BD14="Да",1,0)</x:f>
      </x:c>
      <x:c r="L197" s="706">
        <x:f>IF('УИЛН+КЦА'!$BJ14="Да",1,0)</x:f>
      </x:c>
      <x:c r="M197" s="707">
        <x:f>IF('УИЛН+КЦА'!$BP14="Да",1,0)</x:f>
      </x:c>
      <x:c r="N197" s="708">
        <x:f>IF('УИЛН+КЦА'!$BV14="Да",1,0)</x:f>
      </x:c>
      <x:c r="O197" s="375">
        <x:f>IFERROR(ROUND(SUM(C197:N197)/($S$186),1),"")</x:f>
      </x:c>
    </x:row>
    <x:row r="198" spans="1:25" ht="15" customHeight="1" x14ac:dyDescent="0.25">
      <x:c r="A198" s="710"/>
      <x:c r="B198" s="363" t="s">
        <x:v>246</x:v>
      </x:c>
      <x:c r="C198" s="697">
        <x:f>IF('УИЛН+КЦА'!$H15="Да",1,0)</x:f>
      </x:c>
      <x:c r="D198" s="698">
        <x:f>IF('УИЛН+КЦА'!$N15="Да",1,0)</x:f>
      </x:c>
      <x:c r="E198" s="699">
        <x:f>IF('УИЛН+КЦА'!$T15="Да",1,0)</x:f>
      </x:c>
      <x:c r="F198" s="700">
        <x:f>IF('УИЛН+КЦА'!$Z15="Да",1,0)</x:f>
      </x:c>
      <x:c r="G198" s="701">
        <x:f>IF('УИЛН+КЦА'!$AF15="Да",1,0)</x:f>
      </x:c>
      <x:c r="H198" s="702">
        <x:f>IF('УИЛН+КЦА'!$AL15="Да",1,0)</x:f>
      </x:c>
      <x:c r="I198" s="703">
        <x:f>IF('УИЛН+КЦА'!$AR15="Да",1,0)</x:f>
      </x:c>
      <x:c r="J198" s="704">
        <x:f>IF('УИЛН+КЦА'!$AX15="Да",1,0)</x:f>
      </x:c>
      <x:c r="K198" s="705">
        <x:f>IF('УИЛН+КЦА'!$BD15="Да",1,0)</x:f>
      </x:c>
      <x:c r="L198" s="706">
        <x:f>IF('УИЛН+КЦА'!$BJ15="Да",1,0)</x:f>
      </x:c>
      <x:c r="M198" s="707">
        <x:f>IF('УИЛН+КЦА'!$BP15="Да",1,0)</x:f>
      </x:c>
      <x:c r="N198" s="708">
        <x:f>IF('УИЛН+КЦА'!$BV15="Да",1,0)</x:f>
      </x:c>
      <x:c r="O198" s="375">
        <x:f>IFERROR(ROUND(SUM(C198:N198)/($S$186),1),"")</x:f>
      </x:c>
    </x:row>
    <x:row r="199" spans="1:25" ht="15" customHeight="1" x14ac:dyDescent="0.25">
      <x:c r="A199" s="710"/>
      <x:c r="B199" s="363" t="s">
        <x:v>224</x:v>
      </x:c>
      <x:c r="C199" s="697">
        <x:f>IF('УИЛН+КЦА'!$H16="Да",1,0)</x:f>
      </x:c>
      <x:c r="D199" s="698">
        <x:f>IF('УИЛН+КЦА'!$N16="Да",1,0)</x:f>
      </x:c>
      <x:c r="E199" s="699">
        <x:f>IF('УИЛН+КЦА'!$T16="Да",1,0)</x:f>
      </x:c>
      <x:c r="F199" s="700">
        <x:f>IF('УИЛН+КЦА'!$Z16="Да",1,0)</x:f>
      </x:c>
      <x:c r="G199" s="701">
        <x:f>IF('УИЛН+КЦА'!$AF16="Да",1,0)</x:f>
      </x:c>
      <x:c r="H199" s="702">
        <x:f>IF('УИЛН+КЦА'!$AL16="Да",1,0)</x:f>
      </x:c>
      <x:c r="I199" s="703">
        <x:f>IF('УИЛН+КЦА'!$AR16="Да",1,0)</x:f>
      </x:c>
      <x:c r="J199" s="704">
        <x:f>IF('УИЛН+КЦА'!$AX16="Да",1,0)</x:f>
      </x:c>
      <x:c r="K199" s="705">
        <x:f>IF('УИЛН+КЦА'!$BD16="Да",1,0)</x:f>
      </x:c>
      <x:c r="L199" s="706">
        <x:f>IF('УИЛН+КЦА'!$BJ16="Да",1,0)</x:f>
      </x:c>
      <x:c r="M199" s="707">
        <x:f>IF('УИЛН+КЦА'!$BP16="Да",1,0)</x:f>
      </x:c>
      <x:c r="N199" s="708">
        <x:f>IF('УИЛН+КЦА'!$BV16="Да",1,0)</x:f>
      </x:c>
      <x:c r="O199" s="375">
        <x:f>IFERROR(ROUND(SUM(C199:N199)/($S$186),1),"")</x:f>
      </x:c>
    </x:row>
    <x:row r="200" spans="1:25" ht="15" customHeight="1" x14ac:dyDescent="0.25">
      <x:c r="A200" s="710"/>
      <x:c r="B200" s="363" t="s">
        <x:v>245</x:v>
      </x:c>
      <x:c r="C200" s="697">
        <x:f>IF('УИЛН+КЦА'!$H17="Да",1,0)</x:f>
      </x:c>
      <x:c r="D200" s="698">
        <x:f>IF('УИЛН+КЦА'!$N17="Да",1,0)</x:f>
      </x:c>
      <x:c r="E200" s="699">
        <x:f>IF('УИЛН+КЦА'!$T17="Да",1,0)</x:f>
      </x:c>
      <x:c r="F200" s="700">
        <x:f>IF('УИЛН+КЦА'!$Z17="Да",1,0)</x:f>
      </x:c>
      <x:c r="G200" s="701">
        <x:f>IF('УИЛН+КЦА'!$AF17="Да",1,0)</x:f>
      </x:c>
      <x:c r="H200" s="702">
        <x:f>IF('УИЛН+КЦА'!$AL17="Да",1,0)</x:f>
      </x:c>
      <x:c r="I200" s="703">
        <x:f>IF('УИЛН+КЦА'!$AR17="Да",1,0)</x:f>
      </x:c>
      <x:c r="J200" s="704">
        <x:f>IF('УИЛН+КЦА'!$AX17="Да",1,0)</x:f>
      </x:c>
      <x:c r="K200" s="705">
        <x:f>IF('УИЛН+КЦА'!$BD17="Да",1,0)</x:f>
      </x:c>
      <x:c r="L200" s="706">
        <x:f>IF('УИЛН+КЦА'!$BJ17="Да",1,0)</x:f>
      </x:c>
      <x:c r="M200" s="707">
        <x:f>IF('УИЛН+КЦА'!$BP17="Да",1,0)</x:f>
      </x:c>
      <x:c r="N200" s="708">
        <x:f>IF('УИЛН+КЦА'!$BV17="Да",1,0)</x:f>
      </x:c>
      <x:c r="O200" s="375">
        <x:f>IFERROR(ROUND(SUM(C200:N200)/($S$186),1),"")</x:f>
      </x:c>
    </x:row>
    <x:row r="201" spans="1:25" ht="15" customHeight="1" x14ac:dyDescent="0.25">
      <x:c r="A201" s="710"/>
      <x:c r="B201" s="363" t="s">
        <x:v>242</x:v>
      </x:c>
      <x:c r="C201" s="697">
        <x:f>IF('УИЛН+КЦА'!$H18="Да",1,0)</x:f>
      </x:c>
      <x:c r="D201" s="698">
        <x:f>IF('УИЛН+КЦА'!$N18="Да",1,0)</x:f>
      </x:c>
      <x:c r="E201" s="699">
        <x:f>IF('УИЛН+КЦА'!$T18="Да",1,0)</x:f>
      </x:c>
      <x:c r="F201" s="700">
        <x:f>IF('УИЛН+КЦА'!$Z18="Да",1,0)</x:f>
      </x:c>
      <x:c r="G201" s="701">
        <x:f>IF('УИЛН+КЦА'!$AF18="Да",1,0)</x:f>
      </x:c>
      <x:c r="H201" s="702">
        <x:f>IF('УИЛН+КЦА'!$AL18="Да",1,0)</x:f>
      </x:c>
      <x:c r="I201" s="703">
        <x:f>IF('УИЛН+КЦА'!$AR18="Да",1,0)</x:f>
      </x:c>
      <x:c r="J201" s="704">
        <x:f>IF('УИЛН+КЦА'!$AX18="Да",1,0)</x:f>
      </x:c>
      <x:c r="K201" s="705">
        <x:f>IF('УИЛН+КЦА'!$BD18="Да",1,0)</x:f>
      </x:c>
      <x:c r="L201" s="706">
        <x:f>IF('УИЛН+КЦА'!$BJ18="Да",1,0)</x:f>
      </x:c>
      <x:c r="M201" s="707">
        <x:f>IF('УИЛН+КЦА'!$BP18="Да",1,0)</x:f>
      </x:c>
      <x:c r="N201" s="708">
        <x:f>IF('УИЛН+КЦА'!$BV18="Да",1,0)</x:f>
      </x:c>
      <x:c r="O201" s="375">
        <x:f>IFERROR(ROUND(SUM(C201:N201)/($S$186),1),"")</x:f>
      </x:c>
    </x:row>
    <x:row r="202" spans="1:25" ht="15" customHeight="1" x14ac:dyDescent="0.25">
      <x:c r="A202" s="710"/>
      <x:c r="B202" s="363" t="s">
        <x:v>234</x:v>
      </x:c>
      <x:c r="C202" s="697">
        <x:f>IF('УИЛН+КЦА'!$H19="Да",1,0)</x:f>
      </x:c>
      <x:c r="D202" s="698">
        <x:f>IF('УИЛН+КЦА'!$N19="Да",1,0)</x:f>
      </x:c>
      <x:c r="E202" s="699">
        <x:f>IF('УИЛН+КЦА'!$T19="Да",1,0)</x:f>
      </x:c>
      <x:c r="F202" s="700">
        <x:f>IF('УИЛН+КЦА'!$Z19="Да",1,0)</x:f>
      </x:c>
      <x:c r="G202" s="701">
        <x:f>IF('УИЛН+КЦА'!$AF19="Да",1,0)</x:f>
      </x:c>
      <x:c r="H202" s="702">
        <x:f>IF('УИЛН+КЦА'!$AL19="Да",1,0)</x:f>
      </x:c>
      <x:c r="I202" s="703">
        <x:f>IF('УИЛН+КЦА'!$AR19="Да",1,0)</x:f>
      </x:c>
      <x:c r="J202" s="704">
        <x:f>IF('УИЛН+КЦА'!$AX19="Да",1,0)</x:f>
      </x:c>
      <x:c r="K202" s="705">
        <x:f>IF('УИЛН+КЦА'!$BD19="Да",1,0)</x:f>
      </x:c>
      <x:c r="L202" s="706">
        <x:f>IF('УИЛН+КЦА'!$BJ19="Да",1,0)</x:f>
      </x:c>
      <x:c r="M202" s="707">
        <x:f>IF('УИЛН+КЦА'!$BP19="Да",1,0)</x:f>
      </x:c>
      <x:c r="N202" s="708">
        <x:f>IF('УИЛН+КЦА'!$BV19="Да",1,0)</x:f>
      </x:c>
      <x:c r="O202" s="375">
        <x:f>IFERROR(ROUND(SUM(C202:N202)/($S$186),1),"")</x:f>
      </x:c>
    </x:row>
    <x:row r="203" spans="1:25" ht="15" customHeight="1" x14ac:dyDescent="0.25">
      <x:c r="A203" s="710"/>
      <x:c r="B203" s="363" t="s">
        <x:v>239</x:v>
      </x:c>
      <x:c r="C203" s="697">
        <x:f>IF('УИЛН+КЦА'!$H20="Да",1,0)</x:f>
      </x:c>
      <x:c r="D203" s="698">
        <x:f>IF('УИЛН+КЦА'!$N20="Да",1,0)</x:f>
      </x:c>
      <x:c r="E203" s="699">
        <x:f>IF('УИЛН+КЦА'!$T20="Да",1,0)</x:f>
      </x:c>
      <x:c r="F203" s="700">
        <x:f>IF('УИЛН+КЦА'!$Z20="Да",1,0)</x:f>
      </x:c>
      <x:c r="G203" s="701">
        <x:f>IF('УИЛН+КЦА'!$AF20="Да",1,0)</x:f>
      </x:c>
      <x:c r="H203" s="702">
        <x:f>IF('УИЛН+КЦА'!$AL20="Да",1,0)</x:f>
      </x:c>
      <x:c r="I203" s="703">
        <x:f>IF('УИЛН+КЦА'!$AR20="Да",1,0)</x:f>
      </x:c>
      <x:c r="J203" s="704">
        <x:f>IF('УИЛН+КЦА'!$AX20="Да",1,0)</x:f>
      </x:c>
      <x:c r="K203" s="705">
        <x:f>IF('УИЛН+КЦА'!$BD20="Да",1,0)</x:f>
      </x:c>
      <x:c r="L203" s="706">
        <x:f>IF('УИЛН+КЦА'!$BJ20="Да",1,0)</x:f>
      </x:c>
      <x:c r="M203" s="707">
        <x:f>IF('УИЛН+КЦА'!$BP20="Да",1,0)</x:f>
      </x:c>
      <x:c r="N203" s="708">
        <x:f>IF('УИЛН+КЦА'!$BV20="Да",1,0)</x:f>
      </x:c>
      <x:c r="O203" s="375">
        <x:f>IFERROR(ROUND(SUM(C203:N203)/($S$186),1),"")</x:f>
      </x:c>
    </x:row>
    <x:row r="204" spans="1:25" ht="15" customHeight="1" x14ac:dyDescent="0.25">
      <x:c r="A204" s="710"/>
      <x:c r="B204" s="363" t="s">
        <x:v>216</x:v>
      </x:c>
      <x:c r="C204" s="697">
        <x:f>IF('УИЛН+КЦА'!$H21="Да",1,0)</x:f>
      </x:c>
      <x:c r="D204" s="698">
        <x:f>IF('УИЛН+КЦА'!$N21="Да",1,0)</x:f>
      </x:c>
      <x:c r="E204" s="699">
        <x:f>IF('УИЛН+КЦА'!$T21="Да",1,0)</x:f>
      </x:c>
      <x:c r="F204" s="700">
        <x:f>IF('УИЛН+КЦА'!$Z21="Да",1,0)</x:f>
      </x:c>
      <x:c r="G204" s="701">
        <x:f>IF('УИЛН+КЦА'!$AF21="Да",1,0)</x:f>
      </x:c>
      <x:c r="H204" s="702">
        <x:f>IF('УИЛН+КЦА'!$AL21="Да",1,0)</x:f>
      </x:c>
      <x:c r="I204" s="703">
        <x:f>IF('УИЛН+КЦА'!$AR21="Да",1,0)</x:f>
      </x:c>
      <x:c r="J204" s="704">
        <x:f>IF('УИЛН+КЦА'!$AX21="Да",1,0)</x:f>
      </x:c>
      <x:c r="K204" s="705">
        <x:f>IF('УИЛН+КЦА'!$BD21="Да",1,0)</x:f>
      </x:c>
      <x:c r="L204" s="706">
        <x:f>IF('УИЛН+КЦА'!$BJ21="Да",1,0)</x:f>
      </x:c>
      <x:c r="M204" s="707">
        <x:f>IF('УИЛН+КЦА'!$BP21="Да",1,0)</x:f>
      </x:c>
      <x:c r="N204" s="708">
        <x:f>IF('УИЛН+КЦА'!$BV21="Да",1,0)</x:f>
      </x:c>
      <x:c r="O204" s="375">
        <x:f>IFERROR(ROUND(SUM(C204:N204)/($S$186),1),"")</x:f>
      </x:c>
    </x:row>
    <x:row r="205" spans="1:25" ht="15" customHeight="1" x14ac:dyDescent="0.25">
      <x:c r="A205" s="710"/>
      <x:c r="B205" s="363" t="s">
        <x:v>240</x:v>
      </x:c>
      <x:c r="C205" s="697">
        <x:f>IF('УИЛН+КЦА'!$H22="Да",1,0)</x:f>
      </x:c>
      <x:c r="D205" s="698">
        <x:f>IF('УИЛН+КЦА'!$N22="Да",1,0)</x:f>
      </x:c>
      <x:c r="E205" s="699">
        <x:f>IF('УИЛН+КЦА'!$T22="Да",1,0)</x:f>
      </x:c>
      <x:c r="F205" s="700">
        <x:f>IF('УИЛН+КЦА'!$Z22="Да",1,0)</x:f>
      </x:c>
      <x:c r="G205" s="701">
        <x:f>IF('УИЛН+КЦА'!$AF22="Да",1,0)</x:f>
      </x:c>
      <x:c r="H205" s="702">
        <x:f>IF('УИЛН+КЦА'!$AL22="Да",1,0)</x:f>
      </x:c>
      <x:c r="I205" s="703">
        <x:f>IF('УИЛН+КЦА'!$AR22="Да",1,0)</x:f>
      </x:c>
      <x:c r="J205" s="704">
        <x:f>IF('УИЛН+КЦА'!$AX22="Да",1,0)</x:f>
      </x:c>
      <x:c r="K205" s="705">
        <x:f>IF('УИЛН+КЦА'!$BD22="Да",1,0)</x:f>
      </x:c>
      <x:c r="L205" s="706">
        <x:f>IF('УИЛН+КЦА'!$BJ22="Да",1,0)</x:f>
      </x:c>
      <x:c r="M205" s="707">
        <x:f>IF('УИЛН+КЦА'!$BP22="Да",1,0)</x:f>
      </x:c>
      <x:c r="N205" s="708">
        <x:f>IF('УИЛН+КЦА'!$BV22="Да",1,0)</x:f>
      </x:c>
      <x:c r="O205" s="375">
        <x:f>IFERROR(ROUND(SUM(C205:N205)/($S$186),1),"")</x:f>
      </x:c>
    </x:row>
    <x:row r="206" spans="1:25" ht="15" customHeight="1" x14ac:dyDescent="0.25">
      <x:c r="A206" s="710"/>
      <x:c r="B206" s="363" t="s">
        <x:v>222</x:v>
      </x:c>
      <x:c r="C206" s="697">
        <x:f>IF('УИЛН+КЦА'!$H23="Да",1,0)</x:f>
      </x:c>
      <x:c r="D206" s="698">
        <x:f>IF('УИЛН+КЦА'!$N23="Да",1,0)</x:f>
      </x:c>
      <x:c r="E206" s="699">
        <x:f>IF('УИЛН+КЦА'!$T23="Да",1,0)</x:f>
      </x:c>
      <x:c r="F206" s="700">
        <x:f>IF('УИЛН+КЦА'!$Z23="Да",1,0)</x:f>
      </x:c>
      <x:c r="G206" s="701">
        <x:f>IF('УИЛН+КЦА'!$AF23="Да",1,0)</x:f>
      </x:c>
      <x:c r="H206" s="702">
        <x:f>IF('УИЛН+КЦА'!$AL23="Да",1,0)</x:f>
      </x:c>
      <x:c r="I206" s="703">
        <x:f>IF('УИЛН+КЦА'!$AR23="Да",1,0)</x:f>
      </x:c>
      <x:c r="J206" s="704">
        <x:f>IF('УИЛН+КЦА'!$AX23="Да",1,0)</x:f>
      </x:c>
      <x:c r="K206" s="705">
        <x:f>IF('УИЛН+КЦА'!$BD23="Да",1,0)</x:f>
      </x:c>
      <x:c r="L206" s="706">
        <x:f>IF('УИЛН+КЦА'!$BJ23="Да",1,0)</x:f>
      </x:c>
      <x:c r="M206" s="707">
        <x:f>IF('УИЛН+КЦА'!$BP23="Да",1,0)</x:f>
      </x:c>
      <x:c r="N206" s="708">
        <x:f>IF('УИЛН+КЦА'!$BV23="Да",1,0)</x:f>
      </x:c>
      <x:c r="O206" s="375">
        <x:f>IFERROR(ROUND(SUM(C206:N206)/($S$186),1),"")</x:f>
      </x:c>
    </x:row>
    <x:row r="207" spans="1:25" ht="15" customHeight="1" x14ac:dyDescent="0.25">
      <x:c r="A207" s="710"/>
      <x:c r="B207" s="363" t="s">
        <x:v>230</x:v>
      </x:c>
      <x:c r="C207" s="697">
        <x:f>IF('УИЛН+КЦА'!$H24="Да",1,0)</x:f>
      </x:c>
      <x:c r="D207" s="698">
        <x:f>IF('УИЛН+КЦА'!$N24="Да",1,0)</x:f>
      </x:c>
      <x:c r="E207" s="699">
        <x:f>IF('УИЛН+КЦА'!$T24="Да",1,0)</x:f>
      </x:c>
      <x:c r="F207" s="700">
        <x:f>IF('УИЛН+КЦА'!$Z24="Да",1,0)</x:f>
      </x:c>
      <x:c r="G207" s="701">
        <x:f>IF('УИЛН+КЦА'!$AF24="Да",1,0)</x:f>
      </x:c>
      <x:c r="H207" s="702">
        <x:f>IF('УИЛН+КЦА'!$AL24="Да",1,0)</x:f>
      </x:c>
      <x:c r="I207" s="703">
        <x:f>IF('УИЛН+КЦА'!$AR24="Да",1,0)</x:f>
      </x:c>
      <x:c r="J207" s="704">
        <x:f>IF('УИЛН+КЦА'!$AX24="Да",1,0)</x:f>
      </x:c>
      <x:c r="K207" s="705">
        <x:f>IF('УИЛН+КЦА'!$BD24="Да",1,0)</x:f>
      </x:c>
      <x:c r="L207" s="706">
        <x:f>IF('УИЛН+КЦА'!$BJ24="Да",1,0)</x:f>
      </x:c>
      <x:c r="M207" s="707">
        <x:f>IF('УИЛН+КЦА'!$BP24="Да",1,0)</x:f>
      </x:c>
      <x:c r="N207" s="708">
        <x:f>IF('УИЛН+КЦА'!$BV24="Да",1,0)</x:f>
      </x:c>
      <x:c r="O207" s="375">
        <x:f>IFERROR(ROUND(SUM(C207:N207)/($S$186),1),"")</x:f>
      </x:c>
    </x:row>
    <x:row r="208" spans="1:25" ht="15" customHeight="1" x14ac:dyDescent="0.25">
      <x:c r="A208" s="710"/>
      <x:c r="B208" s="363" t="s">
        <x:v>248</x:v>
      </x:c>
      <x:c r="C208" s="697">
        <x:f>IF('УИЛН+КЦА'!$H25="Да",1,0)</x:f>
      </x:c>
      <x:c r="D208" s="698">
        <x:f>IF('УИЛН+КЦА'!$N25="Да",1,0)</x:f>
      </x:c>
      <x:c r="E208" s="699">
        <x:f>IF('УИЛН+КЦА'!$T25="Да",1,0)</x:f>
      </x:c>
      <x:c r="F208" s="700">
        <x:f>IF('УИЛН+КЦА'!$Z25="Да",1,0)</x:f>
      </x:c>
      <x:c r="G208" s="701">
        <x:f>IF('УИЛН+КЦА'!$AF25="Да",1,0)</x:f>
      </x:c>
      <x:c r="H208" s="702">
        <x:f>IF('УИЛН+КЦА'!$AL25="Да",1,0)</x:f>
      </x:c>
      <x:c r="I208" s="703">
        <x:f>IF('УИЛН+КЦА'!$AR25="Да",1,0)</x:f>
      </x:c>
      <x:c r="J208" s="704">
        <x:f>IF('УИЛН+КЦА'!$AX25="Да",1,0)</x:f>
      </x:c>
      <x:c r="K208" s="705">
        <x:f>IF('УИЛН+КЦА'!$BD25="Да",1,0)</x:f>
      </x:c>
      <x:c r="L208" s="706">
        <x:f>IF('УИЛН+КЦА'!$BJ25="Да",1,0)</x:f>
      </x:c>
      <x:c r="M208" s="707">
        <x:f>IF('УИЛН+КЦА'!$BP25="Да",1,0)</x:f>
      </x:c>
      <x:c r="N208" s="708">
        <x:f>IF('УИЛН+КЦА'!$BV25="Да",1,0)</x:f>
      </x:c>
      <x:c r="O208" s="375">
        <x:f>IFERROR(ROUND(SUM(C208:N208)/($S$186),1),"")</x:f>
      </x:c>
    </x:row>
    <x:row r="209" spans="1:25" ht="15" customHeight="1" x14ac:dyDescent="0.25">
      <x:c r="A209" s="710"/>
      <x:c r="B209" s="363" t="s">
        <x:v>238</x:v>
      </x:c>
      <x:c r="C209" s="697">
        <x:f>IF('УИЛН+КЦА'!$H26="Да",1,0)</x:f>
      </x:c>
      <x:c r="D209" s="698">
        <x:f>IF('УИЛН+КЦА'!$N26="Да",1,0)</x:f>
      </x:c>
      <x:c r="E209" s="699">
        <x:f>IF('УИЛН+КЦА'!$T26="Да",1,0)</x:f>
      </x:c>
      <x:c r="F209" s="700">
        <x:f>IF('УИЛН+КЦА'!$Z26="Да",1,0)</x:f>
      </x:c>
      <x:c r="G209" s="701">
        <x:f>IF('УИЛН+КЦА'!$AF26="Да",1,0)</x:f>
      </x:c>
      <x:c r="H209" s="702">
        <x:f>IF('УИЛН+КЦА'!$AL26="Да",1,0)</x:f>
      </x:c>
      <x:c r="I209" s="703">
        <x:f>IF('УИЛН+КЦА'!$AR26="Да",1,0)</x:f>
      </x:c>
      <x:c r="J209" s="704">
        <x:f>IF('УИЛН+КЦА'!$AX26="Да",1,0)</x:f>
      </x:c>
      <x:c r="K209" s="705">
        <x:f>IF('УИЛН+КЦА'!$BD26="Да",1,0)</x:f>
      </x:c>
      <x:c r="L209" s="706">
        <x:f>IF('УИЛН+КЦА'!$BJ26="Да",1,0)</x:f>
      </x:c>
      <x:c r="M209" s="707">
        <x:f>IF('УИЛН+КЦА'!$BP26="Да",1,0)</x:f>
      </x:c>
      <x:c r="N209" s="708">
        <x:f>IF('УИЛН+КЦА'!$BV26="Да",1,0)</x:f>
      </x:c>
      <x:c r="O209" s="375">
        <x:f>IFERROR(ROUND(SUM(C209:N209)/($S$186),1),"")</x:f>
      </x:c>
    </x:row>
    <x:row r="210" spans="1:25" ht="15" customHeight="1" x14ac:dyDescent="0.25">
      <x:c r="A210" s="710"/>
      <x:c r="B210" s="363" t="s">
        <x:v>232</x:v>
      </x:c>
      <x:c r="C210" s="697">
        <x:f>IF('УИЛН+КЦА'!$H27="Да",1,0)</x:f>
      </x:c>
      <x:c r="D210" s="698">
        <x:f>IF('УИЛН+КЦА'!$N27="Да",1,0)</x:f>
      </x:c>
      <x:c r="E210" s="699">
        <x:f>IF('УИЛН+КЦА'!$T27="Да",1,0)</x:f>
      </x:c>
      <x:c r="F210" s="700">
        <x:f>IF('УИЛН+КЦА'!$Z27="Да",1,0)</x:f>
      </x:c>
      <x:c r="G210" s="701">
        <x:f>IF('УИЛН+КЦА'!$AF27="Да",1,0)</x:f>
      </x:c>
      <x:c r="H210" s="702">
        <x:f>IF('УИЛН+КЦА'!$AL27="Да",1,0)</x:f>
      </x:c>
      <x:c r="I210" s="703">
        <x:f>IF('УИЛН+КЦА'!$AR27="Да",1,0)</x:f>
      </x:c>
      <x:c r="J210" s="704">
        <x:f>IF('УИЛН+КЦА'!$AX27="Да",1,0)</x:f>
      </x:c>
      <x:c r="K210" s="705">
        <x:f>IF('УИЛН+КЦА'!$BD27="Да",1,0)</x:f>
      </x:c>
      <x:c r="L210" s="706">
        <x:f>IF('УИЛН+КЦА'!$BJ27="Да",1,0)</x:f>
      </x:c>
      <x:c r="M210" s="707">
        <x:f>IF('УИЛН+КЦА'!$BP27="Да",1,0)</x:f>
      </x:c>
      <x:c r="N210" s="708">
        <x:f>IF('УИЛН+КЦА'!$BV27="Да",1,0)</x:f>
      </x:c>
      <x:c r="O210" s="375">
        <x:f>IFERROR(ROUND(SUM(C210:N210)/($S$186),1),"")</x:f>
      </x:c>
    </x:row>
    <x:row r="211" spans="1:25" ht="15" customHeight="1" x14ac:dyDescent="0.25">
      <x:c r="A211" s="710"/>
      <x:c r="B211" s="363" t="s">
        <x:v>221</x:v>
      </x:c>
      <x:c r="C211" s="697">
        <x:f>IF('УИЛН+КЦА'!$H28="Да",1,0)</x:f>
      </x:c>
      <x:c r="D211" s="698">
        <x:f>IF('УИЛН+КЦА'!$N28="Да",1,0)</x:f>
      </x:c>
      <x:c r="E211" s="699">
        <x:f>IF('УИЛН+КЦА'!$T28="Да",1,0)</x:f>
      </x:c>
      <x:c r="F211" s="700">
        <x:f>IF('УИЛН+КЦА'!$Z28="Да",1,0)</x:f>
      </x:c>
      <x:c r="G211" s="701">
        <x:f>IF('УИЛН+КЦА'!$AF28="Да",1,0)</x:f>
      </x:c>
      <x:c r="H211" s="702">
        <x:f>IF('УИЛН+КЦА'!$AL28="Да",1,0)</x:f>
      </x:c>
      <x:c r="I211" s="703">
        <x:f>IF('УИЛН+КЦА'!$AR28="Да",1,0)</x:f>
      </x:c>
      <x:c r="J211" s="704">
        <x:f>IF('УИЛН+КЦА'!$AX28="Да",1,0)</x:f>
      </x:c>
      <x:c r="K211" s="705">
        <x:f>IF('УИЛН+КЦА'!$BD28="Да",1,0)</x:f>
      </x:c>
      <x:c r="L211" s="706">
        <x:f>IF('УИЛН+КЦА'!$BJ28="Да",1,0)</x:f>
      </x:c>
      <x:c r="M211" s="707">
        <x:f>IF('УИЛН+КЦА'!$BP28="Да",1,0)</x:f>
      </x:c>
      <x:c r="N211" s="708">
        <x:f>IF('УИЛН+КЦА'!$BV28="Да",1,0)</x:f>
      </x:c>
      <x:c r="O211" s="375">
        <x:f>IFERROR(ROUND(SUM(C211:N211)/($S$186),1),"")</x:f>
      </x:c>
    </x:row>
    <x:row r="212" spans="1:25" ht="15" customHeight="1" x14ac:dyDescent="0.25">
      <x:c r="A212" s="710"/>
      <x:c r="B212" s="363" t="s">
        <x:v>235</x:v>
      </x:c>
      <x:c r="C212" s="697">
        <x:f>IF('УИЛН+КЦА'!$H29="Да",1,0)</x:f>
      </x:c>
      <x:c r="D212" s="698">
        <x:f>IF('УИЛН+КЦА'!$N29="Да",1,0)</x:f>
      </x:c>
      <x:c r="E212" s="699">
        <x:f>IF('УИЛН+КЦА'!$T29="Да",1,0)</x:f>
      </x:c>
      <x:c r="F212" s="700">
        <x:f>IF('УИЛН+КЦА'!$Z29="Да",1,0)</x:f>
      </x:c>
      <x:c r="G212" s="701">
        <x:f>IF('УИЛН+КЦА'!$AF29="Да",1,0)</x:f>
      </x:c>
      <x:c r="H212" s="702">
        <x:f>IF('УИЛН+КЦА'!$AL29="Да",1,0)</x:f>
      </x:c>
      <x:c r="I212" s="703">
        <x:f>IF('УИЛН+КЦА'!$AR29="Да",1,0)</x:f>
      </x:c>
      <x:c r="J212" s="704">
        <x:f>IF('УИЛН+КЦА'!$AX29="Да",1,0)</x:f>
      </x:c>
      <x:c r="K212" s="705">
        <x:f>IF('УИЛН+КЦА'!$BD29="Да",1,0)</x:f>
      </x:c>
      <x:c r="L212" s="706">
        <x:f>IF('УИЛН+КЦА'!$BJ29="Да",1,0)</x:f>
      </x:c>
      <x:c r="M212" s="707">
        <x:f>IF('УИЛН+КЦА'!$BP29="Да",1,0)</x:f>
      </x:c>
      <x:c r="N212" s="708">
        <x:f>IF('УИЛН+КЦА'!$BV29="Да",1,0)</x:f>
      </x:c>
      <x:c r="O212" s="375">
        <x:f>IFERROR(ROUND(SUM(C212:N212)/($S$186),1),"")</x:f>
      </x:c>
    </x:row>
    <x:row r="213" spans="1:25" ht="15" customHeight="1" x14ac:dyDescent="0.25">
      <x:c r="A213" s="710"/>
      <x:c r="B213" s="363" t="s">
        <x:v>229</x:v>
      </x:c>
      <x:c r="C213" s="697">
        <x:f>IF('УИЛН+КЦА'!$H30="Да",1,0)</x:f>
      </x:c>
      <x:c r="D213" s="698">
        <x:f>IF('УИЛН+КЦА'!$N30="Да",1,0)</x:f>
      </x:c>
      <x:c r="E213" s="699">
        <x:f>IF('УИЛН+КЦА'!$T30="Да",1,0)</x:f>
      </x:c>
      <x:c r="F213" s="700">
        <x:f>IF('УИЛН+КЦА'!$Z30="Да",1,0)</x:f>
      </x:c>
      <x:c r="G213" s="701">
        <x:f>IF('УИЛН+КЦА'!$AF30="Да",1,0)</x:f>
      </x:c>
      <x:c r="H213" s="702">
        <x:f>IF('УИЛН+КЦА'!$AL30="Да",1,0)</x:f>
      </x:c>
      <x:c r="I213" s="703">
        <x:f>IF('УИЛН+КЦА'!$AR30="Да",1,0)</x:f>
      </x:c>
      <x:c r="J213" s="704">
        <x:f>IF('УИЛН+КЦА'!$AX30="Да",1,0)</x:f>
      </x:c>
      <x:c r="K213" s="705">
        <x:f>IF('УИЛН+КЦА'!$BD30="Да",1,0)</x:f>
      </x:c>
      <x:c r="L213" s="706">
        <x:f>IF('УИЛН+КЦА'!$BJ30="Да",1,0)</x:f>
      </x:c>
      <x:c r="M213" s="707">
        <x:f>IF('УИЛН+КЦА'!$BP30="Да",1,0)</x:f>
      </x:c>
      <x:c r="N213" s="708">
        <x:f>IF('УИЛН+КЦА'!$BV30="Да",1,0)</x:f>
      </x:c>
      <x:c r="O213" s="375">
        <x:f>IFERROR(ROUND(SUM(C213:N213)/($S$186),1),"")</x:f>
      </x:c>
    </x:row>
    <x:row r="214" spans="1:25" ht="15" customHeight="1" x14ac:dyDescent="0.25">
      <x:c r="A214" s="710"/>
      <x:c r="B214" s="363" t="s">
        <x:v>228</x:v>
      </x:c>
      <x:c r="C214" s="697">
        <x:f>IF('УИЛН+КЦА'!$H31="Да",1,0)</x:f>
      </x:c>
      <x:c r="D214" s="698">
        <x:f>IF('УИЛН+КЦА'!$N31="Да",1,0)</x:f>
      </x:c>
      <x:c r="E214" s="699">
        <x:f>IF('УИЛН+КЦА'!$T31="Да",1,0)</x:f>
      </x:c>
      <x:c r="F214" s="700">
        <x:f>IF('УИЛН+КЦА'!$Z31="Да",1,0)</x:f>
      </x:c>
      <x:c r="G214" s="701">
        <x:f>IF('УИЛН+КЦА'!$AF31="Да",1,0)</x:f>
      </x:c>
      <x:c r="H214" s="702">
        <x:f>IF('УИЛН+КЦА'!$AL31="Да",1,0)</x:f>
      </x:c>
      <x:c r="I214" s="703">
        <x:f>IF('УИЛН+КЦА'!$AR31="Да",1,0)</x:f>
      </x:c>
      <x:c r="J214" s="704">
        <x:f>IF('УИЛН+КЦА'!$AX31="Да",1,0)</x:f>
      </x:c>
      <x:c r="K214" s="705">
        <x:f>IF('УИЛН+КЦА'!$BD31="Да",1,0)</x:f>
      </x:c>
      <x:c r="L214" s="706">
        <x:f>IF('УИЛН+КЦА'!$BJ31="Да",1,0)</x:f>
      </x:c>
      <x:c r="M214" s="707">
        <x:f>IF('УИЛН+КЦА'!$BP31="Да",1,0)</x:f>
      </x:c>
      <x:c r="N214" s="708">
        <x:f>IF('УИЛН+КЦА'!$BV31="Да",1,0)</x:f>
      </x:c>
      <x:c r="O214" s="375">
        <x:f>IFERROR(ROUND(SUM(C214:N214)/($S$186),1),"")</x:f>
      </x:c>
    </x:row>
    <x:row r="215" spans="1:25" ht="15" customHeight="1" x14ac:dyDescent="0.25">
      <x:c r="A215" s="710"/>
      <x:c r="B215" s="363" t="s">
        <x:v>217</x:v>
      </x:c>
      <x:c r="C215" s="697">
        <x:f>IF('УИЛН+КЦА'!$H32="Да",1,0)</x:f>
      </x:c>
      <x:c r="D215" s="698">
        <x:f>IF('УИЛН+КЦА'!$N32="Да",1,0)</x:f>
      </x:c>
      <x:c r="E215" s="699">
        <x:f>IF('УИЛН+КЦА'!$T32="Да",1,0)</x:f>
      </x:c>
      <x:c r="F215" s="700">
        <x:f>IF('УИЛН+КЦА'!$Z32="Да",1,0)</x:f>
      </x:c>
      <x:c r="G215" s="701">
        <x:f>IF('УИЛН+КЦА'!$AF32="Да",1,0)</x:f>
      </x:c>
      <x:c r="H215" s="702">
        <x:f>IF('УИЛН+КЦА'!$AL32="Да",1,0)</x:f>
      </x:c>
      <x:c r="I215" s="703">
        <x:f>IF('УИЛН+КЦА'!$AR32="Да",1,0)</x:f>
      </x:c>
      <x:c r="J215" s="704">
        <x:f>IF('УИЛН+КЦА'!$AX32="Да",1,0)</x:f>
      </x:c>
      <x:c r="K215" s="705">
        <x:f>IF('УИЛН+КЦА'!$BD32="Да",1,0)</x:f>
      </x:c>
      <x:c r="L215" s="706">
        <x:f>IF('УИЛН+КЦА'!$BJ32="Да",1,0)</x:f>
      </x:c>
      <x:c r="M215" s="707">
        <x:f>IF('УИЛН+КЦА'!$BP32="Да",1,0)</x:f>
      </x:c>
      <x:c r="N215" s="708">
        <x:f>IF('УИЛН+КЦА'!$BV32="Да",1,0)</x:f>
      </x:c>
      <x:c r="O215" s="375">
        <x:f>IFERROR(ROUND(SUM(C215:N215)/($S$186),1),"")</x:f>
      </x:c>
    </x:row>
    <x:row r="216" spans="1:25" ht="15" customHeight="1" x14ac:dyDescent="0.25">
      <x:c r="A216" s="710"/>
      <x:c r="B216" s="363" t="s">
        <x:v>241</x:v>
      </x:c>
      <x:c r="C216" s="697">
        <x:f>IF('УИЛН+КЦА'!$H33="Да",1,0)</x:f>
      </x:c>
      <x:c r="D216" s="698">
        <x:f>IF('УИЛН+КЦА'!$N33="Да",1,0)</x:f>
      </x:c>
      <x:c r="E216" s="699">
        <x:f>IF('УИЛН+КЦА'!$T33="Да",1,0)</x:f>
      </x:c>
      <x:c r="F216" s="700">
        <x:f>IF('УИЛН+КЦА'!$Z33="Да",1,0)</x:f>
      </x:c>
      <x:c r="G216" s="701">
        <x:f>IF('УИЛН+КЦА'!$AF33="Да",1,0)</x:f>
      </x:c>
      <x:c r="H216" s="702">
        <x:f>IF('УИЛН+КЦА'!$AL33="Да",1,0)</x:f>
      </x:c>
      <x:c r="I216" s="703">
        <x:f>IF('УИЛН+КЦА'!$AR33="Да",1,0)</x:f>
      </x:c>
      <x:c r="J216" s="704">
        <x:f>IF('УИЛН+КЦА'!$AX33="Да",1,0)</x:f>
      </x:c>
      <x:c r="K216" s="705">
        <x:f>IF('УИЛН+КЦА'!$BD33="Да",1,0)</x:f>
      </x:c>
      <x:c r="L216" s="706">
        <x:f>IF('УИЛН+КЦА'!$BJ33="Да",1,0)</x:f>
      </x:c>
      <x:c r="M216" s="707">
        <x:f>IF('УИЛН+КЦА'!$BP33="Да",1,0)</x:f>
      </x:c>
      <x:c r="N216" s="708">
        <x:f>IF('УИЛН+КЦА'!$BV33="Да",1,0)</x:f>
      </x:c>
      <x:c r="O216" s="375">
        <x:f>IFERROR(ROUND(SUM(C216:N216)/($S$186),1),"")</x:f>
      </x:c>
    </x:row>
    <x:row r="217" spans="1:25" ht="15.75" customHeight="1" x14ac:dyDescent="0.25">
      <x:c r="A217" s="717"/>
      <x:c r="B217" s="379" t="s">
        <x:v>225</x:v>
      </x:c>
      <x:c r="C217" s="697">
        <x:f>IF('УИЛН+КЦА'!$H34="Да",1,0)</x:f>
      </x:c>
      <x:c r="D217" s="698">
        <x:f>IF('УИЛН+КЦА'!$N34="Да",1,0)</x:f>
      </x:c>
      <x:c r="E217" s="699">
        <x:f>IF('УИЛН+КЦА'!$T34="Да",1,0)</x:f>
      </x:c>
      <x:c r="F217" s="700">
        <x:f>IF('УИЛН+КЦА'!$Z34="Да",1,0)</x:f>
      </x:c>
      <x:c r="G217" s="701">
        <x:f>IF('УИЛН+КЦА'!$AF34="Да",1,0)</x:f>
      </x:c>
      <x:c r="H217" s="702">
        <x:f>IF('УИЛН+КЦА'!$AL34="Да",1,0)</x:f>
      </x:c>
      <x:c r="I217" s="703">
        <x:f>IF('УИЛН+КЦА'!$AR34="Да",1,0)</x:f>
      </x:c>
      <x:c r="J217" s="704">
        <x:f>IF('УИЛН+КЦА'!$AX34="Да",1,0)</x:f>
      </x:c>
      <x:c r="K217" s="705">
        <x:f>IF('УИЛН+КЦА'!$BD34="Да",1,0)</x:f>
      </x:c>
      <x:c r="L217" s="706">
        <x:f>IF('УИЛН+КЦА'!$BJ34="Да",1,0)</x:f>
      </x:c>
      <x:c r="M217" s="707">
        <x:f>IF('УИЛН+КЦА'!$BP34="Да",1,0)</x:f>
      </x:c>
      <x:c r="N217" s="708">
        <x:f>IF('УИЛН+КЦА'!$BV34="Да",1,0)</x:f>
      </x:c>
      <x:c r="O217" s="375">
        <x:f>IFERROR(ROUND(SUM(C217:N217)/($S$186),1),"")</x:f>
      </x:c>
    </x:row>
    <x:row r="218" spans="1:25" ht="15" customHeight="1" x14ac:dyDescent="0.25">
      <x:c r="A218" s="696" t="s">
        <x:v>1070</x:v>
      </x:c>
      <x:c r="B218" s="363" t="s">
        <x:v>208</x:v>
      </x:c>
      <x:c r="C218" s="697">
        <x:f>IF('ЛЧ_24_2000'!$H3="Да",1,0)</x:f>
      </x:c>
      <x:c r="D218" s="698">
        <x:f>IF('ЛЧ_24_2000'!$N3="Да",1,0)</x:f>
      </x:c>
      <x:c r="E218" s="699">
        <x:f>IF('ЛЧ_24_2000'!$T3="Да",1,0)</x:f>
      </x:c>
      <x:c r="F218" s="700">
        <x:f>IF('ЛЧ_24_2000'!$Z3="Да",1,0)</x:f>
      </x:c>
      <x:c r="G218" s="701">
        <x:f>IF('ЛЧ_24_2000'!$AF3="Да",1,0)</x:f>
      </x:c>
      <x:c r="H218" s="702">
        <x:f>IF('ЛЧ_24_2000'!$AL3="Да",1,0)</x:f>
      </x:c>
      <x:c r="I218" s="703">
        <x:f>IF('ЛЧ_24_2000'!$AR3="Да",1,0)</x:f>
      </x:c>
      <x:c r="J218" s="704">
        <x:f>IF('ЛЧ_24_2000'!$AX3="Да",1,0)</x:f>
      </x:c>
      <x:c r="K218" s="705">
        <x:f>IF('ЛЧ_24_2000'!$BD3="Да",1,0)</x:f>
      </x:c>
      <x:c r="L218" s="706">
        <x:f>IF('ЛЧ_24_2000'!$BJ3="Да",1,0)</x:f>
      </x:c>
      <x:c r="M218" s="707">
        <x:f>IF('ЛЧ_24_2000'!$BP3="Да",1,0)</x:f>
      </x:c>
      <x:c r="N218" s="708">
        <x:f>IF('ЛЧ_24_2000'!$BV3="Да",1,0)</x:f>
      </x:c>
      <x:c r="O218" s="375">
        <x:f>IFERROR(ROUND(SUM(C218:N218)/($S$218),1),"")</x:f>
      </x:c>
      <x:c r="Q218" s="709" t="s">
        <x:v>1151</x:v>
      </x:c>
      <x:c r="R218" s="596"/>
      <x:c r="S218" s="376">
        <x:f>SUM(IF(COUNTIF(C218:C239,"&gt;0")&gt;0,1,0),IF(COUNTIF(D218:D239,"&gt;0")&gt;0,1,0),IF(COUNTIF(E218:E239,"&gt;0")&gt;0,1,0),IF(COUNTIF(F218:F239,"&gt;0")&gt;0,1,0),IF(COUNTIF(G218:G239,"&gt;0")&gt;0,1,0),IF(COUNTIF(H218:H239,"&gt;0")&gt;0,1,0),IF(COUNTIF(I218:I239,"&gt;0")&gt;0,1,0),IF(COUNTIF(J218:J239,"&gt;0")&gt;0,1,0),IF(COUNTIF(K218:K239,"&gt;0")&gt;0,1,0),IF(COUNTIF(L218:L239,"&gt;0")&gt;0,1,0),IF(COUNTIF(M218:M239,"&gt;0")&gt;0,1,0),IF(COUNTIF(N218:N239,"&gt;0")&gt;0,1,0))</x:f>
      </x:c>
    </x:row>
    <x:row r="219" spans="1:25" ht="15" customHeight="1" x14ac:dyDescent="0.25">
      <x:c r="A219" s="710"/>
      <x:c r="B219" s="363" t="s">
        <x:v>201</x:v>
      </x:c>
      <x:c r="C219" s="697">
        <x:f>IF('ЛЧ_24_2000'!$H4="Да",1,0)</x:f>
      </x:c>
      <x:c r="D219" s="698">
        <x:f>IF('ЛЧ_24_2000'!$N4="Да",1,0)</x:f>
      </x:c>
      <x:c r="E219" s="699">
        <x:f>IF('ЛЧ_24_2000'!$T4="Да",1,0)</x:f>
      </x:c>
      <x:c r="F219" s="700">
        <x:f>IF('ЛЧ_24_2000'!$Z4="Да",1,0)</x:f>
      </x:c>
      <x:c r="G219" s="701">
        <x:f>IF('ЛЧ_24_2000'!$AF4="Да",1,0)</x:f>
      </x:c>
      <x:c r="H219" s="702">
        <x:f>IF('ЛЧ_24_2000'!$AL4="Да",1,0)</x:f>
      </x:c>
      <x:c r="I219" s="703">
        <x:f>IF('ЛЧ_24_2000'!$AR4="Да",1,0)</x:f>
      </x:c>
      <x:c r="J219" s="704">
        <x:f>IF('ЛЧ_24_2000'!$AX4="Да",1,0)</x:f>
      </x:c>
      <x:c r="K219" s="705">
        <x:f>IF('ЛЧ_24_2000'!$BD4="Да",1,0)</x:f>
      </x:c>
      <x:c r="L219" s="706">
        <x:f>IF('ЛЧ_24_2000'!$BJ4="Да",1,0)</x:f>
      </x:c>
      <x:c r="M219" s="707">
        <x:f>IF('ЛЧ_24_2000'!$BP4="Да",1,0)</x:f>
      </x:c>
      <x:c r="N219" s="708">
        <x:f>IF('ЛЧ_24_2000'!$BV4="Да",1,0)</x:f>
      </x:c>
      <x:c r="O219" s="375">
        <x:f>IFERROR(ROUND(SUM(C219:N219)/($S$218),1),"")</x:f>
      </x:c>
      <x:c r="Q219" s="711"/>
      <x:c r="R219" s="712"/>
      <x:c r="S219" s="713"/>
    </x:row>
    <x:row r="220" spans="1:25" ht="15" customHeight="1" x14ac:dyDescent="0.25">
      <x:c r="A220" s="710"/>
      <x:c r="B220" s="363" t="s">
        <x:v>203</x:v>
      </x:c>
      <x:c r="C220" s="697">
        <x:f>IF('ЛЧ_24_2000'!$H5="Да",1,0)</x:f>
      </x:c>
      <x:c r="D220" s="698">
        <x:f>IF('ЛЧ_24_2000'!$N5="Да",1,0)</x:f>
      </x:c>
      <x:c r="E220" s="699">
        <x:f>IF('ЛЧ_24_2000'!$T5="Да",1,0)</x:f>
      </x:c>
      <x:c r="F220" s="700">
        <x:f>IF('ЛЧ_24_2000'!$Z5="Да",1,0)</x:f>
      </x:c>
      <x:c r="G220" s="701">
        <x:f>IF('ЛЧ_24_2000'!$AF5="Да",1,0)</x:f>
      </x:c>
      <x:c r="H220" s="702">
        <x:f>IF('ЛЧ_24_2000'!$AL5="Да",1,0)</x:f>
      </x:c>
      <x:c r="I220" s="703">
        <x:f>IF('ЛЧ_24_2000'!$AR5="Да",1,0)</x:f>
      </x:c>
      <x:c r="J220" s="704">
        <x:f>IF('ЛЧ_24_2000'!$AX5="Да",1,0)</x:f>
      </x:c>
      <x:c r="K220" s="705">
        <x:f>IF('ЛЧ_24_2000'!$BD5="Да",1,0)</x:f>
      </x:c>
      <x:c r="L220" s="706">
        <x:f>IF('ЛЧ_24_2000'!$BJ5="Да",1,0)</x:f>
      </x:c>
      <x:c r="M220" s="707">
        <x:f>IF('ЛЧ_24_2000'!$BP5="Да",1,0)</x:f>
      </x:c>
      <x:c r="N220" s="708">
        <x:f>IF('ЛЧ_24_2000'!$BV5="Да",1,0)</x:f>
      </x:c>
      <x:c r="O220" s="375">
        <x:f>IFERROR(ROUND(SUM(C220:N220)/($S$218),1),"")</x:f>
      </x:c>
      <x:c r="Q220" s="714"/>
      <x:c r="R220" s="715"/>
      <x:c r="S220" s="716"/>
    </x:row>
    <x:row r="221" spans="1:25" ht="15" customHeight="1" x14ac:dyDescent="0.25">
      <x:c r="A221" s="710"/>
      <x:c r="B221" s="363" t="s">
        <x:v>213</x:v>
      </x:c>
      <x:c r="C221" s="697">
        <x:f>IF('ЛЧ_24_2000'!$H6="Да",1,0)</x:f>
      </x:c>
      <x:c r="D221" s="698">
        <x:f>IF('ЛЧ_24_2000'!$N6="Да",1,0)</x:f>
      </x:c>
      <x:c r="E221" s="699">
        <x:f>IF('ЛЧ_24_2000'!$T6="Да",1,0)</x:f>
      </x:c>
      <x:c r="F221" s="700">
        <x:f>IF('ЛЧ_24_2000'!$Z6="Да",1,0)</x:f>
      </x:c>
      <x:c r="G221" s="701">
        <x:f>IF('ЛЧ_24_2000'!$AF6="Да",1,0)</x:f>
      </x:c>
      <x:c r="H221" s="702">
        <x:f>IF('ЛЧ_24_2000'!$AL6="Да",1,0)</x:f>
      </x:c>
      <x:c r="I221" s="703">
        <x:f>IF('ЛЧ_24_2000'!$AR6="Да",1,0)</x:f>
      </x:c>
      <x:c r="J221" s="704">
        <x:f>IF('ЛЧ_24_2000'!$AX6="Да",1,0)</x:f>
      </x:c>
      <x:c r="K221" s="705">
        <x:f>IF('ЛЧ_24_2000'!$BD6="Да",1,0)</x:f>
      </x:c>
      <x:c r="L221" s="706">
        <x:f>IF('ЛЧ_24_2000'!$BJ6="Да",1,0)</x:f>
      </x:c>
      <x:c r="M221" s="707">
        <x:f>IF('ЛЧ_24_2000'!$BP6="Да",1,0)</x:f>
      </x:c>
      <x:c r="N221" s="708">
        <x:f>IF('ЛЧ_24_2000'!$BV6="Да",1,0)</x:f>
      </x:c>
      <x:c r="O221" s="375">
        <x:f>IFERROR(ROUND(SUM(C221:N221)/($S$218),1),"")</x:f>
      </x:c>
    </x:row>
    <x:row r="222" spans="1:25" ht="15" customHeight="1" x14ac:dyDescent="0.25">
      <x:c r="A222" s="710"/>
      <x:c r="B222" s="363" t="s">
        <x:v>192</x:v>
      </x:c>
      <x:c r="C222" s="697">
        <x:f>IF('ЛЧ_24_2000'!$H7="Да",1,0)</x:f>
      </x:c>
      <x:c r="D222" s="698">
        <x:f>IF('ЛЧ_24_2000'!$N7="Да",1,0)</x:f>
      </x:c>
      <x:c r="E222" s="699">
        <x:f>IF('ЛЧ_24_2000'!$T7="Да",1,0)</x:f>
      </x:c>
      <x:c r="F222" s="700">
        <x:f>IF('ЛЧ_24_2000'!$Z7="Да",1,0)</x:f>
      </x:c>
      <x:c r="G222" s="701">
        <x:f>IF('ЛЧ_24_2000'!$AF7="Да",1,0)</x:f>
      </x:c>
      <x:c r="H222" s="702">
        <x:f>IF('ЛЧ_24_2000'!$AL7="Да",1,0)</x:f>
      </x:c>
      <x:c r="I222" s="703">
        <x:f>IF('ЛЧ_24_2000'!$AR7="Да",1,0)</x:f>
      </x:c>
      <x:c r="J222" s="704">
        <x:f>IF('ЛЧ_24_2000'!$AX7="Да",1,0)</x:f>
      </x:c>
      <x:c r="K222" s="705">
        <x:f>IF('ЛЧ_24_2000'!$BD7="Да",1,0)</x:f>
      </x:c>
      <x:c r="L222" s="706">
        <x:f>IF('ЛЧ_24_2000'!$BJ7="Да",1,0)</x:f>
      </x:c>
      <x:c r="M222" s="707">
        <x:f>IF('ЛЧ_24_2000'!$BP7="Да",1,0)</x:f>
      </x:c>
      <x:c r="N222" s="708">
        <x:f>IF('ЛЧ_24_2000'!$BV7="Да",1,0)</x:f>
      </x:c>
      <x:c r="O222" s="375">
        <x:f>IFERROR(ROUND(SUM(C222:N222)/($S$218),1),"")</x:f>
      </x:c>
    </x:row>
    <x:row r="223" spans="1:25" ht="15" customHeight="1" x14ac:dyDescent="0.25">
      <x:c r="A223" s="710"/>
      <x:c r="B223" s="363" t="s">
        <x:v>210</x:v>
      </x:c>
      <x:c r="C223" s="697">
        <x:f>IF('ЛЧ_24_2000'!$H8="Да",1,0)</x:f>
      </x:c>
      <x:c r="D223" s="698">
        <x:f>IF('ЛЧ_24_2000'!$N8="Да",1,0)</x:f>
      </x:c>
      <x:c r="E223" s="699">
        <x:f>IF('ЛЧ_24_2000'!$T8="Да",1,0)</x:f>
      </x:c>
      <x:c r="F223" s="700">
        <x:f>IF('ЛЧ_24_2000'!$Z8="Да",1,0)</x:f>
      </x:c>
      <x:c r="G223" s="701">
        <x:f>IF('ЛЧ_24_2000'!$AF8="Да",1,0)</x:f>
      </x:c>
      <x:c r="H223" s="702">
        <x:f>IF('ЛЧ_24_2000'!$AL8="Да",1,0)</x:f>
      </x:c>
      <x:c r="I223" s="703">
        <x:f>IF('ЛЧ_24_2000'!$AR8="Да",1,0)</x:f>
      </x:c>
      <x:c r="J223" s="704">
        <x:f>IF('ЛЧ_24_2000'!$AX8="Да",1,0)</x:f>
      </x:c>
      <x:c r="K223" s="705">
        <x:f>IF('ЛЧ_24_2000'!$BD8="Да",1,0)</x:f>
      </x:c>
      <x:c r="L223" s="706">
        <x:f>IF('ЛЧ_24_2000'!$BJ8="Да",1,0)</x:f>
      </x:c>
      <x:c r="M223" s="707">
        <x:f>IF('ЛЧ_24_2000'!$BP8="Да",1,0)</x:f>
      </x:c>
      <x:c r="N223" s="708">
        <x:f>IF('ЛЧ_24_2000'!$BV8="Да",1,0)</x:f>
      </x:c>
      <x:c r="O223" s="375">
        <x:f>IFERROR(ROUND(SUM(C223:N223)/($S$218),1),"")</x:f>
      </x:c>
    </x:row>
    <x:row r="224" spans="1:25" ht="15" customHeight="1" x14ac:dyDescent="0.25">
      <x:c r="A224" s="710"/>
      <x:c r="B224" s="363" t="s">
        <x:v>194</x:v>
      </x:c>
      <x:c r="C224" s="697">
        <x:f>IF('ЛЧ_24_2000'!$H9="Да",1,0)</x:f>
      </x:c>
      <x:c r="D224" s="698">
        <x:f>IF('ЛЧ_24_2000'!$N9="Да",1,0)</x:f>
      </x:c>
      <x:c r="E224" s="699">
        <x:f>IF('ЛЧ_24_2000'!$T9="Да",1,0)</x:f>
      </x:c>
      <x:c r="F224" s="700">
        <x:f>IF('ЛЧ_24_2000'!$Z9="Да",1,0)</x:f>
      </x:c>
      <x:c r="G224" s="701">
        <x:f>IF('ЛЧ_24_2000'!$AF9="Да",1,0)</x:f>
      </x:c>
      <x:c r="H224" s="702">
        <x:f>IF('ЛЧ_24_2000'!$AL9="Да",1,0)</x:f>
      </x:c>
      <x:c r="I224" s="703">
        <x:f>IF('ЛЧ_24_2000'!$AR9="Да",1,0)</x:f>
      </x:c>
      <x:c r="J224" s="704">
        <x:f>IF('ЛЧ_24_2000'!$AX9="Да",1,0)</x:f>
      </x:c>
      <x:c r="K224" s="705">
        <x:f>IF('ЛЧ_24_2000'!$BD9="Да",1,0)</x:f>
      </x:c>
      <x:c r="L224" s="706">
        <x:f>IF('ЛЧ_24_2000'!$BJ9="Да",1,0)</x:f>
      </x:c>
      <x:c r="M224" s="707">
        <x:f>IF('ЛЧ_24_2000'!$BP9="Да",1,0)</x:f>
      </x:c>
      <x:c r="N224" s="708">
        <x:f>IF('ЛЧ_24_2000'!$BV9="Да",1,0)</x:f>
      </x:c>
      <x:c r="O224" s="375">
        <x:f>IFERROR(ROUND(SUM(C224:N224)/($S$218),1),"")</x:f>
      </x:c>
    </x:row>
    <x:row r="225" spans="1:25" ht="15" customHeight="1" x14ac:dyDescent="0.25">
      <x:c r="A225" s="710"/>
      <x:c r="B225" s="363" t="s">
        <x:v>202</x:v>
      </x:c>
      <x:c r="C225" s="697">
        <x:f>IF('ЛЧ_24_2000'!$H10="Да",1,0)</x:f>
      </x:c>
      <x:c r="D225" s="698">
        <x:f>IF('ЛЧ_24_2000'!$N10="Да",1,0)</x:f>
      </x:c>
      <x:c r="E225" s="699">
        <x:f>IF('ЛЧ_24_2000'!$T10="Да",1,0)</x:f>
      </x:c>
      <x:c r="F225" s="700">
        <x:f>IF('ЛЧ_24_2000'!$Z10="Да",1,0)</x:f>
      </x:c>
      <x:c r="G225" s="701">
        <x:f>IF('ЛЧ_24_2000'!$AF10="Да",1,0)</x:f>
      </x:c>
      <x:c r="H225" s="702">
        <x:f>IF('ЛЧ_24_2000'!$AL10="Да",1,0)</x:f>
      </x:c>
      <x:c r="I225" s="703">
        <x:f>IF('ЛЧ_24_2000'!$AR10="Да",1,0)</x:f>
      </x:c>
      <x:c r="J225" s="704">
        <x:f>IF('ЛЧ_24_2000'!$AX10="Да",1,0)</x:f>
      </x:c>
      <x:c r="K225" s="705">
        <x:f>IF('ЛЧ_24_2000'!$BD10="Да",1,0)</x:f>
      </x:c>
      <x:c r="L225" s="706">
        <x:f>IF('ЛЧ_24_2000'!$BJ10="Да",1,0)</x:f>
      </x:c>
      <x:c r="M225" s="707">
        <x:f>IF('ЛЧ_24_2000'!$BP10="Да",1,0)</x:f>
      </x:c>
      <x:c r="N225" s="708">
        <x:f>IF('ЛЧ_24_2000'!$BV10="Да",1,0)</x:f>
      </x:c>
      <x:c r="O225" s="375">
        <x:f>IFERROR(ROUND(SUM(C225:N225)/($S$218),1),"")</x:f>
      </x:c>
    </x:row>
    <x:row r="226" spans="1:25" ht="15" customHeight="1" x14ac:dyDescent="0.25">
      <x:c r="A226" s="710"/>
      <x:c r="B226" s="363" t="s">
        <x:v>199</x:v>
      </x:c>
      <x:c r="C226" s="697">
        <x:f>IF('ЛЧ_24_2000'!$H11="Да",1,0)</x:f>
      </x:c>
      <x:c r="D226" s="698">
        <x:f>IF('ЛЧ_24_2000'!$N11="Да",1,0)</x:f>
      </x:c>
      <x:c r="E226" s="699">
        <x:f>IF('ЛЧ_24_2000'!$T11="Да",1,0)</x:f>
      </x:c>
      <x:c r="F226" s="700">
        <x:f>IF('ЛЧ_24_2000'!$Z11="Да",1,0)</x:f>
      </x:c>
      <x:c r="G226" s="701">
        <x:f>IF('ЛЧ_24_2000'!$AF11="Да",1,0)</x:f>
      </x:c>
      <x:c r="H226" s="702">
        <x:f>IF('ЛЧ_24_2000'!$AL11="Да",1,0)</x:f>
      </x:c>
      <x:c r="I226" s="703">
        <x:f>IF('ЛЧ_24_2000'!$AR11="Да",1,0)</x:f>
      </x:c>
      <x:c r="J226" s="704">
        <x:f>IF('ЛЧ_24_2000'!$AX11="Да",1,0)</x:f>
      </x:c>
      <x:c r="K226" s="705">
        <x:f>IF('ЛЧ_24_2000'!$BD11="Да",1,0)</x:f>
      </x:c>
      <x:c r="L226" s="706">
        <x:f>IF('ЛЧ_24_2000'!$BJ11="Да",1,0)</x:f>
      </x:c>
      <x:c r="M226" s="707">
        <x:f>IF('ЛЧ_24_2000'!$BP11="Да",1,0)</x:f>
      </x:c>
      <x:c r="N226" s="708">
        <x:f>IF('ЛЧ_24_2000'!$BV11="Да",1,0)</x:f>
      </x:c>
      <x:c r="O226" s="375">
        <x:f>IFERROR(ROUND(SUM(C226:N226)/($S$218),1),"")</x:f>
      </x:c>
    </x:row>
    <x:row r="227" spans="1:25" ht="15" customHeight="1" x14ac:dyDescent="0.25">
      <x:c r="A227" s="710"/>
      <x:c r="B227" s="363" t="s">
        <x:v>209</x:v>
      </x:c>
      <x:c r="C227" s="697">
        <x:f>IF('ЛЧ_24_2000'!$H12="Да",1,0)</x:f>
      </x:c>
      <x:c r="D227" s="698">
        <x:f>IF('ЛЧ_24_2000'!$N12="Да",1,0)</x:f>
      </x:c>
      <x:c r="E227" s="699">
        <x:f>IF('ЛЧ_24_2000'!$T12="Да",1,0)</x:f>
      </x:c>
      <x:c r="F227" s="700">
        <x:f>IF('ЛЧ_24_2000'!$Z12="Да",1,0)</x:f>
      </x:c>
      <x:c r="G227" s="701">
        <x:f>IF('ЛЧ_24_2000'!$AF12="Да",1,0)</x:f>
      </x:c>
      <x:c r="H227" s="702">
        <x:f>IF('ЛЧ_24_2000'!$AL12="Да",1,0)</x:f>
      </x:c>
      <x:c r="I227" s="703">
        <x:f>IF('ЛЧ_24_2000'!$AR12="Да",1,0)</x:f>
      </x:c>
      <x:c r="J227" s="704">
        <x:f>IF('ЛЧ_24_2000'!$AX12="Да",1,0)</x:f>
      </x:c>
      <x:c r="K227" s="705">
        <x:f>IF('ЛЧ_24_2000'!$BD12="Да",1,0)</x:f>
      </x:c>
      <x:c r="L227" s="706">
        <x:f>IF('ЛЧ_24_2000'!$BJ12="Да",1,0)</x:f>
      </x:c>
      <x:c r="M227" s="707">
        <x:f>IF('ЛЧ_24_2000'!$BP12="Да",1,0)</x:f>
      </x:c>
      <x:c r="N227" s="708">
        <x:f>IF('ЛЧ_24_2000'!$BV12="Да",1,0)</x:f>
      </x:c>
      <x:c r="O227" s="375">
        <x:f>IFERROR(ROUND(SUM(C227:N227)/($S$218),1),"")</x:f>
      </x:c>
    </x:row>
    <x:row r="228" spans="1:25" ht="15" customHeight="1" x14ac:dyDescent="0.3">
      <x:c r="A228" s="710"/>
      <x:c r="B228" s="363" t="s">
        <x:v>207</x:v>
      </x:c>
      <x:c r="C228" s="697">
        <x:f>IF('ЛЧ_24_2000'!$H13="Да",1,0)</x:f>
      </x:c>
      <x:c r="D228" s="698">
        <x:f>IF('ЛЧ_24_2000'!$N13="Да",1,0)</x:f>
      </x:c>
      <x:c r="E228" s="699">
        <x:f>IF('ЛЧ_24_2000'!$T13="Да",1,0)</x:f>
      </x:c>
      <x:c r="F228" s="700">
        <x:f>IF('ЛЧ_24_2000'!$Z13="Да",1,0)</x:f>
      </x:c>
      <x:c r="G228" s="701">
        <x:f>IF('ЛЧ_24_2000'!$AF13="Да",1,0)</x:f>
      </x:c>
      <x:c r="H228" s="702">
        <x:f>IF('ЛЧ_24_2000'!$AL13="Да",1,0)</x:f>
      </x:c>
      <x:c r="I228" s="703">
        <x:f>IF('ЛЧ_24_2000'!$AR13="Да",1,0)</x:f>
      </x:c>
      <x:c r="J228" s="704">
        <x:f>IF('ЛЧ_24_2000'!$AX13="Да",1,0)</x:f>
      </x:c>
      <x:c r="K228" s="705">
        <x:f>IF('ЛЧ_24_2000'!$BD13="Да",1,0)</x:f>
      </x:c>
      <x:c r="L228" s="706">
        <x:f>IF('ЛЧ_24_2000'!$BJ13="Да",1,0)</x:f>
      </x:c>
      <x:c r="M228" s="707">
        <x:f>IF('ЛЧ_24_2000'!$BP13="Да",1,0)</x:f>
      </x:c>
      <x:c r="N228" s="708">
        <x:f>IF('ЛЧ_24_2000'!$BV13="Да",1,0)</x:f>
      </x:c>
      <x:c r="O228" s="375">
        <x:f>IFERROR(ROUND(SUM(C228:N228)/($S$218),1),"")</x:f>
      </x:c>
    </x:row>
    <x:row r="229" spans="1:25" ht="15" customHeight="1" x14ac:dyDescent="0.25">
      <x:c r="A229" s="710"/>
      <x:c r="B229" s="363" t="s">
        <x:v>212</x:v>
      </x:c>
      <x:c r="C229" s="697">
        <x:f>IF('ЛЧ_24_2000'!$H14="Да",1,0)</x:f>
      </x:c>
      <x:c r="D229" s="698">
        <x:f>IF('ЛЧ_24_2000'!$N14="Да",1,0)</x:f>
      </x:c>
      <x:c r="E229" s="699">
        <x:f>IF('ЛЧ_24_2000'!$T14="Да",1,0)</x:f>
      </x:c>
      <x:c r="F229" s="700">
        <x:f>IF('ЛЧ_24_2000'!$Z14="Да",1,0)</x:f>
      </x:c>
      <x:c r="G229" s="701">
        <x:f>IF('ЛЧ_24_2000'!$AF14="Да",1,0)</x:f>
      </x:c>
      <x:c r="H229" s="702">
        <x:f>IF('ЛЧ_24_2000'!$AL14="Да",1,0)</x:f>
      </x:c>
      <x:c r="I229" s="703">
        <x:f>IF('ЛЧ_24_2000'!$AR14="Да",1,0)</x:f>
      </x:c>
      <x:c r="J229" s="704">
        <x:f>IF('ЛЧ_24_2000'!$AX14="Да",1,0)</x:f>
      </x:c>
      <x:c r="K229" s="705">
        <x:f>IF('ЛЧ_24_2000'!$BD14="Да",1,0)</x:f>
      </x:c>
      <x:c r="L229" s="706">
        <x:f>IF('ЛЧ_24_2000'!$BJ14="Да",1,0)</x:f>
      </x:c>
      <x:c r="M229" s="707">
        <x:f>IF('ЛЧ_24_2000'!$BP14="Да",1,0)</x:f>
      </x:c>
      <x:c r="N229" s="708">
        <x:f>IF('ЛЧ_24_2000'!$BV14="Да",1,0)</x:f>
      </x:c>
      <x:c r="O229" s="375">
        <x:f>IFERROR(ROUND(SUM(C229:N229)/($S$218),1),"")</x:f>
      </x:c>
    </x:row>
    <x:row r="230" spans="1:25" ht="15" customHeight="1" x14ac:dyDescent="0.25">
      <x:c r="A230" s="710"/>
      <x:c r="B230" s="363" t="s">
        <x:v>198</x:v>
      </x:c>
      <x:c r="C230" s="697">
        <x:f>IF('ЛЧ_24_2000'!$H15="Да",1,0)</x:f>
      </x:c>
      <x:c r="D230" s="698">
        <x:f>IF('ЛЧ_24_2000'!$N15="Да",1,0)</x:f>
      </x:c>
      <x:c r="E230" s="699">
        <x:f>IF('ЛЧ_24_2000'!$T15="Да",1,0)</x:f>
      </x:c>
      <x:c r="F230" s="700">
        <x:f>IF('ЛЧ_24_2000'!$Z15="Да",1,0)</x:f>
      </x:c>
      <x:c r="G230" s="701">
        <x:f>IF('ЛЧ_24_2000'!$AF15="Да",1,0)</x:f>
      </x:c>
      <x:c r="H230" s="702">
        <x:f>IF('ЛЧ_24_2000'!$AL15="Да",1,0)</x:f>
      </x:c>
      <x:c r="I230" s="703">
        <x:f>IF('ЛЧ_24_2000'!$AR15="Да",1,0)</x:f>
      </x:c>
      <x:c r="J230" s="704">
        <x:f>IF('ЛЧ_24_2000'!$AX15="Да",1,0)</x:f>
      </x:c>
      <x:c r="K230" s="705">
        <x:f>IF('ЛЧ_24_2000'!$BD15="Да",1,0)</x:f>
      </x:c>
      <x:c r="L230" s="706">
        <x:f>IF('ЛЧ_24_2000'!$BJ15="Да",1,0)</x:f>
      </x:c>
      <x:c r="M230" s="707">
        <x:f>IF('ЛЧ_24_2000'!$BP15="Да",1,0)</x:f>
      </x:c>
      <x:c r="N230" s="708">
        <x:f>IF('ЛЧ_24_2000'!$BV15="Да",1,0)</x:f>
      </x:c>
      <x:c r="O230" s="375">
        <x:f>IFERROR(ROUND(SUM(C230:N230)/($S$218),1),"")</x:f>
      </x:c>
    </x:row>
    <x:row r="231" spans="1:25" ht="15" customHeight="1" x14ac:dyDescent="0.25">
      <x:c r="A231" s="710"/>
      <x:c r="B231" s="363" t="s">
        <x:v>204</x:v>
      </x:c>
      <x:c r="C231" s="697">
        <x:f>IF('ЛЧ_24_2000'!$H16="Да",1,0)</x:f>
      </x:c>
      <x:c r="D231" s="698">
        <x:f>IF('ЛЧ_24_2000'!$N16="Да",1,0)</x:f>
      </x:c>
      <x:c r="E231" s="699">
        <x:f>IF('ЛЧ_24_2000'!$T16="Да",1,0)</x:f>
      </x:c>
      <x:c r="F231" s="700">
        <x:f>IF('ЛЧ_24_2000'!$Z16="Да",1,0)</x:f>
      </x:c>
      <x:c r="G231" s="701">
        <x:f>IF('ЛЧ_24_2000'!$AF16="Да",1,0)</x:f>
      </x:c>
      <x:c r="H231" s="702">
        <x:f>IF('ЛЧ_24_2000'!$AL16="Да",1,0)</x:f>
      </x:c>
      <x:c r="I231" s="703">
        <x:f>IF('ЛЧ_24_2000'!$AR16="Да",1,0)</x:f>
      </x:c>
      <x:c r="J231" s="704">
        <x:f>IF('ЛЧ_24_2000'!$AX16="Да",1,0)</x:f>
      </x:c>
      <x:c r="K231" s="705">
        <x:f>IF('ЛЧ_24_2000'!$BD16="Да",1,0)</x:f>
      </x:c>
      <x:c r="L231" s="706">
        <x:f>IF('ЛЧ_24_2000'!$BJ16="Да",1,0)</x:f>
      </x:c>
      <x:c r="M231" s="707">
        <x:f>IF('ЛЧ_24_2000'!$BP16="Да",1,0)</x:f>
      </x:c>
      <x:c r="N231" s="708">
        <x:f>IF('ЛЧ_24_2000'!$BV16="Да",1,0)</x:f>
      </x:c>
      <x:c r="O231" s="375">
        <x:f>IFERROR(ROUND(SUM(C231:N231)/($S$218),1),"")</x:f>
      </x:c>
    </x:row>
    <x:row r="232" spans="1:25" ht="15" customHeight="1" x14ac:dyDescent="0.25">
      <x:c r="A232" s="710"/>
      <x:c r="B232" s="363" t="s">
        <x:v>211</x:v>
      </x:c>
      <x:c r="C232" s="697">
        <x:f>IF('ЛЧ_24_2000'!$H17="Да",1,0)</x:f>
      </x:c>
      <x:c r="D232" s="698">
        <x:f>IF('ЛЧ_24_2000'!$N17="Да",1,0)</x:f>
      </x:c>
      <x:c r="E232" s="699">
        <x:f>IF('ЛЧ_24_2000'!$T17="Да",1,0)</x:f>
      </x:c>
      <x:c r="F232" s="700">
        <x:f>IF('ЛЧ_24_2000'!$Z17="Да",1,0)</x:f>
      </x:c>
      <x:c r="G232" s="701">
        <x:f>IF('ЛЧ_24_2000'!$AF17="Да",1,0)</x:f>
      </x:c>
      <x:c r="H232" s="702">
        <x:f>IF('ЛЧ_24_2000'!$AL17="Да",1,0)</x:f>
      </x:c>
      <x:c r="I232" s="703">
        <x:f>IF('ЛЧ_24_2000'!$AR17="Да",1,0)</x:f>
      </x:c>
      <x:c r="J232" s="704">
        <x:f>IF('ЛЧ_24_2000'!$AX17="Да",1,0)</x:f>
      </x:c>
      <x:c r="K232" s="705">
        <x:f>IF('ЛЧ_24_2000'!$BD17="Да",1,0)</x:f>
      </x:c>
      <x:c r="L232" s="706">
        <x:f>IF('ЛЧ_24_2000'!$BJ17="Да",1,0)</x:f>
      </x:c>
      <x:c r="M232" s="707">
        <x:f>IF('ЛЧ_24_2000'!$BP17="Да",1,0)</x:f>
      </x:c>
      <x:c r="N232" s="708">
        <x:f>IF('ЛЧ_24_2000'!$BV17="Да",1,0)</x:f>
      </x:c>
      <x:c r="O232" s="375">
        <x:f>IFERROR(ROUND(SUM(C232:N232)/($S$218),1),"")</x:f>
      </x:c>
    </x:row>
    <x:row r="233" spans="1:25" ht="15" customHeight="1" x14ac:dyDescent="0.25">
      <x:c r="A233" s="710"/>
      <x:c r="B233" s="363" t="s">
        <x:v>200</x:v>
      </x:c>
      <x:c r="C233" s="697">
        <x:f>IF('ЛЧ_24_2000'!$H18="Да",1,0)</x:f>
      </x:c>
      <x:c r="D233" s="698">
        <x:f>IF('ЛЧ_24_2000'!$N18="Да",1,0)</x:f>
      </x:c>
      <x:c r="E233" s="699">
        <x:f>IF('ЛЧ_24_2000'!$T18="Да",1,0)</x:f>
      </x:c>
      <x:c r="F233" s="700">
        <x:f>IF('ЛЧ_24_2000'!$Z18="Да",1,0)</x:f>
      </x:c>
      <x:c r="G233" s="701">
        <x:f>IF('ЛЧ_24_2000'!$AF18="Да",1,0)</x:f>
      </x:c>
      <x:c r="H233" s="702">
        <x:f>IF('ЛЧ_24_2000'!$AL18="Да",1,0)</x:f>
      </x:c>
      <x:c r="I233" s="703">
        <x:f>IF('ЛЧ_24_2000'!$AR18="Да",1,0)</x:f>
      </x:c>
      <x:c r="J233" s="704">
        <x:f>IF('ЛЧ_24_2000'!$AX18="Да",1,0)</x:f>
      </x:c>
      <x:c r="K233" s="705">
        <x:f>IF('ЛЧ_24_2000'!$BD18="Да",1,0)</x:f>
      </x:c>
      <x:c r="L233" s="706">
        <x:f>IF('ЛЧ_24_2000'!$BJ18="Да",1,0)</x:f>
      </x:c>
      <x:c r="M233" s="707">
        <x:f>IF('ЛЧ_24_2000'!$BP18="Да",1,0)</x:f>
      </x:c>
      <x:c r="N233" s="708">
        <x:f>IF('ЛЧ_24_2000'!$BV18="Да",1,0)</x:f>
      </x:c>
      <x:c r="O233" s="375">
        <x:f>IFERROR(ROUND(SUM(C233:N233)/($S$218),1),"")</x:f>
      </x:c>
    </x:row>
    <x:row r="234" spans="1:25" ht="15" customHeight="1" x14ac:dyDescent="0.25">
      <x:c r="A234" s="710"/>
      <x:c r="B234" s="363" t="s">
        <x:v>196</x:v>
      </x:c>
      <x:c r="C234" s="697">
        <x:f>IF('ЛЧ_24_2000'!$H19="Да",1,0)</x:f>
      </x:c>
      <x:c r="D234" s="698">
        <x:f>IF('ЛЧ_24_2000'!$N19="Да",1,0)</x:f>
      </x:c>
      <x:c r="E234" s="699">
        <x:f>IF('ЛЧ_24_2000'!$T19="Да",1,0)</x:f>
      </x:c>
      <x:c r="F234" s="700">
        <x:f>IF('ЛЧ_24_2000'!$Z19="Да",1,0)</x:f>
      </x:c>
      <x:c r="G234" s="701">
        <x:f>IF('ЛЧ_24_2000'!$AF19="Да",1,0)</x:f>
      </x:c>
      <x:c r="H234" s="702">
        <x:f>IF('ЛЧ_24_2000'!$AL19="Да",1,0)</x:f>
      </x:c>
      <x:c r="I234" s="703">
        <x:f>IF('ЛЧ_24_2000'!$AR19="Да",1,0)</x:f>
      </x:c>
      <x:c r="J234" s="704">
        <x:f>IF('ЛЧ_24_2000'!$AX19="Да",1,0)</x:f>
      </x:c>
      <x:c r="K234" s="705">
        <x:f>IF('ЛЧ_24_2000'!$BD19="Да",1,0)</x:f>
      </x:c>
      <x:c r="L234" s="706">
        <x:f>IF('ЛЧ_24_2000'!$BJ19="Да",1,0)</x:f>
      </x:c>
      <x:c r="M234" s="707">
        <x:f>IF('ЛЧ_24_2000'!$BP19="Да",1,0)</x:f>
      </x:c>
      <x:c r="N234" s="708">
        <x:f>IF('ЛЧ_24_2000'!$BV19="Да",1,0)</x:f>
      </x:c>
      <x:c r="O234" s="375">
        <x:f>IFERROR(ROUND(SUM(C234:N234)/($S$218),1),"")</x:f>
      </x:c>
    </x:row>
    <x:row r="235" spans="1:25" ht="15" customHeight="1" x14ac:dyDescent="0.25">
      <x:c r="A235" s="710"/>
      <x:c r="B235" s="363" t="s">
        <x:v>197</x:v>
      </x:c>
      <x:c r="C235" s="697">
        <x:f>IF('ЛЧ_24_2000'!$H20="Да",1,0)</x:f>
      </x:c>
      <x:c r="D235" s="698">
        <x:f>IF('ЛЧ_24_2000'!$N20="Да",1,0)</x:f>
      </x:c>
      <x:c r="E235" s="699">
        <x:f>IF('ЛЧ_24_2000'!$T20="Да",1,0)</x:f>
      </x:c>
      <x:c r="F235" s="700">
        <x:f>IF('ЛЧ_24_2000'!$Z20="Да",1,0)</x:f>
      </x:c>
      <x:c r="G235" s="701">
        <x:f>IF('ЛЧ_24_2000'!$AF20="Да",1,0)</x:f>
      </x:c>
      <x:c r="H235" s="702">
        <x:f>IF('ЛЧ_24_2000'!$AL20="Да",1,0)</x:f>
      </x:c>
      <x:c r="I235" s="703">
        <x:f>IF('ЛЧ_24_2000'!$AR20="Да",1,0)</x:f>
      </x:c>
      <x:c r="J235" s="704">
        <x:f>IF('ЛЧ_24_2000'!$AX20="Да",1,0)</x:f>
      </x:c>
      <x:c r="K235" s="705">
        <x:f>IF('ЛЧ_24_2000'!$BD20="Да",1,0)</x:f>
      </x:c>
      <x:c r="L235" s="706">
        <x:f>IF('ЛЧ_24_2000'!$BJ20="Да",1,0)</x:f>
      </x:c>
      <x:c r="M235" s="707">
        <x:f>IF('ЛЧ_24_2000'!$BP20="Да",1,0)</x:f>
      </x:c>
      <x:c r="N235" s="708">
        <x:f>IF('ЛЧ_24_2000'!$BV20="Да",1,0)</x:f>
      </x:c>
      <x:c r="O235" s="375">
        <x:f>IFERROR(ROUND(SUM(C235:N235)/($S$218),1),"")</x:f>
      </x:c>
    </x:row>
    <x:row r="236" spans="1:25" ht="15" customHeight="1" x14ac:dyDescent="0.25">
      <x:c r="A236" s="710"/>
      <x:c r="B236" s="363" t="s">
        <x:v>206</x:v>
      </x:c>
      <x:c r="C236" s="697">
        <x:f>IF('ЛЧ_24_2000'!$H21="Да",1,0)</x:f>
      </x:c>
      <x:c r="D236" s="698">
        <x:f>IF('ЛЧ_24_2000'!$N21="Да",1,0)</x:f>
      </x:c>
      <x:c r="E236" s="699">
        <x:f>IF('ЛЧ_24_2000'!$T21="Да",1,0)</x:f>
      </x:c>
      <x:c r="F236" s="700">
        <x:f>IF('ЛЧ_24_2000'!$Z21="Да",1,0)</x:f>
      </x:c>
      <x:c r="G236" s="701">
        <x:f>IF('ЛЧ_24_2000'!$AF21="Да",1,0)</x:f>
      </x:c>
      <x:c r="H236" s="702">
        <x:f>IF('ЛЧ_24_2000'!$AL21="Да",1,0)</x:f>
      </x:c>
      <x:c r="I236" s="703">
        <x:f>IF('ЛЧ_24_2000'!$AR21="Да",1,0)</x:f>
      </x:c>
      <x:c r="J236" s="704">
        <x:f>IF('ЛЧ_24_2000'!$AX21="Да",1,0)</x:f>
      </x:c>
      <x:c r="K236" s="705">
        <x:f>IF('ЛЧ_24_2000'!$BD21="Да",1,0)</x:f>
      </x:c>
      <x:c r="L236" s="706">
        <x:f>IF('ЛЧ_24_2000'!$BJ21="Да",1,0)</x:f>
      </x:c>
      <x:c r="M236" s="707">
        <x:f>IF('ЛЧ_24_2000'!$BP21="Да",1,0)</x:f>
      </x:c>
      <x:c r="N236" s="708">
        <x:f>IF('ЛЧ_24_2000'!$BV21="Да",1,0)</x:f>
      </x:c>
      <x:c r="O236" s="375">
        <x:f>IFERROR(ROUND(SUM(C236:N236)/($S$218),1),"")</x:f>
      </x:c>
    </x:row>
    <x:row r="237" spans="1:25" ht="15" customHeight="1" x14ac:dyDescent="0.25">
      <x:c r="A237" s="710"/>
      <x:c r="B237" s="363" t="s">
        <x:v>195</x:v>
      </x:c>
      <x:c r="C237" s="697">
        <x:f>IF('ЛЧ_24_2000'!$H22="Да",1,0)</x:f>
      </x:c>
      <x:c r="D237" s="698">
        <x:f>IF('ЛЧ_24_2000'!$N22="Да",1,0)</x:f>
      </x:c>
      <x:c r="E237" s="699">
        <x:f>IF('ЛЧ_24_2000'!$T22="Да",1,0)</x:f>
      </x:c>
      <x:c r="F237" s="700">
        <x:f>IF('ЛЧ_24_2000'!$Z22="Да",1,0)</x:f>
      </x:c>
      <x:c r="G237" s="701">
        <x:f>IF('ЛЧ_24_2000'!$AF22="Да",1,0)</x:f>
      </x:c>
      <x:c r="H237" s="702">
        <x:f>IF('ЛЧ_24_2000'!$AL22="Да",1,0)</x:f>
      </x:c>
      <x:c r="I237" s="703">
        <x:f>IF('ЛЧ_24_2000'!$AR22="Да",1,0)</x:f>
      </x:c>
      <x:c r="J237" s="704">
        <x:f>IF('ЛЧ_24_2000'!$AX22="Да",1,0)</x:f>
      </x:c>
      <x:c r="K237" s="705">
        <x:f>IF('ЛЧ_24_2000'!$BD22="Да",1,0)</x:f>
      </x:c>
      <x:c r="L237" s="706">
        <x:f>IF('ЛЧ_24_2000'!$BJ22="Да",1,0)</x:f>
      </x:c>
      <x:c r="M237" s="707">
        <x:f>IF('ЛЧ_24_2000'!$BP22="Да",1,0)</x:f>
      </x:c>
      <x:c r="N237" s="708">
        <x:f>IF('ЛЧ_24_2000'!$BV22="Да",1,0)</x:f>
      </x:c>
      <x:c r="O237" s="375">
        <x:f>IFERROR(ROUND(SUM(C237:N237)/($S$218),1),"")</x:f>
      </x:c>
    </x:row>
    <x:row r="238" spans="1:25" ht="15" customHeight="1" x14ac:dyDescent="0.25">
      <x:c r="A238" s="710"/>
      <x:c r="B238" s="363" t="s">
        <x:v>1022</x:v>
      </x:c>
      <x:c r="C238" s="697">
        <x:f>IF('ЛЧ_24_2000'!$H23="Да",1,0)</x:f>
      </x:c>
      <x:c r="D238" s="698">
        <x:f>IF('ЛЧ_24_2000'!$N23="Да",1,0)</x:f>
      </x:c>
      <x:c r="E238" s="699">
        <x:f>IF('ЛЧ_24_2000'!$T23="Да",1,0)</x:f>
      </x:c>
      <x:c r="F238" s="700">
        <x:f>IF('ЛЧ_24_2000'!$Z23="Да",1,0)</x:f>
      </x:c>
      <x:c r="G238" s="701">
        <x:f>IF('ЛЧ_24_2000'!$AF23="Да",1,0)</x:f>
      </x:c>
      <x:c r="H238" s="702">
        <x:f>IF('ЛЧ_24_2000'!$AL23="Да",1,0)</x:f>
      </x:c>
      <x:c r="I238" s="703">
        <x:f>IF('ЛЧ_24_2000'!$AR23="Да",1,0)</x:f>
      </x:c>
      <x:c r="J238" s="704">
        <x:f>IF('ЛЧ_24_2000'!$AX23="Да",1,0)</x:f>
      </x:c>
      <x:c r="K238" s="705">
        <x:f>IF('ЛЧ_24_2000'!$BD23="Да",1,0)</x:f>
      </x:c>
      <x:c r="L238" s="706">
        <x:f>IF('ЛЧ_24_2000'!$BJ23="Да",1,0)</x:f>
      </x:c>
      <x:c r="M238" s="707">
        <x:f>IF('ЛЧ_24_2000'!$BP23="Да",1,0)</x:f>
      </x:c>
      <x:c r="N238" s="708">
        <x:f>IF('ЛЧ_24_2000'!$BV23="Да",1,0)</x:f>
      </x:c>
      <x:c r="O238" s="375">
        <x:f>IFERROR(ROUND(SUM(C238:N238)/($S$218),1),"")</x:f>
      </x:c>
    </x:row>
    <x:row r="239" spans="1:25" ht="15.75" customHeight="1" x14ac:dyDescent="0.25">
      <x:c r="A239" s="717"/>
      <x:c r="B239" s="379" t="s">
        <x:v>205</x:v>
      </x:c>
      <x:c r="C239" s="697">
        <x:f>IF('ЛЧ_24_2000'!$H24="Да",1,0)</x:f>
      </x:c>
      <x:c r="D239" s="698">
        <x:f>IF('ЛЧ_24_2000'!$N24="Да",1,0)</x:f>
      </x:c>
      <x:c r="E239" s="699">
        <x:f>IF('ЛЧ_24_2000'!$T24="Да",1,0)</x:f>
      </x:c>
      <x:c r="F239" s="700">
        <x:f>IF('ЛЧ_24_2000'!$Z24="Да",1,0)</x:f>
      </x:c>
      <x:c r="G239" s="701">
        <x:f>IF('ЛЧ_24_2000'!$AF24="Да",1,0)</x:f>
      </x:c>
      <x:c r="H239" s="702">
        <x:f>IF('ЛЧ_24_2000'!$AL24="Да",1,0)</x:f>
      </x:c>
      <x:c r="I239" s="703">
        <x:f>IF('ЛЧ_24_2000'!$AR24="Да",1,0)</x:f>
      </x:c>
      <x:c r="J239" s="704">
        <x:f>IF('ЛЧ_24_2000'!$AX24="Да",1,0)</x:f>
      </x:c>
      <x:c r="K239" s="705">
        <x:f>IF('ЛЧ_24_2000'!$BD24="Да",1,0)</x:f>
      </x:c>
      <x:c r="L239" s="706">
        <x:f>IF('ЛЧ_24_2000'!$BJ24="Да",1,0)</x:f>
      </x:c>
      <x:c r="M239" s="707">
        <x:f>IF('ЛЧ_24_2000'!$BP24="Да",1,0)</x:f>
      </x:c>
      <x:c r="N239" s="708">
        <x:f>IF('ЛЧ_24_2000'!$BV24="Да",1,0)</x:f>
      </x:c>
      <x:c r="O239" s="375">
        <x:f>IFERROR(ROUND(SUM(C239:N239)/($S$218),1),"")</x:f>
      </x:c>
    </x:row>
    <x:row r="240" spans="1:25" ht="15" customHeight="1" x14ac:dyDescent="0.25">
      <x:c r="A240" s="696" t="s">
        <x:v>1158</x:v>
      </x:c>
      <x:c r="B240" s="363" t="s">
        <x:v>190</x:v>
      </x:c>
      <x:c r="C240" s="697">
        <x:f>IF('Л 24_5'!$H3="Да",1,0)</x:f>
      </x:c>
      <x:c r="D240" s="698">
        <x:f>IF('Л 24_5'!$N3="Да",1,0)</x:f>
      </x:c>
      <x:c r="E240" s="699">
        <x:f>IF('Л 24_5'!$T3="Да",1,0)</x:f>
      </x:c>
      <x:c r="F240" s="700">
        <x:f>IF('Л 24_5'!$Z3="Да",1,0)</x:f>
      </x:c>
      <x:c r="G240" s="701">
        <x:f>IF('Л 24_5'!$AF3="Да",1,0)</x:f>
      </x:c>
      <x:c r="H240" s="702">
        <x:f>IF('Л 24_5'!$AL3="Да",1,0)</x:f>
      </x:c>
      <x:c r="I240" s="703">
        <x:f>IF('Л 24_5'!$AR3="Да",1,0)</x:f>
      </x:c>
      <x:c r="J240" s="704">
        <x:f>IF('Л 24_5'!$AX3="Да",1,0)</x:f>
      </x:c>
      <x:c r="K240" s="705">
        <x:f>IF('Л 24_5'!$BD3="Да",1,0)</x:f>
      </x:c>
      <x:c r="L240" s="706">
        <x:f>IF('Л 24_5'!$BJ3="Да",1,0)</x:f>
      </x:c>
      <x:c r="M240" s="707">
        <x:f>IF('Л 24_5'!$BP3="Да",1,0)</x:f>
      </x:c>
      <x:c r="N240" s="708">
        <x:f>IF('Л 24_5'!$BV3="Да",1,0)</x:f>
      </x:c>
      <x:c r="O240" s="375">
        <x:f>IFERROR(ROUND(SUM(C240:N240)/($S$240),1),"")</x:f>
      </x:c>
      <x:c r="Q240" s="709" t="s">
        <x:v>1151</x:v>
      </x:c>
      <x:c r="R240" s="596"/>
      <x:c r="S240" s="376">
        <x:f>SUM(IF(COUNTIF(C240:C266,"&gt;0")&gt;0,1,0),IF(COUNTIF(D240:D266,"&gt;0")&gt;0,1,0),IF(COUNTIF(E240:E266,"&gt;0")&gt;0,1,0),IF(COUNTIF(F240:F266,"&gt;0")&gt;0,1,0),IF(COUNTIF(G240:G266,"&gt;0")&gt;0,1,0),IF(COUNTIF(H240:H266,"&gt;0")&gt;0,1,0),IF(COUNTIF(I240:I266,"&gt;0")&gt;0,1,0),IF(COUNTIF(J240:J266,"&gt;0")&gt;0,1,0),IF(COUNTIF(K240:K266,"&gt;0")&gt;0,1,0),IF(COUNTIF(L240:L266,"&gt;0")&gt;0,1,0),IF(COUNTIF(M240:M266,"&gt;0")&gt;0,1,0),IF(COUNTIF(N240:N266,"&gt;0")&gt;0,1,0))</x:f>
      </x:c>
    </x:row>
    <x:row r="241" spans="1:25" ht="15" customHeight="1" x14ac:dyDescent="0.25">
      <x:c r="A241" s="710"/>
      <x:c r="B241" s="363" t="s">
        <x:v>175</x:v>
      </x:c>
      <x:c r="C241" s="697">
        <x:f>IF('Л 24_5'!$H4="Да",1,0)</x:f>
      </x:c>
      <x:c r="D241" s="698">
        <x:f>IF('Л 24_5'!$N4="Да",1,0)</x:f>
      </x:c>
      <x:c r="E241" s="699">
        <x:f>IF('Л 24_5'!$T4="Да",1,0)</x:f>
      </x:c>
      <x:c r="F241" s="700">
        <x:f>IF('Л 24_5'!$Z4="Да",1,0)</x:f>
      </x:c>
      <x:c r="G241" s="701">
        <x:f>IF('Л 24_5'!$AF4="Да",1,0)</x:f>
      </x:c>
      <x:c r="H241" s="702">
        <x:f>IF('Л 24_5'!$AL4="Да",1,0)</x:f>
      </x:c>
      <x:c r="I241" s="703">
        <x:f>IF('Л 24_5'!$AR4="Да",1,0)</x:f>
      </x:c>
      <x:c r="J241" s="704">
        <x:f>IF('Л 24_5'!$AX4="Да",1,0)</x:f>
      </x:c>
      <x:c r="K241" s="705">
        <x:f>IF('Л 24_5'!$BD4="Да",1,0)</x:f>
      </x:c>
      <x:c r="L241" s="706">
        <x:f>IF('Л 24_5'!$BJ4="Да",1,0)</x:f>
      </x:c>
      <x:c r="M241" s="707">
        <x:f>IF('Л 24_5'!$BP4="Да",1,0)</x:f>
      </x:c>
      <x:c r="N241" s="708">
        <x:f>IF('Л 24_5'!$BV4="Да",1,0)</x:f>
      </x:c>
      <x:c r="O241" s="375">
        <x:f>IFERROR(ROUND(SUM(C241:N241)/($S$240),1),"")</x:f>
      </x:c>
      <x:c r="Q241" s="711"/>
      <x:c r="R241" s="712"/>
      <x:c r="S241" s="713"/>
    </x:row>
    <x:row r="242" spans="1:25" ht="15" customHeight="1" x14ac:dyDescent="0.25">
      <x:c r="A242" s="710"/>
      <x:c r="B242" s="363" t="s">
        <x:v>174</x:v>
      </x:c>
      <x:c r="C242" s="697">
        <x:f>IF('Л 24_5'!$H5="Да",1,0)</x:f>
      </x:c>
      <x:c r="D242" s="698">
        <x:f>IF('Л 24_5'!$N5="Да",1,0)</x:f>
      </x:c>
      <x:c r="E242" s="699">
        <x:f>IF('Л 24_5'!$T5="Да",1,0)</x:f>
      </x:c>
      <x:c r="F242" s="700">
        <x:f>IF('Л 24_5'!$Z5="Да",1,0)</x:f>
      </x:c>
      <x:c r="G242" s="701">
        <x:f>IF('Л 24_5'!$AF5="Да",1,0)</x:f>
      </x:c>
      <x:c r="H242" s="702">
        <x:f>IF('Л 24_5'!$AL5="Да",1,0)</x:f>
      </x:c>
      <x:c r="I242" s="703">
        <x:f>IF('Л 24_5'!$AR5="Да",1,0)</x:f>
      </x:c>
      <x:c r="J242" s="704">
        <x:f>IF('Л 24_5'!$AX5="Да",1,0)</x:f>
      </x:c>
      <x:c r="K242" s="705">
        <x:f>IF('Л 24_5'!$BD5="Да",1,0)</x:f>
      </x:c>
      <x:c r="L242" s="706">
        <x:f>IF('Л 24_5'!$BJ5="Да",1,0)</x:f>
      </x:c>
      <x:c r="M242" s="707">
        <x:f>IF('Л 24_5'!$BP5="Да",1,0)</x:f>
      </x:c>
      <x:c r="N242" s="708">
        <x:f>IF('Л 24_5'!$BV5="Да",1,0)</x:f>
      </x:c>
      <x:c r="O242" s="375">
        <x:f>IFERROR(ROUND(SUM(C242:N242)/($S$240),1),"")</x:f>
      </x:c>
      <x:c r="Q242" s="714"/>
      <x:c r="R242" s="715"/>
      <x:c r="S242" s="716"/>
    </x:row>
    <x:row r="243" spans="1:25" ht="15" customHeight="1" x14ac:dyDescent="0.25">
      <x:c r="A243" s="710"/>
      <x:c r="B243" s="363" t="s">
        <x:v>172</x:v>
      </x:c>
      <x:c r="C243" s="697">
        <x:f>IF('Л 24_5'!$H6="Да",1,0)</x:f>
      </x:c>
      <x:c r="D243" s="698">
        <x:f>IF('Л 24_5'!$N6="Да",1,0)</x:f>
      </x:c>
      <x:c r="E243" s="699">
        <x:f>IF('Л 24_5'!$T6="Да",1,0)</x:f>
      </x:c>
      <x:c r="F243" s="700">
        <x:f>IF('Л 24_5'!$Z6="Да",1,0)</x:f>
      </x:c>
      <x:c r="G243" s="701">
        <x:f>IF('Л 24_5'!$AF6="Да",1,0)</x:f>
      </x:c>
      <x:c r="H243" s="702">
        <x:f>IF('Л 24_5'!$AL6="Да",1,0)</x:f>
      </x:c>
      <x:c r="I243" s="703">
        <x:f>IF('Л 24_5'!$AR6="Да",1,0)</x:f>
      </x:c>
      <x:c r="J243" s="704">
        <x:f>IF('Л 24_5'!$AX6="Да",1,0)</x:f>
      </x:c>
      <x:c r="K243" s="705">
        <x:f>IF('Л 24_5'!$BD6="Да",1,0)</x:f>
      </x:c>
      <x:c r="L243" s="706">
        <x:f>IF('Л 24_5'!$BJ6="Да",1,0)</x:f>
      </x:c>
      <x:c r="M243" s="707">
        <x:f>IF('Л 24_5'!$BP6="Да",1,0)</x:f>
      </x:c>
      <x:c r="N243" s="708">
        <x:f>IF('Л 24_5'!$BV6="Да",1,0)</x:f>
      </x:c>
      <x:c r="O243" s="375">
        <x:f>IFERROR(ROUND(SUM(C243:N243)/($S$240),1),"")</x:f>
      </x:c>
    </x:row>
    <x:row r="244" spans="1:25" ht="15" customHeight="1" x14ac:dyDescent="0.25">
      <x:c r="A244" s="710"/>
      <x:c r="B244" s="363" t="s">
        <x:v>180</x:v>
      </x:c>
      <x:c r="C244" s="697">
        <x:f>IF('Л 24_5'!$H7="Да",1,0)</x:f>
      </x:c>
      <x:c r="D244" s="698">
        <x:f>IF('Л 24_5'!$N7="Да",1,0)</x:f>
      </x:c>
      <x:c r="E244" s="699">
        <x:f>IF('Л 24_5'!$T7="Да",1,0)</x:f>
      </x:c>
      <x:c r="F244" s="700">
        <x:f>IF('Л 24_5'!$Z7="Да",1,0)</x:f>
      </x:c>
      <x:c r="G244" s="701">
        <x:f>IF('Л 24_5'!$AF7="Да",1,0)</x:f>
      </x:c>
      <x:c r="H244" s="702">
        <x:f>IF('Л 24_5'!$AL7="Да",1,0)</x:f>
      </x:c>
      <x:c r="I244" s="703">
        <x:f>IF('Л 24_5'!$AR7="Да",1,0)</x:f>
      </x:c>
      <x:c r="J244" s="704">
        <x:f>IF('Л 24_5'!$AX7="Да",1,0)</x:f>
      </x:c>
      <x:c r="K244" s="705">
        <x:f>IF('Л 24_5'!$BD7="Да",1,0)</x:f>
      </x:c>
      <x:c r="L244" s="706">
        <x:f>IF('Л 24_5'!$BJ7="Да",1,0)</x:f>
      </x:c>
      <x:c r="M244" s="707">
        <x:f>IF('Л 24_5'!$BP7="Да",1,0)</x:f>
      </x:c>
      <x:c r="N244" s="708">
        <x:f>IF('Л 24_5'!$BV7="Да",1,0)</x:f>
      </x:c>
      <x:c r="O244" s="375">
        <x:f>IFERROR(ROUND(SUM(C244:N244)/($S$240),1),"")</x:f>
      </x:c>
    </x:row>
    <x:row r="245" spans="1:25" ht="15" customHeight="1" x14ac:dyDescent="0.25">
      <x:c r="A245" s="710"/>
      <x:c r="B245" s="363" t="s">
        <x:v>186</x:v>
      </x:c>
      <x:c r="C245" s="697">
        <x:f>IF('Л 24_5'!$H8="Да",1,0)</x:f>
      </x:c>
      <x:c r="D245" s="698">
        <x:f>IF('Л 24_5'!$N8="Да",1,0)</x:f>
      </x:c>
      <x:c r="E245" s="699">
        <x:f>IF('Л 24_5'!$T8="Да",1,0)</x:f>
      </x:c>
      <x:c r="F245" s="700">
        <x:f>IF('Л 24_5'!$Z8="Да",1,0)</x:f>
      </x:c>
      <x:c r="G245" s="701">
        <x:f>IF('Л 24_5'!$AF8="Да",1,0)</x:f>
      </x:c>
      <x:c r="H245" s="702">
        <x:f>IF('Л 24_5'!$AL8="Да",1,0)</x:f>
      </x:c>
      <x:c r="I245" s="703">
        <x:f>IF('Л 24_5'!$AR8="Да",1,0)</x:f>
      </x:c>
      <x:c r="J245" s="704">
        <x:f>IF('Л 24_5'!$AX8="Да",1,0)</x:f>
      </x:c>
      <x:c r="K245" s="705">
        <x:f>IF('Л 24_5'!$BD8="Да",1,0)</x:f>
      </x:c>
      <x:c r="L245" s="706">
        <x:f>IF('Л 24_5'!$BJ8="Да",1,0)</x:f>
      </x:c>
      <x:c r="M245" s="707">
        <x:f>IF('Л 24_5'!$BP8="Да",1,0)</x:f>
      </x:c>
      <x:c r="N245" s="708">
        <x:f>IF('Л 24_5'!$BV8="Да",1,0)</x:f>
      </x:c>
      <x:c r="O245" s="375">
        <x:f>IFERROR(ROUND(SUM(C245:N245)/($S$240),1),"")</x:f>
      </x:c>
    </x:row>
    <x:row r="246" spans="1:25" ht="15" customHeight="1" x14ac:dyDescent="0.25">
      <x:c r="A246" s="710"/>
      <x:c r="B246" s="363" t="s">
        <x:v>189</x:v>
      </x:c>
      <x:c r="C246" s="697">
        <x:f>IF('Л 24_5'!$H9="Да",1,0)</x:f>
      </x:c>
      <x:c r="D246" s="698">
        <x:f>IF('Л 24_5'!$N9="Да",1,0)</x:f>
      </x:c>
      <x:c r="E246" s="699">
        <x:f>IF('Л 24_5'!$T9="Да",1,0)</x:f>
      </x:c>
      <x:c r="F246" s="700">
        <x:f>IF('Л 24_5'!$Z9="Да",1,0)</x:f>
      </x:c>
      <x:c r="G246" s="701">
        <x:f>IF('Л 24_5'!$AF9="Да",1,0)</x:f>
      </x:c>
      <x:c r="H246" s="702">
        <x:f>IF('Л 24_5'!$AL9="Да",1,0)</x:f>
      </x:c>
      <x:c r="I246" s="703">
        <x:f>IF('Л 24_5'!$AR9="Да",1,0)</x:f>
      </x:c>
      <x:c r="J246" s="704">
        <x:f>IF('Л 24_5'!$AX9="Да",1,0)</x:f>
      </x:c>
      <x:c r="K246" s="705">
        <x:f>IF('Л 24_5'!$BD9="Да",1,0)</x:f>
      </x:c>
      <x:c r="L246" s="706">
        <x:f>IF('Л 24_5'!$BJ9="Да",1,0)</x:f>
      </x:c>
      <x:c r="M246" s="707">
        <x:f>IF('Л 24_5'!$BP9="Да",1,0)</x:f>
      </x:c>
      <x:c r="N246" s="708">
        <x:f>IF('Л 24_5'!$BV9="Да",1,0)</x:f>
      </x:c>
      <x:c r="O246" s="375">
        <x:f>IFERROR(ROUND(SUM(C246:N246)/($S$240),1),"")</x:f>
      </x:c>
    </x:row>
    <x:row r="247" spans="1:25" ht="15" customHeight="1" x14ac:dyDescent="0.25">
      <x:c r="A247" s="710"/>
      <x:c r="B247" s="363" t="s">
        <x:v>168</x:v>
      </x:c>
      <x:c r="C247" s="697">
        <x:f>IF('Л 24_5'!$H10="Да",1,0)</x:f>
      </x:c>
      <x:c r="D247" s="698">
        <x:f>IF('Л 24_5'!$N10="Да",1,0)</x:f>
      </x:c>
      <x:c r="E247" s="699">
        <x:f>IF('Л 24_5'!$T10="Да",1,0)</x:f>
      </x:c>
      <x:c r="F247" s="700">
        <x:f>IF('Л 24_5'!$Z10="Да",1,0)</x:f>
      </x:c>
      <x:c r="G247" s="701">
        <x:f>IF('Л 24_5'!$AF10="Да",1,0)</x:f>
      </x:c>
      <x:c r="H247" s="702">
        <x:f>IF('Л 24_5'!$AL10="Да",1,0)</x:f>
      </x:c>
      <x:c r="I247" s="703">
        <x:f>IF('Л 24_5'!$AR10="Да",1,0)</x:f>
      </x:c>
      <x:c r="J247" s="704">
        <x:f>IF('Л 24_5'!$AX10="Да",1,0)</x:f>
      </x:c>
      <x:c r="K247" s="705">
        <x:f>IF('Л 24_5'!$BD10="Да",1,0)</x:f>
      </x:c>
      <x:c r="L247" s="706">
        <x:f>IF('Л 24_5'!$BJ10="Да",1,0)</x:f>
      </x:c>
      <x:c r="M247" s="707">
        <x:f>IF('Л 24_5'!$BP10="Да",1,0)</x:f>
      </x:c>
      <x:c r="N247" s="708">
        <x:f>IF('Л 24_5'!$BV10="Да",1,0)</x:f>
      </x:c>
      <x:c r="O247" s="375">
        <x:f>IFERROR(ROUND(SUM(C247:N247)/($S$240),1),"")</x:f>
      </x:c>
    </x:row>
    <x:row r="248" spans="1:25" ht="15" customHeight="1" x14ac:dyDescent="0.25">
      <x:c r="A248" s="710"/>
      <x:c r="B248" s="363" t="s">
        <x:v>171</x:v>
      </x:c>
      <x:c r="C248" s="697">
        <x:f>IF('Л 24_5'!$H11="Да",1,0)</x:f>
      </x:c>
      <x:c r="D248" s="698">
        <x:f>IF('Л 24_5'!$N11="Да",1,0)</x:f>
      </x:c>
      <x:c r="E248" s="699">
        <x:f>IF('Л 24_5'!$T11="Да",1,0)</x:f>
      </x:c>
      <x:c r="F248" s="700">
        <x:f>IF('Л 24_5'!$Z11="Да",1,0)</x:f>
      </x:c>
      <x:c r="G248" s="701">
        <x:f>IF('Л 24_5'!$AF11="Да",1,0)</x:f>
      </x:c>
      <x:c r="H248" s="702">
        <x:f>IF('Л 24_5'!$AL11="Да",1,0)</x:f>
      </x:c>
      <x:c r="I248" s="703">
        <x:f>IF('Л 24_5'!$AR11="Да",1,0)</x:f>
      </x:c>
      <x:c r="J248" s="704">
        <x:f>IF('Л 24_5'!$AX11="Да",1,0)</x:f>
      </x:c>
      <x:c r="K248" s="705">
        <x:f>IF('Л 24_5'!$BD11="Да",1,0)</x:f>
      </x:c>
      <x:c r="L248" s="706">
        <x:f>IF('Л 24_5'!$BJ11="Да",1,0)</x:f>
      </x:c>
      <x:c r="M248" s="707">
        <x:f>IF('Л 24_5'!$BP11="Да",1,0)</x:f>
      </x:c>
      <x:c r="N248" s="708">
        <x:f>IF('Л 24_5'!$BV11="Да",1,0)</x:f>
      </x:c>
      <x:c r="O248" s="375">
        <x:f>IFERROR(ROUND(SUM(C248:N248)/($S$240),1),"")</x:f>
      </x:c>
    </x:row>
    <x:row r="249" spans="1:25" ht="15" customHeight="1" x14ac:dyDescent="0.3">
      <x:c r="A249" s="710"/>
      <x:c r="B249" s="363" t="s">
        <x:v>170</x:v>
      </x:c>
      <x:c r="C249" s="697">
        <x:f>IF('Л 24_5'!$H12="Да",1,0)</x:f>
      </x:c>
      <x:c r="D249" s="698">
        <x:f>IF('Л 24_5'!$N12="Да",1,0)</x:f>
      </x:c>
      <x:c r="E249" s="699">
        <x:f>IF('Л 24_5'!$T12="Да",1,0)</x:f>
      </x:c>
      <x:c r="F249" s="700">
        <x:f>IF('Л 24_5'!$Z12="Да",1,0)</x:f>
      </x:c>
      <x:c r="G249" s="701">
        <x:f>IF('Л 24_5'!$AF12="Да",1,0)</x:f>
      </x:c>
      <x:c r="H249" s="702">
        <x:f>IF('Л 24_5'!$AL12="Да",1,0)</x:f>
      </x:c>
      <x:c r="I249" s="703">
        <x:f>IF('Л 24_5'!$AR12="Да",1,0)</x:f>
      </x:c>
      <x:c r="J249" s="704">
        <x:f>IF('Л 24_5'!$AX12="Да",1,0)</x:f>
      </x:c>
      <x:c r="K249" s="705">
        <x:f>IF('Л 24_5'!$BD12="Да",1,0)</x:f>
      </x:c>
      <x:c r="L249" s="706">
        <x:f>IF('Л 24_5'!$BJ12="Да",1,0)</x:f>
      </x:c>
      <x:c r="M249" s="707">
        <x:f>IF('Л 24_5'!$BP12="Да",1,0)</x:f>
      </x:c>
      <x:c r="N249" s="708">
        <x:f>IF('Л 24_5'!$BV12="Да",1,0)</x:f>
      </x:c>
      <x:c r="O249" s="375">
        <x:f>IFERROR(ROUND(SUM(C249:N249)/($S$240),1),"")</x:f>
      </x:c>
    </x:row>
    <x:row r="250" spans="1:25" ht="15" customHeight="1" x14ac:dyDescent="0.25">
      <x:c r="A250" s="710"/>
      <x:c r="B250" s="363" t="s">
        <x:v>173</x:v>
      </x:c>
      <x:c r="C250" s="697">
        <x:f>IF('Л 24_5'!$H13="Да",1,0)</x:f>
      </x:c>
      <x:c r="D250" s="698">
        <x:f>IF('Л 24_5'!$N13="Да",1,0)</x:f>
      </x:c>
      <x:c r="E250" s="699">
        <x:f>IF('Л 24_5'!$T13="Да",1,0)</x:f>
      </x:c>
      <x:c r="F250" s="700">
        <x:f>IF('Л 24_5'!$Z13="Да",1,0)</x:f>
      </x:c>
      <x:c r="G250" s="701">
        <x:f>IF('Л 24_5'!$AF13="Да",1,0)</x:f>
      </x:c>
      <x:c r="H250" s="702">
        <x:f>IF('Л 24_5'!$AL13="Да",1,0)</x:f>
      </x:c>
      <x:c r="I250" s="703">
        <x:f>IF('Л 24_5'!$AR13="Да",1,0)</x:f>
      </x:c>
      <x:c r="J250" s="704">
        <x:f>IF('Л 24_5'!$AX13="Да",1,0)</x:f>
      </x:c>
      <x:c r="K250" s="705">
        <x:f>IF('Л 24_5'!$BD13="Да",1,0)</x:f>
      </x:c>
      <x:c r="L250" s="706">
        <x:f>IF('Л 24_5'!$BJ13="Да",1,0)</x:f>
      </x:c>
      <x:c r="M250" s="707">
        <x:f>IF('Л 24_5'!$BP13="Да",1,0)</x:f>
      </x:c>
      <x:c r="N250" s="708">
        <x:f>IF('Л 24_5'!$BV13="Да",1,0)</x:f>
      </x:c>
      <x:c r="O250" s="375">
        <x:f>IFERROR(ROUND(SUM(C250:N250)/($S$240),1),"")</x:f>
      </x:c>
    </x:row>
    <x:row r="251" spans="1:25" ht="15" customHeight="1" x14ac:dyDescent="0.25">
      <x:c r="A251" s="710"/>
      <x:c r="B251" s="363" t="s">
        <x:v>182</x:v>
      </x:c>
      <x:c r="C251" s="697">
        <x:f>IF('Л 24_5'!$H14="Да",1,0)</x:f>
      </x:c>
      <x:c r="D251" s="698">
        <x:f>IF('Л 24_5'!$N14="Да",1,0)</x:f>
      </x:c>
      <x:c r="E251" s="699">
        <x:f>IF('Л 24_5'!$T14="Да",1,0)</x:f>
      </x:c>
      <x:c r="F251" s="700">
        <x:f>IF('Л 24_5'!$Z14="Да",1,0)</x:f>
      </x:c>
      <x:c r="G251" s="701">
        <x:f>IF('Л 24_5'!$AF14="Да",1,0)</x:f>
      </x:c>
      <x:c r="H251" s="702">
        <x:f>IF('Л 24_5'!$AL14="Да",1,0)</x:f>
      </x:c>
      <x:c r="I251" s="703">
        <x:f>IF('Л 24_5'!$AR14="Да",1,0)</x:f>
      </x:c>
      <x:c r="J251" s="704">
        <x:f>IF('Л 24_5'!$AX14="Да",1,0)</x:f>
      </x:c>
      <x:c r="K251" s="705">
        <x:f>IF('Л 24_5'!$BD14="Да",1,0)</x:f>
      </x:c>
      <x:c r="L251" s="706">
        <x:f>IF('Л 24_5'!$BJ14="Да",1,0)</x:f>
      </x:c>
      <x:c r="M251" s="707">
        <x:f>IF('Л 24_5'!$BP14="Да",1,0)</x:f>
      </x:c>
      <x:c r="N251" s="708">
        <x:f>IF('Л 24_5'!$BV14="Да",1,0)</x:f>
      </x:c>
      <x:c r="O251" s="375">
        <x:f>IFERROR(ROUND(SUM(C251:N251)/($S$240),1),"")</x:f>
      </x:c>
    </x:row>
    <x:row r="252" spans="1:25" ht="15" customHeight="1" x14ac:dyDescent="0.25">
      <x:c r="A252" s="710"/>
      <x:c r="B252" s="363" t="s">
        <x:v>184</x:v>
      </x:c>
      <x:c r="C252" s="697">
        <x:f>IF('Л 24_5'!$H15="Да",1,0)</x:f>
      </x:c>
      <x:c r="D252" s="698">
        <x:f>IF('Л 24_5'!$N15="Да",1,0)</x:f>
      </x:c>
      <x:c r="E252" s="699">
        <x:f>IF('Л 24_5'!$T15="Да",1,0)</x:f>
      </x:c>
      <x:c r="F252" s="700">
        <x:f>IF('Л 24_5'!$Z15="Да",1,0)</x:f>
      </x:c>
      <x:c r="G252" s="701">
        <x:f>IF('Л 24_5'!$AF15="Да",1,0)</x:f>
      </x:c>
      <x:c r="H252" s="702">
        <x:f>IF('Л 24_5'!$AL15="Да",1,0)</x:f>
      </x:c>
      <x:c r="I252" s="703">
        <x:f>IF('Л 24_5'!$AR15="Да",1,0)</x:f>
      </x:c>
      <x:c r="J252" s="704">
        <x:f>IF('Л 24_5'!$AX15="Да",1,0)</x:f>
      </x:c>
      <x:c r="K252" s="705">
        <x:f>IF('Л 24_5'!$BD15="Да",1,0)</x:f>
      </x:c>
      <x:c r="L252" s="706">
        <x:f>IF('Л 24_5'!$BJ15="Да",1,0)</x:f>
      </x:c>
      <x:c r="M252" s="707">
        <x:f>IF('Л 24_5'!$BP15="Да",1,0)</x:f>
      </x:c>
      <x:c r="N252" s="708">
        <x:f>IF('Л 24_5'!$BV15="Да",1,0)</x:f>
      </x:c>
      <x:c r="O252" s="375">
        <x:f>IFERROR(ROUND(SUM(C252:N252)/($S$240),1),"")</x:f>
      </x:c>
    </x:row>
    <x:row r="253" spans="1:25" ht="15" customHeight="1" x14ac:dyDescent="0.25">
      <x:c r="A253" s="710"/>
      <x:c r="B253" s="363" t="s">
        <x:v>165</x:v>
      </x:c>
      <x:c r="C253" s="697">
        <x:f>IF('Л 24_5'!$H16="Да",1,0)</x:f>
      </x:c>
      <x:c r="D253" s="698">
        <x:f>IF('Л 24_5'!$N16="Да",1,0)</x:f>
      </x:c>
      <x:c r="E253" s="699">
        <x:f>IF('Л 24_5'!$T16="Да",1,0)</x:f>
      </x:c>
      <x:c r="F253" s="700">
        <x:f>IF('Л 24_5'!$Z16="Да",1,0)</x:f>
      </x:c>
      <x:c r="G253" s="701">
        <x:f>IF('Л 24_5'!$AF16="Да",1,0)</x:f>
      </x:c>
      <x:c r="H253" s="702">
        <x:f>IF('Л 24_5'!$AL16="Да",1,0)</x:f>
      </x:c>
      <x:c r="I253" s="703">
        <x:f>IF('Л 24_5'!$AR16="Да",1,0)</x:f>
      </x:c>
      <x:c r="J253" s="704">
        <x:f>IF('Л 24_5'!$AX16="Да",1,0)</x:f>
      </x:c>
      <x:c r="K253" s="705">
        <x:f>IF('Л 24_5'!$BD16="Да",1,0)</x:f>
      </x:c>
      <x:c r="L253" s="706">
        <x:f>IF('Л 24_5'!$BJ16="Да",1,0)</x:f>
      </x:c>
      <x:c r="M253" s="707">
        <x:f>IF('Л 24_5'!$BP16="Да",1,0)</x:f>
      </x:c>
      <x:c r="N253" s="708">
        <x:f>IF('Л 24_5'!$BV16="Да",1,0)</x:f>
      </x:c>
      <x:c r="O253" s="375">
        <x:f>IFERROR(ROUND(SUM(C253:N253)/($S$240),1),"")</x:f>
      </x:c>
    </x:row>
    <x:row r="254" spans="1:25" ht="15" customHeight="1" x14ac:dyDescent="0.25">
      <x:c r="A254" s="710"/>
      <x:c r="B254" s="363" t="s">
        <x:v>163</x:v>
      </x:c>
      <x:c r="C254" s="697">
        <x:f>IF('Л 24_5'!$H17="Да",1,0)</x:f>
      </x:c>
      <x:c r="D254" s="698">
        <x:f>IF('Л 24_5'!$N17="Да",1,0)</x:f>
      </x:c>
      <x:c r="E254" s="699">
        <x:f>IF('Л 24_5'!$T17="Да",1,0)</x:f>
      </x:c>
      <x:c r="F254" s="700">
        <x:f>IF('Л 24_5'!$Z17="Да",1,0)</x:f>
      </x:c>
      <x:c r="G254" s="701">
        <x:f>IF('Л 24_5'!$AF17="Да",1,0)</x:f>
      </x:c>
      <x:c r="H254" s="702">
        <x:f>IF('Л 24_5'!$AL17="Да",1,0)</x:f>
      </x:c>
      <x:c r="I254" s="703">
        <x:f>IF('Л 24_5'!$AR17="Да",1,0)</x:f>
      </x:c>
      <x:c r="J254" s="704">
        <x:f>IF('Л 24_5'!$AX17="Да",1,0)</x:f>
      </x:c>
      <x:c r="K254" s="705">
        <x:f>IF('Л 24_5'!$BD17="Да",1,0)</x:f>
      </x:c>
      <x:c r="L254" s="706">
        <x:f>IF('Л 24_5'!$BJ17="Да",1,0)</x:f>
      </x:c>
      <x:c r="M254" s="707">
        <x:f>IF('Л 24_5'!$BP17="Да",1,0)</x:f>
      </x:c>
      <x:c r="N254" s="708">
        <x:f>IF('Л 24_5'!$BV17="Да",1,0)</x:f>
      </x:c>
      <x:c r="O254" s="375">
        <x:f>IFERROR(ROUND(SUM(C254:N254)/($S$240),1),"")</x:f>
      </x:c>
    </x:row>
    <x:row r="255" spans="1:25" ht="15" customHeight="1" x14ac:dyDescent="0.25">
      <x:c r="A255" s="710"/>
      <x:c r="B255" s="363" t="s">
        <x:v>176</x:v>
      </x:c>
      <x:c r="C255" s="697">
        <x:f>IF('Л 24_5'!$H18="Да",1,0)</x:f>
      </x:c>
      <x:c r="D255" s="698">
        <x:f>IF('Л 24_5'!$N18="Да",1,0)</x:f>
      </x:c>
      <x:c r="E255" s="699">
        <x:f>IF('Л 24_5'!$T18="Да",1,0)</x:f>
      </x:c>
      <x:c r="F255" s="700">
        <x:f>IF('Л 24_5'!$Z18="Да",1,0)</x:f>
      </x:c>
      <x:c r="G255" s="701">
        <x:f>IF('Л 24_5'!$AF18="Да",1,0)</x:f>
      </x:c>
      <x:c r="H255" s="702">
        <x:f>IF('Л 24_5'!$AL18="Да",1,0)</x:f>
      </x:c>
      <x:c r="I255" s="703">
        <x:f>IF('Л 24_5'!$AR18="Да",1,0)</x:f>
      </x:c>
      <x:c r="J255" s="704">
        <x:f>IF('Л 24_5'!$AX18="Да",1,0)</x:f>
      </x:c>
      <x:c r="K255" s="705">
        <x:f>IF('Л 24_5'!$BD18="Да",1,0)</x:f>
      </x:c>
      <x:c r="L255" s="706">
        <x:f>IF('Л 24_5'!$BJ18="Да",1,0)</x:f>
      </x:c>
      <x:c r="M255" s="707">
        <x:f>IF('Л 24_5'!$BP18="Да",1,0)</x:f>
      </x:c>
      <x:c r="N255" s="708">
        <x:f>IF('Л 24_5'!$BV18="Да",1,0)</x:f>
      </x:c>
      <x:c r="O255" s="375">
        <x:f>IFERROR(ROUND(SUM(C255:N255)/($S$240),1),"")</x:f>
      </x:c>
    </x:row>
    <x:row r="256" spans="1:25" ht="15" customHeight="1" x14ac:dyDescent="0.25">
      <x:c r="A256" s="710"/>
      <x:c r="B256" s="363" t="s">
        <x:v>188</x:v>
      </x:c>
      <x:c r="C256" s="697">
        <x:f>IF('Л 24_5'!$H19="Да",1,0)</x:f>
      </x:c>
      <x:c r="D256" s="698">
        <x:f>IF('Л 24_5'!$N19="Да",1,0)</x:f>
      </x:c>
      <x:c r="E256" s="699">
        <x:f>IF('Л 24_5'!$T19="Да",1,0)</x:f>
      </x:c>
      <x:c r="F256" s="700">
        <x:f>IF('Л 24_5'!$Z19="Да",1,0)</x:f>
      </x:c>
      <x:c r="G256" s="701">
        <x:f>IF('Л 24_5'!$AF19="Да",1,0)</x:f>
      </x:c>
      <x:c r="H256" s="702">
        <x:f>IF('Л 24_5'!$AL19="Да",1,0)</x:f>
      </x:c>
      <x:c r="I256" s="703">
        <x:f>IF('Л 24_5'!$AR19="Да",1,0)</x:f>
      </x:c>
      <x:c r="J256" s="704">
        <x:f>IF('Л 24_5'!$AX19="Да",1,0)</x:f>
      </x:c>
      <x:c r="K256" s="705">
        <x:f>IF('Л 24_5'!$BD19="Да",1,0)</x:f>
      </x:c>
      <x:c r="L256" s="706">
        <x:f>IF('Л 24_5'!$BJ19="Да",1,0)</x:f>
      </x:c>
      <x:c r="M256" s="707">
        <x:f>IF('Л 24_5'!$BP19="Да",1,0)</x:f>
      </x:c>
      <x:c r="N256" s="708">
        <x:f>IF('Л 24_5'!$BV19="Да",1,0)</x:f>
      </x:c>
      <x:c r="O256" s="375">
        <x:f>IFERROR(ROUND(SUM(C256:N256)/($S$240),1),"")</x:f>
      </x:c>
    </x:row>
    <x:row r="257" spans="1:25" ht="15" customHeight="1" x14ac:dyDescent="0.25">
      <x:c r="A257" s="710"/>
      <x:c r="B257" s="363" t="s">
        <x:v>181</x:v>
      </x:c>
      <x:c r="C257" s="697">
        <x:f>IF('Л 24_5'!$H20="Да",1,0)</x:f>
      </x:c>
      <x:c r="D257" s="698">
        <x:f>IF('Л 24_5'!$N20="Да",1,0)</x:f>
      </x:c>
      <x:c r="E257" s="699">
        <x:f>IF('Л 24_5'!$T20="Да",1,0)</x:f>
      </x:c>
      <x:c r="F257" s="700">
        <x:f>IF('Л 24_5'!$Z20="Да",1,0)</x:f>
      </x:c>
      <x:c r="G257" s="701">
        <x:f>IF('Л 24_5'!$AF20="Да",1,0)</x:f>
      </x:c>
      <x:c r="H257" s="702">
        <x:f>IF('Л 24_5'!$AL20="Да",1,0)</x:f>
      </x:c>
      <x:c r="I257" s="703">
        <x:f>IF('Л 24_5'!$AR20="Да",1,0)</x:f>
      </x:c>
      <x:c r="J257" s="704">
        <x:f>IF('Л 24_5'!$AX20="Да",1,0)</x:f>
      </x:c>
      <x:c r="K257" s="705">
        <x:f>IF('Л 24_5'!$BD20="Да",1,0)</x:f>
      </x:c>
      <x:c r="L257" s="706">
        <x:f>IF('Л 24_5'!$BJ20="Да",1,0)</x:f>
      </x:c>
      <x:c r="M257" s="707">
        <x:f>IF('Л 24_5'!$BP20="Да",1,0)</x:f>
      </x:c>
      <x:c r="N257" s="708">
        <x:f>IF('Л 24_5'!$BV20="Да",1,0)</x:f>
      </x:c>
      <x:c r="O257" s="375">
        <x:f>IFERROR(ROUND(SUM(C257:N257)/($S$240),1),"")</x:f>
      </x:c>
    </x:row>
    <x:row r="258" spans="1:25" ht="15" customHeight="1" x14ac:dyDescent="0.25">
      <x:c r="A258" s="710"/>
      <x:c r="B258" s="363" t="s">
        <x:v>179</x:v>
      </x:c>
      <x:c r="C258" s="697">
        <x:f>IF('Л 24_5'!$H21="Да",1,0)</x:f>
      </x:c>
      <x:c r="D258" s="698">
        <x:f>IF('Л 24_5'!$N21="Да",1,0)</x:f>
      </x:c>
      <x:c r="E258" s="699">
        <x:f>IF('Л 24_5'!$T21="Да",1,0)</x:f>
      </x:c>
      <x:c r="F258" s="700">
        <x:f>IF('Л 24_5'!$Z21="Да",1,0)</x:f>
      </x:c>
      <x:c r="G258" s="701">
        <x:f>IF('Л 24_5'!$AF21="Да",1,0)</x:f>
      </x:c>
      <x:c r="H258" s="702">
        <x:f>IF('Л 24_5'!$AL21="Да",1,0)</x:f>
      </x:c>
      <x:c r="I258" s="703">
        <x:f>IF('Л 24_5'!$AR21="Да",1,0)</x:f>
      </x:c>
      <x:c r="J258" s="704">
        <x:f>IF('Л 24_5'!$AX21="Да",1,0)</x:f>
      </x:c>
      <x:c r="K258" s="705">
        <x:f>IF('Л 24_5'!$BD21="Да",1,0)</x:f>
      </x:c>
      <x:c r="L258" s="706">
        <x:f>IF('Л 24_5'!$BJ21="Да",1,0)</x:f>
      </x:c>
      <x:c r="M258" s="707">
        <x:f>IF('Л 24_5'!$BP21="Да",1,0)</x:f>
      </x:c>
      <x:c r="N258" s="708">
        <x:f>IF('Л 24_5'!$BV21="Да",1,0)</x:f>
      </x:c>
      <x:c r="O258" s="375">
        <x:f>IFERROR(ROUND(SUM(C258:N258)/($S$240),1),"")</x:f>
      </x:c>
    </x:row>
    <x:row r="259" spans="1:25" ht="15" customHeight="1" x14ac:dyDescent="0.25">
      <x:c r="A259" s="710"/>
      <x:c r="B259" s="363" t="s">
        <x:v>178</x:v>
      </x:c>
      <x:c r="C259" s="697">
        <x:f>IF('Л 24_5'!$H22="Да",1,0)</x:f>
      </x:c>
      <x:c r="D259" s="698">
        <x:f>IF('Л 24_5'!$N22="Да",1,0)</x:f>
      </x:c>
      <x:c r="E259" s="699">
        <x:f>IF('Л 24_5'!$T22="Да",1,0)</x:f>
      </x:c>
      <x:c r="F259" s="700">
        <x:f>IF('Л 24_5'!$Z22="Да",1,0)</x:f>
      </x:c>
      <x:c r="G259" s="701">
        <x:f>IF('Л 24_5'!$AF22="Да",1,0)</x:f>
      </x:c>
      <x:c r="H259" s="702">
        <x:f>IF('Л 24_5'!$AL22="Да",1,0)</x:f>
      </x:c>
      <x:c r="I259" s="703">
        <x:f>IF('Л 24_5'!$AR22="Да",1,0)</x:f>
      </x:c>
      <x:c r="J259" s="704">
        <x:f>IF('Л 24_5'!$AX22="Да",1,0)</x:f>
      </x:c>
      <x:c r="K259" s="705">
        <x:f>IF('Л 24_5'!$BD22="Да",1,0)</x:f>
      </x:c>
      <x:c r="L259" s="706">
        <x:f>IF('Л 24_5'!$BJ22="Да",1,0)</x:f>
      </x:c>
      <x:c r="M259" s="707">
        <x:f>IF('Л 24_5'!$BP22="Да",1,0)</x:f>
      </x:c>
      <x:c r="N259" s="708">
        <x:f>IF('Л 24_5'!$BV22="Да",1,0)</x:f>
      </x:c>
      <x:c r="O259" s="375">
        <x:f>IFERROR(ROUND(SUM(C259:N259)/($S$240),1),"")</x:f>
      </x:c>
    </x:row>
    <x:row r="260" spans="1:25" ht="15" customHeight="1" x14ac:dyDescent="0.25">
      <x:c r="A260" s="710"/>
      <x:c r="B260" s="363" t="s">
        <x:v>166</x:v>
      </x:c>
      <x:c r="C260" s="697">
        <x:f>IF('Л 24_5'!$H23="Да",1,0)</x:f>
      </x:c>
      <x:c r="D260" s="698">
        <x:f>IF('Л 24_5'!$N23="Да",1,0)</x:f>
      </x:c>
      <x:c r="E260" s="699">
        <x:f>IF('Л 24_5'!$T23="Да",1,0)</x:f>
      </x:c>
      <x:c r="F260" s="700">
        <x:f>IF('Л 24_5'!$Z23="Да",1,0)</x:f>
      </x:c>
      <x:c r="G260" s="701">
        <x:f>IF('Л 24_5'!$AF23="Да",1,0)</x:f>
      </x:c>
      <x:c r="H260" s="702">
        <x:f>IF('Л 24_5'!$AL23="Да",1,0)</x:f>
      </x:c>
      <x:c r="I260" s="703">
        <x:f>IF('Л 24_5'!$AR23="Да",1,0)</x:f>
      </x:c>
      <x:c r="J260" s="704">
        <x:f>IF('Л 24_5'!$AX23="Да",1,0)</x:f>
      </x:c>
      <x:c r="K260" s="705">
        <x:f>IF('Л 24_5'!$BD23="Да",1,0)</x:f>
      </x:c>
      <x:c r="L260" s="706">
        <x:f>IF('Л 24_5'!$BJ23="Да",1,0)</x:f>
      </x:c>
      <x:c r="M260" s="707">
        <x:f>IF('Л 24_5'!$BP23="Да",1,0)</x:f>
      </x:c>
      <x:c r="N260" s="708">
        <x:f>IF('Л 24_5'!$BV23="Да",1,0)</x:f>
      </x:c>
      <x:c r="O260" s="375">
        <x:f>IFERROR(ROUND(SUM(C260:N260)/($S$240),1),"")</x:f>
      </x:c>
    </x:row>
    <x:row r="261" spans="1:25" ht="15" customHeight="1" x14ac:dyDescent="0.25">
      <x:c r="A261" s="710"/>
      <x:c r="B261" s="363" t="s">
        <x:v>1115</x:v>
      </x:c>
      <x:c r="C261" s="697">
        <x:f>IF('Л 24_5'!$H24="Да",1,0)</x:f>
      </x:c>
      <x:c r="D261" s="698">
        <x:f>IF('Л 24_5'!$N24="Да",1,0)</x:f>
      </x:c>
      <x:c r="E261" s="699">
        <x:f>IF('Л 24_5'!$T24="Да",1,0)</x:f>
      </x:c>
      <x:c r="F261" s="700">
        <x:f>IF('Л 24_5'!$Z24="Да",1,0)</x:f>
      </x:c>
      <x:c r="G261" s="701">
        <x:f>IF('Л 24_5'!$AF24="Да",1,0)</x:f>
      </x:c>
      <x:c r="H261" s="702">
        <x:f>IF('Л 24_5'!$AL24="Да",1,0)</x:f>
      </x:c>
      <x:c r="I261" s="703">
        <x:f>IF('Л 24_5'!$AR24="Да",1,0)</x:f>
      </x:c>
      <x:c r="J261" s="704">
        <x:f>IF('Л 24_5'!$AX24="Да",1,0)</x:f>
      </x:c>
      <x:c r="K261" s="705">
        <x:f>IF('Л 24_5'!$BD24="Да",1,0)</x:f>
      </x:c>
      <x:c r="L261" s="706">
        <x:f>IF('Л 24_5'!$BJ24="Да",1,0)</x:f>
      </x:c>
      <x:c r="M261" s="707">
        <x:f>IF('Л 24_5'!$BP24="Да",1,0)</x:f>
      </x:c>
      <x:c r="N261" s="708">
        <x:f>IF('Л 24_5'!$BV24="Да",1,0)</x:f>
      </x:c>
      <x:c r="O261" s="375">
        <x:f>IFERROR(ROUND(SUM(C261:N261)/($S$240),1),"")</x:f>
      </x:c>
    </x:row>
    <x:row r="262" spans="1:25" ht="15" customHeight="1" x14ac:dyDescent="0.25">
      <x:c r="A262" s="710"/>
      <x:c r="B262" s="363" t="s">
        <x:v>185</x:v>
      </x:c>
      <x:c r="C262" s="697">
        <x:f>IF('Л 24_5'!$H25="Да",1,0)</x:f>
      </x:c>
      <x:c r="D262" s="698">
        <x:f>IF('Л 24_5'!$N25="Да",1,0)</x:f>
      </x:c>
      <x:c r="E262" s="699">
        <x:f>IF('Л 24_5'!$T25="Да",1,0)</x:f>
      </x:c>
      <x:c r="F262" s="700">
        <x:f>IF('Л 24_5'!$Z25="Да",1,0)</x:f>
      </x:c>
      <x:c r="G262" s="701">
        <x:f>IF('Л 24_5'!$AF25="Да",1,0)</x:f>
      </x:c>
      <x:c r="H262" s="702">
        <x:f>IF('Л 24_5'!$AL25="Да",1,0)</x:f>
      </x:c>
      <x:c r="I262" s="703">
        <x:f>IF('Л 24_5'!$AR25="Да",1,0)</x:f>
      </x:c>
      <x:c r="J262" s="704">
        <x:f>IF('Л 24_5'!$AX25="Да",1,0)</x:f>
      </x:c>
      <x:c r="K262" s="705">
        <x:f>IF('Л 24_5'!$BD25="Да",1,0)</x:f>
      </x:c>
      <x:c r="L262" s="706">
        <x:f>IF('Л 24_5'!$BJ25="Да",1,0)</x:f>
      </x:c>
      <x:c r="M262" s="707">
        <x:f>IF('Л 24_5'!$BP25="Да",1,0)</x:f>
      </x:c>
      <x:c r="N262" s="708">
        <x:f>IF('Л 24_5'!$BV25="Да",1,0)</x:f>
      </x:c>
      <x:c r="O262" s="375">
        <x:f>IFERROR(ROUND(SUM(C262:N262)/($S$240),1),"")</x:f>
      </x:c>
    </x:row>
    <x:row r="263" spans="1:25" ht="15" customHeight="1" x14ac:dyDescent="0.25">
      <x:c r="A263" s="710"/>
      <x:c r="B263" s="363" t="s">
        <x:v>167</x:v>
      </x:c>
      <x:c r="C263" s="697">
        <x:f>IF('Л 24_5'!$H26="Да",1,0)</x:f>
      </x:c>
      <x:c r="D263" s="698">
        <x:f>IF('Л 24_5'!$N26="Да",1,0)</x:f>
      </x:c>
      <x:c r="E263" s="699">
        <x:f>IF('Л 24_5'!$T26="Да",1,0)</x:f>
      </x:c>
      <x:c r="F263" s="700">
        <x:f>IF('Л 24_5'!$Z26="Да",1,0)</x:f>
      </x:c>
      <x:c r="G263" s="701">
        <x:f>IF('Л 24_5'!$AF26="Да",1,0)</x:f>
      </x:c>
      <x:c r="H263" s="702">
        <x:f>IF('Л 24_5'!$AL26="Да",1,0)</x:f>
      </x:c>
      <x:c r="I263" s="703">
        <x:f>IF('Л 24_5'!$AR26="Да",1,0)</x:f>
      </x:c>
      <x:c r="J263" s="704">
        <x:f>IF('Л 24_5'!$AX26="Да",1,0)</x:f>
      </x:c>
      <x:c r="K263" s="705">
        <x:f>IF('Л 24_5'!$BD26="Да",1,0)</x:f>
      </x:c>
      <x:c r="L263" s="706">
        <x:f>IF('Л 24_5'!$BJ26="Да",1,0)</x:f>
      </x:c>
      <x:c r="M263" s="707">
        <x:f>IF('Л 24_5'!$BP26="Да",1,0)</x:f>
      </x:c>
      <x:c r="N263" s="708">
        <x:f>IF('Л 24_5'!$BV26="Да",1,0)</x:f>
      </x:c>
      <x:c r="O263" s="375">
        <x:f>IFERROR(ROUND(SUM(C263:N263)/($S$240),1),"")</x:f>
      </x:c>
    </x:row>
    <x:row r="264" spans="1:25" ht="15" customHeight="1" x14ac:dyDescent="0.25">
      <x:c r="A264" s="710"/>
      <x:c r="B264" s="363" t="s">
        <x:v>169</x:v>
      </x:c>
      <x:c r="C264" s="697">
        <x:f>IF('Л 24_5'!$H27="Да",1,0)</x:f>
      </x:c>
      <x:c r="D264" s="698">
        <x:f>IF('Л 24_5'!$N27="Да",1,0)</x:f>
      </x:c>
      <x:c r="E264" s="699">
        <x:f>IF('Л 24_5'!$T27="Да",1,0)</x:f>
      </x:c>
      <x:c r="F264" s="700">
        <x:f>IF('Л 24_5'!$Z27="Да",1,0)</x:f>
      </x:c>
      <x:c r="G264" s="701">
        <x:f>IF('Л 24_5'!$AF27="Да",1,0)</x:f>
      </x:c>
      <x:c r="H264" s="702">
        <x:f>IF('Л 24_5'!$AL27="Да",1,0)</x:f>
      </x:c>
      <x:c r="I264" s="703">
        <x:f>IF('Л 24_5'!$AR27="Да",1,0)</x:f>
      </x:c>
      <x:c r="J264" s="704">
        <x:f>IF('Л 24_5'!$AX27="Да",1,0)</x:f>
      </x:c>
      <x:c r="K264" s="705">
        <x:f>IF('Л 24_5'!$BD27="Да",1,0)</x:f>
      </x:c>
      <x:c r="L264" s="706">
        <x:f>IF('Л 24_5'!$BJ27="Да",1,0)</x:f>
      </x:c>
      <x:c r="M264" s="707">
        <x:f>IF('Л 24_5'!$BP27="Да",1,0)</x:f>
      </x:c>
      <x:c r="N264" s="708">
        <x:f>IF('Л 24_5'!$BV27="Да",1,0)</x:f>
      </x:c>
      <x:c r="O264" s="375">
        <x:f>IFERROR(ROUND(SUM(C264:N264)/($S$240),1),"")</x:f>
      </x:c>
    </x:row>
    <x:row r="265" spans="1:25" ht="15" customHeight="1" x14ac:dyDescent="0.25">
      <x:c r="A265" s="710"/>
      <x:c r="B265" s="363" t="s">
        <x:v>187</x:v>
      </x:c>
      <x:c r="C265" s="697">
        <x:f>IF('Л 24_5'!$H28="Да",1,0)</x:f>
      </x:c>
      <x:c r="D265" s="698">
        <x:f>IF('Л 24_5'!$N28="Да",1,0)</x:f>
      </x:c>
      <x:c r="E265" s="699">
        <x:f>IF('Л 24_5'!$T28="Да",1,0)</x:f>
      </x:c>
      <x:c r="F265" s="700">
        <x:f>IF('Л 24_5'!$Z28="Да",1,0)</x:f>
      </x:c>
      <x:c r="G265" s="701">
        <x:f>IF('Л 24_5'!$AF28="Да",1,0)</x:f>
      </x:c>
      <x:c r="H265" s="702">
        <x:f>IF('Л 24_5'!$AL28="Да",1,0)</x:f>
      </x:c>
      <x:c r="I265" s="703">
        <x:f>IF('Л 24_5'!$AR28="Да",1,0)</x:f>
      </x:c>
      <x:c r="J265" s="704">
        <x:f>IF('Л 24_5'!$AX28="Да",1,0)</x:f>
      </x:c>
      <x:c r="K265" s="705">
        <x:f>IF('Л 24_5'!$BD28="Да",1,0)</x:f>
      </x:c>
      <x:c r="L265" s="706">
        <x:f>IF('Л 24_5'!$BJ28="Да",1,0)</x:f>
      </x:c>
      <x:c r="M265" s="707">
        <x:f>IF('Л 24_5'!$BP28="Да",1,0)</x:f>
      </x:c>
      <x:c r="N265" s="708">
        <x:f>IF('Л 24_5'!$BV28="Да",1,0)</x:f>
      </x:c>
      <x:c r="O265" s="375">
        <x:f>IFERROR(ROUND(SUM(C265:N265)/($S$240),1),"")</x:f>
      </x:c>
    </x:row>
    <x:row r="266" spans="1:25" ht="15.75" customHeight="1" x14ac:dyDescent="0.25">
      <x:c r="A266" s="717"/>
      <x:c r="B266" s="379" t="s">
        <x:v>177</x:v>
      </x:c>
      <x:c r="C266" s="697">
        <x:f>IF('Л 24_5'!$H29="Да",1,0)</x:f>
      </x:c>
      <x:c r="D266" s="698">
        <x:f>IF('Л 24_5'!$N29="Да",1,0)</x:f>
      </x:c>
      <x:c r="E266" s="699">
        <x:f>IF('Л 24_5'!$T29="Да",1,0)</x:f>
      </x:c>
      <x:c r="F266" s="700">
        <x:f>IF('Л 24_5'!$Z29="Да",1,0)</x:f>
      </x:c>
      <x:c r="G266" s="701">
        <x:f>IF('Л 24_5'!$AF29="Да",1,0)</x:f>
      </x:c>
      <x:c r="H266" s="702">
        <x:f>IF('Л 24_5'!$AL29="Да",1,0)</x:f>
      </x:c>
      <x:c r="I266" s="703">
        <x:f>IF('Л 24_5'!$AR29="Да",1,0)</x:f>
      </x:c>
      <x:c r="J266" s="704">
        <x:f>IF('Л 24_5'!$AX29="Да",1,0)</x:f>
      </x:c>
      <x:c r="K266" s="705">
        <x:f>IF('Л 24_5'!$BD29="Да",1,0)</x:f>
      </x:c>
      <x:c r="L266" s="706">
        <x:f>IF('Л 24_5'!$BJ29="Да",1,0)</x:f>
      </x:c>
      <x:c r="M266" s="707">
        <x:f>IF('Л 24_5'!$BP29="Да",1,0)</x:f>
      </x:c>
      <x:c r="N266" s="708">
        <x:f>IF('Л 24_5'!$BV29="Да",1,0)</x:f>
      </x:c>
      <x:c r="O266" s="375">
        <x:f>IFERROR(ROUND(SUM(C266:N266)/($S$240),1),"")</x:f>
      </x:c>
    </x:row>
    <x:row r="267" spans="1:25" ht="15" customHeight="1" x14ac:dyDescent="0.25">
      <x:c r="A267" s="696" t="s">
        <x:v>1073</x:v>
      </x:c>
      <x:c r="B267" s="363" t="s">
        <x:v>658</x:v>
      </x:c>
      <x:c r="C267" s="697">
        <x:f>IF('МТБЭ'!$H3="Да",1,0)</x:f>
      </x:c>
      <x:c r="D267" s="698">
        <x:f>IF('МТБЭ'!$N3="Да",1,0)</x:f>
      </x:c>
      <x:c r="E267" s="699">
        <x:f>IF('МТБЭ'!$T3="Да",1,0)</x:f>
      </x:c>
      <x:c r="F267" s="700">
        <x:f>IF('МТБЭ'!$Z3="Да",1,0)</x:f>
      </x:c>
      <x:c r="G267" s="701">
        <x:f>IF('МТБЭ'!$AF3="Да",1,0)</x:f>
      </x:c>
      <x:c r="H267" s="702">
        <x:f>IF('МТБЭ'!$AL3="Да",1,0)</x:f>
      </x:c>
      <x:c r="I267" s="703">
        <x:f>IF('МТБЭ'!$AR3="Да",1,0)</x:f>
      </x:c>
      <x:c r="J267" s="704">
        <x:f>IF('МТБЭ'!$AX3="Да",1,0)</x:f>
      </x:c>
      <x:c r="K267" s="705">
        <x:f>IF('МТБЭ'!$BD3="Да",1,0)</x:f>
      </x:c>
      <x:c r="L267" s="706">
        <x:f>IF('МТБЭ'!$BJ3="Да",1,0)</x:f>
      </x:c>
      <x:c r="M267" s="707">
        <x:f>IF('МТБЭ'!$BP3="Да",1,0)</x:f>
      </x:c>
      <x:c r="N267" s="708">
        <x:f>IF('МТБЭ'!$BV3="Да",1,0)</x:f>
      </x:c>
      <x:c r="O267" s="375">
        <x:f>IFERROR(ROUND(SUM(C267:N267)/($S$267),1),"")</x:f>
      </x:c>
      <x:c r="Q267" s="709" t="s">
        <x:v>1151</x:v>
      </x:c>
      <x:c r="R267" s="596"/>
      <x:c r="S267" s="376">
        <x:f>SUM(IF(COUNTIF(C267:C288,"&gt;0")&gt;0,1,0),IF(COUNTIF(D267:D288,"&gt;0")&gt;0,1,0),IF(COUNTIF(E267:E288,"&gt;0")&gt;0,1,0),IF(COUNTIF(F267:F288,"&gt;0")&gt;0,1,0),IF(COUNTIF(G267:G288,"&gt;0")&gt;0,1,0),IF(COUNTIF(H267:H288,"&gt;0")&gt;0,1,0),IF(COUNTIF(I267:I288,"&gt;0")&gt;0,1,0),IF(COUNTIF(J267:J288,"&gt;0")&gt;0,1,0),IF(COUNTIF(K267:K288,"&gt;0")&gt;0,1,0),IF(COUNTIF(L267:L288,"&gt;0")&gt;0,1,0),IF(COUNTIF(M267:M288,"&gt;0")&gt;0,1,0),IF(COUNTIF(N267:N288,"&gt;0")&gt;0,1,0))</x:f>
      </x:c>
    </x:row>
    <x:row r="268" spans="1:25" ht="15" customHeight="1" x14ac:dyDescent="0.25">
      <x:c r="A268" s="710"/>
      <x:c r="B268" s="363" t="s">
        <x:v>663</x:v>
      </x:c>
      <x:c r="C268" s="697">
        <x:f>IF('МТБЭ'!$H4="Да",1,0)</x:f>
      </x:c>
      <x:c r="D268" s="698">
        <x:f>IF('МТБЭ'!$N4="Да",1,0)</x:f>
      </x:c>
      <x:c r="E268" s="699">
        <x:f>IF('МТБЭ'!$T4="Да",1,0)</x:f>
      </x:c>
      <x:c r="F268" s="700">
        <x:f>IF('МТБЭ'!$Z4="Да",1,0)</x:f>
      </x:c>
      <x:c r="G268" s="701">
        <x:f>IF('МТБЭ'!$AF4="Да",1,0)</x:f>
      </x:c>
      <x:c r="H268" s="702">
        <x:f>IF('МТБЭ'!$AL4="Да",1,0)</x:f>
      </x:c>
      <x:c r="I268" s="703">
        <x:f>IF('МТБЭ'!$AR4="Да",1,0)</x:f>
      </x:c>
      <x:c r="J268" s="704">
        <x:f>IF('МТБЭ'!$AX4="Да",1,0)</x:f>
      </x:c>
      <x:c r="K268" s="705">
        <x:f>IF('МТБЭ'!$BD4="Да",1,0)</x:f>
      </x:c>
      <x:c r="L268" s="706">
        <x:f>IF('МТБЭ'!$BJ4="Да",1,0)</x:f>
      </x:c>
      <x:c r="M268" s="707">
        <x:f>IF('МТБЭ'!$BP4="Да",1,0)</x:f>
      </x:c>
      <x:c r="N268" s="708">
        <x:f>IF('МТБЭ'!$BV4="Да",1,0)</x:f>
      </x:c>
      <x:c r="O268" s="375">
        <x:f>IFERROR(ROUND(SUM(C268:N268)/($S$267),1),"")</x:f>
      </x:c>
      <x:c r="Q268" s="711"/>
      <x:c r="R268" s="712"/>
      <x:c r="S268" s="713"/>
    </x:row>
    <x:row r="269" spans="1:25" ht="15" customHeight="1" x14ac:dyDescent="0.25">
      <x:c r="A269" s="710"/>
      <x:c r="B269" s="363" t="s">
        <x:v>662</x:v>
      </x:c>
      <x:c r="C269" s="697">
        <x:f>IF('МТБЭ'!$H5="Да",1,0)</x:f>
      </x:c>
      <x:c r="D269" s="698">
        <x:f>IF('МТБЭ'!$N5="Да",1,0)</x:f>
      </x:c>
      <x:c r="E269" s="699">
        <x:f>IF('МТБЭ'!$T5="Да",1,0)</x:f>
      </x:c>
      <x:c r="F269" s="700">
        <x:f>IF('МТБЭ'!$Z5="Да",1,0)</x:f>
      </x:c>
      <x:c r="G269" s="701">
        <x:f>IF('МТБЭ'!$AF5="Да",1,0)</x:f>
      </x:c>
      <x:c r="H269" s="702">
        <x:f>IF('МТБЭ'!$AL5="Да",1,0)</x:f>
      </x:c>
      <x:c r="I269" s="703">
        <x:f>IF('МТБЭ'!$AR5="Да",1,0)</x:f>
      </x:c>
      <x:c r="J269" s="704">
        <x:f>IF('МТБЭ'!$AX5="Да",1,0)</x:f>
      </x:c>
      <x:c r="K269" s="705">
        <x:f>IF('МТБЭ'!$BD5="Да",1,0)</x:f>
      </x:c>
      <x:c r="L269" s="706">
        <x:f>IF('МТБЭ'!$BJ5="Да",1,0)</x:f>
      </x:c>
      <x:c r="M269" s="707">
        <x:f>IF('МТБЭ'!$BP5="Да",1,0)</x:f>
      </x:c>
      <x:c r="N269" s="708">
        <x:f>IF('МТБЭ'!$BV5="Да",1,0)</x:f>
      </x:c>
      <x:c r="O269" s="375">
        <x:f>IFERROR(ROUND(SUM(C269:N269)/($S$267),1),"")</x:f>
      </x:c>
      <x:c r="Q269" s="714"/>
      <x:c r="R269" s="715"/>
      <x:c r="S269" s="716"/>
    </x:row>
    <x:row r="270" spans="1:25" ht="15" customHeight="1" x14ac:dyDescent="0.25">
      <x:c r="A270" s="710"/>
      <x:c r="B270" s="363" t="s">
        <x:v>660</x:v>
      </x:c>
      <x:c r="C270" s="697">
        <x:f>IF('МТБЭ'!$H6="Да",1,0)</x:f>
      </x:c>
      <x:c r="D270" s="698">
        <x:f>IF('МТБЭ'!$N6="Да",1,0)</x:f>
      </x:c>
      <x:c r="E270" s="699">
        <x:f>IF('МТБЭ'!$T6="Да",1,0)</x:f>
      </x:c>
      <x:c r="F270" s="700">
        <x:f>IF('МТБЭ'!$Z6="Да",1,0)</x:f>
      </x:c>
      <x:c r="G270" s="701">
        <x:f>IF('МТБЭ'!$AF6="Да",1,0)</x:f>
      </x:c>
      <x:c r="H270" s="702">
        <x:f>IF('МТБЭ'!$AL6="Да",1,0)</x:f>
      </x:c>
      <x:c r="I270" s="703">
        <x:f>IF('МТБЭ'!$AR6="Да",1,0)</x:f>
      </x:c>
      <x:c r="J270" s="704">
        <x:f>IF('МТБЭ'!$AX6="Да",1,0)</x:f>
      </x:c>
      <x:c r="K270" s="705">
        <x:f>IF('МТБЭ'!$BD6="Да",1,0)</x:f>
      </x:c>
      <x:c r="L270" s="706">
        <x:f>IF('МТБЭ'!$BJ6="Да",1,0)</x:f>
      </x:c>
      <x:c r="M270" s="707">
        <x:f>IF('МТБЭ'!$BP6="Да",1,0)</x:f>
      </x:c>
      <x:c r="N270" s="708">
        <x:f>IF('МТБЭ'!$BV6="Да",1,0)</x:f>
      </x:c>
      <x:c r="O270" s="375">
        <x:f>IFERROR(ROUND(SUM(C270:N270)/($S$267),1),"")</x:f>
      </x:c>
    </x:row>
    <x:row r="271" spans="1:25" ht="15" customHeight="1" x14ac:dyDescent="0.25">
      <x:c r="A271" s="710"/>
      <x:c r="B271" s="363" t="s">
        <x:v>668</x:v>
      </x:c>
      <x:c r="C271" s="697">
        <x:f>IF('МТБЭ'!$H7="Да",1,0)</x:f>
      </x:c>
      <x:c r="D271" s="698">
        <x:f>IF('МТБЭ'!$N7="Да",1,0)</x:f>
      </x:c>
      <x:c r="E271" s="699">
        <x:f>IF('МТБЭ'!$T7="Да",1,0)</x:f>
      </x:c>
      <x:c r="F271" s="700">
        <x:f>IF('МТБЭ'!$Z7="Да",1,0)</x:f>
      </x:c>
      <x:c r="G271" s="701">
        <x:f>IF('МТБЭ'!$AF7="Да",1,0)</x:f>
      </x:c>
      <x:c r="H271" s="702">
        <x:f>IF('МТБЭ'!$AL7="Да",1,0)</x:f>
      </x:c>
      <x:c r="I271" s="703">
        <x:f>IF('МТБЭ'!$AR7="Да",1,0)</x:f>
      </x:c>
      <x:c r="J271" s="704">
        <x:f>IF('МТБЭ'!$AX7="Да",1,0)</x:f>
      </x:c>
      <x:c r="K271" s="705">
        <x:f>IF('МТБЭ'!$BD7="Да",1,0)</x:f>
      </x:c>
      <x:c r="L271" s="706">
        <x:f>IF('МТБЭ'!$BJ7="Да",1,0)</x:f>
      </x:c>
      <x:c r="M271" s="707">
        <x:f>IF('МТБЭ'!$BP7="Да",1,0)</x:f>
      </x:c>
      <x:c r="N271" s="708">
        <x:f>IF('МТБЭ'!$BV7="Да",1,0)</x:f>
      </x:c>
      <x:c r="O271" s="375">
        <x:f>IFERROR(ROUND(SUM(C271:N271)/($S$267),1),"")</x:f>
      </x:c>
    </x:row>
    <x:row r="272" spans="1:25" ht="15" customHeight="1" x14ac:dyDescent="0.25">
      <x:c r="A272" s="710"/>
      <x:c r="B272" s="363" t="s">
        <x:v>657</x:v>
      </x:c>
      <x:c r="C272" s="697">
        <x:f>IF('МТБЭ'!$H8="Да",1,0)</x:f>
      </x:c>
      <x:c r="D272" s="698">
        <x:f>IF('МТБЭ'!$N8="Да",1,0)</x:f>
      </x:c>
      <x:c r="E272" s="699">
        <x:f>IF('МТБЭ'!$T8="Да",1,0)</x:f>
      </x:c>
      <x:c r="F272" s="700">
        <x:f>IF('МТБЭ'!$Z8="Да",1,0)</x:f>
      </x:c>
      <x:c r="G272" s="701">
        <x:f>IF('МТБЭ'!$AF8="Да",1,0)</x:f>
      </x:c>
      <x:c r="H272" s="702">
        <x:f>IF('МТБЭ'!$AL8="Да",1,0)</x:f>
      </x:c>
      <x:c r="I272" s="703">
        <x:f>IF('МТБЭ'!$AR8="Да",1,0)</x:f>
      </x:c>
      <x:c r="J272" s="704">
        <x:f>IF('МТБЭ'!$AX8="Да",1,0)</x:f>
      </x:c>
      <x:c r="K272" s="705">
        <x:f>IF('МТБЭ'!$BD8="Да",1,0)</x:f>
      </x:c>
      <x:c r="L272" s="706">
        <x:f>IF('МТБЭ'!$BJ8="Да",1,0)</x:f>
      </x:c>
      <x:c r="M272" s="707">
        <x:f>IF('МТБЭ'!$BP8="Да",1,0)</x:f>
      </x:c>
      <x:c r="N272" s="708">
        <x:f>IF('МТБЭ'!$BV8="Да",1,0)</x:f>
      </x:c>
      <x:c r="O272" s="375">
        <x:f>IFERROR(ROUND(SUM(C272:N272)/($S$267),1),"")</x:f>
      </x:c>
    </x:row>
    <x:row r="273" spans="1:25" ht="15" customHeight="1" x14ac:dyDescent="0.25">
      <x:c r="A273" s="710"/>
      <x:c r="B273" s="363" t="s">
        <x:v>670</x:v>
      </x:c>
      <x:c r="C273" s="697">
        <x:f>IF('МТБЭ'!$H9="Да",1,0)</x:f>
      </x:c>
      <x:c r="D273" s="698">
        <x:f>IF('МТБЭ'!$N9="Да",1,0)</x:f>
      </x:c>
      <x:c r="E273" s="699">
        <x:f>IF('МТБЭ'!$T9="Да",1,0)</x:f>
      </x:c>
      <x:c r="F273" s="700">
        <x:f>IF('МТБЭ'!$Z9="Да",1,0)</x:f>
      </x:c>
      <x:c r="G273" s="701">
        <x:f>IF('МТБЭ'!$AF9="Да",1,0)</x:f>
      </x:c>
      <x:c r="H273" s="702">
        <x:f>IF('МТБЭ'!$AL9="Да",1,0)</x:f>
      </x:c>
      <x:c r="I273" s="703">
        <x:f>IF('МТБЭ'!$AR9="Да",1,0)</x:f>
      </x:c>
      <x:c r="J273" s="704">
        <x:f>IF('МТБЭ'!$AX9="Да",1,0)</x:f>
      </x:c>
      <x:c r="K273" s="705">
        <x:f>IF('МТБЭ'!$BD9="Да",1,0)</x:f>
      </x:c>
      <x:c r="L273" s="706">
        <x:f>IF('МТБЭ'!$BJ9="Да",1,0)</x:f>
      </x:c>
      <x:c r="M273" s="707">
        <x:f>IF('МТБЭ'!$BP9="Да",1,0)</x:f>
      </x:c>
      <x:c r="N273" s="708">
        <x:f>IF('МТБЭ'!$BV9="Да",1,0)</x:f>
      </x:c>
      <x:c r="O273" s="375">
        <x:f>IFERROR(ROUND(SUM(C273:N273)/($S$267),1),"")</x:f>
      </x:c>
    </x:row>
    <x:row r="274" spans="1:25" ht="15" customHeight="1" x14ac:dyDescent="0.3">
      <x:c r="A274" s="710"/>
      <x:c r="B274" s="363" t="s">
        <x:v>674</x:v>
      </x:c>
      <x:c r="C274" s="697">
        <x:f>IF('МТБЭ'!$H10="Да",1,0)</x:f>
      </x:c>
      <x:c r="D274" s="698">
        <x:f>IF('МТБЭ'!$N10="Да",1,0)</x:f>
      </x:c>
      <x:c r="E274" s="699">
        <x:f>IF('МТБЭ'!$T10="Да",1,0)</x:f>
      </x:c>
      <x:c r="F274" s="700">
        <x:f>IF('МТБЭ'!$Z10="Да",1,0)</x:f>
      </x:c>
      <x:c r="G274" s="701">
        <x:f>IF('МТБЭ'!$AF10="Да",1,0)</x:f>
      </x:c>
      <x:c r="H274" s="702">
        <x:f>IF('МТБЭ'!$AL10="Да",1,0)</x:f>
      </x:c>
      <x:c r="I274" s="703">
        <x:f>IF('МТБЭ'!$AR10="Да",1,0)</x:f>
      </x:c>
      <x:c r="J274" s="704">
        <x:f>IF('МТБЭ'!$AX10="Да",1,0)</x:f>
      </x:c>
      <x:c r="K274" s="705">
        <x:f>IF('МТБЭ'!$BD10="Да",1,0)</x:f>
      </x:c>
      <x:c r="L274" s="706">
        <x:f>IF('МТБЭ'!$BJ10="Да",1,0)</x:f>
      </x:c>
      <x:c r="M274" s="707">
        <x:f>IF('МТБЭ'!$BP10="Да",1,0)</x:f>
      </x:c>
      <x:c r="N274" s="708">
        <x:f>IF('МТБЭ'!$BV10="Да",1,0)</x:f>
      </x:c>
      <x:c r="O274" s="375">
        <x:f>IFERROR(ROUND(SUM(C274:N274)/($S$267),1),"")</x:f>
      </x:c>
    </x:row>
    <x:row r="275" spans="1:25" ht="15" customHeight="1" x14ac:dyDescent="0.25">
      <x:c r="A275" s="710"/>
      <x:c r="B275" s="363" t="s">
        <x:v>661</x:v>
      </x:c>
      <x:c r="C275" s="697">
        <x:f>IF('МТБЭ'!$H11="Да",1,0)</x:f>
      </x:c>
      <x:c r="D275" s="698">
        <x:f>IF('МТБЭ'!$N11="Да",1,0)</x:f>
      </x:c>
      <x:c r="E275" s="699">
        <x:f>IF('МТБЭ'!$T11="Да",1,0)</x:f>
      </x:c>
      <x:c r="F275" s="700">
        <x:f>IF('МТБЭ'!$Z11="Да",1,0)</x:f>
      </x:c>
      <x:c r="G275" s="701">
        <x:f>IF('МТБЭ'!$AF11="Да",1,0)</x:f>
      </x:c>
      <x:c r="H275" s="702">
        <x:f>IF('МТБЭ'!$AL11="Да",1,0)</x:f>
      </x:c>
      <x:c r="I275" s="703">
        <x:f>IF('МТБЭ'!$AR11="Да",1,0)</x:f>
      </x:c>
      <x:c r="J275" s="704">
        <x:f>IF('МТБЭ'!$AX11="Да",1,0)</x:f>
      </x:c>
      <x:c r="K275" s="705">
        <x:f>IF('МТБЭ'!$BD11="Да",1,0)</x:f>
      </x:c>
      <x:c r="L275" s="706">
        <x:f>IF('МТБЭ'!$BJ11="Да",1,0)</x:f>
      </x:c>
      <x:c r="M275" s="707">
        <x:f>IF('МТБЭ'!$BP11="Да",1,0)</x:f>
      </x:c>
      <x:c r="N275" s="708">
        <x:f>IF('МТБЭ'!$BV11="Да",1,0)</x:f>
      </x:c>
      <x:c r="O275" s="375">
        <x:f>IFERROR(ROUND(SUM(C275:N275)/($S$267),1),"")</x:f>
      </x:c>
    </x:row>
    <x:row r="276" spans="1:25" ht="15" customHeight="1" x14ac:dyDescent="0.25">
      <x:c r="A276" s="710"/>
      <x:c r="B276" s="363" t="s">
        <x:v>669</x:v>
      </x:c>
      <x:c r="C276" s="697">
        <x:f>IF('МТБЭ'!$H12="Да",1,0)</x:f>
      </x:c>
      <x:c r="D276" s="698">
        <x:f>IF('МТБЭ'!$N12="Да",1,0)</x:f>
      </x:c>
      <x:c r="E276" s="699">
        <x:f>IF('МТБЭ'!$T12="Да",1,0)</x:f>
      </x:c>
      <x:c r="F276" s="700">
        <x:f>IF('МТБЭ'!$Z12="Да",1,0)</x:f>
      </x:c>
      <x:c r="G276" s="701">
        <x:f>IF('МТБЭ'!$AF12="Да",1,0)</x:f>
      </x:c>
      <x:c r="H276" s="702">
        <x:f>IF('МТБЭ'!$AL12="Да",1,0)</x:f>
      </x:c>
      <x:c r="I276" s="703">
        <x:f>IF('МТБЭ'!$AR12="Да",1,0)</x:f>
      </x:c>
      <x:c r="J276" s="704">
        <x:f>IF('МТБЭ'!$AX12="Да",1,0)</x:f>
      </x:c>
      <x:c r="K276" s="705">
        <x:f>IF('МТБЭ'!$BD12="Да",1,0)</x:f>
      </x:c>
      <x:c r="L276" s="706">
        <x:f>IF('МТБЭ'!$BJ12="Да",1,0)</x:f>
      </x:c>
      <x:c r="M276" s="707">
        <x:f>IF('МТБЭ'!$BP12="Да",1,0)</x:f>
      </x:c>
      <x:c r="N276" s="708">
        <x:f>IF('МТБЭ'!$BV12="Да",1,0)</x:f>
      </x:c>
      <x:c r="O276" s="375">
        <x:f>IFERROR(ROUND(SUM(C276:N276)/($S$267),1),"")</x:f>
      </x:c>
    </x:row>
    <x:row r="277" spans="1:25" ht="15" customHeight="1" x14ac:dyDescent="0.25">
      <x:c r="A277" s="710"/>
      <x:c r="B277" s="363" t="s">
        <x:v>652</x:v>
      </x:c>
      <x:c r="C277" s="697">
        <x:f>IF('МТБЭ'!$H13="Да",1,0)</x:f>
      </x:c>
      <x:c r="D277" s="698">
        <x:f>IF('МТБЭ'!$N13="Да",1,0)</x:f>
      </x:c>
      <x:c r="E277" s="699">
        <x:f>IF('МТБЭ'!$T13="Да",1,0)</x:f>
      </x:c>
      <x:c r="F277" s="700">
        <x:f>IF('МТБЭ'!$Z13="Да",1,0)</x:f>
      </x:c>
      <x:c r="G277" s="701">
        <x:f>IF('МТБЭ'!$AF13="Да",1,0)</x:f>
      </x:c>
      <x:c r="H277" s="702">
        <x:f>IF('МТБЭ'!$AL13="Да",1,0)</x:f>
      </x:c>
      <x:c r="I277" s="703">
        <x:f>IF('МТБЭ'!$AR13="Да",1,0)</x:f>
      </x:c>
      <x:c r="J277" s="704">
        <x:f>IF('МТБЭ'!$AX13="Да",1,0)</x:f>
      </x:c>
      <x:c r="K277" s="705">
        <x:f>IF('МТБЭ'!$BD13="Да",1,0)</x:f>
      </x:c>
      <x:c r="L277" s="706">
        <x:f>IF('МТБЭ'!$BJ13="Да",1,0)</x:f>
      </x:c>
      <x:c r="M277" s="707">
        <x:f>IF('МТБЭ'!$BP13="Да",1,0)</x:f>
      </x:c>
      <x:c r="N277" s="708">
        <x:f>IF('МТБЭ'!$BV13="Да",1,0)</x:f>
      </x:c>
      <x:c r="O277" s="375">
        <x:f>IFERROR(ROUND(SUM(C277:N277)/($S$267),1),"")</x:f>
      </x:c>
    </x:row>
    <x:row r="278" spans="1:25" ht="15" customHeight="1" x14ac:dyDescent="0.25">
      <x:c r="A278" s="710"/>
      <x:c r="B278" s="363" t="s">
        <x:v>654</x:v>
      </x:c>
      <x:c r="C278" s="697">
        <x:f>IF('МТБЭ'!$H14="Да",1,0)</x:f>
      </x:c>
      <x:c r="D278" s="698">
        <x:f>IF('МТБЭ'!$N14="Да",1,0)</x:f>
      </x:c>
      <x:c r="E278" s="699">
        <x:f>IF('МТБЭ'!$T14="Да",1,0)</x:f>
      </x:c>
      <x:c r="F278" s="700">
        <x:f>IF('МТБЭ'!$Z14="Да",1,0)</x:f>
      </x:c>
      <x:c r="G278" s="701">
        <x:f>IF('МТБЭ'!$AF14="Да",1,0)</x:f>
      </x:c>
      <x:c r="H278" s="702">
        <x:f>IF('МТБЭ'!$AL14="Да",1,0)</x:f>
      </x:c>
      <x:c r="I278" s="703">
        <x:f>IF('МТБЭ'!$AR14="Да",1,0)</x:f>
      </x:c>
      <x:c r="J278" s="704">
        <x:f>IF('МТБЭ'!$AX14="Да",1,0)</x:f>
      </x:c>
      <x:c r="K278" s="705">
        <x:f>IF('МТБЭ'!$BD14="Да",1,0)</x:f>
      </x:c>
      <x:c r="L278" s="706">
        <x:f>IF('МТБЭ'!$BJ14="Да",1,0)</x:f>
      </x:c>
      <x:c r="M278" s="707">
        <x:f>IF('МТБЭ'!$BP14="Да",1,0)</x:f>
      </x:c>
      <x:c r="N278" s="708">
        <x:f>IF('МТБЭ'!$BV14="Да",1,0)</x:f>
      </x:c>
      <x:c r="O278" s="375">
        <x:f>IFERROR(ROUND(SUM(C278:N278)/($S$267),1),"")</x:f>
      </x:c>
    </x:row>
    <x:row r="279" spans="1:25" ht="15" customHeight="1" x14ac:dyDescent="0.25">
      <x:c r="A279" s="710"/>
      <x:c r="B279" s="363" t="s">
        <x:v>664</x:v>
      </x:c>
      <x:c r="C279" s="697">
        <x:f>IF('МТБЭ'!$H15="Да",1,0)</x:f>
      </x:c>
      <x:c r="D279" s="698">
        <x:f>IF('МТБЭ'!$N15="Да",1,0)</x:f>
      </x:c>
      <x:c r="E279" s="699">
        <x:f>IF('МТБЭ'!$T15="Да",1,0)</x:f>
      </x:c>
      <x:c r="F279" s="700">
        <x:f>IF('МТБЭ'!$Z15="Да",1,0)</x:f>
      </x:c>
      <x:c r="G279" s="701">
        <x:f>IF('МТБЭ'!$AF15="Да",1,0)</x:f>
      </x:c>
      <x:c r="H279" s="702">
        <x:f>IF('МТБЭ'!$AL15="Да",1,0)</x:f>
      </x:c>
      <x:c r="I279" s="703">
        <x:f>IF('МТБЭ'!$AR15="Да",1,0)</x:f>
      </x:c>
      <x:c r="J279" s="704">
        <x:f>IF('МТБЭ'!$AX15="Да",1,0)</x:f>
      </x:c>
      <x:c r="K279" s="705">
        <x:f>IF('МТБЭ'!$BD15="Да",1,0)</x:f>
      </x:c>
      <x:c r="L279" s="706">
        <x:f>IF('МТБЭ'!$BJ15="Да",1,0)</x:f>
      </x:c>
      <x:c r="M279" s="707">
        <x:f>IF('МТБЭ'!$BP15="Да",1,0)</x:f>
      </x:c>
      <x:c r="N279" s="708">
        <x:f>IF('МТБЭ'!$BV15="Да",1,0)</x:f>
      </x:c>
      <x:c r="O279" s="375">
        <x:f>IFERROR(ROUND(SUM(C279:N279)/($S$267),1),"")</x:f>
      </x:c>
    </x:row>
    <x:row r="280" spans="1:25" ht="15" customHeight="1" x14ac:dyDescent="0.25">
      <x:c r="A280" s="710"/>
      <x:c r="B280" s="363" t="s">
        <x:v>673</x:v>
      </x:c>
      <x:c r="C280" s="697">
        <x:f>IF('МТБЭ'!$H16="Да",1,0)</x:f>
      </x:c>
      <x:c r="D280" s="698">
        <x:f>IF('МТБЭ'!$N16="Да",1,0)</x:f>
      </x:c>
      <x:c r="E280" s="699">
        <x:f>IF('МТБЭ'!$T16="Да",1,0)</x:f>
      </x:c>
      <x:c r="F280" s="700">
        <x:f>IF('МТБЭ'!$Z16="Да",1,0)</x:f>
      </x:c>
      <x:c r="G280" s="701">
        <x:f>IF('МТБЭ'!$AF16="Да",1,0)</x:f>
      </x:c>
      <x:c r="H280" s="702">
        <x:f>IF('МТБЭ'!$AL16="Да",1,0)</x:f>
      </x:c>
      <x:c r="I280" s="703">
        <x:f>IF('МТБЭ'!$AR16="Да",1,0)</x:f>
      </x:c>
      <x:c r="J280" s="704">
        <x:f>IF('МТБЭ'!$AX16="Да",1,0)</x:f>
      </x:c>
      <x:c r="K280" s="705">
        <x:f>IF('МТБЭ'!$BD16="Да",1,0)</x:f>
      </x:c>
      <x:c r="L280" s="706">
        <x:f>IF('МТБЭ'!$BJ16="Да",1,0)</x:f>
      </x:c>
      <x:c r="M280" s="707">
        <x:f>IF('МТБЭ'!$BP16="Да",1,0)</x:f>
      </x:c>
      <x:c r="N280" s="708">
        <x:f>IF('МТБЭ'!$BV16="Да",1,0)</x:f>
      </x:c>
      <x:c r="O280" s="375">
        <x:f>IFERROR(ROUND(SUM(C280:N280)/($S$267),1),"")</x:f>
      </x:c>
    </x:row>
    <x:row r="281" spans="1:25" ht="15" customHeight="1" x14ac:dyDescent="0.25">
      <x:c r="A281" s="710"/>
      <x:c r="B281" s="363" t="s">
        <x:v>659</x:v>
      </x:c>
      <x:c r="C281" s="697">
        <x:f>IF('МТБЭ'!$H17="Да",1,0)</x:f>
      </x:c>
      <x:c r="D281" s="698">
        <x:f>IF('МТБЭ'!$N17="Да",1,0)</x:f>
      </x:c>
      <x:c r="E281" s="699">
        <x:f>IF('МТБЭ'!$T17="Да",1,0)</x:f>
      </x:c>
      <x:c r="F281" s="700">
        <x:f>IF('МТБЭ'!$Z17="Да",1,0)</x:f>
      </x:c>
      <x:c r="G281" s="701">
        <x:f>IF('МТБЭ'!$AF17="Да",1,0)</x:f>
      </x:c>
      <x:c r="H281" s="702">
        <x:f>IF('МТБЭ'!$AL17="Да",1,0)</x:f>
      </x:c>
      <x:c r="I281" s="703">
        <x:f>IF('МТБЭ'!$AR17="Да",1,0)</x:f>
      </x:c>
      <x:c r="J281" s="704">
        <x:f>IF('МТБЭ'!$AX17="Да",1,0)</x:f>
      </x:c>
      <x:c r="K281" s="705">
        <x:f>IF('МТБЭ'!$BD17="Да",1,0)</x:f>
      </x:c>
      <x:c r="L281" s="706">
        <x:f>IF('МТБЭ'!$BJ17="Да",1,0)</x:f>
      </x:c>
      <x:c r="M281" s="707">
        <x:f>IF('МТБЭ'!$BP17="Да",1,0)</x:f>
      </x:c>
      <x:c r="N281" s="708">
        <x:f>IF('МТБЭ'!$BV17="Да",1,0)</x:f>
      </x:c>
      <x:c r="O281" s="375">
        <x:f>IFERROR(ROUND(SUM(C281:N281)/($S$267),1),"")</x:f>
      </x:c>
    </x:row>
    <x:row r="282" spans="1:25" ht="15" customHeight="1" x14ac:dyDescent="0.25">
      <x:c r="A282" s="710"/>
      <x:c r="B282" s="363" t="s">
        <x:v>672</x:v>
      </x:c>
      <x:c r="C282" s="697">
        <x:f>IF('МТБЭ'!$H18="Да",1,0)</x:f>
      </x:c>
      <x:c r="D282" s="698">
        <x:f>IF('МТБЭ'!$N18="Да",1,0)</x:f>
      </x:c>
      <x:c r="E282" s="699">
        <x:f>IF('МТБЭ'!$T18="Да",1,0)</x:f>
      </x:c>
      <x:c r="F282" s="700">
        <x:f>IF('МТБЭ'!$Z18="Да",1,0)</x:f>
      </x:c>
      <x:c r="G282" s="701">
        <x:f>IF('МТБЭ'!$AF18="Да",1,0)</x:f>
      </x:c>
      <x:c r="H282" s="702">
        <x:f>IF('МТБЭ'!$AL18="Да",1,0)</x:f>
      </x:c>
      <x:c r="I282" s="703">
        <x:f>IF('МТБЭ'!$AR18="Да",1,0)</x:f>
      </x:c>
      <x:c r="J282" s="704">
        <x:f>IF('МТБЭ'!$AX18="Да",1,0)</x:f>
      </x:c>
      <x:c r="K282" s="705">
        <x:f>IF('МТБЭ'!$BD18="Да",1,0)</x:f>
      </x:c>
      <x:c r="L282" s="706">
        <x:f>IF('МТБЭ'!$BJ18="Да",1,0)</x:f>
      </x:c>
      <x:c r="M282" s="707">
        <x:f>IF('МТБЭ'!$BP18="Да",1,0)</x:f>
      </x:c>
      <x:c r="N282" s="708">
        <x:f>IF('МТБЭ'!$BV18="Да",1,0)</x:f>
      </x:c>
      <x:c r="O282" s="375">
        <x:f>IFERROR(ROUND(SUM(C282:N282)/($S$267),1),"")</x:f>
      </x:c>
    </x:row>
    <x:row r="283" spans="1:25" ht="15" customHeight="1" x14ac:dyDescent="0.25">
      <x:c r="A283" s="710"/>
      <x:c r="B283" s="363" t="s">
        <x:v>667</x:v>
      </x:c>
      <x:c r="C283" s="697">
        <x:f>IF('МТБЭ'!$H19="Да",1,0)</x:f>
      </x:c>
      <x:c r="D283" s="698">
        <x:f>IF('МТБЭ'!$N19="Да",1,0)</x:f>
      </x:c>
      <x:c r="E283" s="699">
        <x:f>IF('МТБЭ'!$T19="Да",1,0)</x:f>
      </x:c>
      <x:c r="F283" s="700">
        <x:f>IF('МТБЭ'!$Z19="Да",1,0)</x:f>
      </x:c>
      <x:c r="G283" s="701">
        <x:f>IF('МТБЭ'!$AF19="Да",1,0)</x:f>
      </x:c>
      <x:c r="H283" s="702">
        <x:f>IF('МТБЭ'!$AL19="Да",1,0)</x:f>
      </x:c>
      <x:c r="I283" s="703">
        <x:f>IF('МТБЭ'!$AR19="Да",1,0)</x:f>
      </x:c>
      <x:c r="J283" s="704">
        <x:f>IF('МТБЭ'!$AX19="Да",1,0)</x:f>
      </x:c>
      <x:c r="K283" s="705">
        <x:f>IF('МТБЭ'!$BD19="Да",1,0)</x:f>
      </x:c>
      <x:c r="L283" s="706">
        <x:f>IF('МТБЭ'!$BJ19="Да",1,0)</x:f>
      </x:c>
      <x:c r="M283" s="707">
        <x:f>IF('МТБЭ'!$BP19="Да",1,0)</x:f>
      </x:c>
      <x:c r="N283" s="708">
        <x:f>IF('МТБЭ'!$BV19="Да",1,0)</x:f>
      </x:c>
      <x:c r="O283" s="375">
        <x:f>IFERROR(ROUND(SUM(C283:N283)/($S$267),1),"")</x:f>
      </x:c>
    </x:row>
    <x:row r="284" spans="1:25" ht="15" customHeight="1" x14ac:dyDescent="0.25">
      <x:c r="A284" s="710"/>
      <x:c r="B284" s="363" t="s">
        <x:v>656</x:v>
      </x:c>
      <x:c r="C284" s="697">
        <x:f>IF('МТБЭ'!$H20="Да",1,0)</x:f>
      </x:c>
      <x:c r="D284" s="698">
        <x:f>IF('МТБЭ'!$N20="Да",1,0)</x:f>
      </x:c>
      <x:c r="E284" s="699">
        <x:f>IF('МТБЭ'!$T20="Да",1,0)</x:f>
      </x:c>
      <x:c r="F284" s="700">
        <x:f>IF('МТБЭ'!$Z20="Да",1,0)</x:f>
      </x:c>
      <x:c r="G284" s="701">
        <x:f>IF('МТБЭ'!$AF20="Да",1,0)</x:f>
      </x:c>
      <x:c r="H284" s="702">
        <x:f>IF('МТБЭ'!$AL20="Да",1,0)</x:f>
      </x:c>
      <x:c r="I284" s="703">
        <x:f>IF('МТБЭ'!$AR20="Да",1,0)</x:f>
      </x:c>
      <x:c r="J284" s="704">
        <x:f>IF('МТБЭ'!$AX20="Да",1,0)</x:f>
      </x:c>
      <x:c r="K284" s="705">
        <x:f>IF('МТБЭ'!$BD20="Да",1,0)</x:f>
      </x:c>
      <x:c r="L284" s="706">
        <x:f>IF('МТБЭ'!$BJ20="Да",1,0)</x:f>
      </x:c>
      <x:c r="M284" s="707">
        <x:f>IF('МТБЭ'!$BP20="Да",1,0)</x:f>
      </x:c>
      <x:c r="N284" s="708">
        <x:f>IF('МТБЭ'!$BV20="Да",1,0)</x:f>
      </x:c>
      <x:c r="O284" s="375">
        <x:f>IFERROR(ROUND(SUM(C284:N284)/($S$267),1),"")</x:f>
      </x:c>
    </x:row>
    <x:row r="285" spans="1:25" ht="15" customHeight="1" x14ac:dyDescent="0.25">
      <x:c r="A285" s="710"/>
      <x:c r="B285" s="363" t="s">
        <x:v>671</x:v>
      </x:c>
      <x:c r="C285" s="697">
        <x:f>IF('МТБЭ'!$H21="Да",1,0)</x:f>
      </x:c>
      <x:c r="D285" s="698">
        <x:f>IF('МТБЭ'!$N21="Да",1,0)</x:f>
      </x:c>
      <x:c r="E285" s="699">
        <x:f>IF('МТБЭ'!$T21="Да",1,0)</x:f>
      </x:c>
      <x:c r="F285" s="700">
        <x:f>IF('МТБЭ'!$Z21="Да",1,0)</x:f>
      </x:c>
      <x:c r="G285" s="701">
        <x:f>IF('МТБЭ'!$AF21="Да",1,0)</x:f>
      </x:c>
      <x:c r="H285" s="702">
        <x:f>IF('МТБЭ'!$AL21="Да",1,0)</x:f>
      </x:c>
      <x:c r="I285" s="703">
        <x:f>IF('МТБЭ'!$AR21="Да",1,0)</x:f>
      </x:c>
      <x:c r="J285" s="704">
        <x:f>IF('МТБЭ'!$AX21="Да",1,0)</x:f>
      </x:c>
      <x:c r="K285" s="705">
        <x:f>IF('МТБЭ'!$BD21="Да",1,0)</x:f>
      </x:c>
      <x:c r="L285" s="706">
        <x:f>IF('МТБЭ'!$BJ21="Да",1,0)</x:f>
      </x:c>
      <x:c r="M285" s="707">
        <x:f>IF('МТБЭ'!$BP21="Да",1,0)</x:f>
      </x:c>
      <x:c r="N285" s="708">
        <x:f>IF('МТБЭ'!$BV21="Да",1,0)</x:f>
      </x:c>
      <x:c r="O285" s="375">
        <x:f>IFERROR(ROUND(SUM(C285:N285)/($S$267),1),"")</x:f>
      </x:c>
    </x:row>
    <x:row r="286" spans="1:25" ht="15" customHeight="1" x14ac:dyDescent="0.25">
      <x:c r="A286" s="710"/>
      <x:c r="B286" s="363" t="s">
        <x:v>655</x:v>
      </x:c>
      <x:c r="C286" s="697">
        <x:f>IF('МТБЭ'!$H22="Да",1,0)</x:f>
      </x:c>
      <x:c r="D286" s="698">
        <x:f>IF('МТБЭ'!$N22="Да",1,0)</x:f>
      </x:c>
      <x:c r="E286" s="699">
        <x:f>IF('МТБЭ'!$T22="Да",1,0)</x:f>
      </x:c>
      <x:c r="F286" s="700">
        <x:f>IF('МТБЭ'!$Z22="Да",1,0)</x:f>
      </x:c>
      <x:c r="G286" s="701">
        <x:f>IF('МТБЭ'!$AF22="Да",1,0)</x:f>
      </x:c>
      <x:c r="H286" s="702">
        <x:f>IF('МТБЭ'!$AL22="Да",1,0)</x:f>
      </x:c>
      <x:c r="I286" s="703">
        <x:f>IF('МТБЭ'!$AR22="Да",1,0)</x:f>
      </x:c>
      <x:c r="J286" s="704">
        <x:f>IF('МТБЭ'!$AX22="Да",1,0)</x:f>
      </x:c>
      <x:c r="K286" s="705">
        <x:f>IF('МТБЭ'!$BD22="Да",1,0)</x:f>
      </x:c>
      <x:c r="L286" s="706">
        <x:f>IF('МТБЭ'!$BJ22="Да",1,0)</x:f>
      </x:c>
      <x:c r="M286" s="707">
        <x:f>IF('МТБЭ'!$BP22="Да",1,0)</x:f>
      </x:c>
      <x:c r="N286" s="708">
        <x:f>IF('МТБЭ'!$BV22="Да",1,0)</x:f>
      </x:c>
      <x:c r="O286" s="375">
        <x:f>IFERROR(ROUND(SUM(C286:N286)/($S$267),1),"")</x:f>
      </x:c>
    </x:row>
    <x:row r="287" spans="1:25" ht="15" customHeight="1" x14ac:dyDescent="0.25">
      <x:c r="A287" s="710"/>
      <x:c r="B287" s="363" t="s">
        <x:v>665</x:v>
      </x:c>
      <x:c r="C287" s="697">
        <x:f>IF('МТБЭ'!$H23="Да",1,0)</x:f>
      </x:c>
      <x:c r="D287" s="698">
        <x:f>IF('МТБЭ'!$N23="Да",1,0)</x:f>
      </x:c>
      <x:c r="E287" s="699">
        <x:f>IF('МТБЭ'!$T23="Да",1,0)</x:f>
      </x:c>
      <x:c r="F287" s="700">
        <x:f>IF('МТБЭ'!$Z23="Да",1,0)</x:f>
      </x:c>
      <x:c r="G287" s="701">
        <x:f>IF('МТБЭ'!$AF23="Да",1,0)</x:f>
      </x:c>
      <x:c r="H287" s="702">
        <x:f>IF('МТБЭ'!$AL23="Да",1,0)</x:f>
      </x:c>
      <x:c r="I287" s="703">
        <x:f>IF('МТБЭ'!$AR23="Да",1,0)</x:f>
      </x:c>
      <x:c r="J287" s="704">
        <x:f>IF('МТБЭ'!$AX23="Да",1,0)</x:f>
      </x:c>
      <x:c r="K287" s="705">
        <x:f>IF('МТБЭ'!$BD23="Да",1,0)</x:f>
      </x:c>
      <x:c r="L287" s="706">
        <x:f>IF('МТБЭ'!$BJ23="Да",1,0)</x:f>
      </x:c>
      <x:c r="M287" s="707">
        <x:f>IF('МТБЭ'!$BP23="Да",1,0)</x:f>
      </x:c>
      <x:c r="N287" s="708">
        <x:f>IF('МТБЭ'!$BV23="Да",1,0)</x:f>
      </x:c>
      <x:c r="O287" s="375">
        <x:f>IFERROR(ROUND(SUM(C287:N287)/($S$267),1),"")</x:f>
      </x:c>
    </x:row>
    <x:row r="288" spans="1:25" ht="15.75" customHeight="1" x14ac:dyDescent="0.25">
      <x:c r="A288" s="717"/>
      <x:c r="B288" s="379" t="s">
        <x:v>666</x:v>
      </x:c>
      <x:c r="C288" s="697">
        <x:f>IF('МТБЭ'!$H24="Да",1,0)</x:f>
      </x:c>
      <x:c r="D288" s="698">
        <x:f>IF('МТБЭ'!$N24="Да",1,0)</x:f>
      </x:c>
      <x:c r="E288" s="699">
        <x:f>IF('МТБЭ'!$T24="Да",1,0)</x:f>
      </x:c>
      <x:c r="F288" s="700">
        <x:f>IF('МТБЭ'!$Z24="Да",1,0)</x:f>
      </x:c>
      <x:c r="G288" s="701">
        <x:f>IF('МТБЭ'!$AF24="Да",1,0)</x:f>
      </x:c>
      <x:c r="H288" s="702">
        <x:f>IF('МТБЭ'!$AL24="Да",1,0)</x:f>
      </x:c>
      <x:c r="I288" s="703">
        <x:f>IF('МТБЭ'!$AR24="Да",1,0)</x:f>
      </x:c>
      <x:c r="J288" s="704">
        <x:f>IF('МТБЭ'!$AX24="Да",1,0)</x:f>
      </x:c>
      <x:c r="K288" s="705">
        <x:f>IF('МТБЭ'!$BD24="Да",1,0)</x:f>
      </x:c>
      <x:c r="L288" s="706">
        <x:f>IF('МТБЭ'!$BJ24="Да",1,0)</x:f>
      </x:c>
      <x:c r="M288" s="707">
        <x:f>IF('МТБЭ'!$BP24="Да",1,0)</x:f>
      </x:c>
      <x:c r="N288" s="708">
        <x:f>IF('МТБЭ'!$BV24="Да",1,0)</x:f>
      </x:c>
      <x:c r="O288" s="375">
        <x:f>IFERROR(ROUND(SUM(C288:N288)/($S$267),1),"")</x:f>
      </x:c>
    </x:row>
    <x:row r="289" spans="1:25" ht="15" customHeight="1" x14ac:dyDescent="0.25">
      <x:c r="A289" s="696" t="s">
        <x:v>1074</x:v>
      </x:c>
      <x:c r="B289" s="363" t="s">
        <x:v>685</x:v>
      </x:c>
      <x:c r="C289" s="697">
        <x:f>IF('ГОБКК'!$H3="Да",1,0)</x:f>
      </x:c>
      <x:c r="D289" s="698">
        <x:f>IF('ГОБКК'!$N3="Да",1,0)</x:f>
      </x:c>
      <x:c r="E289" s="699">
        <x:f>IF('ГОБКК'!$T3="Да",1,0)</x:f>
      </x:c>
      <x:c r="F289" s="700">
        <x:f>IF('ГОБКК'!$Z3="Да",1,0)</x:f>
      </x:c>
      <x:c r="G289" s="701">
        <x:f>IF('ГОБКК'!$AF3="Да",1,0)</x:f>
      </x:c>
      <x:c r="H289" s="702">
        <x:f>IF('ГОБКК'!$AL3="Да",1,0)</x:f>
      </x:c>
      <x:c r="I289" s="703">
        <x:f>IF('ГОБКК'!$AR3="Да",1,0)</x:f>
      </x:c>
      <x:c r="J289" s="704">
        <x:f>IF('ГОБКК'!$AX3="Да",1,0)</x:f>
      </x:c>
      <x:c r="K289" s="705">
        <x:f>IF('ГОБКК'!$BD3="Да",1,0)</x:f>
      </x:c>
      <x:c r="L289" s="706">
        <x:f>IF('ГОБКК'!$BJ3="Да",1,0)</x:f>
      </x:c>
      <x:c r="M289" s="707">
        <x:f>IF('ГОБКК'!$BP3="Да",1,0)</x:f>
      </x:c>
      <x:c r="N289" s="708">
        <x:f>IF('ГОБКК'!$BV3="Да",1,0)</x:f>
      </x:c>
      <x:c r="O289" s="375">
        <x:f>IFERROR(ROUND(SUM(C289:N289)/($S$289),1),"")</x:f>
      </x:c>
      <x:c r="Q289" s="709" t="s">
        <x:v>1151</x:v>
      </x:c>
      <x:c r="R289" s="596"/>
      <x:c r="S289" s="376">
        <x:f>SUM(IF(COUNTIF(C289:C310,"&gt;0")&gt;0,1,0),IF(COUNTIF(D289:D310,"&gt;0")&gt;0,1,0),IF(COUNTIF(E289:E310,"&gt;0")&gt;0,1,0),IF(COUNTIF(F289:F310,"&gt;0")&gt;0,1,0),IF(COUNTIF(G289:G310,"&gt;0")&gt;0,1,0),IF(COUNTIF(H289:H310,"&gt;0")&gt;0,1,0),IF(COUNTIF(I289:I310,"&gt;0")&gt;0,1,0),IF(COUNTIF(J289:J310,"&gt;0")&gt;0,1,0),IF(COUNTIF(K289:K310,"&gt;0")&gt;0,1,0),IF(COUNTIF(L289:L310,"&gt;0")&gt;0,1,0),IF(COUNTIF(M289:M310,"&gt;0")&gt;0,1,0),IF(COUNTIF(N289:N310,"&gt;0")&gt;0,1,0))</x:f>
      </x:c>
    </x:row>
    <x:row r="290" spans="1:25" ht="15" customHeight="1" x14ac:dyDescent="0.25">
      <x:c r="A290" s="710"/>
      <x:c r="B290" s="363" t="s">
        <x:v>691</x:v>
      </x:c>
      <x:c r="C290" s="697">
        <x:f>IF('ГОБКК'!$H4="Да",1,0)</x:f>
      </x:c>
      <x:c r="D290" s="698">
        <x:f>IF('ГОБКК'!$N4="Да",1,0)</x:f>
      </x:c>
      <x:c r="E290" s="699">
        <x:f>IF('ГОБКК'!$T4="Да",1,0)</x:f>
      </x:c>
      <x:c r="F290" s="700">
        <x:f>IF('ГОБКК'!$Z4="Да",1,0)</x:f>
      </x:c>
      <x:c r="G290" s="701">
        <x:f>IF('ГОБКК'!$AF4="Да",1,0)</x:f>
      </x:c>
      <x:c r="H290" s="702">
        <x:f>IF('ГОБКК'!$AL4="Да",1,0)</x:f>
      </x:c>
      <x:c r="I290" s="703">
        <x:f>IF('ГОБКК'!$AR4="Да",1,0)</x:f>
      </x:c>
      <x:c r="J290" s="704">
        <x:f>IF('ГОБКК'!$AX4="Да",1,0)</x:f>
      </x:c>
      <x:c r="K290" s="705">
        <x:f>IF('ГОБКК'!$BD4="Да",1,0)</x:f>
      </x:c>
      <x:c r="L290" s="706">
        <x:f>IF('ГОБКК'!$BJ4="Да",1,0)</x:f>
      </x:c>
      <x:c r="M290" s="707">
        <x:f>IF('ГОБКК'!$BP4="Да",1,0)</x:f>
      </x:c>
      <x:c r="N290" s="708">
        <x:f>IF('ГОБКК'!$BV4="Да",1,0)</x:f>
      </x:c>
      <x:c r="O290" s="375">
        <x:f>IFERROR(ROUND(SUM(C290:N290)/($S$289),1),"")</x:f>
      </x:c>
      <x:c r="Q290" s="711"/>
      <x:c r="R290" s="712"/>
      <x:c r="S290" s="713"/>
    </x:row>
    <x:row r="291" spans="1:25" ht="15" customHeight="1" x14ac:dyDescent="0.25">
      <x:c r="A291" s="710"/>
      <x:c r="B291" s="363" t="s">
        <x:v>678</x:v>
      </x:c>
      <x:c r="C291" s="697">
        <x:f>IF('ГОБКК'!$H5="Да",1,0)</x:f>
      </x:c>
      <x:c r="D291" s="698">
        <x:f>IF('ГОБКК'!$N5="Да",1,0)</x:f>
      </x:c>
      <x:c r="E291" s="699">
        <x:f>IF('ГОБКК'!$T5="Да",1,0)</x:f>
      </x:c>
      <x:c r="F291" s="700">
        <x:f>IF('ГОБКК'!$Z5="Да",1,0)</x:f>
      </x:c>
      <x:c r="G291" s="701">
        <x:f>IF('ГОБКК'!$AF5="Да",1,0)</x:f>
      </x:c>
      <x:c r="H291" s="702">
        <x:f>IF('ГОБКК'!$AL5="Да",1,0)</x:f>
      </x:c>
      <x:c r="I291" s="703">
        <x:f>IF('ГОБКК'!$AR5="Да",1,0)</x:f>
      </x:c>
      <x:c r="J291" s="704">
        <x:f>IF('ГОБКК'!$AX5="Да",1,0)</x:f>
      </x:c>
      <x:c r="K291" s="705">
        <x:f>IF('ГОБКК'!$BD5="Да",1,0)</x:f>
      </x:c>
      <x:c r="L291" s="706">
        <x:f>IF('ГОБКК'!$BJ5="Да",1,0)</x:f>
      </x:c>
      <x:c r="M291" s="707">
        <x:f>IF('ГОБКК'!$BP5="Да",1,0)</x:f>
      </x:c>
      <x:c r="N291" s="708">
        <x:f>IF('ГОБКК'!$BV5="Да",1,0)</x:f>
      </x:c>
      <x:c r="O291" s="375">
        <x:f>IFERROR(ROUND(SUM(C291:N291)/($S$289),1),"")</x:f>
      </x:c>
      <x:c r="Q291" s="714"/>
      <x:c r="R291" s="715"/>
      <x:c r="S291" s="716"/>
    </x:row>
    <x:row r="292" spans="1:25" ht="15" customHeight="1" x14ac:dyDescent="0.25">
      <x:c r="A292" s="710"/>
      <x:c r="B292" s="363" t="s">
        <x:v>694</x:v>
      </x:c>
      <x:c r="C292" s="697">
        <x:f>IF('ГОБКК'!$H6="Да",1,0)</x:f>
      </x:c>
      <x:c r="D292" s="698">
        <x:f>IF('ГОБКК'!$N6="Да",1,0)</x:f>
      </x:c>
      <x:c r="E292" s="699">
        <x:f>IF('ГОБКК'!$T6="Да",1,0)</x:f>
      </x:c>
      <x:c r="F292" s="700">
        <x:f>IF('ГОБКК'!$Z6="Да",1,0)</x:f>
      </x:c>
      <x:c r="G292" s="701">
        <x:f>IF('ГОБКК'!$AF6="Да",1,0)</x:f>
      </x:c>
      <x:c r="H292" s="702">
        <x:f>IF('ГОБКК'!$AL6="Да",1,0)</x:f>
      </x:c>
      <x:c r="I292" s="703">
        <x:f>IF('ГОБКК'!$AR6="Да",1,0)</x:f>
      </x:c>
      <x:c r="J292" s="704">
        <x:f>IF('ГОБКК'!$AX6="Да",1,0)</x:f>
      </x:c>
      <x:c r="K292" s="705">
        <x:f>IF('ГОБКК'!$BD6="Да",1,0)</x:f>
      </x:c>
      <x:c r="L292" s="706">
        <x:f>IF('ГОБКК'!$BJ6="Да",1,0)</x:f>
      </x:c>
      <x:c r="M292" s="707">
        <x:f>IF('ГОБКК'!$BP6="Да",1,0)</x:f>
      </x:c>
      <x:c r="N292" s="708">
        <x:f>IF('ГОБКК'!$BV6="Да",1,0)</x:f>
      </x:c>
      <x:c r="O292" s="375">
        <x:f>IFERROR(ROUND(SUM(C292:N292)/($S$289),1),"")</x:f>
      </x:c>
    </x:row>
    <x:row r="293" spans="1:25" ht="15" customHeight="1" x14ac:dyDescent="0.25">
      <x:c r="A293" s="710"/>
      <x:c r="B293" s="363" t="s">
        <x:v>689</x:v>
      </x:c>
      <x:c r="C293" s="697">
        <x:f>IF('ГОБКК'!$H7="Да",1,0)</x:f>
      </x:c>
      <x:c r="D293" s="698">
        <x:f>IF('ГОБКК'!$N7="Да",1,0)</x:f>
      </x:c>
      <x:c r="E293" s="699">
        <x:f>IF('ГОБКК'!$T7="Да",1,0)</x:f>
      </x:c>
      <x:c r="F293" s="700">
        <x:f>IF('ГОБКК'!$Z7="Да",1,0)</x:f>
      </x:c>
      <x:c r="G293" s="701">
        <x:f>IF('ГОБКК'!$AF7="Да",1,0)</x:f>
      </x:c>
      <x:c r="H293" s="702">
        <x:f>IF('ГОБКК'!$AL7="Да",1,0)</x:f>
      </x:c>
      <x:c r="I293" s="703">
        <x:f>IF('ГОБКК'!$AR7="Да",1,0)</x:f>
      </x:c>
      <x:c r="J293" s="704">
        <x:f>IF('ГОБКК'!$AX7="Да",1,0)</x:f>
      </x:c>
      <x:c r="K293" s="705">
        <x:f>IF('ГОБКК'!$BD7="Да",1,0)</x:f>
      </x:c>
      <x:c r="L293" s="706">
        <x:f>IF('ГОБКК'!$BJ7="Да",1,0)</x:f>
      </x:c>
      <x:c r="M293" s="707">
        <x:f>IF('ГОБКК'!$BP7="Да",1,0)</x:f>
      </x:c>
      <x:c r="N293" s="708">
        <x:f>IF('ГОБКК'!$BV7="Да",1,0)</x:f>
      </x:c>
      <x:c r="O293" s="375">
        <x:f>IFERROR(ROUND(SUM(C293:N293)/($S$289),1),"")</x:f>
      </x:c>
    </x:row>
    <x:row r="294" spans="1:25" ht="15" customHeight="1" x14ac:dyDescent="0.25">
      <x:c r="A294" s="710"/>
      <x:c r="B294" s="363" t="s">
        <x:v>690</x:v>
      </x:c>
      <x:c r="C294" s="697">
        <x:f>IF('ГОБКК'!$H8="Да",1,0)</x:f>
      </x:c>
      <x:c r="D294" s="698">
        <x:f>IF('ГОБКК'!$N8="Да",1,0)</x:f>
      </x:c>
      <x:c r="E294" s="699">
        <x:f>IF('ГОБКК'!$T8="Да",1,0)</x:f>
      </x:c>
      <x:c r="F294" s="700">
        <x:f>IF('ГОБКК'!$Z8="Да",1,0)</x:f>
      </x:c>
      <x:c r="G294" s="701">
        <x:f>IF('ГОБКК'!$AF8="Да",1,0)</x:f>
      </x:c>
      <x:c r="H294" s="702">
        <x:f>IF('ГОБКК'!$AL8="Да",1,0)</x:f>
      </x:c>
      <x:c r="I294" s="703">
        <x:f>IF('ГОБКК'!$AR8="Да",1,0)</x:f>
      </x:c>
      <x:c r="J294" s="704">
        <x:f>IF('ГОБКК'!$AX8="Да",1,0)</x:f>
      </x:c>
      <x:c r="K294" s="705">
        <x:f>IF('ГОБКК'!$BD8="Да",1,0)</x:f>
      </x:c>
      <x:c r="L294" s="706">
        <x:f>IF('ГОБКК'!$BJ8="Да",1,0)</x:f>
      </x:c>
      <x:c r="M294" s="707">
        <x:f>IF('ГОБКК'!$BP8="Да",1,0)</x:f>
      </x:c>
      <x:c r="N294" s="708">
        <x:f>IF('ГОБКК'!$BV8="Да",1,0)</x:f>
      </x:c>
      <x:c r="O294" s="375">
        <x:f>IFERROR(ROUND(SUM(C294:N294)/($S$289),1),"")</x:f>
      </x:c>
    </x:row>
    <x:row r="295" spans="1:25" ht="15" customHeight="1" x14ac:dyDescent="0.25">
      <x:c r="A295" s="710"/>
      <x:c r="B295" s="363" t="s">
        <x:v>686</x:v>
      </x:c>
      <x:c r="C295" s="697">
        <x:f>IF('ГОБКК'!$H9="Да",1,0)</x:f>
      </x:c>
      <x:c r="D295" s="698">
        <x:f>IF('ГОБКК'!$N9="Да",1,0)</x:f>
      </x:c>
      <x:c r="E295" s="699">
        <x:f>IF('ГОБКК'!$T9="Да",1,0)</x:f>
      </x:c>
      <x:c r="F295" s="700">
        <x:f>IF('ГОБКК'!$Z9="Да",1,0)</x:f>
      </x:c>
      <x:c r="G295" s="701">
        <x:f>IF('ГОБКК'!$AF9="Да",1,0)</x:f>
      </x:c>
      <x:c r="H295" s="702">
        <x:f>IF('ГОБКК'!$AL9="Да",1,0)</x:f>
      </x:c>
      <x:c r="I295" s="703">
        <x:f>IF('ГОБКК'!$AR9="Да",1,0)</x:f>
      </x:c>
      <x:c r="J295" s="704">
        <x:f>IF('ГОБКК'!$AX9="Да",1,0)</x:f>
      </x:c>
      <x:c r="K295" s="705">
        <x:f>IF('ГОБКК'!$BD9="Да",1,0)</x:f>
      </x:c>
      <x:c r="L295" s="706">
        <x:f>IF('ГОБКК'!$BJ9="Да",1,0)</x:f>
      </x:c>
      <x:c r="M295" s="707">
        <x:f>IF('ГОБКК'!$BP9="Да",1,0)</x:f>
      </x:c>
      <x:c r="N295" s="708">
        <x:f>IF('ГОБКК'!$BV9="Да",1,0)</x:f>
      </x:c>
      <x:c r="O295" s="375">
        <x:f>IFERROR(ROUND(SUM(C295:N295)/($S$289),1),"")</x:f>
      </x:c>
    </x:row>
    <x:row r="296" spans="1:25" ht="15" customHeight="1" x14ac:dyDescent="0.25">
      <x:c r="A296" s="710"/>
      <x:c r="B296" s="363" t="s">
        <x:v>687</x:v>
      </x:c>
      <x:c r="C296" s="697">
        <x:f>IF('ГОБКК'!$H10="Да",1,0)</x:f>
      </x:c>
      <x:c r="D296" s="698">
        <x:f>IF('ГОБКК'!$N10="Да",1,0)</x:f>
      </x:c>
      <x:c r="E296" s="699">
        <x:f>IF('ГОБКК'!$T10="Да",1,0)</x:f>
      </x:c>
      <x:c r="F296" s="700">
        <x:f>IF('ГОБКК'!$Z10="Да",1,0)</x:f>
      </x:c>
      <x:c r="G296" s="701">
        <x:f>IF('ГОБКК'!$AF10="Да",1,0)</x:f>
      </x:c>
      <x:c r="H296" s="702">
        <x:f>IF('ГОБКК'!$AL10="Да",1,0)</x:f>
      </x:c>
      <x:c r="I296" s="703">
        <x:f>IF('ГОБКК'!$AR10="Да",1,0)</x:f>
      </x:c>
      <x:c r="J296" s="704">
        <x:f>IF('ГОБКК'!$AX10="Да",1,0)</x:f>
      </x:c>
      <x:c r="K296" s="705">
        <x:f>IF('ГОБКК'!$BD10="Да",1,0)</x:f>
      </x:c>
      <x:c r="L296" s="706">
        <x:f>IF('ГОБКК'!$BJ10="Да",1,0)</x:f>
      </x:c>
      <x:c r="M296" s="707">
        <x:f>IF('ГОБКК'!$BP10="Да",1,0)</x:f>
      </x:c>
      <x:c r="N296" s="708">
        <x:f>IF('ГОБКК'!$BV10="Да",1,0)</x:f>
      </x:c>
      <x:c r="O296" s="375">
        <x:f>IFERROR(ROUND(SUM(C296:N296)/($S$289),1),"")</x:f>
      </x:c>
    </x:row>
    <x:row r="297" spans="1:25" ht="15" customHeight="1" x14ac:dyDescent="0.3">
      <x:c r="A297" s="710"/>
      <x:c r="B297" s="363" t="s">
        <x:v>682</x:v>
      </x:c>
      <x:c r="C297" s="697">
        <x:f>IF('ГОБКК'!$H11="Да",1,0)</x:f>
      </x:c>
      <x:c r="D297" s="698">
        <x:f>IF('ГОБКК'!$N11="Да",1,0)</x:f>
      </x:c>
      <x:c r="E297" s="699">
        <x:f>IF('ГОБКК'!$T11="Да",1,0)</x:f>
      </x:c>
      <x:c r="F297" s="700">
        <x:f>IF('ГОБКК'!$Z11="Да",1,0)</x:f>
      </x:c>
      <x:c r="G297" s="701">
        <x:f>IF('ГОБКК'!$AF11="Да",1,0)</x:f>
      </x:c>
      <x:c r="H297" s="702">
        <x:f>IF('ГОБКК'!$AL11="Да",1,0)</x:f>
      </x:c>
      <x:c r="I297" s="703">
        <x:f>IF('ГОБКК'!$AR11="Да",1,0)</x:f>
      </x:c>
      <x:c r="J297" s="704">
        <x:f>IF('ГОБКК'!$AX11="Да",1,0)</x:f>
      </x:c>
      <x:c r="K297" s="705">
        <x:f>IF('ГОБКК'!$BD11="Да",1,0)</x:f>
      </x:c>
      <x:c r="L297" s="706">
        <x:f>IF('ГОБКК'!$BJ11="Да",1,0)</x:f>
      </x:c>
      <x:c r="M297" s="707">
        <x:f>IF('ГОБКК'!$BP11="Да",1,0)</x:f>
      </x:c>
      <x:c r="N297" s="708">
        <x:f>IF('ГОБКК'!$BV11="Да",1,0)</x:f>
      </x:c>
      <x:c r="O297" s="375">
        <x:f>IFERROR(ROUND(SUM(C297:N297)/($S$289),1),"")</x:f>
      </x:c>
    </x:row>
    <x:row r="298" spans="1:25" ht="15" customHeight="1" x14ac:dyDescent="0.25">
      <x:c r="A298" s="710"/>
      <x:c r="B298" s="363" t="s">
        <x:v>684</x:v>
      </x:c>
      <x:c r="C298" s="697">
        <x:f>IF('ГОБКК'!$H12="Да",1,0)</x:f>
      </x:c>
      <x:c r="D298" s="698">
        <x:f>IF('ГОБКК'!$N12="Да",1,0)</x:f>
      </x:c>
      <x:c r="E298" s="699">
        <x:f>IF('ГОБКК'!$T12="Да",1,0)</x:f>
      </x:c>
      <x:c r="F298" s="700">
        <x:f>IF('ГОБКК'!$Z12="Да",1,0)</x:f>
      </x:c>
      <x:c r="G298" s="701">
        <x:f>IF('ГОБКК'!$AF12="Да",1,0)</x:f>
      </x:c>
      <x:c r="H298" s="702">
        <x:f>IF('ГОБКК'!$AL12="Да",1,0)</x:f>
      </x:c>
      <x:c r="I298" s="703">
        <x:f>IF('ГОБКК'!$AR12="Да",1,0)</x:f>
      </x:c>
      <x:c r="J298" s="704">
        <x:f>IF('ГОБКК'!$AX12="Да",1,0)</x:f>
      </x:c>
      <x:c r="K298" s="705">
        <x:f>IF('ГОБКК'!$BD12="Да",1,0)</x:f>
      </x:c>
      <x:c r="L298" s="706">
        <x:f>IF('ГОБКК'!$BJ12="Да",1,0)</x:f>
      </x:c>
      <x:c r="M298" s="707">
        <x:f>IF('ГОБКК'!$BP12="Да",1,0)</x:f>
      </x:c>
      <x:c r="N298" s="708">
        <x:f>IF('ГОБКК'!$BV12="Да",1,0)</x:f>
      </x:c>
      <x:c r="O298" s="375">
        <x:f>IFERROR(ROUND(SUM(C298:N298)/($S$289),1),"")</x:f>
      </x:c>
    </x:row>
    <x:row r="299" spans="1:25" ht="15" customHeight="1" x14ac:dyDescent="0.25">
      <x:c r="A299" s="710"/>
      <x:c r="B299" s="363" t="s">
        <x:v>679</x:v>
      </x:c>
      <x:c r="C299" s="697">
        <x:f>IF('ГОБКК'!$H13="Да",1,0)</x:f>
      </x:c>
      <x:c r="D299" s="698">
        <x:f>IF('ГОБКК'!$N13="Да",1,0)</x:f>
      </x:c>
      <x:c r="E299" s="699">
        <x:f>IF('ГОБКК'!$T13="Да",1,0)</x:f>
      </x:c>
      <x:c r="F299" s="700">
        <x:f>IF('ГОБКК'!$Z13="Да",1,0)</x:f>
      </x:c>
      <x:c r="G299" s="701">
        <x:f>IF('ГОБКК'!$AF13="Да",1,0)</x:f>
      </x:c>
      <x:c r="H299" s="702">
        <x:f>IF('ГОБКК'!$AL13="Да",1,0)</x:f>
      </x:c>
      <x:c r="I299" s="703">
        <x:f>IF('ГОБКК'!$AR13="Да",1,0)</x:f>
      </x:c>
      <x:c r="J299" s="704">
        <x:f>IF('ГОБКК'!$AX13="Да",1,0)</x:f>
      </x:c>
      <x:c r="K299" s="705">
        <x:f>IF('ГОБКК'!$BD13="Да",1,0)</x:f>
      </x:c>
      <x:c r="L299" s="706">
        <x:f>IF('ГОБКК'!$BJ13="Да",1,0)</x:f>
      </x:c>
      <x:c r="M299" s="707">
        <x:f>IF('ГОБКК'!$BP13="Да",1,0)</x:f>
      </x:c>
      <x:c r="N299" s="708">
        <x:f>IF('ГОБКК'!$BV13="Да",1,0)</x:f>
      </x:c>
      <x:c r="O299" s="375">
        <x:f>IFERROR(ROUND(SUM(C299:N299)/($S$289),1),"")</x:f>
      </x:c>
    </x:row>
    <x:row r="300" spans="1:25" ht="15" customHeight="1" x14ac:dyDescent="0.25">
      <x:c r="A300" s="710"/>
      <x:c r="B300" s="363" t="s">
        <x:v>675</x:v>
      </x:c>
      <x:c r="C300" s="697">
        <x:f>IF('ГОБКК'!$H14="Да",1,0)</x:f>
      </x:c>
      <x:c r="D300" s="698">
        <x:f>IF('ГОБКК'!$N14="Да",1,0)</x:f>
      </x:c>
      <x:c r="E300" s="699">
        <x:f>IF('ГОБКК'!$T14="Да",1,0)</x:f>
      </x:c>
      <x:c r="F300" s="700">
        <x:f>IF('ГОБКК'!$Z14="Да",1,0)</x:f>
      </x:c>
      <x:c r="G300" s="701">
        <x:f>IF('ГОБКК'!$AF14="Да",1,0)</x:f>
      </x:c>
      <x:c r="H300" s="702">
        <x:f>IF('ГОБКК'!$AL14="Да",1,0)</x:f>
      </x:c>
      <x:c r="I300" s="703">
        <x:f>IF('ГОБКК'!$AR14="Да",1,0)</x:f>
      </x:c>
      <x:c r="J300" s="704">
        <x:f>IF('ГОБКК'!$AX14="Да",1,0)</x:f>
      </x:c>
      <x:c r="K300" s="705">
        <x:f>IF('ГОБКК'!$BD14="Да",1,0)</x:f>
      </x:c>
      <x:c r="L300" s="706">
        <x:f>IF('ГОБКК'!$BJ14="Да",1,0)</x:f>
      </x:c>
      <x:c r="M300" s="707">
        <x:f>IF('ГОБКК'!$BP14="Да",1,0)</x:f>
      </x:c>
      <x:c r="N300" s="708">
        <x:f>IF('ГОБКК'!$BV14="Да",1,0)</x:f>
      </x:c>
      <x:c r="O300" s="375">
        <x:f>IFERROR(ROUND(SUM(C300:N300)/($S$289),1),"")</x:f>
      </x:c>
    </x:row>
    <x:row r="301" spans="1:25" ht="15" customHeight="1" x14ac:dyDescent="0.25">
      <x:c r="A301" s="710"/>
      <x:c r="B301" s="363" t="s">
        <x:v>688</x:v>
      </x:c>
      <x:c r="C301" s="697">
        <x:f>IF('ГОБКК'!$H15="Да",1,0)</x:f>
      </x:c>
      <x:c r="D301" s="698">
        <x:f>IF('ГОБКК'!$N15="Да",1,0)</x:f>
      </x:c>
      <x:c r="E301" s="699">
        <x:f>IF('ГОБКК'!$T15="Да",1,0)</x:f>
      </x:c>
      <x:c r="F301" s="700">
        <x:f>IF('ГОБКК'!$Z15="Да",1,0)</x:f>
      </x:c>
      <x:c r="G301" s="701">
        <x:f>IF('ГОБКК'!$AF15="Да",1,0)</x:f>
      </x:c>
      <x:c r="H301" s="702">
        <x:f>IF('ГОБКК'!$AL15="Да",1,0)</x:f>
      </x:c>
      <x:c r="I301" s="703">
        <x:f>IF('ГОБКК'!$AR15="Да",1,0)</x:f>
      </x:c>
      <x:c r="J301" s="704">
        <x:f>IF('ГОБКК'!$AX15="Да",1,0)</x:f>
      </x:c>
      <x:c r="K301" s="705">
        <x:f>IF('ГОБКК'!$BD15="Да",1,0)</x:f>
      </x:c>
      <x:c r="L301" s="706">
        <x:f>IF('ГОБКК'!$BJ15="Да",1,0)</x:f>
      </x:c>
      <x:c r="M301" s="707">
        <x:f>IF('ГОБКК'!$BP15="Да",1,0)</x:f>
      </x:c>
      <x:c r="N301" s="708">
        <x:f>IF('ГОБКК'!$BV15="Да",1,0)</x:f>
      </x:c>
      <x:c r="O301" s="375">
        <x:f>IFERROR(ROUND(SUM(C301:N301)/($S$289),1),"")</x:f>
      </x:c>
    </x:row>
    <x:row r="302" spans="1:25" ht="15" customHeight="1" x14ac:dyDescent="0.25">
      <x:c r="A302" s="710"/>
      <x:c r="B302" s="363" t="s">
        <x:v>677</x:v>
      </x:c>
      <x:c r="C302" s="697">
        <x:f>IF('ГОБКК'!$H16="Да",1,0)</x:f>
      </x:c>
      <x:c r="D302" s="698">
        <x:f>IF('ГОБКК'!$N16="Да",1,0)</x:f>
      </x:c>
      <x:c r="E302" s="699">
        <x:f>IF('ГОБКК'!$T16="Да",1,0)</x:f>
      </x:c>
      <x:c r="F302" s="700">
        <x:f>IF('ГОБКК'!$Z16="Да",1,0)</x:f>
      </x:c>
      <x:c r="G302" s="701">
        <x:f>IF('ГОБКК'!$AF16="Да",1,0)</x:f>
      </x:c>
      <x:c r="H302" s="702">
        <x:f>IF('ГОБКК'!$AL16="Да",1,0)</x:f>
      </x:c>
      <x:c r="I302" s="703">
        <x:f>IF('ГОБКК'!$AR16="Да",1,0)</x:f>
      </x:c>
      <x:c r="J302" s="704">
        <x:f>IF('ГОБКК'!$AX16="Да",1,0)</x:f>
      </x:c>
      <x:c r="K302" s="705">
        <x:f>IF('ГОБКК'!$BD16="Да",1,0)</x:f>
      </x:c>
      <x:c r="L302" s="706">
        <x:f>IF('ГОБКК'!$BJ16="Да",1,0)</x:f>
      </x:c>
      <x:c r="M302" s="707">
        <x:f>IF('ГОБКК'!$BP16="Да",1,0)</x:f>
      </x:c>
      <x:c r="N302" s="708">
        <x:f>IF('ГОБКК'!$BV16="Да",1,0)</x:f>
      </x:c>
      <x:c r="O302" s="375">
        <x:f>IFERROR(ROUND(SUM(C302:N302)/($S$289),1),"")</x:f>
      </x:c>
    </x:row>
    <x:row r="303" spans="1:25" ht="15" customHeight="1" x14ac:dyDescent="0.25">
      <x:c r="A303" s="710"/>
      <x:c r="B303" s="363" t="s">
        <x:v>696</x:v>
      </x:c>
      <x:c r="C303" s="697">
        <x:f>IF('ГОБКК'!$H17="Да",1,0)</x:f>
      </x:c>
      <x:c r="D303" s="698">
        <x:f>IF('ГОБКК'!$N17="Да",1,0)</x:f>
      </x:c>
      <x:c r="E303" s="699">
        <x:f>IF('ГОБКК'!$T17="Да",1,0)</x:f>
      </x:c>
      <x:c r="F303" s="700">
        <x:f>IF('ГОБКК'!$Z17="Да",1,0)</x:f>
      </x:c>
      <x:c r="G303" s="701">
        <x:f>IF('ГОБКК'!$AF17="Да",1,0)</x:f>
      </x:c>
      <x:c r="H303" s="702">
        <x:f>IF('ГОБКК'!$AL17="Да",1,0)</x:f>
      </x:c>
      <x:c r="I303" s="703">
        <x:f>IF('ГОБКК'!$AR17="Да",1,0)</x:f>
      </x:c>
      <x:c r="J303" s="704">
        <x:f>IF('ГОБКК'!$AX17="Да",1,0)</x:f>
      </x:c>
      <x:c r="K303" s="705">
        <x:f>IF('ГОБКК'!$BD17="Да",1,0)</x:f>
      </x:c>
      <x:c r="L303" s="706">
        <x:f>IF('ГОБКК'!$BJ17="Да",1,0)</x:f>
      </x:c>
      <x:c r="M303" s="707">
        <x:f>IF('ГОБКК'!$BP17="Да",1,0)</x:f>
      </x:c>
      <x:c r="N303" s="708">
        <x:f>IF('ГОБКК'!$BV17="Да",1,0)</x:f>
      </x:c>
      <x:c r="O303" s="375">
        <x:f>IFERROR(ROUND(SUM(C303:N303)/($S$289),1),"")</x:f>
      </x:c>
    </x:row>
    <x:row r="304" spans="1:25" ht="15" customHeight="1" x14ac:dyDescent="0.25">
      <x:c r="A304" s="710"/>
      <x:c r="B304" s="363" t="s">
        <x:v>683</x:v>
      </x:c>
      <x:c r="C304" s="697">
        <x:f>IF('ГОБКК'!$H18="Да",1,0)</x:f>
      </x:c>
      <x:c r="D304" s="698">
        <x:f>IF('ГОБКК'!$N18="Да",1,0)</x:f>
      </x:c>
      <x:c r="E304" s="699">
        <x:f>IF('ГОБКК'!$T18="Да",1,0)</x:f>
      </x:c>
      <x:c r="F304" s="700">
        <x:f>IF('ГОБКК'!$Z18="Да",1,0)</x:f>
      </x:c>
      <x:c r="G304" s="701">
        <x:f>IF('ГОБКК'!$AF18="Да",1,0)</x:f>
      </x:c>
      <x:c r="H304" s="702">
        <x:f>IF('ГОБКК'!$AL18="Да",1,0)</x:f>
      </x:c>
      <x:c r="I304" s="703">
        <x:f>IF('ГОБКК'!$AR18="Да",1,0)</x:f>
      </x:c>
      <x:c r="J304" s="704">
        <x:f>IF('ГОБКК'!$AX18="Да",1,0)</x:f>
      </x:c>
      <x:c r="K304" s="705">
        <x:f>IF('ГОБКК'!$BD18="Да",1,0)</x:f>
      </x:c>
      <x:c r="L304" s="706">
        <x:f>IF('ГОБКК'!$BJ18="Да",1,0)</x:f>
      </x:c>
      <x:c r="M304" s="707">
        <x:f>IF('ГОБКК'!$BP18="Да",1,0)</x:f>
      </x:c>
      <x:c r="N304" s="708">
        <x:f>IF('ГОБКК'!$BV18="Да",1,0)</x:f>
      </x:c>
      <x:c r="O304" s="375">
        <x:f>IFERROR(ROUND(SUM(C304:N304)/($S$289),1),"")</x:f>
      </x:c>
    </x:row>
    <x:row r="305" spans="1:25" ht="15" customHeight="1" x14ac:dyDescent="0.25">
      <x:c r="A305" s="710"/>
      <x:c r="B305" s="363" t="s">
        <x:v>1117</x:v>
      </x:c>
      <x:c r="C305" s="697">
        <x:f>IF('ГОБКК'!$H19="Да",1,0)</x:f>
      </x:c>
      <x:c r="D305" s="698">
        <x:f>IF('ГОБКК'!$N19="Да",1,0)</x:f>
      </x:c>
      <x:c r="E305" s="699">
        <x:f>IF('ГОБКК'!$T19="Да",1,0)</x:f>
      </x:c>
      <x:c r="F305" s="700">
        <x:f>IF('ГОБКК'!$Z19="Да",1,0)</x:f>
      </x:c>
      <x:c r="G305" s="701">
        <x:f>IF('ГОБКК'!$AF19="Да",1,0)</x:f>
      </x:c>
      <x:c r="H305" s="702">
        <x:f>IF('ГОБКК'!$AL19="Да",1,0)</x:f>
      </x:c>
      <x:c r="I305" s="703">
        <x:f>IF('ГОБКК'!$AR19="Да",1,0)</x:f>
      </x:c>
      <x:c r="J305" s="704">
        <x:f>IF('ГОБКК'!$AX19="Да",1,0)</x:f>
      </x:c>
      <x:c r="K305" s="705">
        <x:f>IF('ГОБКК'!$BD19="Да",1,0)</x:f>
      </x:c>
      <x:c r="L305" s="706">
        <x:f>IF('ГОБКК'!$BJ19="Да",1,0)</x:f>
      </x:c>
      <x:c r="M305" s="707">
        <x:f>IF('ГОБКК'!$BP19="Да",1,0)</x:f>
      </x:c>
      <x:c r="N305" s="708">
        <x:f>IF('ГОБКК'!$BV19="Да",1,0)</x:f>
      </x:c>
      <x:c r="O305" s="375">
        <x:f>IFERROR(ROUND(SUM(C305:N305)/($S$289),1),"")</x:f>
      </x:c>
    </x:row>
    <x:row r="306" spans="1:25" ht="15" customHeight="1" x14ac:dyDescent="0.25">
      <x:c r="A306" s="710"/>
      <x:c r="B306" s="363" t="s">
        <x:v>680</x:v>
      </x:c>
      <x:c r="C306" s="697">
        <x:f>IF('ГОБКК'!$H20="Да",1,0)</x:f>
      </x:c>
      <x:c r="D306" s="698">
        <x:f>IF('ГОБКК'!$N20="Да",1,0)</x:f>
      </x:c>
      <x:c r="E306" s="699">
        <x:f>IF('ГОБКК'!$T20="Да",1,0)</x:f>
      </x:c>
      <x:c r="F306" s="700">
        <x:f>IF('ГОБКК'!$Z20="Да",1,0)</x:f>
      </x:c>
      <x:c r="G306" s="701">
        <x:f>IF('ГОБКК'!$AF20="Да",1,0)</x:f>
      </x:c>
      <x:c r="H306" s="702">
        <x:f>IF('ГОБКК'!$AL20="Да",1,0)</x:f>
      </x:c>
      <x:c r="I306" s="703">
        <x:f>IF('ГОБКК'!$AR20="Да",1,0)</x:f>
      </x:c>
      <x:c r="J306" s="704">
        <x:f>IF('ГОБКК'!$AX20="Да",1,0)</x:f>
      </x:c>
      <x:c r="K306" s="705">
        <x:f>IF('ГОБКК'!$BD20="Да",1,0)</x:f>
      </x:c>
      <x:c r="L306" s="706">
        <x:f>IF('ГОБКК'!$BJ20="Да",1,0)</x:f>
      </x:c>
      <x:c r="M306" s="707">
        <x:f>IF('ГОБКК'!$BP20="Да",1,0)</x:f>
      </x:c>
      <x:c r="N306" s="708">
        <x:f>IF('ГОБКК'!$BV20="Да",1,0)</x:f>
      </x:c>
      <x:c r="O306" s="375">
        <x:f>IFERROR(ROUND(SUM(C306:N306)/($S$289),1),"")</x:f>
      </x:c>
    </x:row>
    <x:row r="307" spans="1:25" ht="15" customHeight="1" x14ac:dyDescent="0.25">
      <x:c r="A307" s="710"/>
      <x:c r="B307" s="363" t="s">
        <x:v>695</x:v>
      </x:c>
      <x:c r="C307" s="697">
        <x:f>IF('ГОБКК'!$H21="Да",1,0)</x:f>
      </x:c>
      <x:c r="D307" s="698">
        <x:f>IF('ГОБКК'!$N21="Да",1,0)</x:f>
      </x:c>
      <x:c r="E307" s="699">
        <x:f>IF('ГОБКК'!$T21="Да",1,0)</x:f>
      </x:c>
      <x:c r="F307" s="700">
        <x:f>IF('ГОБКК'!$Z21="Да",1,0)</x:f>
      </x:c>
      <x:c r="G307" s="701">
        <x:f>IF('ГОБКК'!$AF21="Да",1,0)</x:f>
      </x:c>
      <x:c r="H307" s="702">
        <x:f>IF('ГОБКК'!$AL21="Да",1,0)</x:f>
      </x:c>
      <x:c r="I307" s="703">
        <x:f>IF('ГОБКК'!$AR21="Да",1,0)</x:f>
      </x:c>
      <x:c r="J307" s="704">
        <x:f>IF('ГОБКК'!$AX21="Да",1,0)</x:f>
      </x:c>
      <x:c r="K307" s="705">
        <x:f>IF('ГОБКК'!$BD21="Да",1,0)</x:f>
      </x:c>
      <x:c r="L307" s="706">
        <x:f>IF('ГОБКК'!$BJ21="Да",1,0)</x:f>
      </x:c>
      <x:c r="M307" s="707">
        <x:f>IF('ГОБКК'!$BP21="Да",1,0)</x:f>
      </x:c>
      <x:c r="N307" s="708">
        <x:f>IF('ГОБКК'!$BV21="Да",1,0)</x:f>
      </x:c>
      <x:c r="O307" s="375">
        <x:f>IFERROR(ROUND(SUM(C307:N307)/($S$289),1),"")</x:f>
      </x:c>
    </x:row>
    <x:row r="308" spans="1:25" ht="15" customHeight="1" x14ac:dyDescent="0.25">
      <x:c r="A308" s="710"/>
      <x:c r="B308" s="363" t="s">
        <x:v>692</x:v>
      </x:c>
      <x:c r="C308" s="697">
        <x:f>IF('ГОБКК'!$H22="Да",1,0)</x:f>
      </x:c>
      <x:c r="D308" s="698">
        <x:f>IF('ГОБКК'!$N22="Да",1,0)</x:f>
      </x:c>
      <x:c r="E308" s="699">
        <x:f>IF('ГОБКК'!$T22="Да",1,0)</x:f>
      </x:c>
      <x:c r="F308" s="700">
        <x:f>IF('ГОБКК'!$Z22="Да",1,0)</x:f>
      </x:c>
      <x:c r="G308" s="701">
        <x:f>IF('ГОБКК'!$AF22="Да",1,0)</x:f>
      </x:c>
      <x:c r="H308" s="702">
        <x:f>IF('ГОБКК'!$AL22="Да",1,0)</x:f>
      </x:c>
      <x:c r="I308" s="703">
        <x:f>IF('ГОБКК'!$AR22="Да",1,0)</x:f>
      </x:c>
      <x:c r="J308" s="704">
        <x:f>IF('ГОБКК'!$AX22="Да",1,0)</x:f>
      </x:c>
      <x:c r="K308" s="705">
        <x:f>IF('ГОБКК'!$BD22="Да",1,0)</x:f>
      </x:c>
      <x:c r="L308" s="706">
        <x:f>IF('ГОБКК'!$BJ22="Да",1,0)</x:f>
      </x:c>
      <x:c r="M308" s="707">
        <x:f>IF('ГОБКК'!$BP22="Да",1,0)</x:f>
      </x:c>
      <x:c r="N308" s="708">
        <x:f>IF('ГОБКК'!$BV22="Да",1,0)</x:f>
      </x:c>
      <x:c r="O308" s="375">
        <x:f>IFERROR(ROUND(SUM(C308:N308)/($S$289),1),"")</x:f>
      </x:c>
    </x:row>
    <x:row r="309" spans="1:25" ht="15" customHeight="1" x14ac:dyDescent="0.25">
      <x:c r="A309" s="710"/>
      <x:c r="B309" s="363" t="s">
        <x:v>693</x:v>
      </x:c>
      <x:c r="C309" s="697">
        <x:f>IF('ГОБКК'!$H23="Да",1,0)</x:f>
      </x:c>
      <x:c r="D309" s="698">
        <x:f>IF('ГОБКК'!$N23="Да",1,0)</x:f>
      </x:c>
      <x:c r="E309" s="699">
        <x:f>IF('ГОБКК'!$T23="Да",1,0)</x:f>
      </x:c>
      <x:c r="F309" s="700">
        <x:f>IF('ГОБКК'!$Z23="Да",1,0)</x:f>
      </x:c>
      <x:c r="G309" s="701">
        <x:f>IF('ГОБКК'!$AF23="Да",1,0)</x:f>
      </x:c>
      <x:c r="H309" s="702">
        <x:f>IF('ГОБКК'!$AL23="Да",1,0)</x:f>
      </x:c>
      <x:c r="I309" s="703">
        <x:f>IF('ГОБКК'!$AR23="Да",1,0)</x:f>
      </x:c>
      <x:c r="J309" s="704">
        <x:f>IF('ГОБКК'!$AX23="Да",1,0)</x:f>
      </x:c>
      <x:c r="K309" s="705">
        <x:f>IF('ГОБКК'!$BD23="Да",1,0)</x:f>
      </x:c>
      <x:c r="L309" s="706">
        <x:f>IF('ГОБКК'!$BJ23="Да",1,0)</x:f>
      </x:c>
      <x:c r="M309" s="707">
        <x:f>IF('ГОБКК'!$BP23="Да",1,0)</x:f>
      </x:c>
      <x:c r="N309" s="708">
        <x:f>IF('ГОБКК'!$BV23="Да",1,0)</x:f>
      </x:c>
      <x:c r="O309" s="375">
        <x:f>IFERROR(ROUND(SUM(C309:N309)/($S$289),1),"")</x:f>
      </x:c>
    </x:row>
    <x:row r="310" spans="1:25" ht="15.75" customHeight="1" x14ac:dyDescent="0.25">
      <x:c r="A310" s="717"/>
      <x:c r="B310" s="379" t="s">
        <x:v>681</x:v>
      </x:c>
      <x:c r="C310" s="697">
        <x:f>IF('ГОБКК'!$H24="Да",1,0)</x:f>
      </x:c>
      <x:c r="D310" s="698">
        <x:f>IF('ГОБКК'!$N24="Да",1,0)</x:f>
      </x:c>
      <x:c r="E310" s="699">
        <x:f>IF('ГОБКК'!$T24="Да",1,0)</x:f>
      </x:c>
      <x:c r="F310" s="700">
        <x:f>IF('ГОБКК'!$Z24="Да",1,0)</x:f>
      </x:c>
      <x:c r="G310" s="701">
        <x:f>IF('ГОБКК'!$AF24="Да",1,0)</x:f>
      </x:c>
      <x:c r="H310" s="702">
        <x:f>IF('ГОБКК'!$AL24="Да",1,0)</x:f>
      </x:c>
      <x:c r="I310" s="703">
        <x:f>IF('ГОБКК'!$AR24="Да",1,0)</x:f>
      </x:c>
      <x:c r="J310" s="704">
        <x:f>IF('ГОБКК'!$AX24="Да",1,0)</x:f>
      </x:c>
      <x:c r="K310" s="705">
        <x:f>IF('ГОБКК'!$BD24="Да",1,0)</x:f>
      </x:c>
      <x:c r="L310" s="706">
        <x:f>IF('ГОБКК'!$BJ24="Да",1,0)</x:f>
      </x:c>
      <x:c r="M310" s="707">
        <x:f>IF('ГОБКК'!$BP24="Да",1,0)</x:f>
      </x:c>
      <x:c r="N310" s="708">
        <x:f>IF('ГОБКК'!$BV24="Да",1,0)</x:f>
      </x:c>
      <x:c r="O310" s="375">
        <x:f>IFERROR(ROUND(SUM(C310:N310)/($S$289),1),"")</x:f>
      </x:c>
    </x:row>
    <x:row r="311" spans="1:25" ht="15" customHeight="1" x14ac:dyDescent="0.25">
      <x:c r="A311" s="696" t="s">
        <x:v>1075</x:v>
      </x:c>
      <x:c r="B311" s="363" t="s">
        <x:v>732</x:v>
      </x:c>
      <x:c r="C311" s="697">
        <x:f>IF('УПС'!$H3="Да",1,0)</x:f>
      </x:c>
      <x:c r="D311" s="698">
        <x:f>IF('УПС'!$N3="Да",1,0)</x:f>
      </x:c>
      <x:c r="E311" s="699">
        <x:f>IF('УПС'!$T3="Да",1,0)</x:f>
      </x:c>
      <x:c r="F311" s="700">
        <x:f>IF('УПС'!$Z3="Да",1,0)</x:f>
      </x:c>
      <x:c r="G311" s="701">
        <x:f>IF('УПС'!$AF3="Да",1,0)</x:f>
      </x:c>
      <x:c r="H311" s="702">
        <x:f>IF('УПС'!$AL3="Да",1,0)</x:f>
      </x:c>
      <x:c r="I311" s="703">
        <x:f>IF('УПС'!$AR3="Да",1,0)</x:f>
      </x:c>
      <x:c r="J311" s="704">
        <x:f>IF('УПС'!$AX3="Да",1,0)</x:f>
      </x:c>
      <x:c r="K311" s="705">
        <x:f>IF('УПС'!$BD3="Да",1,0)</x:f>
      </x:c>
      <x:c r="L311" s="706">
        <x:f>IF('УПС'!$BJ3="Да",1,0)</x:f>
      </x:c>
      <x:c r="M311" s="707">
        <x:f>IF('УПС'!$BP3="Да",1,0)</x:f>
      </x:c>
      <x:c r="N311" s="708">
        <x:f>IF('УПС'!$BV3="Да",1,0)</x:f>
      </x:c>
      <x:c r="O311" s="375">
        <x:f>IFERROR(ROUND(SUM(C311:N311)/($S$311),1),"")</x:f>
      </x:c>
      <x:c r="Q311" s="709" t="s">
        <x:v>1151</x:v>
      </x:c>
      <x:c r="R311" s="596"/>
      <x:c r="S311" s="376">
        <x:f>SUM(IF(COUNTIF(C311:C362,"&gt;0")&gt;0,1,0),IF(COUNTIF(D311:D362,"&gt;0")&gt;0,1,0),IF(COUNTIF(E311:E362,"&gt;0")&gt;0,1,0),IF(COUNTIF(F311:F362,"&gt;0")&gt;0,1,0),IF(COUNTIF(G311:G362,"&gt;0")&gt;0,1,0),IF(COUNTIF(H311:H362,"&gt;0")&gt;0,1,0),IF(COUNTIF(I311:I362,"&gt;0")&gt;0,1,0),IF(COUNTIF(J311:J362,"&gt;0")&gt;0,1,0),IF(COUNTIF(K311:K362,"&gt;0")&gt;0,1,0),IF(COUNTIF(L311:L362,"&gt;0")&gt;0,1,0),IF(COUNTIF(M311:M362,"&gt;0")&gt;0,1,0),IF(COUNTIF(N311:N362,"&gt;0")&gt;0,1,0))</x:f>
      </x:c>
    </x:row>
    <x:row r="312" spans="1:25" ht="15" customHeight="1" x14ac:dyDescent="0.25">
      <x:c r="A312" s="710"/>
      <x:c r="B312" s="363" t="s">
        <x:v>726</x:v>
      </x:c>
      <x:c r="C312" s="697">
        <x:f>IF('УПС'!$H4="Да",1,0)</x:f>
      </x:c>
      <x:c r="D312" s="698">
        <x:f>IF('УПС'!$N4="Да",1,0)</x:f>
      </x:c>
      <x:c r="E312" s="699">
        <x:f>IF('УПС'!$T4="Да",1,0)</x:f>
      </x:c>
      <x:c r="F312" s="700">
        <x:f>IF('УПС'!$Z4="Да",1,0)</x:f>
      </x:c>
      <x:c r="G312" s="701">
        <x:f>IF('УПС'!$AF4="Да",1,0)</x:f>
      </x:c>
      <x:c r="H312" s="702">
        <x:f>IF('УПС'!$AL4="Да",1,0)</x:f>
      </x:c>
      <x:c r="I312" s="703">
        <x:f>IF('УПС'!$AR4="Да",1,0)</x:f>
      </x:c>
      <x:c r="J312" s="704">
        <x:f>IF('УПС'!$AX4="Да",1,0)</x:f>
      </x:c>
      <x:c r="K312" s="705">
        <x:f>IF('УПС'!$BD4="Да",1,0)</x:f>
      </x:c>
      <x:c r="L312" s="706">
        <x:f>IF('УПС'!$BJ4="Да",1,0)</x:f>
      </x:c>
      <x:c r="M312" s="707">
        <x:f>IF('УПС'!$BP4="Да",1,0)</x:f>
      </x:c>
      <x:c r="N312" s="708">
        <x:f>IF('УПС'!$BV4="Да",1,0)</x:f>
      </x:c>
      <x:c r="O312" s="375">
        <x:f>IFERROR(ROUND(SUM(C312:N312)/($S$311),1),"")</x:f>
      </x:c>
      <x:c r="Q312" s="711"/>
      <x:c r="R312" s="712"/>
      <x:c r="S312" s="713"/>
    </x:row>
    <x:row r="313" spans="1:25" ht="15" customHeight="1" x14ac:dyDescent="0.25">
      <x:c r="A313" s="710"/>
      <x:c r="B313" s="363" t="s">
        <x:v>737</x:v>
      </x:c>
      <x:c r="C313" s="697">
        <x:f>IF('УПС'!$H5="Да",1,0)</x:f>
      </x:c>
      <x:c r="D313" s="698">
        <x:f>IF('УПС'!$N5="Да",1,0)</x:f>
      </x:c>
      <x:c r="E313" s="699">
        <x:f>IF('УПС'!$T5="Да",1,0)</x:f>
      </x:c>
      <x:c r="F313" s="700">
        <x:f>IF('УПС'!$Z5="Да",1,0)</x:f>
      </x:c>
      <x:c r="G313" s="701">
        <x:f>IF('УПС'!$AF5="Да",1,0)</x:f>
      </x:c>
      <x:c r="H313" s="702">
        <x:f>IF('УПС'!$AL5="Да",1,0)</x:f>
      </x:c>
      <x:c r="I313" s="703">
        <x:f>IF('УПС'!$AR5="Да",1,0)</x:f>
      </x:c>
      <x:c r="J313" s="704">
        <x:f>IF('УПС'!$AX5="Да",1,0)</x:f>
      </x:c>
      <x:c r="K313" s="705">
        <x:f>IF('УПС'!$BD5="Да",1,0)</x:f>
      </x:c>
      <x:c r="L313" s="706">
        <x:f>IF('УПС'!$BJ5="Да",1,0)</x:f>
      </x:c>
      <x:c r="M313" s="707">
        <x:f>IF('УПС'!$BP5="Да",1,0)</x:f>
      </x:c>
      <x:c r="N313" s="708">
        <x:f>IF('УПС'!$BV5="Да",1,0)</x:f>
      </x:c>
      <x:c r="O313" s="375">
        <x:f>IFERROR(ROUND(SUM(C313:N313)/($S$311),1),"")</x:f>
      </x:c>
      <x:c r="Q313" s="714"/>
      <x:c r="R313" s="715"/>
      <x:c r="S313" s="716"/>
    </x:row>
    <x:row r="314" spans="1:25" ht="15" customHeight="1" x14ac:dyDescent="0.25">
      <x:c r="A314" s="710"/>
      <x:c r="B314" s="363" t="s">
        <x:v>1118</x:v>
      </x:c>
      <x:c r="C314" s="697">
        <x:f>IF('УПС'!$H6="Да",1,0)</x:f>
      </x:c>
      <x:c r="D314" s="698">
        <x:f>IF('УПС'!$N6="Да",1,0)</x:f>
      </x:c>
      <x:c r="E314" s="699">
        <x:f>IF('УПС'!$T6="Да",1,0)</x:f>
      </x:c>
      <x:c r="F314" s="700">
        <x:f>IF('УПС'!$Z6="Да",1,0)</x:f>
      </x:c>
      <x:c r="G314" s="701">
        <x:f>IF('УПС'!$AF6="Да",1,0)</x:f>
      </x:c>
      <x:c r="H314" s="702">
        <x:f>IF('УПС'!$AL6="Да",1,0)</x:f>
      </x:c>
      <x:c r="I314" s="703">
        <x:f>IF('УПС'!$AR6="Да",1,0)</x:f>
      </x:c>
      <x:c r="J314" s="704">
        <x:f>IF('УПС'!$AX6="Да",1,0)</x:f>
      </x:c>
      <x:c r="K314" s="705">
        <x:f>IF('УПС'!$BD6="Да",1,0)</x:f>
      </x:c>
      <x:c r="L314" s="706">
        <x:f>IF('УПС'!$BJ6="Да",1,0)</x:f>
      </x:c>
      <x:c r="M314" s="707">
        <x:f>IF('УПС'!$BP6="Да",1,0)</x:f>
      </x:c>
      <x:c r="N314" s="708">
        <x:f>IF('УПС'!$BV6="Да",1,0)</x:f>
      </x:c>
      <x:c r="O314" s="375">
        <x:f>IFERROR(ROUND(SUM(C314:N314)/($S$311),1),"")</x:f>
      </x:c>
    </x:row>
    <x:row r="315" spans="1:25" ht="15" customHeight="1" x14ac:dyDescent="0.25">
      <x:c r="A315" s="710"/>
      <x:c r="B315" s="363" t="s">
        <x:v>709</x:v>
      </x:c>
      <x:c r="C315" s="697">
        <x:f>IF('УПС'!$H7="Да",1,0)</x:f>
      </x:c>
      <x:c r="D315" s="698">
        <x:f>IF('УПС'!$N7="Да",1,0)</x:f>
      </x:c>
      <x:c r="E315" s="699">
        <x:f>IF('УПС'!$T7="Да",1,0)</x:f>
      </x:c>
      <x:c r="F315" s="700">
        <x:f>IF('УПС'!$Z7="Да",1,0)</x:f>
      </x:c>
      <x:c r="G315" s="701">
        <x:f>IF('УПС'!$AF7="Да",1,0)</x:f>
      </x:c>
      <x:c r="H315" s="702">
        <x:f>IF('УПС'!$AL7="Да",1,0)</x:f>
      </x:c>
      <x:c r="I315" s="703">
        <x:f>IF('УПС'!$AR7="Да",1,0)</x:f>
      </x:c>
      <x:c r="J315" s="704">
        <x:f>IF('УПС'!$AX7="Да",1,0)</x:f>
      </x:c>
      <x:c r="K315" s="705">
        <x:f>IF('УПС'!$BD7="Да",1,0)</x:f>
      </x:c>
      <x:c r="L315" s="706">
        <x:f>IF('УПС'!$BJ7="Да",1,0)</x:f>
      </x:c>
      <x:c r="M315" s="707">
        <x:f>IF('УПС'!$BP7="Да",1,0)</x:f>
      </x:c>
      <x:c r="N315" s="708">
        <x:f>IF('УПС'!$BV7="Да",1,0)</x:f>
      </x:c>
      <x:c r="O315" s="375">
        <x:f>IFERROR(ROUND(SUM(C315:N315)/($S$311),1),"")</x:f>
      </x:c>
    </x:row>
    <x:row r="316" spans="1:25" ht="15" customHeight="1" x14ac:dyDescent="0.25">
      <x:c r="A316" s="710"/>
      <x:c r="B316" s="363" t="s">
        <x:v>708</x:v>
      </x:c>
      <x:c r="C316" s="697">
        <x:f>IF('УПС'!$H8="Да",1,0)</x:f>
      </x:c>
      <x:c r="D316" s="698">
        <x:f>IF('УПС'!$N8="Да",1,0)</x:f>
      </x:c>
      <x:c r="E316" s="699">
        <x:f>IF('УПС'!$T8="Да",1,0)</x:f>
      </x:c>
      <x:c r="F316" s="700">
        <x:f>IF('УПС'!$Z8="Да",1,0)</x:f>
      </x:c>
      <x:c r="G316" s="701">
        <x:f>IF('УПС'!$AF8="Да",1,0)</x:f>
      </x:c>
      <x:c r="H316" s="702">
        <x:f>IF('УПС'!$AL8="Да",1,0)</x:f>
      </x:c>
      <x:c r="I316" s="703">
        <x:f>IF('УПС'!$AR8="Да",1,0)</x:f>
      </x:c>
      <x:c r="J316" s="704">
        <x:f>IF('УПС'!$AX8="Да",1,0)</x:f>
      </x:c>
      <x:c r="K316" s="705">
        <x:f>IF('УПС'!$BD8="Да",1,0)</x:f>
      </x:c>
      <x:c r="L316" s="706">
        <x:f>IF('УПС'!$BJ8="Да",1,0)</x:f>
      </x:c>
      <x:c r="M316" s="707">
        <x:f>IF('УПС'!$BP8="Да",1,0)</x:f>
      </x:c>
      <x:c r="N316" s="708">
        <x:f>IF('УПС'!$BV8="Да",1,0)</x:f>
      </x:c>
      <x:c r="O316" s="375">
        <x:f>IFERROR(ROUND(SUM(C316:N316)/($S$311),1),"")</x:f>
      </x:c>
    </x:row>
    <x:row r="317" spans="1:25" ht="15" customHeight="1" x14ac:dyDescent="0.25">
      <x:c r="A317" s="710"/>
      <x:c r="B317" s="363" t="s">
        <x:v>703</x:v>
      </x:c>
      <x:c r="C317" s="697">
        <x:f>IF('УПС'!$H9="Да",1,0)</x:f>
      </x:c>
      <x:c r="D317" s="698">
        <x:f>IF('УПС'!$N9="Да",1,0)</x:f>
      </x:c>
      <x:c r="E317" s="699">
        <x:f>IF('УПС'!$T9="Да",1,0)</x:f>
      </x:c>
      <x:c r="F317" s="700">
        <x:f>IF('УПС'!$Z9="Да",1,0)</x:f>
      </x:c>
      <x:c r="G317" s="701">
        <x:f>IF('УПС'!$AF9="Да",1,0)</x:f>
      </x:c>
      <x:c r="H317" s="702">
        <x:f>IF('УПС'!$AL9="Да",1,0)</x:f>
      </x:c>
      <x:c r="I317" s="703">
        <x:f>IF('УПС'!$AR9="Да",1,0)</x:f>
      </x:c>
      <x:c r="J317" s="704">
        <x:f>IF('УПС'!$AX9="Да",1,0)</x:f>
      </x:c>
      <x:c r="K317" s="705">
        <x:f>IF('УПС'!$BD9="Да",1,0)</x:f>
      </x:c>
      <x:c r="L317" s="706">
        <x:f>IF('УПС'!$BJ9="Да",1,0)</x:f>
      </x:c>
      <x:c r="M317" s="707">
        <x:f>IF('УПС'!$BP9="Да",1,0)</x:f>
      </x:c>
      <x:c r="N317" s="708">
        <x:f>IF('УПС'!$BV9="Да",1,0)</x:f>
      </x:c>
      <x:c r="O317" s="375">
        <x:f>IFERROR(ROUND(SUM(C317:N317)/($S$311),1),"")</x:f>
      </x:c>
    </x:row>
    <x:row r="318" spans="1:25" ht="15" customHeight="1" x14ac:dyDescent="0.25">
      <x:c r="A318" s="710"/>
      <x:c r="B318" s="363" t="s">
        <x:v>736</x:v>
      </x:c>
      <x:c r="C318" s="697">
        <x:f>IF('УПС'!$H10="Да",1,0)</x:f>
      </x:c>
      <x:c r="D318" s="698">
        <x:f>IF('УПС'!$N10="Да",1,0)</x:f>
      </x:c>
      <x:c r="E318" s="699">
        <x:f>IF('УПС'!$T10="Да",1,0)</x:f>
      </x:c>
      <x:c r="F318" s="700">
        <x:f>IF('УПС'!$Z10="Да",1,0)</x:f>
      </x:c>
      <x:c r="G318" s="701">
        <x:f>IF('УПС'!$AF10="Да",1,0)</x:f>
      </x:c>
      <x:c r="H318" s="702">
        <x:f>IF('УПС'!$AL10="Да",1,0)</x:f>
      </x:c>
      <x:c r="I318" s="703">
        <x:f>IF('УПС'!$AR10="Да",1,0)</x:f>
      </x:c>
      <x:c r="J318" s="704">
        <x:f>IF('УПС'!$AX10="Да",1,0)</x:f>
      </x:c>
      <x:c r="K318" s="705">
        <x:f>IF('УПС'!$BD10="Да",1,0)</x:f>
      </x:c>
      <x:c r="L318" s="706">
        <x:f>IF('УПС'!$BJ10="Да",1,0)</x:f>
      </x:c>
      <x:c r="M318" s="707">
        <x:f>IF('УПС'!$BP10="Да",1,0)</x:f>
      </x:c>
      <x:c r="N318" s="708">
        <x:f>IF('УПС'!$BV10="Да",1,0)</x:f>
      </x:c>
      <x:c r="O318" s="375">
        <x:f>IFERROR(ROUND(SUM(C318:N318)/($S$311),1),"")</x:f>
      </x:c>
    </x:row>
    <x:row r="319" spans="1:25" ht="15" customHeight="1" x14ac:dyDescent="0.25">
      <x:c r="A319" s="710"/>
      <x:c r="B319" s="363" t="s">
        <x:v>731</x:v>
      </x:c>
      <x:c r="C319" s="697">
        <x:f>IF('УПС'!$H11="Да",1,0)</x:f>
      </x:c>
      <x:c r="D319" s="698">
        <x:f>IF('УПС'!$N11="Да",1,0)</x:f>
      </x:c>
      <x:c r="E319" s="699">
        <x:f>IF('УПС'!$T11="Да",1,0)</x:f>
      </x:c>
      <x:c r="F319" s="700">
        <x:f>IF('УПС'!$Z11="Да",1,0)</x:f>
      </x:c>
      <x:c r="G319" s="701">
        <x:f>IF('УПС'!$AF11="Да",1,0)</x:f>
      </x:c>
      <x:c r="H319" s="702">
        <x:f>IF('УПС'!$AL11="Да",1,0)</x:f>
      </x:c>
      <x:c r="I319" s="703">
        <x:f>IF('УПС'!$AR11="Да",1,0)</x:f>
      </x:c>
      <x:c r="J319" s="704">
        <x:f>IF('УПС'!$AX11="Да",1,0)</x:f>
      </x:c>
      <x:c r="K319" s="705">
        <x:f>IF('УПС'!$BD11="Да",1,0)</x:f>
      </x:c>
      <x:c r="L319" s="706">
        <x:f>IF('УПС'!$BJ11="Да",1,0)</x:f>
      </x:c>
      <x:c r="M319" s="707">
        <x:f>IF('УПС'!$BP11="Да",1,0)</x:f>
      </x:c>
      <x:c r="N319" s="708">
        <x:f>IF('УПС'!$BV11="Да",1,0)</x:f>
      </x:c>
      <x:c r="O319" s="375">
        <x:f>IFERROR(ROUND(SUM(C319:N319)/($S$311),1),"")</x:f>
      </x:c>
    </x:row>
    <x:row r="320" spans="1:25" ht="15" customHeight="1" x14ac:dyDescent="0.25">
      <x:c r="A320" s="710"/>
      <x:c r="B320" s="363" t="s">
        <x:v>711</x:v>
      </x:c>
      <x:c r="C320" s="697">
        <x:f>IF('УПС'!$H12="Да",1,0)</x:f>
      </x:c>
      <x:c r="D320" s="698">
        <x:f>IF('УПС'!$N12="Да",1,0)</x:f>
      </x:c>
      <x:c r="E320" s="699">
        <x:f>IF('УПС'!$T12="Да",1,0)</x:f>
      </x:c>
      <x:c r="F320" s="700">
        <x:f>IF('УПС'!$Z12="Да",1,0)</x:f>
      </x:c>
      <x:c r="G320" s="701">
        <x:f>IF('УПС'!$AF12="Да",1,0)</x:f>
      </x:c>
      <x:c r="H320" s="702">
        <x:f>IF('УПС'!$AL12="Да",1,0)</x:f>
      </x:c>
      <x:c r="I320" s="703">
        <x:f>IF('УПС'!$AR12="Да",1,0)</x:f>
      </x:c>
      <x:c r="J320" s="704">
        <x:f>IF('УПС'!$AX12="Да",1,0)</x:f>
      </x:c>
      <x:c r="K320" s="705">
        <x:f>IF('УПС'!$BD12="Да",1,0)</x:f>
      </x:c>
      <x:c r="L320" s="706">
        <x:f>IF('УПС'!$BJ12="Да",1,0)</x:f>
      </x:c>
      <x:c r="M320" s="707">
        <x:f>IF('УПС'!$BP12="Да",1,0)</x:f>
      </x:c>
      <x:c r="N320" s="708">
        <x:f>IF('УПС'!$BV12="Да",1,0)</x:f>
      </x:c>
      <x:c r="O320" s="375">
        <x:f>IFERROR(ROUND(SUM(C320:N320)/($S$311),1),"")</x:f>
      </x:c>
    </x:row>
    <x:row r="321" spans="1:25" ht="15" customHeight="1" x14ac:dyDescent="0.25">
      <x:c r="A321" s="710"/>
      <x:c r="B321" s="363" t="s">
        <x:v>1119</x:v>
      </x:c>
      <x:c r="C321" s="697">
        <x:f>IF('УПС'!$H13="Да",1,0)</x:f>
      </x:c>
      <x:c r="D321" s="698">
        <x:f>IF('УПС'!$N13="Да",1,0)</x:f>
      </x:c>
      <x:c r="E321" s="699">
        <x:f>IF('УПС'!$T13="Да",1,0)</x:f>
      </x:c>
      <x:c r="F321" s="700">
        <x:f>IF('УПС'!$Z13="Да",1,0)</x:f>
      </x:c>
      <x:c r="G321" s="701">
        <x:f>IF('УПС'!$AF13="Да",1,0)</x:f>
      </x:c>
      <x:c r="H321" s="702">
        <x:f>IF('УПС'!$AL13="Да",1,0)</x:f>
      </x:c>
      <x:c r="I321" s="703">
        <x:f>IF('УПС'!$AR13="Да",1,0)</x:f>
      </x:c>
      <x:c r="J321" s="704">
        <x:f>IF('УПС'!$AX13="Да",1,0)</x:f>
      </x:c>
      <x:c r="K321" s="705">
        <x:f>IF('УПС'!$BD13="Да",1,0)</x:f>
      </x:c>
      <x:c r="L321" s="706">
        <x:f>IF('УПС'!$BJ13="Да",1,0)</x:f>
      </x:c>
      <x:c r="M321" s="707">
        <x:f>IF('УПС'!$BP13="Да",1,0)</x:f>
      </x:c>
      <x:c r="N321" s="708">
        <x:f>IF('УПС'!$BV13="Да",1,0)</x:f>
      </x:c>
      <x:c r="O321" s="375">
        <x:f>IFERROR(ROUND(SUM(C321:N321)/($S$311),1),"")</x:f>
      </x:c>
    </x:row>
    <x:row r="322" spans="1:25" ht="15" customHeight="1" x14ac:dyDescent="0.25">
      <x:c r="A322" s="710"/>
      <x:c r="B322" s="363" t="s">
        <x:v>738</x:v>
      </x:c>
      <x:c r="C322" s="697">
        <x:f>IF('УПС'!$H14="Да",1,0)</x:f>
      </x:c>
      <x:c r="D322" s="698">
        <x:f>IF('УПС'!$N14="Да",1,0)</x:f>
      </x:c>
      <x:c r="E322" s="699">
        <x:f>IF('УПС'!$T14="Да",1,0)</x:f>
      </x:c>
      <x:c r="F322" s="700">
        <x:f>IF('УПС'!$Z14="Да",1,0)</x:f>
      </x:c>
      <x:c r="G322" s="701">
        <x:f>IF('УПС'!$AF14="Да",1,0)</x:f>
      </x:c>
      <x:c r="H322" s="702">
        <x:f>IF('УПС'!$AL14="Да",1,0)</x:f>
      </x:c>
      <x:c r="I322" s="703">
        <x:f>IF('УПС'!$AR14="Да",1,0)</x:f>
      </x:c>
      <x:c r="J322" s="704">
        <x:f>IF('УПС'!$AX14="Да",1,0)</x:f>
      </x:c>
      <x:c r="K322" s="705">
        <x:f>IF('УПС'!$BD14="Да",1,0)</x:f>
      </x:c>
      <x:c r="L322" s="706">
        <x:f>IF('УПС'!$BJ14="Да",1,0)</x:f>
      </x:c>
      <x:c r="M322" s="707">
        <x:f>IF('УПС'!$BP14="Да",1,0)</x:f>
      </x:c>
      <x:c r="N322" s="708">
        <x:f>IF('УПС'!$BV14="Да",1,0)</x:f>
      </x:c>
      <x:c r="O322" s="375">
        <x:f>IFERROR(ROUND(SUM(C322:N322)/($S$311),1),"")</x:f>
      </x:c>
    </x:row>
    <x:row r="323" spans="1:25" ht="15" customHeight="1" x14ac:dyDescent="0.25">
      <x:c r="A323" s="710"/>
      <x:c r="B323" s="363" t="s">
        <x:v>740</x:v>
      </x:c>
      <x:c r="C323" s="697">
        <x:f>IF('УПС'!$H15="Да",1,0)</x:f>
      </x:c>
      <x:c r="D323" s="698">
        <x:f>IF('УПС'!$N15="Да",1,0)</x:f>
      </x:c>
      <x:c r="E323" s="699">
        <x:f>IF('УПС'!$T15="Да",1,0)</x:f>
      </x:c>
      <x:c r="F323" s="700">
        <x:f>IF('УПС'!$Z15="Да",1,0)</x:f>
      </x:c>
      <x:c r="G323" s="701">
        <x:f>IF('УПС'!$AF15="Да",1,0)</x:f>
      </x:c>
      <x:c r="H323" s="702">
        <x:f>IF('УПС'!$AL15="Да",1,0)</x:f>
      </x:c>
      <x:c r="I323" s="703">
        <x:f>IF('УПС'!$AR15="Да",1,0)</x:f>
      </x:c>
      <x:c r="J323" s="704">
        <x:f>IF('УПС'!$AX15="Да",1,0)</x:f>
      </x:c>
      <x:c r="K323" s="705">
        <x:f>IF('УПС'!$BD15="Да",1,0)</x:f>
      </x:c>
      <x:c r="L323" s="706">
        <x:f>IF('УПС'!$BJ15="Да",1,0)</x:f>
      </x:c>
      <x:c r="M323" s="707">
        <x:f>IF('УПС'!$BP15="Да",1,0)</x:f>
      </x:c>
      <x:c r="N323" s="708">
        <x:f>IF('УПС'!$BV15="Да",1,0)</x:f>
      </x:c>
      <x:c r="O323" s="375">
        <x:f>IFERROR(ROUND(SUM(C323:N323)/($S$311),1),"")</x:f>
      </x:c>
    </x:row>
    <x:row r="324" spans="1:25" ht="15" customHeight="1" x14ac:dyDescent="0.25">
      <x:c r="A324" s="710"/>
      <x:c r="B324" s="363" t="s">
        <x:v>717</x:v>
      </x:c>
      <x:c r="C324" s="697">
        <x:f>IF('УПС'!$H16="Да",1,0)</x:f>
      </x:c>
      <x:c r="D324" s="698">
        <x:f>IF('УПС'!$N16="Да",1,0)</x:f>
      </x:c>
      <x:c r="E324" s="699">
        <x:f>IF('УПС'!$T16="Да",1,0)</x:f>
      </x:c>
      <x:c r="F324" s="700">
        <x:f>IF('УПС'!$Z16="Да",1,0)</x:f>
      </x:c>
      <x:c r="G324" s="701">
        <x:f>IF('УПС'!$AF16="Да",1,0)</x:f>
      </x:c>
      <x:c r="H324" s="702">
        <x:f>IF('УПС'!$AL16="Да",1,0)</x:f>
      </x:c>
      <x:c r="I324" s="703">
        <x:f>IF('УПС'!$AR16="Да",1,0)</x:f>
      </x:c>
      <x:c r="J324" s="704">
        <x:f>IF('УПС'!$AX16="Да",1,0)</x:f>
      </x:c>
      <x:c r="K324" s="705">
        <x:f>IF('УПС'!$BD16="Да",1,0)</x:f>
      </x:c>
      <x:c r="L324" s="706">
        <x:f>IF('УПС'!$BJ16="Да",1,0)</x:f>
      </x:c>
      <x:c r="M324" s="707">
        <x:f>IF('УПС'!$BP16="Да",1,0)</x:f>
      </x:c>
      <x:c r="N324" s="708">
        <x:f>IF('УПС'!$BV16="Да",1,0)</x:f>
      </x:c>
      <x:c r="O324" s="375">
        <x:f>IFERROR(ROUND(SUM(C324:N324)/($S$311),1),"")</x:f>
      </x:c>
    </x:row>
    <x:row r="325" spans="1:25" ht="15" customHeight="1" x14ac:dyDescent="0.25">
      <x:c r="A325" s="710"/>
      <x:c r="B325" s="363" t="s">
        <x:v>730</x:v>
      </x:c>
      <x:c r="C325" s="697">
        <x:f>IF('УПС'!$H17="Да",1,0)</x:f>
      </x:c>
      <x:c r="D325" s="698">
        <x:f>IF('УПС'!$N17="Да",1,0)</x:f>
      </x:c>
      <x:c r="E325" s="699">
        <x:f>IF('УПС'!$T17="Да",1,0)</x:f>
      </x:c>
      <x:c r="F325" s="700">
        <x:f>IF('УПС'!$Z17="Да",1,0)</x:f>
      </x:c>
      <x:c r="G325" s="701">
        <x:f>IF('УПС'!$AF17="Да",1,0)</x:f>
      </x:c>
      <x:c r="H325" s="702">
        <x:f>IF('УПС'!$AL17="Да",1,0)</x:f>
      </x:c>
      <x:c r="I325" s="703">
        <x:f>IF('УПС'!$AR17="Да",1,0)</x:f>
      </x:c>
      <x:c r="J325" s="704">
        <x:f>IF('УПС'!$AX17="Да",1,0)</x:f>
      </x:c>
      <x:c r="K325" s="705">
        <x:f>IF('УПС'!$BD17="Да",1,0)</x:f>
      </x:c>
      <x:c r="L325" s="706">
        <x:f>IF('УПС'!$BJ17="Да",1,0)</x:f>
      </x:c>
      <x:c r="M325" s="707">
        <x:f>IF('УПС'!$BP17="Да",1,0)</x:f>
      </x:c>
      <x:c r="N325" s="708">
        <x:f>IF('УПС'!$BV17="Да",1,0)</x:f>
      </x:c>
      <x:c r="O325" s="375">
        <x:f>IFERROR(ROUND(SUM(C325:N325)/($S$311),1),"")</x:f>
      </x:c>
    </x:row>
    <x:row r="326" spans="1:25" ht="15" customHeight="1" x14ac:dyDescent="0.25">
      <x:c r="A326" s="710"/>
      <x:c r="B326" s="363" t="s">
        <x:v>706</x:v>
      </x:c>
      <x:c r="C326" s="697">
        <x:f>IF('УПС'!$H18="Да",1,0)</x:f>
      </x:c>
      <x:c r="D326" s="698">
        <x:f>IF('УПС'!$N18="Да",1,0)</x:f>
      </x:c>
      <x:c r="E326" s="699">
        <x:f>IF('УПС'!$T18="Да",1,0)</x:f>
      </x:c>
      <x:c r="F326" s="700">
        <x:f>IF('УПС'!$Z18="Да",1,0)</x:f>
      </x:c>
      <x:c r="G326" s="701">
        <x:f>IF('УПС'!$AF18="Да",1,0)</x:f>
      </x:c>
      <x:c r="H326" s="702">
        <x:f>IF('УПС'!$AL18="Да",1,0)</x:f>
      </x:c>
      <x:c r="I326" s="703">
        <x:f>IF('УПС'!$AR18="Да",1,0)</x:f>
      </x:c>
      <x:c r="J326" s="704">
        <x:f>IF('УПС'!$AX18="Да",1,0)</x:f>
      </x:c>
      <x:c r="K326" s="705">
        <x:f>IF('УПС'!$BD18="Да",1,0)</x:f>
      </x:c>
      <x:c r="L326" s="706">
        <x:f>IF('УПС'!$BJ18="Да",1,0)</x:f>
      </x:c>
      <x:c r="M326" s="707">
        <x:f>IF('УПС'!$BP18="Да",1,0)</x:f>
      </x:c>
      <x:c r="N326" s="708">
        <x:f>IF('УПС'!$BV18="Да",1,0)</x:f>
      </x:c>
      <x:c r="O326" s="375">
        <x:f>IFERROR(ROUND(SUM(C326:N326)/($S$311),1),"")</x:f>
      </x:c>
    </x:row>
    <x:row r="327" spans="1:25" ht="15" customHeight="1" x14ac:dyDescent="0.25">
      <x:c r="A327" s="710"/>
      <x:c r="B327" s="363" t="s">
        <x:v>701</x:v>
      </x:c>
      <x:c r="C327" s="697">
        <x:f>IF('УПС'!$H19="Да",1,0)</x:f>
      </x:c>
      <x:c r="D327" s="698">
        <x:f>IF('УПС'!$N19="Да",1,0)</x:f>
      </x:c>
      <x:c r="E327" s="699">
        <x:f>IF('УПС'!$T19="Да",1,0)</x:f>
      </x:c>
      <x:c r="F327" s="700">
        <x:f>IF('УПС'!$Z19="Да",1,0)</x:f>
      </x:c>
      <x:c r="G327" s="701">
        <x:f>IF('УПС'!$AF19="Да",1,0)</x:f>
      </x:c>
      <x:c r="H327" s="702">
        <x:f>IF('УПС'!$AL19="Да",1,0)</x:f>
      </x:c>
      <x:c r="I327" s="703">
        <x:f>IF('УПС'!$AR19="Да",1,0)</x:f>
      </x:c>
      <x:c r="J327" s="704">
        <x:f>IF('УПС'!$AX19="Да",1,0)</x:f>
      </x:c>
      <x:c r="K327" s="705">
        <x:f>IF('УПС'!$BD19="Да",1,0)</x:f>
      </x:c>
      <x:c r="L327" s="706">
        <x:f>IF('УПС'!$BJ19="Да",1,0)</x:f>
      </x:c>
      <x:c r="M327" s="707">
        <x:f>IF('УПС'!$BP19="Да",1,0)</x:f>
      </x:c>
      <x:c r="N327" s="708">
        <x:f>IF('УПС'!$BV19="Да",1,0)</x:f>
      </x:c>
      <x:c r="O327" s="375">
        <x:f>IFERROR(ROUND(SUM(C327:N327)/($S$311),1),"")</x:f>
      </x:c>
    </x:row>
    <x:row r="328" spans="1:25" ht="15" customHeight="1" x14ac:dyDescent="0.25">
      <x:c r="A328" s="710"/>
      <x:c r="B328" s="363" t="s">
        <x:v>713</x:v>
      </x:c>
      <x:c r="C328" s="697">
        <x:f>IF('УПС'!$H20="Да",1,0)</x:f>
      </x:c>
      <x:c r="D328" s="698">
        <x:f>IF('УПС'!$N20="Да",1,0)</x:f>
      </x:c>
      <x:c r="E328" s="699">
        <x:f>IF('УПС'!$T20="Да",1,0)</x:f>
      </x:c>
      <x:c r="F328" s="700">
        <x:f>IF('УПС'!$Z20="Да",1,0)</x:f>
      </x:c>
      <x:c r="G328" s="701">
        <x:f>IF('УПС'!$AF20="Да",1,0)</x:f>
      </x:c>
      <x:c r="H328" s="702">
        <x:f>IF('УПС'!$AL20="Да",1,0)</x:f>
      </x:c>
      <x:c r="I328" s="703">
        <x:f>IF('УПС'!$AR20="Да",1,0)</x:f>
      </x:c>
      <x:c r="J328" s="704">
        <x:f>IF('УПС'!$AX20="Да",1,0)</x:f>
      </x:c>
      <x:c r="K328" s="705">
        <x:f>IF('УПС'!$BD20="Да",1,0)</x:f>
      </x:c>
      <x:c r="L328" s="706">
        <x:f>IF('УПС'!$BJ20="Да",1,0)</x:f>
      </x:c>
      <x:c r="M328" s="707">
        <x:f>IF('УПС'!$BP20="Да",1,0)</x:f>
      </x:c>
      <x:c r="N328" s="708">
        <x:f>IF('УПС'!$BV20="Да",1,0)</x:f>
      </x:c>
      <x:c r="O328" s="375">
        <x:f>IFERROR(ROUND(SUM(C328:N328)/($S$311),1),"")</x:f>
      </x:c>
    </x:row>
    <x:row r="329" spans="1:25" ht="15" customHeight="1" x14ac:dyDescent="0.25">
      <x:c r="A329" s="710"/>
      <x:c r="B329" s="363" t="s">
        <x:v>723</x:v>
      </x:c>
      <x:c r="C329" s="697">
        <x:f>IF('УПС'!$H21="Да",1,0)</x:f>
      </x:c>
      <x:c r="D329" s="698">
        <x:f>IF('УПС'!$N21="Да",1,0)</x:f>
      </x:c>
      <x:c r="E329" s="699">
        <x:f>IF('УПС'!$T21="Да",1,0)</x:f>
      </x:c>
      <x:c r="F329" s="700">
        <x:f>IF('УПС'!$Z21="Да",1,0)</x:f>
      </x:c>
      <x:c r="G329" s="701">
        <x:f>IF('УПС'!$AF21="Да",1,0)</x:f>
      </x:c>
      <x:c r="H329" s="702">
        <x:f>IF('УПС'!$AL21="Да",1,0)</x:f>
      </x:c>
      <x:c r="I329" s="703">
        <x:f>IF('УПС'!$AR21="Да",1,0)</x:f>
      </x:c>
      <x:c r="J329" s="704">
        <x:f>IF('УПС'!$AX21="Да",1,0)</x:f>
      </x:c>
      <x:c r="K329" s="705">
        <x:f>IF('УПС'!$BD21="Да",1,0)</x:f>
      </x:c>
      <x:c r="L329" s="706">
        <x:f>IF('УПС'!$BJ21="Да",1,0)</x:f>
      </x:c>
      <x:c r="M329" s="707">
        <x:f>IF('УПС'!$BP21="Да",1,0)</x:f>
      </x:c>
      <x:c r="N329" s="708">
        <x:f>IF('УПС'!$BV21="Да",1,0)</x:f>
      </x:c>
      <x:c r="O329" s="375">
        <x:f>IFERROR(ROUND(SUM(C329:N329)/($S$311),1),"")</x:f>
      </x:c>
    </x:row>
    <x:row r="330" spans="1:25" ht="15" customHeight="1" x14ac:dyDescent="0.25">
      <x:c r="A330" s="710"/>
      <x:c r="B330" s="363" t="s">
        <x:v>724</x:v>
      </x:c>
      <x:c r="C330" s="697">
        <x:f>IF('УПС'!$H22="Да",1,0)</x:f>
      </x:c>
      <x:c r="D330" s="698">
        <x:f>IF('УПС'!$N22="Да",1,0)</x:f>
      </x:c>
      <x:c r="E330" s="699">
        <x:f>IF('УПС'!$T22="Да",1,0)</x:f>
      </x:c>
      <x:c r="F330" s="700">
        <x:f>IF('УПС'!$Z22="Да",1,0)</x:f>
      </x:c>
      <x:c r="G330" s="701">
        <x:f>IF('УПС'!$AF22="Да",1,0)</x:f>
      </x:c>
      <x:c r="H330" s="702">
        <x:f>IF('УПС'!$AL22="Да",1,0)</x:f>
      </x:c>
      <x:c r="I330" s="703">
        <x:f>IF('УПС'!$AR22="Да",1,0)</x:f>
      </x:c>
      <x:c r="J330" s="704">
        <x:f>IF('УПС'!$AX22="Да",1,0)</x:f>
      </x:c>
      <x:c r="K330" s="705">
        <x:f>IF('УПС'!$BD22="Да",1,0)</x:f>
      </x:c>
      <x:c r="L330" s="706">
        <x:f>IF('УПС'!$BJ22="Да",1,0)</x:f>
      </x:c>
      <x:c r="M330" s="707">
        <x:f>IF('УПС'!$BP22="Да",1,0)</x:f>
      </x:c>
      <x:c r="N330" s="708">
        <x:f>IF('УПС'!$BV22="Да",1,0)</x:f>
      </x:c>
      <x:c r="O330" s="375">
        <x:f>IFERROR(ROUND(SUM(C330:N330)/($S$311),1),"")</x:f>
      </x:c>
    </x:row>
    <x:row r="331" spans="1:25" ht="15" customHeight="1" x14ac:dyDescent="0.25">
      <x:c r="A331" s="710"/>
      <x:c r="B331" s="363" t="s">
        <x:v>734</x:v>
      </x:c>
      <x:c r="C331" s="697">
        <x:f>IF('УПС'!$H23="Да",1,0)</x:f>
      </x:c>
      <x:c r="D331" s="698">
        <x:f>IF('УПС'!$N23="Да",1,0)</x:f>
      </x:c>
      <x:c r="E331" s="699">
        <x:f>IF('УПС'!$T23="Да",1,0)</x:f>
      </x:c>
      <x:c r="F331" s="700">
        <x:f>IF('УПС'!$Z23="Да",1,0)</x:f>
      </x:c>
      <x:c r="G331" s="701">
        <x:f>IF('УПС'!$AF23="Да",1,0)</x:f>
      </x:c>
      <x:c r="H331" s="702">
        <x:f>IF('УПС'!$AL23="Да",1,0)</x:f>
      </x:c>
      <x:c r="I331" s="703">
        <x:f>IF('УПС'!$AR23="Да",1,0)</x:f>
      </x:c>
      <x:c r="J331" s="704">
        <x:f>IF('УПС'!$AX23="Да",1,0)</x:f>
      </x:c>
      <x:c r="K331" s="705">
        <x:f>IF('УПС'!$BD23="Да",1,0)</x:f>
      </x:c>
      <x:c r="L331" s="706">
        <x:f>IF('УПС'!$BJ23="Да",1,0)</x:f>
      </x:c>
      <x:c r="M331" s="707">
        <x:f>IF('УПС'!$BP23="Да",1,0)</x:f>
      </x:c>
      <x:c r="N331" s="708">
        <x:f>IF('УПС'!$BV23="Да",1,0)</x:f>
      </x:c>
      <x:c r="O331" s="375">
        <x:f>IFERROR(ROUND(SUM(C331:N331)/($S$311),1),"")</x:f>
      </x:c>
    </x:row>
    <x:row r="332" spans="1:25" ht="15" customHeight="1" x14ac:dyDescent="0.25">
      <x:c r="A332" s="710"/>
      <x:c r="B332" s="363" t="s">
        <x:v>698</x:v>
      </x:c>
      <x:c r="C332" s="697">
        <x:f>IF('УПС'!$H24="Да",1,0)</x:f>
      </x:c>
      <x:c r="D332" s="698">
        <x:f>IF('УПС'!$N24="Да",1,0)</x:f>
      </x:c>
      <x:c r="E332" s="699">
        <x:f>IF('УПС'!$T24="Да",1,0)</x:f>
      </x:c>
      <x:c r="F332" s="700">
        <x:f>IF('УПС'!$Z24="Да",1,0)</x:f>
      </x:c>
      <x:c r="G332" s="701">
        <x:f>IF('УПС'!$AF24="Да",1,0)</x:f>
      </x:c>
      <x:c r="H332" s="702">
        <x:f>IF('УПС'!$AL24="Да",1,0)</x:f>
      </x:c>
      <x:c r="I332" s="703">
        <x:f>IF('УПС'!$AR24="Да",1,0)</x:f>
      </x:c>
      <x:c r="J332" s="704">
        <x:f>IF('УПС'!$AX24="Да",1,0)</x:f>
      </x:c>
      <x:c r="K332" s="705">
        <x:f>IF('УПС'!$BD24="Да",1,0)</x:f>
      </x:c>
      <x:c r="L332" s="706">
        <x:f>IF('УПС'!$BJ24="Да",1,0)</x:f>
      </x:c>
      <x:c r="M332" s="707">
        <x:f>IF('УПС'!$BP24="Да",1,0)</x:f>
      </x:c>
      <x:c r="N332" s="708">
        <x:f>IF('УПС'!$BV24="Да",1,0)</x:f>
      </x:c>
      <x:c r="O332" s="375">
        <x:f>IFERROR(ROUND(SUM(C332:N332)/($S$311),1),"")</x:f>
      </x:c>
    </x:row>
    <x:row r="333" spans="1:25" ht="15" customHeight="1" x14ac:dyDescent="0.25">
      <x:c r="A333" s="710"/>
      <x:c r="B333" s="363" t="s">
        <x:v>735</x:v>
      </x:c>
      <x:c r="C333" s="697">
        <x:f>IF('УПС'!$H25="Да",1,0)</x:f>
      </x:c>
      <x:c r="D333" s="698">
        <x:f>IF('УПС'!$N25="Да",1,0)</x:f>
      </x:c>
      <x:c r="E333" s="699">
        <x:f>IF('УПС'!$T25="Да",1,0)</x:f>
      </x:c>
      <x:c r="F333" s="700">
        <x:f>IF('УПС'!$Z25="Да",1,0)</x:f>
      </x:c>
      <x:c r="G333" s="701">
        <x:f>IF('УПС'!$AF25="Да",1,0)</x:f>
      </x:c>
      <x:c r="H333" s="702">
        <x:f>IF('УПС'!$AL25="Да",1,0)</x:f>
      </x:c>
      <x:c r="I333" s="703">
        <x:f>IF('УПС'!$AR25="Да",1,0)</x:f>
      </x:c>
      <x:c r="J333" s="704">
        <x:f>IF('УПС'!$AX25="Да",1,0)</x:f>
      </x:c>
      <x:c r="K333" s="705">
        <x:f>IF('УПС'!$BD25="Да",1,0)</x:f>
      </x:c>
      <x:c r="L333" s="706">
        <x:f>IF('УПС'!$BJ25="Да",1,0)</x:f>
      </x:c>
      <x:c r="M333" s="707">
        <x:f>IF('УПС'!$BP25="Да",1,0)</x:f>
      </x:c>
      <x:c r="N333" s="708">
        <x:f>IF('УПС'!$BV25="Да",1,0)</x:f>
      </x:c>
      <x:c r="O333" s="375">
        <x:f>IFERROR(ROUND(SUM(C333:N333)/($S$311),1),"")</x:f>
      </x:c>
    </x:row>
    <x:row r="334" spans="1:25" ht="15" customHeight="1" x14ac:dyDescent="0.25">
      <x:c r="A334" s="710"/>
      <x:c r="B334" s="363" t="s">
        <x:v>733</x:v>
      </x:c>
      <x:c r="C334" s="697">
        <x:f>IF('УПС'!$H26="Да",1,0)</x:f>
      </x:c>
      <x:c r="D334" s="698">
        <x:f>IF('УПС'!$N26="Да",1,0)</x:f>
      </x:c>
      <x:c r="E334" s="699">
        <x:f>IF('УПС'!$T26="Да",1,0)</x:f>
      </x:c>
      <x:c r="F334" s="700">
        <x:f>IF('УПС'!$Z26="Да",1,0)</x:f>
      </x:c>
      <x:c r="G334" s="701">
        <x:f>IF('УПС'!$AF26="Да",1,0)</x:f>
      </x:c>
      <x:c r="H334" s="702">
        <x:f>IF('УПС'!$AL26="Да",1,0)</x:f>
      </x:c>
      <x:c r="I334" s="703">
        <x:f>IF('УПС'!$AR26="Да",1,0)</x:f>
      </x:c>
      <x:c r="J334" s="704">
        <x:f>IF('УПС'!$AX26="Да",1,0)</x:f>
      </x:c>
      <x:c r="K334" s="705">
        <x:f>IF('УПС'!$BD26="Да",1,0)</x:f>
      </x:c>
      <x:c r="L334" s="706">
        <x:f>IF('УПС'!$BJ26="Да",1,0)</x:f>
      </x:c>
      <x:c r="M334" s="707">
        <x:f>IF('УПС'!$BP26="Да",1,0)</x:f>
      </x:c>
      <x:c r="N334" s="708">
        <x:f>IF('УПС'!$BV26="Да",1,0)</x:f>
      </x:c>
      <x:c r="O334" s="375">
        <x:f>IFERROR(ROUND(SUM(C334:N334)/($S$311),1),"")</x:f>
      </x:c>
    </x:row>
    <x:row r="335" spans="1:25" ht="15" customHeight="1" x14ac:dyDescent="0.25">
      <x:c r="A335" s="710"/>
      <x:c r="B335" s="363" t="s">
        <x:v>712</x:v>
      </x:c>
      <x:c r="C335" s="697">
        <x:f>IF('УПС'!$H27="Да",1,0)</x:f>
      </x:c>
      <x:c r="D335" s="698">
        <x:f>IF('УПС'!$N27="Да",1,0)</x:f>
      </x:c>
      <x:c r="E335" s="699">
        <x:f>IF('УПС'!$T27="Да",1,0)</x:f>
      </x:c>
      <x:c r="F335" s="700">
        <x:f>IF('УПС'!$Z27="Да",1,0)</x:f>
      </x:c>
      <x:c r="G335" s="701">
        <x:f>IF('УПС'!$AF27="Да",1,0)</x:f>
      </x:c>
      <x:c r="H335" s="702">
        <x:f>IF('УПС'!$AL27="Да",1,0)</x:f>
      </x:c>
      <x:c r="I335" s="703">
        <x:f>IF('УПС'!$AR27="Да",1,0)</x:f>
      </x:c>
      <x:c r="J335" s="704">
        <x:f>IF('УПС'!$AX27="Да",1,0)</x:f>
      </x:c>
      <x:c r="K335" s="705">
        <x:f>IF('УПС'!$BD27="Да",1,0)</x:f>
      </x:c>
      <x:c r="L335" s="706">
        <x:f>IF('УПС'!$BJ27="Да",1,0)</x:f>
      </x:c>
      <x:c r="M335" s="707">
        <x:f>IF('УПС'!$BP27="Да",1,0)</x:f>
      </x:c>
      <x:c r="N335" s="708">
        <x:f>IF('УПС'!$BV27="Да",1,0)</x:f>
      </x:c>
      <x:c r="O335" s="375">
        <x:f>IFERROR(ROUND(SUM(C335:N335)/($S$311),1),"")</x:f>
      </x:c>
    </x:row>
    <x:row r="336" spans="1:25" ht="15" customHeight="1" x14ac:dyDescent="0.25">
      <x:c r="A336" s="710"/>
      <x:c r="B336" s="363" t="s">
        <x:v>719</x:v>
      </x:c>
      <x:c r="C336" s="697">
        <x:f>IF('УПС'!$H28="Да",1,0)</x:f>
      </x:c>
      <x:c r="D336" s="698">
        <x:f>IF('УПС'!$N28="Да",1,0)</x:f>
      </x:c>
      <x:c r="E336" s="699">
        <x:f>IF('УПС'!$T28="Да",1,0)</x:f>
      </x:c>
      <x:c r="F336" s="700">
        <x:f>IF('УПС'!$Z28="Да",1,0)</x:f>
      </x:c>
      <x:c r="G336" s="701">
        <x:f>IF('УПС'!$AF28="Да",1,0)</x:f>
      </x:c>
      <x:c r="H336" s="702">
        <x:f>IF('УПС'!$AL28="Да",1,0)</x:f>
      </x:c>
      <x:c r="I336" s="703">
        <x:f>IF('УПС'!$AR28="Да",1,0)</x:f>
      </x:c>
      <x:c r="J336" s="704">
        <x:f>IF('УПС'!$AX28="Да",1,0)</x:f>
      </x:c>
      <x:c r="K336" s="705">
        <x:f>IF('УПС'!$BD28="Да",1,0)</x:f>
      </x:c>
      <x:c r="L336" s="706">
        <x:f>IF('УПС'!$BJ28="Да",1,0)</x:f>
      </x:c>
      <x:c r="M336" s="707">
        <x:f>IF('УПС'!$BP28="Да",1,0)</x:f>
      </x:c>
      <x:c r="N336" s="708">
        <x:f>IF('УПС'!$BV28="Да",1,0)</x:f>
      </x:c>
      <x:c r="O336" s="375">
        <x:f>IFERROR(ROUND(SUM(C336:N336)/($S$311),1),"")</x:f>
      </x:c>
    </x:row>
    <x:row r="337" spans="1:25" ht="15" customHeight="1" x14ac:dyDescent="0.25">
      <x:c r="A337" s="710"/>
      <x:c r="B337" s="363" t="s">
        <x:v>704</x:v>
      </x:c>
      <x:c r="C337" s="697">
        <x:f>IF('УПС'!$H29="Да",1,0)</x:f>
      </x:c>
      <x:c r="D337" s="698">
        <x:f>IF('УПС'!$N29="Да",1,0)</x:f>
      </x:c>
      <x:c r="E337" s="699">
        <x:f>IF('УПС'!$T29="Да",1,0)</x:f>
      </x:c>
      <x:c r="F337" s="700">
        <x:f>IF('УПС'!$Z29="Да",1,0)</x:f>
      </x:c>
      <x:c r="G337" s="701">
        <x:f>IF('УПС'!$AF29="Да",1,0)</x:f>
      </x:c>
      <x:c r="H337" s="702">
        <x:f>IF('УПС'!$AL29="Да",1,0)</x:f>
      </x:c>
      <x:c r="I337" s="703">
        <x:f>IF('УПС'!$AR29="Да",1,0)</x:f>
      </x:c>
      <x:c r="J337" s="704">
        <x:f>IF('УПС'!$AX29="Да",1,0)</x:f>
      </x:c>
      <x:c r="K337" s="705">
        <x:f>IF('УПС'!$BD29="Да",1,0)</x:f>
      </x:c>
      <x:c r="L337" s="706">
        <x:f>IF('УПС'!$BJ29="Да",1,0)</x:f>
      </x:c>
      <x:c r="M337" s="707">
        <x:f>IF('УПС'!$BP29="Да",1,0)</x:f>
      </x:c>
      <x:c r="N337" s="708">
        <x:f>IF('УПС'!$BV29="Да",1,0)</x:f>
      </x:c>
      <x:c r="O337" s="375">
        <x:f>IFERROR(ROUND(SUM(C337:N337)/($S$311),1),"")</x:f>
      </x:c>
    </x:row>
    <x:row r="338" spans="1:25" ht="15" customHeight="1" x14ac:dyDescent="0.25">
      <x:c r="A338" s="710"/>
      <x:c r="B338" s="363" t="s">
        <x:v>1120</x:v>
      </x:c>
      <x:c r="C338" s="697">
        <x:f>IF('УПС'!$H30="Да",1,0)</x:f>
      </x:c>
      <x:c r="D338" s="698">
        <x:f>IF('УПС'!$N30="Да",1,0)</x:f>
      </x:c>
      <x:c r="E338" s="699">
        <x:f>IF('УПС'!$T30="Да",1,0)</x:f>
      </x:c>
      <x:c r="F338" s="700">
        <x:f>IF('УПС'!$Z30="Да",1,0)</x:f>
      </x:c>
      <x:c r="G338" s="701">
        <x:f>IF('УПС'!$AF30="Да",1,0)</x:f>
      </x:c>
      <x:c r="H338" s="702">
        <x:f>IF('УПС'!$AL30="Да",1,0)</x:f>
      </x:c>
      <x:c r="I338" s="703">
        <x:f>IF('УПС'!$AR30="Да",1,0)</x:f>
      </x:c>
      <x:c r="J338" s="704">
        <x:f>IF('УПС'!$AX30="Да",1,0)</x:f>
      </x:c>
      <x:c r="K338" s="705">
        <x:f>IF('УПС'!$BD30="Да",1,0)</x:f>
      </x:c>
      <x:c r="L338" s="706">
        <x:f>IF('УПС'!$BJ30="Да",1,0)</x:f>
      </x:c>
      <x:c r="M338" s="707">
        <x:f>IF('УПС'!$BP30="Да",1,0)</x:f>
      </x:c>
      <x:c r="N338" s="708">
        <x:f>IF('УПС'!$BV30="Да",1,0)</x:f>
      </x:c>
      <x:c r="O338" s="375">
        <x:f>IFERROR(ROUND(SUM(C338:N338)/($S$311),1),"")</x:f>
      </x:c>
    </x:row>
    <x:row r="339" spans="1:25" ht="15" customHeight="1" x14ac:dyDescent="0.25">
      <x:c r="A339" s="710"/>
      <x:c r="B339" s="363" t="s">
        <x:v>1121</x:v>
      </x:c>
      <x:c r="C339" s="697">
        <x:f>IF('УПС'!$H31="Да",1,0)</x:f>
      </x:c>
      <x:c r="D339" s="698">
        <x:f>IF('УПС'!$N31="Да",1,0)</x:f>
      </x:c>
      <x:c r="E339" s="699">
        <x:f>IF('УПС'!$T31="Да",1,0)</x:f>
      </x:c>
      <x:c r="F339" s="700">
        <x:f>IF('УПС'!$Z31="Да",1,0)</x:f>
      </x:c>
      <x:c r="G339" s="701">
        <x:f>IF('УПС'!$AF31="Да",1,0)</x:f>
      </x:c>
      <x:c r="H339" s="702">
        <x:f>IF('УПС'!$AL31="Да",1,0)</x:f>
      </x:c>
      <x:c r="I339" s="703">
        <x:f>IF('УПС'!$AR31="Да",1,0)</x:f>
      </x:c>
      <x:c r="J339" s="704">
        <x:f>IF('УПС'!$AX31="Да",1,0)</x:f>
      </x:c>
      <x:c r="K339" s="705">
        <x:f>IF('УПС'!$BD31="Да",1,0)</x:f>
      </x:c>
      <x:c r="L339" s="706">
        <x:f>IF('УПС'!$BJ31="Да",1,0)</x:f>
      </x:c>
      <x:c r="M339" s="707">
        <x:f>IF('УПС'!$BP31="Да",1,0)</x:f>
      </x:c>
      <x:c r="N339" s="708">
        <x:f>IF('УПС'!$BV31="Да",1,0)</x:f>
      </x:c>
      <x:c r="O339" s="375">
        <x:f>IFERROR(ROUND(SUM(C339:N339)/($S$311),1),"")</x:f>
      </x:c>
    </x:row>
    <x:row r="340" spans="1:25" ht="15" customHeight="1" x14ac:dyDescent="0.25">
      <x:c r="A340" s="710"/>
      <x:c r="B340" s="363" t="s">
        <x:v>715</x:v>
      </x:c>
      <x:c r="C340" s="697">
        <x:f>IF('УПС'!$H32="Да",1,0)</x:f>
      </x:c>
      <x:c r="D340" s="698">
        <x:f>IF('УПС'!$N32="Да",1,0)</x:f>
      </x:c>
      <x:c r="E340" s="699">
        <x:f>IF('УПС'!$T32="Да",1,0)</x:f>
      </x:c>
      <x:c r="F340" s="700">
        <x:f>IF('УПС'!$Z32="Да",1,0)</x:f>
      </x:c>
      <x:c r="G340" s="701">
        <x:f>IF('УПС'!$AF32="Да",1,0)</x:f>
      </x:c>
      <x:c r="H340" s="702">
        <x:f>IF('УПС'!$AL32="Да",1,0)</x:f>
      </x:c>
      <x:c r="I340" s="703">
        <x:f>IF('УПС'!$AR32="Да",1,0)</x:f>
      </x:c>
      <x:c r="J340" s="704">
        <x:f>IF('УПС'!$AX32="Да",1,0)</x:f>
      </x:c>
      <x:c r="K340" s="705">
        <x:f>IF('УПС'!$BD32="Да",1,0)</x:f>
      </x:c>
      <x:c r="L340" s="706">
        <x:f>IF('УПС'!$BJ32="Да",1,0)</x:f>
      </x:c>
      <x:c r="M340" s="707">
        <x:f>IF('УПС'!$BP32="Да",1,0)</x:f>
      </x:c>
      <x:c r="N340" s="708">
        <x:f>IF('УПС'!$BV32="Да",1,0)</x:f>
      </x:c>
      <x:c r="O340" s="375">
        <x:f>IFERROR(ROUND(SUM(C340:N340)/($S$311),1),"")</x:f>
      </x:c>
    </x:row>
    <x:row r="341" spans="1:25" ht="15" customHeight="1" x14ac:dyDescent="0.25">
      <x:c r="A341" s="710"/>
      <x:c r="B341" s="363" t="s">
        <x:v>739</x:v>
      </x:c>
      <x:c r="C341" s="697">
        <x:f>IF('УПС'!$H33="Да",1,0)</x:f>
      </x:c>
      <x:c r="D341" s="698">
        <x:f>IF('УПС'!$N33="Да",1,0)</x:f>
      </x:c>
      <x:c r="E341" s="699">
        <x:f>IF('УПС'!$T33="Да",1,0)</x:f>
      </x:c>
      <x:c r="F341" s="700">
        <x:f>IF('УПС'!$Z33="Да",1,0)</x:f>
      </x:c>
      <x:c r="G341" s="701">
        <x:f>IF('УПС'!$AF33="Да",1,0)</x:f>
      </x:c>
      <x:c r="H341" s="702">
        <x:f>IF('УПС'!$AL33="Да",1,0)</x:f>
      </x:c>
      <x:c r="I341" s="703">
        <x:f>IF('УПС'!$AR33="Да",1,0)</x:f>
      </x:c>
      <x:c r="J341" s="704">
        <x:f>IF('УПС'!$AX33="Да",1,0)</x:f>
      </x:c>
      <x:c r="K341" s="705">
        <x:f>IF('УПС'!$BD33="Да",1,0)</x:f>
      </x:c>
      <x:c r="L341" s="706">
        <x:f>IF('УПС'!$BJ33="Да",1,0)</x:f>
      </x:c>
      <x:c r="M341" s="707">
        <x:f>IF('УПС'!$BP33="Да",1,0)</x:f>
      </x:c>
      <x:c r="N341" s="708">
        <x:f>IF('УПС'!$BV33="Да",1,0)</x:f>
      </x:c>
      <x:c r="O341" s="375">
        <x:f>IFERROR(ROUND(SUM(C341:N341)/($S$311),1),"")</x:f>
      </x:c>
    </x:row>
    <x:row r="342" spans="1:25" ht="15" customHeight="1" x14ac:dyDescent="0.25">
      <x:c r="A342" s="710"/>
      <x:c r="B342" s="363" t="s">
        <x:v>718</x:v>
      </x:c>
      <x:c r="C342" s="697">
        <x:f>IF('УПС'!$H34="Да",1,0)</x:f>
      </x:c>
      <x:c r="D342" s="698">
        <x:f>IF('УПС'!$N34="Да",1,0)</x:f>
      </x:c>
      <x:c r="E342" s="699">
        <x:f>IF('УПС'!$T34="Да",1,0)</x:f>
      </x:c>
      <x:c r="F342" s="700">
        <x:f>IF('УПС'!$Z34="Да",1,0)</x:f>
      </x:c>
      <x:c r="G342" s="701">
        <x:f>IF('УПС'!$AF34="Да",1,0)</x:f>
      </x:c>
      <x:c r="H342" s="702">
        <x:f>IF('УПС'!$AL34="Да",1,0)</x:f>
      </x:c>
      <x:c r="I342" s="703">
        <x:f>IF('УПС'!$AR34="Да",1,0)</x:f>
      </x:c>
      <x:c r="J342" s="704">
        <x:f>IF('УПС'!$AX34="Да",1,0)</x:f>
      </x:c>
      <x:c r="K342" s="705">
        <x:f>IF('УПС'!$BD34="Да",1,0)</x:f>
      </x:c>
      <x:c r="L342" s="706">
        <x:f>IF('УПС'!$BJ34="Да",1,0)</x:f>
      </x:c>
      <x:c r="M342" s="707">
        <x:f>IF('УПС'!$BP34="Да",1,0)</x:f>
      </x:c>
      <x:c r="N342" s="708">
        <x:f>IF('УПС'!$BV34="Да",1,0)</x:f>
      </x:c>
      <x:c r="O342" s="375">
        <x:f>IFERROR(ROUND(SUM(C342:N342)/($S$311),1),"")</x:f>
      </x:c>
    </x:row>
    <x:row r="343" spans="1:25" ht="15" customHeight="1" x14ac:dyDescent="0.25">
      <x:c r="A343" s="710"/>
      <x:c r="B343" s="363" t="s">
        <x:v>727</x:v>
      </x:c>
      <x:c r="C343" s="697">
        <x:f>IF('УПС'!$H35="Да",1,0)</x:f>
      </x:c>
      <x:c r="D343" s="698">
        <x:f>IF('УПС'!$N35="Да",1,0)</x:f>
      </x:c>
      <x:c r="E343" s="699">
        <x:f>IF('УПС'!$T35="Да",1,0)</x:f>
      </x:c>
      <x:c r="F343" s="700">
        <x:f>IF('УПС'!$Z35="Да",1,0)</x:f>
      </x:c>
      <x:c r="G343" s="701">
        <x:f>IF('УПС'!$AF35="Да",1,0)</x:f>
      </x:c>
      <x:c r="H343" s="702">
        <x:f>IF('УПС'!$AL35="Да",1,0)</x:f>
      </x:c>
      <x:c r="I343" s="703">
        <x:f>IF('УПС'!$AR35="Да",1,0)</x:f>
      </x:c>
      <x:c r="J343" s="704">
        <x:f>IF('УПС'!$AX35="Да",1,0)</x:f>
      </x:c>
      <x:c r="K343" s="705">
        <x:f>IF('УПС'!$BD35="Да",1,0)</x:f>
      </x:c>
      <x:c r="L343" s="706">
        <x:f>IF('УПС'!$BJ35="Да",1,0)</x:f>
      </x:c>
      <x:c r="M343" s="707">
        <x:f>IF('УПС'!$BP35="Да",1,0)</x:f>
      </x:c>
      <x:c r="N343" s="708">
        <x:f>IF('УПС'!$BV35="Да",1,0)</x:f>
      </x:c>
      <x:c r="O343" s="375">
        <x:f>IFERROR(ROUND(SUM(C343:N343)/($S$311),1),"")</x:f>
      </x:c>
    </x:row>
    <x:row r="344" spans="1:25" ht="15" customHeight="1" x14ac:dyDescent="0.3">
      <x:c r="A344" s="710"/>
      <x:c r="B344" s="363" t="s">
        <x:v>705</x:v>
      </x:c>
      <x:c r="C344" s="697">
        <x:f>IF('УПС'!$H36="Да",1,0)</x:f>
      </x:c>
      <x:c r="D344" s="698">
        <x:f>IF('УПС'!$N36="Да",1,0)</x:f>
      </x:c>
      <x:c r="E344" s="699">
        <x:f>IF('УПС'!$T36="Да",1,0)</x:f>
      </x:c>
      <x:c r="F344" s="700">
        <x:f>IF('УПС'!$Z36="Да",1,0)</x:f>
      </x:c>
      <x:c r="G344" s="701">
        <x:f>IF('УПС'!$AF36="Да",1,0)</x:f>
      </x:c>
      <x:c r="H344" s="702">
        <x:f>IF('УПС'!$AL36="Да",1,0)</x:f>
      </x:c>
      <x:c r="I344" s="703">
        <x:f>IF('УПС'!$AR36="Да",1,0)</x:f>
      </x:c>
      <x:c r="J344" s="704">
        <x:f>IF('УПС'!$AX36="Да",1,0)</x:f>
      </x:c>
      <x:c r="K344" s="705">
        <x:f>IF('УПС'!$BD36="Да",1,0)</x:f>
      </x:c>
      <x:c r="L344" s="706">
        <x:f>IF('УПС'!$BJ36="Да",1,0)</x:f>
      </x:c>
      <x:c r="M344" s="707">
        <x:f>IF('УПС'!$BP36="Да",1,0)</x:f>
      </x:c>
      <x:c r="N344" s="708">
        <x:f>IF('УПС'!$BV36="Да",1,0)</x:f>
      </x:c>
      <x:c r="O344" s="375">
        <x:f>IFERROR(ROUND(SUM(C344:N344)/($S$311),1),"")</x:f>
      </x:c>
    </x:row>
    <x:row r="345" spans="1:25" ht="15" customHeight="1" x14ac:dyDescent="0.25">
      <x:c r="A345" s="710"/>
      <x:c r="B345" s="363" t="s">
        <x:v>1122</x:v>
      </x:c>
      <x:c r="C345" s="697">
        <x:f>IF('УПС'!$H37="Да",1,0)</x:f>
      </x:c>
      <x:c r="D345" s="698">
        <x:f>IF('УПС'!$N37="Да",1,0)</x:f>
      </x:c>
      <x:c r="E345" s="699">
        <x:f>IF('УПС'!$T37="Да",1,0)</x:f>
      </x:c>
      <x:c r="F345" s="700">
        <x:f>IF('УПС'!$Z37="Да",1,0)</x:f>
      </x:c>
      <x:c r="G345" s="701">
        <x:f>IF('УПС'!$AF37="Да",1,0)</x:f>
      </x:c>
      <x:c r="H345" s="702">
        <x:f>IF('УПС'!$AL37="Да",1,0)</x:f>
      </x:c>
      <x:c r="I345" s="703">
        <x:f>IF('УПС'!$AR37="Да",1,0)</x:f>
      </x:c>
      <x:c r="J345" s="704">
        <x:f>IF('УПС'!$AX37="Да",1,0)</x:f>
      </x:c>
      <x:c r="K345" s="705">
        <x:f>IF('УПС'!$BD37="Да",1,0)</x:f>
      </x:c>
      <x:c r="L345" s="706">
        <x:f>IF('УПС'!$BJ37="Да",1,0)</x:f>
      </x:c>
      <x:c r="M345" s="707">
        <x:f>IF('УПС'!$BP37="Да",1,0)</x:f>
      </x:c>
      <x:c r="N345" s="708">
        <x:f>IF('УПС'!$BV37="Да",1,0)</x:f>
      </x:c>
      <x:c r="O345" s="375">
        <x:f>IFERROR(ROUND(SUM(C345:N345)/($S$311),1),"")</x:f>
      </x:c>
    </x:row>
    <x:row r="346" spans="1:25" ht="15" customHeight="1" x14ac:dyDescent="0.25">
      <x:c r="A346" s="710"/>
      <x:c r="B346" s="363" t="s">
        <x:v>725</x:v>
      </x:c>
      <x:c r="C346" s="697">
        <x:f>IF('УПС'!$H38="Да",1,0)</x:f>
      </x:c>
      <x:c r="D346" s="698">
        <x:f>IF('УПС'!$N38="Да",1,0)</x:f>
      </x:c>
      <x:c r="E346" s="699">
        <x:f>IF('УПС'!$T38="Да",1,0)</x:f>
      </x:c>
      <x:c r="F346" s="700">
        <x:f>IF('УПС'!$Z38="Да",1,0)</x:f>
      </x:c>
      <x:c r="G346" s="701">
        <x:f>IF('УПС'!$AF38="Да",1,0)</x:f>
      </x:c>
      <x:c r="H346" s="702">
        <x:f>IF('УПС'!$AL38="Да",1,0)</x:f>
      </x:c>
      <x:c r="I346" s="703">
        <x:f>IF('УПС'!$AR38="Да",1,0)</x:f>
      </x:c>
      <x:c r="J346" s="704">
        <x:f>IF('УПС'!$AX38="Да",1,0)</x:f>
      </x:c>
      <x:c r="K346" s="705">
        <x:f>IF('УПС'!$BD38="Да",1,0)</x:f>
      </x:c>
      <x:c r="L346" s="706">
        <x:f>IF('УПС'!$BJ38="Да",1,0)</x:f>
      </x:c>
      <x:c r="M346" s="707">
        <x:f>IF('УПС'!$BP38="Да",1,0)</x:f>
      </x:c>
      <x:c r="N346" s="708">
        <x:f>IF('УПС'!$BV38="Да",1,0)</x:f>
      </x:c>
      <x:c r="O346" s="375">
        <x:f>IFERROR(ROUND(SUM(C346:N346)/($S$311),1),"")</x:f>
      </x:c>
    </x:row>
    <x:row r="347" spans="1:25" ht="15" customHeight="1" x14ac:dyDescent="0.25">
      <x:c r="A347" s="710"/>
      <x:c r="B347" s="363" t="s">
        <x:v>721</x:v>
      </x:c>
      <x:c r="C347" s="697">
        <x:f>IF('УПС'!$H39="Да",1,0)</x:f>
      </x:c>
      <x:c r="D347" s="698">
        <x:f>IF('УПС'!$N39="Да",1,0)</x:f>
      </x:c>
      <x:c r="E347" s="699">
        <x:f>IF('УПС'!$T39="Да",1,0)</x:f>
      </x:c>
      <x:c r="F347" s="700">
        <x:f>IF('УПС'!$Z39="Да",1,0)</x:f>
      </x:c>
      <x:c r="G347" s="701">
        <x:f>IF('УПС'!$AF39="Да",1,0)</x:f>
      </x:c>
      <x:c r="H347" s="702">
        <x:f>IF('УПС'!$AL39="Да",1,0)</x:f>
      </x:c>
      <x:c r="I347" s="703">
        <x:f>IF('УПС'!$AR39="Да",1,0)</x:f>
      </x:c>
      <x:c r="J347" s="704">
        <x:f>IF('УПС'!$AX39="Да",1,0)</x:f>
      </x:c>
      <x:c r="K347" s="705">
        <x:f>IF('УПС'!$BD39="Да",1,0)</x:f>
      </x:c>
      <x:c r="L347" s="706">
        <x:f>IF('УПС'!$BJ39="Да",1,0)</x:f>
      </x:c>
      <x:c r="M347" s="707">
        <x:f>IF('УПС'!$BP39="Да",1,0)</x:f>
      </x:c>
      <x:c r="N347" s="708">
        <x:f>IF('УПС'!$BV39="Да",1,0)</x:f>
      </x:c>
      <x:c r="O347" s="375">
        <x:f>IFERROR(ROUND(SUM(C347:N347)/($S$311),1),"")</x:f>
      </x:c>
    </x:row>
    <x:row r="348" spans="1:25" ht="15" customHeight="1" x14ac:dyDescent="0.25">
      <x:c r="A348" s="710"/>
      <x:c r="B348" s="363" t="s">
        <x:v>1123</x:v>
      </x:c>
      <x:c r="C348" s="697">
        <x:f>IF('УПС'!$H40="Да",1,0)</x:f>
      </x:c>
      <x:c r="D348" s="698">
        <x:f>IF('УПС'!$N40="Да",1,0)</x:f>
      </x:c>
      <x:c r="E348" s="699">
        <x:f>IF('УПС'!$T40="Да",1,0)</x:f>
      </x:c>
      <x:c r="F348" s="700">
        <x:f>IF('УПС'!$Z40="Да",1,0)</x:f>
      </x:c>
      <x:c r="G348" s="701">
        <x:f>IF('УПС'!$AF40="Да",1,0)</x:f>
      </x:c>
      <x:c r="H348" s="702">
        <x:f>IF('УПС'!$AL40="Да",1,0)</x:f>
      </x:c>
      <x:c r="I348" s="703">
        <x:f>IF('УПС'!$AR40="Да",1,0)</x:f>
      </x:c>
      <x:c r="J348" s="704">
        <x:f>IF('УПС'!$AX40="Да",1,0)</x:f>
      </x:c>
      <x:c r="K348" s="705">
        <x:f>IF('УПС'!$BD40="Да",1,0)</x:f>
      </x:c>
      <x:c r="L348" s="706">
        <x:f>IF('УПС'!$BJ40="Да",1,0)</x:f>
      </x:c>
      <x:c r="M348" s="707">
        <x:f>IF('УПС'!$BP40="Да",1,0)</x:f>
      </x:c>
      <x:c r="N348" s="708">
        <x:f>IF('УПС'!$BV40="Да",1,0)</x:f>
      </x:c>
      <x:c r="O348" s="375">
        <x:f>IFERROR(ROUND(SUM(C348:N348)/($S$311),1),"")</x:f>
      </x:c>
    </x:row>
    <x:row r="349" spans="1:25" ht="15" customHeight="1" x14ac:dyDescent="0.25">
      <x:c r="A349" s="710"/>
      <x:c r="B349" s="363" t="s">
        <x:v>728</x:v>
      </x:c>
      <x:c r="C349" s="697">
        <x:f>IF('УПС'!$H41="Да",1,0)</x:f>
      </x:c>
      <x:c r="D349" s="698">
        <x:f>IF('УПС'!$N41="Да",1,0)</x:f>
      </x:c>
      <x:c r="E349" s="699">
        <x:f>IF('УПС'!$T41="Да",1,0)</x:f>
      </x:c>
      <x:c r="F349" s="700">
        <x:f>IF('УПС'!$Z41="Да",1,0)</x:f>
      </x:c>
      <x:c r="G349" s="701">
        <x:f>IF('УПС'!$AF41="Да",1,0)</x:f>
      </x:c>
      <x:c r="H349" s="702">
        <x:f>IF('УПС'!$AL41="Да",1,0)</x:f>
      </x:c>
      <x:c r="I349" s="703">
        <x:f>IF('УПС'!$AR41="Да",1,0)</x:f>
      </x:c>
      <x:c r="J349" s="704">
        <x:f>IF('УПС'!$AX41="Да",1,0)</x:f>
      </x:c>
      <x:c r="K349" s="705">
        <x:f>IF('УПС'!$BD41="Да",1,0)</x:f>
      </x:c>
      <x:c r="L349" s="706">
        <x:f>IF('УПС'!$BJ41="Да",1,0)</x:f>
      </x:c>
      <x:c r="M349" s="707">
        <x:f>IF('УПС'!$BP41="Да",1,0)</x:f>
      </x:c>
      <x:c r="N349" s="708">
        <x:f>IF('УПС'!$BV41="Да",1,0)</x:f>
      </x:c>
      <x:c r="O349" s="375">
        <x:f>IFERROR(ROUND(SUM(C349:N349)/($S$311),1),"")</x:f>
      </x:c>
    </x:row>
    <x:row r="350" spans="1:25" ht="15" customHeight="1" x14ac:dyDescent="0.25">
      <x:c r="A350" s="710"/>
      <x:c r="B350" s="363" t="s">
        <x:v>1124</x:v>
      </x:c>
      <x:c r="C350" s="697">
        <x:f>IF('УПС'!$H42="Да",1,0)</x:f>
      </x:c>
      <x:c r="D350" s="698">
        <x:f>IF('УПС'!$N42="Да",1,0)</x:f>
      </x:c>
      <x:c r="E350" s="699">
        <x:f>IF('УПС'!$T42="Да",1,0)</x:f>
      </x:c>
      <x:c r="F350" s="700">
        <x:f>IF('УПС'!$Z42="Да",1,0)</x:f>
      </x:c>
      <x:c r="G350" s="701">
        <x:f>IF('УПС'!$AF42="Да",1,0)</x:f>
      </x:c>
      <x:c r="H350" s="702">
        <x:f>IF('УПС'!$AL42="Да",1,0)</x:f>
      </x:c>
      <x:c r="I350" s="703">
        <x:f>IF('УПС'!$AR42="Да",1,0)</x:f>
      </x:c>
      <x:c r="J350" s="704">
        <x:f>IF('УПС'!$AX42="Да",1,0)</x:f>
      </x:c>
      <x:c r="K350" s="705">
        <x:f>IF('УПС'!$BD42="Да",1,0)</x:f>
      </x:c>
      <x:c r="L350" s="706">
        <x:f>IF('УПС'!$BJ42="Да",1,0)</x:f>
      </x:c>
      <x:c r="M350" s="707">
        <x:f>IF('УПС'!$BP42="Да",1,0)</x:f>
      </x:c>
      <x:c r="N350" s="708">
        <x:f>IF('УПС'!$BV42="Да",1,0)</x:f>
      </x:c>
      <x:c r="O350" s="375">
        <x:f>IFERROR(ROUND(SUM(C350:N350)/($S$311),1),"")</x:f>
      </x:c>
    </x:row>
    <x:row r="351" spans="1:25" ht="15" customHeight="1" x14ac:dyDescent="0.25">
      <x:c r="A351" s="710"/>
      <x:c r="B351" s="363" t="s">
        <x:v>710</x:v>
      </x:c>
      <x:c r="C351" s="697">
        <x:f>IF('УПС'!$H43="Да",1,0)</x:f>
      </x:c>
      <x:c r="D351" s="698">
        <x:f>IF('УПС'!$N43="Да",1,0)</x:f>
      </x:c>
      <x:c r="E351" s="699">
        <x:f>IF('УПС'!$T43="Да",1,0)</x:f>
      </x:c>
      <x:c r="F351" s="700">
        <x:f>IF('УПС'!$Z43="Да",1,0)</x:f>
      </x:c>
      <x:c r="G351" s="701">
        <x:f>IF('УПС'!$AF43="Да",1,0)</x:f>
      </x:c>
      <x:c r="H351" s="702">
        <x:f>IF('УПС'!$AL43="Да",1,0)</x:f>
      </x:c>
      <x:c r="I351" s="703">
        <x:f>IF('УПС'!$AR43="Да",1,0)</x:f>
      </x:c>
      <x:c r="J351" s="704">
        <x:f>IF('УПС'!$AX43="Да",1,0)</x:f>
      </x:c>
      <x:c r="K351" s="705">
        <x:f>IF('УПС'!$BD43="Да",1,0)</x:f>
      </x:c>
      <x:c r="L351" s="706">
        <x:f>IF('УПС'!$BJ43="Да",1,0)</x:f>
      </x:c>
      <x:c r="M351" s="707">
        <x:f>IF('УПС'!$BP43="Да",1,0)</x:f>
      </x:c>
      <x:c r="N351" s="708">
        <x:f>IF('УПС'!$BV43="Да",1,0)</x:f>
      </x:c>
      <x:c r="O351" s="375">
        <x:f>IFERROR(ROUND(SUM(C351:N351)/($S$311),1),"")</x:f>
      </x:c>
    </x:row>
    <x:row r="352" spans="1:25" ht="15" customHeight="1" x14ac:dyDescent="0.25">
      <x:c r="A352" s="710"/>
      <x:c r="B352" s="363" t="s">
        <x:v>700</x:v>
      </x:c>
      <x:c r="C352" s="697">
        <x:f>IF('УПС'!$H44="Да",1,0)</x:f>
      </x:c>
      <x:c r="D352" s="698">
        <x:f>IF('УПС'!$N44="Да",1,0)</x:f>
      </x:c>
      <x:c r="E352" s="699">
        <x:f>IF('УПС'!$T44="Да",1,0)</x:f>
      </x:c>
      <x:c r="F352" s="700">
        <x:f>IF('УПС'!$Z44="Да",1,0)</x:f>
      </x:c>
      <x:c r="G352" s="701">
        <x:f>IF('УПС'!$AF44="Да",1,0)</x:f>
      </x:c>
      <x:c r="H352" s="702">
        <x:f>IF('УПС'!$AL44="Да",1,0)</x:f>
      </x:c>
      <x:c r="I352" s="703">
        <x:f>IF('УПС'!$AR44="Да",1,0)</x:f>
      </x:c>
      <x:c r="J352" s="704">
        <x:f>IF('УПС'!$AX44="Да",1,0)</x:f>
      </x:c>
      <x:c r="K352" s="705">
        <x:f>IF('УПС'!$BD44="Да",1,0)</x:f>
      </x:c>
      <x:c r="L352" s="706">
        <x:f>IF('УПС'!$BJ44="Да",1,0)</x:f>
      </x:c>
      <x:c r="M352" s="707">
        <x:f>IF('УПС'!$BP44="Да",1,0)</x:f>
      </x:c>
      <x:c r="N352" s="708">
        <x:f>IF('УПС'!$BV44="Да",1,0)</x:f>
      </x:c>
      <x:c r="O352" s="375">
        <x:f>IFERROR(ROUND(SUM(C352:N352)/($S$311),1),"")</x:f>
      </x:c>
    </x:row>
    <x:row r="353" spans="1:25" ht="15" customHeight="1" x14ac:dyDescent="0.25">
      <x:c r="A353" s="710"/>
      <x:c r="B353" s="363" t="s">
        <x:v>716</x:v>
      </x:c>
      <x:c r="C353" s="697">
        <x:f>IF('УПС'!$H45="Да",1,0)</x:f>
      </x:c>
      <x:c r="D353" s="698">
        <x:f>IF('УПС'!$N45="Да",1,0)</x:f>
      </x:c>
      <x:c r="E353" s="699">
        <x:f>IF('УПС'!$T45="Да",1,0)</x:f>
      </x:c>
      <x:c r="F353" s="700">
        <x:f>IF('УПС'!$Z45="Да",1,0)</x:f>
      </x:c>
      <x:c r="G353" s="701">
        <x:f>IF('УПС'!$AF45="Да",1,0)</x:f>
      </x:c>
      <x:c r="H353" s="702">
        <x:f>IF('УПС'!$AL45="Да",1,0)</x:f>
      </x:c>
      <x:c r="I353" s="703">
        <x:f>IF('УПС'!$AR45="Да",1,0)</x:f>
      </x:c>
      <x:c r="J353" s="704">
        <x:f>IF('УПС'!$AX45="Да",1,0)</x:f>
      </x:c>
      <x:c r="K353" s="705">
        <x:f>IF('УПС'!$BD45="Да",1,0)</x:f>
      </x:c>
      <x:c r="L353" s="706">
        <x:f>IF('УПС'!$BJ45="Да",1,0)</x:f>
      </x:c>
      <x:c r="M353" s="707">
        <x:f>IF('УПС'!$BP45="Да",1,0)</x:f>
      </x:c>
      <x:c r="N353" s="708">
        <x:f>IF('УПС'!$BV45="Да",1,0)</x:f>
      </x:c>
      <x:c r="O353" s="375">
        <x:f>IFERROR(ROUND(SUM(C353:N353)/($S$311),1),"")</x:f>
      </x:c>
    </x:row>
    <x:row r="354" spans="1:25" ht="15" customHeight="1" x14ac:dyDescent="0.25">
      <x:c r="A354" s="710"/>
      <x:c r="B354" s="363" t="s">
        <x:v>741</x:v>
      </x:c>
      <x:c r="C354" s="697">
        <x:f>IF('УПС'!$H46="Да",1,0)</x:f>
      </x:c>
      <x:c r="D354" s="698">
        <x:f>IF('УПС'!$N46="Да",1,0)</x:f>
      </x:c>
      <x:c r="E354" s="699">
        <x:f>IF('УПС'!$T46="Да",1,0)</x:f>
      </x:c>
      <x:c r="F354" s="700">
        <x:f>IF('УПС'!$Z46="Да",1,0)</x:f>
      </x:c>
      <x:c r="G354" s="701">
        <x:f>IF('УПС'!$AF46="Да",1,0)</x:f>
      </x:c>
      <x:c r="H354" s="702">
        <x:f>IF('УПС'!$AL46="Да",1,0)</x:f>
      </x:c>
      <x:c r="I354" s="703">
        <x:f>IF('УПС'!$AR46="Да",1,0)</x:f>
      </x:c>
      <x:c r="J354" s="704">
        <x:f>IF('УПС'!$AX46="Да",1,0)</x:f>
      </x:c>
      <x:c r="K354" s="705">
        <x:f>IF('УПС'!$BD46="Да",1,0)</x:f>
      </x:c>
      <x:c r="L354" s="706">
        <x:f>IF('УПС'!$BJ46="Да",1,0)</x:f>
      </x:c>
      <x:c r="M354" s="707">
        <x:f>IF('УПС'!$BP46="Да",1,0)</x:f>
      </x:c>
      <x:c r="N354" s="708">
        <x:f>IF('УПС'!$BV46="Да",1,0)</x:f>
      </x:c>
      <x:c r="O354" s="375">
        <x:f>IFERROR(ROUND(SUM(C354:N354)/($S$311),1),"")</x:f>
      </x:c>
    </x:row>
    <x:row r="355" spans="1:25" ht="15" customHeight="1" x14ac:dyDescent="0.25">
      <x:c r="A355" s="710"/>
      <x:c r="B355" s="363" t="s">
        <x:v>720</x:v>
      </x:c>
      <x:c r="C355" s="697">
        <x:f>IF('УПС'!$H47="Да",1,0)</x:f>
      </x:c>
      <x:c r="D355" s="698">
        <x:f>IF('УПС'!$N47="Да",1,0)</x:f>
      </x:c>
      <x:c r="E355" s="699">
        <x:f>IF('УПС'!$T47="Да",1,0)</x:f>
      </x:c>
      <x:c r="F355" s="700">
        <x:f>IF('УПС'!$Z47="Да",1,0)</x:f>
      </x:c>
      <x:c r="G355" s="701">
        <x:f>IF('УПС'!$AF47="Да",1,0)</x:f>
      </x:c>
      <x:c r="H355" s="702">
        <x:f>IF('УПС'!$AL47="Да",1,0)</x:f>
      </x:c>
      <x:c r="I355" s="703">
        <x:f>IF('УПС'!$AR47="Да",1,0)</x:f>
      </x:c>
      <x:c r="J355" s="704">
        <x:f>IF('УПС'!$AX47="Да",1,0)</x:f>
      </x:c>
      <x:c r="K355" s="705">
        <x:f>IF('УПС'!$BD47="Да",1,0)</x:f>
      </x:c>
      <x:c r="L355" s="706">
        <x:f>IF('УПС'!$BJ47="Да",1,0)</x:f>
      </x:c>
      <x:c r="M355" s="707">
        <x:f>IF('УПС'!$BP47="Да",1,0)</x:f>
      </x:c>
      <x:c r="N355" s="708">
        <x:f>IF('УПС'!$BV47="Да",1,0)</x:f>
      </x:c>
      <x:c r="O355" s="375">
        <x:f>IFERROR(ROUND(SUM(C355:N355)/($S$311),1),"")</x:f>
      </x:c>
    </x:row>
    <x:row r="356" spans="1:25" ht="15" customHeight="1" x14ac:dyDescent="0.25">
      <x:c r="A356" s="710"/>
      <x:c r="B356" s="363" t="s">
        <x:v>1125</x:v>
      </x:c>
      <x:c r="C356" s="697">
        <x:f>IF('УПС'!$H48="Да",1,0)</x:f>
      </x:c>
      <x:c r="D356" s="698">
        <x:f>IF('УПС'!$N48="Да",1,0)</x:f>
      </x:c>
      <x:c r="E356" s="699">
        <x:f>IF('УПС'!$T48="Да",1,0)</x:f>
      </x:c>
      <x:c r="F356" s="700">
        <x:f>IF('УПС'!$Z48="Да",1,0)</x:f>
      </x:c>
      <x:c r="G356" s="701">
        <x:f>IF('УПС'!$AF48="Да",1,0)</x:f>
      </x:c>
      <x:c r="H356" s="702">
        <x:f>IF('УПС'!$AL48="Да",1,0)</x:f>
      </x:c>
      <x:c r="I356" s="703">
        <x:f>IF('УПС'!$AR48="Да",1,0)</x:f>
      </x:c>
      <x:c r="J356" s="704">
        <x:f>IF('УПС'!$AX48="Да",1,0)</x:f>
      </x:c>
      <x:c r="K356" s="705">
        <x:f>IF('УПС'!$BD48="Да",1,0)</x:f>
      </x:c>
      <x:c r="L356" s="706">
        <x:f>IF('УПС'!$BJ48="Да",1,0)</x:f>
      </x:c>
      <x:c r="M356" s="707">
        <x:f>IF('УПС'!$BP48="Да",1,0)</x:f>
      </x:c>
      <x:c r="N356" s="708">
        <x:f>IF('УПС'!$BV48="Да",1,0)</x:f>
      </x:c>
      <x:c r="O356" s="375">
        <x:f>IFERROR(ROUND(SUM(C356:N356)/($S$311),1),"")</x:f>
      </x:c>
    </x:row>
    <x:row r="357" spans="1:25" ht="15" customHeight="1" x14ac:dyDescent="0.25">
      <x:c r="A357" s="710"/>
      <x:c r="B357" s="363" t="s">
        <x:v>1126</x:v>
      </x:c>
      <x:c r="C357" s="697">
        <x:f>IF('УПС'!$H49="Да",1,0)</x:f>
      </x:c>
      <x:c r="D357" s="698">
        <x:f>IF('УПС'!$N49="Да",1,0)</x:f>
      </x:c>
      <x:c r="E357" s="699">
        <x:f>IF('УПС'!$T49="Да",1,0)</x:f>
      </x:c>
      <x:c r="F357" s="700">
        <x:f>IF('УПС'!$Z49="Да",1,0)</x:f>
      </x:c>
      <x:c r="G357" s="701">
        <x:f>IF('УПС'!$AF49="Да",1,0)</x:f>
      </x:c>
      <x:c r="H357" s="702">
        <x:f>IF('УПС'!$AL49="Да",1,0)</x:f>
      </x:c>
      <x:c r="I357" s="703">
        <x:f>IF('УПС'!$AR49="Да",1,0)</x:f>
      </x:c>
      <x:c r="J357" s="704">
        <x:f>IF('УПС'!$AX49="Да",1,0)</x:f>
      </x:c>
      <x:c r="K357" s="705">
        <x:f>IF('УПС'!$BD49="Да",1,0)</x:f>
      </x:c>
      <x:c r="L357" s="706">
        <x:f>IF('УПС'!$BJ49="Да",1,0)</x:f>
      </x:c>
      <x:c r="M357" s="707">
        <x:f>IF('УПС'!$BP49="Да",1,0)</x:f>
      </x:c>
      <x:c r="N357" s="708">
        <x:f>IF('УПС'!$BV49="Да",1,0)</x:f>
      </x:c>
      <x:c r="O357" s="375">
        <x:f>IFERROR(ROUND(SUM(C357:N357)/($S$311),1),"")</x:f>
      </x:c>
    </x:row>
    <x:row r="358" spans="1:25" ht="15" customHeight="1" x14ac:dyDescent="0.25">
      <x:c r="A358" s="710"/>
      <x:c r="B358" s="363" t="s">
        <x:v>707</x:v>
      </x:c>
      <x:c r="C358" s="697">
        <x:f>IF('УПС'!$H50="Да",1,0)</x:f>
      </x:c>
      <x:c r="D358" s="698">
        <x:f>IF('УПС'!$N50="Да",1,0)</x:f>
      </x:c>
      <x:c r="E358" s="699">
        <x:f>IF('УПС'!$T50="Да",1,0)</x:f>
      </x:c>
      <x:c r="F358" s="700">
        <x:f>IF('УПС'!$Z50="Да",1,0)</x:f>
      </x:c>
      <x:c r="G358" s="701">
        <x:f>IF('УПС'!$AF50="Да",1,0)</x:f>
      </x:c>
      <x:c r="H358" s="702">
        <x:f>IF('УПС'!$AL50="Да",1,0)</x:f>
      </x:c>
      <x:c r="I358" s="703">
        <x:f>IF('УПС'!$AR50="Да",1,0)</x:f>
      </x:c>
      <x:c r="J358" s="704">
        <x:f>IF('УПС'!$AX50="Да",1,0)</x:f>
      </x:c>
      <x:c r="K358" s="705">
        <x:f>IF('УПС'!$BD50="Да",1,0)</x:f>
      </x:c>
      <x:c r="L358" s="706">
        <x:f>IF('УПС'!$BJ50="Да",1,0)</x:f>
      </x:c>
      <x:c r="M358" s="707">
        <x:f>IF('УПС'!$BP50="Да",1,0)</x:f>
      </x:c>
      <x:c r="N358" s="708">
        <x:f>IF('УПС'!$BV50="Да",1,0)</x:f>
      </x:c>
      <x:c r="O358" s="375">
        <x:f>IFERROR(ROUND(SUM(C358:N358)/($S$311),1),"")</x:f>
      </x:c>
    </x:row>
    <x:row r="359" spans="1:25" ht="15" customHeight="1" x14ac:dyDescent="0.25">
      <x:c r="A359" s="710"/>
      <x:c r="B359" s="363" t="s">
        <x:v>722</x:v>
      </x:c>
      <x:c r="C359" s="697">
        <x:f>IF('УПС'!$H51="Да",1,0)</x:f>
      </x:c>
      <x:c r="D359" s="698">
        <x:f>IF('УПС'!$N51="Да",1,0)</x:f>
      </x:c>
      <x:c r="E359" s="699">
        <x:f>IF('УПС'!$T51="Да",1,0)</x:f>
      </x:c>
      <x:c r="F359" s="700">
        <x:f>IF('УПС'!$Z51="Да",1,0)</x:f>
      </x:c>
      <x:c r="G359" s="701">
        <x:f>IF('УПС'!$AF51="Да",1,0)</x:f>
      </x:c>
      <x:c r="H359" s="702">
        <x:f>IF('УПС'!$AL51="Да",1,0)</x:f>
      </x:c>
      <x:c r="I359" s="703">
        <x:f>IF('УПС'!$AR51="Да",1,0)</x:f>
      </x:c>
      <x:c r="J359" s="704">
        <x:f>IF('УПС'!$AX51="Да",1,0)</x:f>
      </x:c>
      <x:c r="K359" s="705">
        <x:f>IF('УПС'!$BD51="Да",1,0)</x:f>
      </x:c>
      <x:c r="L359" s="706">
        <x:f>IF('УПС'!$BJ51="Да",1,0)</x:f>
      </x:c>
      <x:c r="M359" s="707">
        <x:f>IF('УПС'!$BP51="Да",1,0)</x:f>
      </x:c>
      <x:c r="N359" s="708">
        <x:f>IF('УПС'!$BV51="Да",1,0)</x:f>
      </x:c>
      <x:c r="O359" s="375">
        <x:f>IFERROR(ROUND(SUM(C359:N359)/($S$311),1),"")</x:f>
      </x:c>
    </x:row>
    <x:row r="360" spans="1:25" ht="15" customHeight="1" x14ac:dyDescent="0.25">
      <x:c r="A360" s="710"/>
      <x:c r="B360" s="363" t="s">
        <x:v>714</x:v>
      </x:c>
      <x:c r="C360" s="697">
        <x:f>IF('УПС'!$H52="Да",1,0)</x:f>
      </x:c>
      <x:c r="D360" s="698">
        <x:f>IF('УПС'!$N52="Да",1,0)</x:f>
      </x:c>
      <x:c r="E360" s="699">
        <x:f>IF('УПС'!$T52="Да",1,0)</x:f>
      </x:c>
      <x:c r="F360" s="700">
        <x:f>IF('УПС'!$Z52="Да",1,0)</x:f>
      </x:c>
      <x:c r="G360" s="701">
        <x:f>IF('УПС'!$AF52="Да",1,0)</x:f>
      </x:c>
      <x:c r="H360" s="702">
        <x:f>IF('УПС'!$AL52="Да",1,0)</x:f>
      </x:c>
      <x:c r="I360" s="703">
        <x:f>IF('УПС'!$AR52="Да",1,0)</x:f>
      </x:c>
      <x:c r="J360" s="704">
        <x:f>IF('УПС'!$AX52="Да",1,0)</x:f>
      </x:c>
      <x:c r="K360" s="705">
        <x:f>IF('УПС'!$BD52="Да",1,0)</x:f>
      </x:c>
      <x:c r="L360" s="706">
        <x:f>IF('УПС'!$BJ52="Да",1,0)</x:f>
      </x:c>
      <x:c r="M360" s="707">
        <x:f>IF('УПС'!$BP52="Да",1,0)</x:f>
      </x:c>
      <x:c r="N360" s="708">
        <x:f>IF('УПС'!$BV52="Да",1,0)</x:f>
      </x:c>
      <x:c r="O360" s="375">
        <x:f>IFERROR(ROUND(SUM(C360:N360)/($S$311),1),"")</x:f>
      </x:c>
    </x:row>
    <x:row r="361" spans="1:25" ht="15" customHeight="1" x14ac:dyDescent="0.25">
      <x:c r="A361" s="710"/>
      <x:c r="B361" s="363" t="s">
        <x:v>702</x:v>
      </x:c>
      <x:c r="C361" s="697">
        <x:f>IF('УПС'!$H53="Да",1,0)</x:f>
      </x:c>
      <x:c r="D361" s="698">
        <x:f>IF('УПС'!$N53="Да",1,0)</x:f>
      </x:c>
      <x:c r="E361" s="699">
        <x:f>IF('УПС'!$T53="Да",1,0)</x:f>
      </x:c>
      <x:c r="F361" s="700">
        <x:f>IF('УПС'!$Z53="Да",1,0)</x:f>
      </x:c>
      <x:c r="G361" s="701">
        <x:f>IF('УПС'!$AF53="Да",1,0)</x:f>
      </x:c>
      <x:c r="H361" s="702">
        <x:f>IF('УПС'!$AL53="Да",1,0)</x:f>
      </x:c>
      <x:c r="I361" s="703">
        <x:f>IF('УПС'!$AR53="Да",1,0)</x:f>
      </x:c>
      <x:c r="J361" s="704">
        <x:f>IF('УПС'!$AX53="Да",1,0)</x:f>
      </x:c>
      <x:c r="K361" s="705">
        <x:f>IF('УПС'!$BD53="Да",1,0)</x:f>
      </x:c>
      <x:c r="L361" s="706">
        <x:f>IF('УПС'!$BJ53="Да",1,0)</x:f>
      </x:c>
      <x:c r="M361" s="707">
        <x:f>IF('УПС'!$BP53="Да",1,0)</x:f>
      </x:c>
      <x:c r="N361" s="708">
        <x:f>IF('УПС'!$BV53="Да",1,0)</x:f>
      </x:c>
      <x:c r="O361" s="375">
        <x:f>IFERROR(ROUND(SUM(C361:N361)/($S$311),1),"")</x:f>
      </x:c>
    </x:row>
    <x:row r="362" spans="1:25" ht="15.75" customHeight="1" x14ac:dyDescent="0.25">
      <x:c r="A362" s="717"/>
      <x:c r="B362" s="379" t="s">
        <x:v>729</x:v>
      </x:c>
      <x:c r="C362" s="697">
        <x:f>IF('УПС'!$H54="Да",1,0)</x:f>
      </x:c>
      <x:c r="D362" s="698">
        <x:f>IF('УПС'!$N54="Да",1,0)</x:f>
      </x:c>
      <x:c r="E362" s="699">
        <x:f>IF('УПС'!$T54="Да",1,0)</x:f>
      </x:c>
      <x:c r="F362" s="700">
        <x:f>IF('УПС'!$Z54="Да",1,0)</x:f>
      </x:c>
      <x:c r="G362" s="701">
        <x:f>IF('УПС'!$AF54="Да",1,0)</x:f>
      </x:c>
      <x:c r="H362" s="702">
        <x:f>IF('УПС'!$AL54="Да",1,0)</x:f>
      </x:c>
      <x:c r="I362" s="703">
        <x:f>IF('УПС'!$AR54="Да",1,0)</x:f>
      </x:c>
      <x:c r="J362" s="704">
        <x:f>IF('УПС'!$AX54="Да",1,0)</x:f>
      </x:c>
      <x:c r="K362" s="705">
        <x:f>IF('УПС'!$BD54="Да",1,0)</x:f>
      </x:c>
      <x:c r="L362" s="706">
        <x:f>IF('УПС'!$BJ54="Да",1,0)</x:f>
      </x:c>
      <x:c r="M362" s="707">
        <x:f>IF('УПС'!$BP54="Да",1,0)</x:f>
      </x:c>
      <x:c r="N362" s="708">
        <x:f>IF('УПС'!$BV54="Да",1,0)</x:f>
      </x:c>
      <x:c r="O362" s="375">
        <x:f>IFERROR(ROUND(SUM(C362:N362)/($S$311),1),"")</x:f>
      </x:c>
    </x:row>
    <x:row r="363" spans="1:25" ht="15" customHeight="1" x14ac:dyDescent="0.25">
      <x:c r="A363" s="696" t="s">
        <x:v>1076</x:v>
      </x:c>
      <x:c r="B363" s="363" t="s">
        <x:v>626</x:v>
      </x:c>
      <x:c r="C363" s="697">
        <x:f>IF('УПВ'!$H3="Да",1,0)</x:f>
      </x:c>
      <x:c r="D363" s="698">
        <x:f>IF('УПВ'!$N3="Да",1,0)</x:f>
      </x:c>
      <x:c r="E363" s="699">
        <x:f>IF('УПВ'!$T3="Да",1,0)</x:f>
      </x:c>
      <x:c r="F363" s="700">
        <x:f>IF('УПВ'!$Z3="Да",1,0)</x:f>
      </x:c>
      <x:c r="G363" s="701">
        <x:f>IF('УПВ'!$AF3="Да",1,0)</x:f>
      </x:c>
      <x:c r="H363" s="702">
        <x:f>IF('УПВ'!$AL3="Да",1,0)</x:f>
      </x:c>
      <x:c r="I363" s="703">
        <x:f>IF('УПВ'!$AR3="Да",1,0)</x:f>
      </x:c>
      <x:c r="J363" s="704">
        <x:f>IF('УПВ'!$AX3="Да",1,0)</x:f>
      </x:c>
      <x:c r="K363" s="705">
        <x:f>IF('УПВ'!$BD3="Да",1,0)</x:f>
      </x:c>
      <x:c r="L363" s="706">
        <x:f>IF('УПВ'!$BJ3="Да",1,0)</x:f>
      </x:c>
      <x:c r="M363" s="707">
        <x:f>IF('УПВ'!$BP3="Да",1,0)</x:f>
      </x:c>
      <x:c r="N363" s="708">
        <x:f>IF('УПВ'!$BV3="Да",1,0)</x:f>
      </x:c>
      <x:c r="O363" s="375">
        <x:f>IFERROR(ROUND(SUM(C363:N363)/($S$363),1),"")</x:f>
      </x:c>
      <x:c r="Q363" s="709" t="s">
        <x:v>1151</x:v>
      </x:c>
      <x:c r="R363" s="596"/>
      <x:c r="S363" s="376">
        <x:f>SUM(IF(COUNTIF(C363:C382,"&gt;0")&gt;0,1,0),IF(COUNTIF(D363:D382,"&gt;0")&gt;0,1,0),IF(COUNTIF(E363:E382,"&gt;0")&gt;0,1,0),IF(COUNTIF(F363:F382,"&gt;0")&gt;0,1,0),IF(COUNTIF(G363:G382,"&gt;0")&gt;0,1,0),IF(COUNTIF(H363:H382,"&gt;0")&gt;0,1,0),IF(COUNTIF(I363:I382,"&gt;0")&gt;0,1,0),IF(COUNTIF(J363:J382,"&gt;0")&gt;0,1,0),IF(COUNTIF(K363:K382,"&gt;0")&gt;0,1,0),IF(COUNTIF(L363:L382,"&gt;0")&gt;0,1,0),IF(COUNTIF(M363:M382,"&gt;0")&gt;0,1,0),IF(COUNTIF(N363:N382,"&gt;0")&gt;0,1,0))</x:f>
      </x:c>
    </x:row>
    <x:row r="364" spans="1:25" ht="15" customHeight="1" x14ac:dyDescent="0.25">
      <x:c r="A364" s="710"/>
      <x:c r="B364" s="363" t="s">
        <x:v>616</x:v>
      </x:c>
      <x:c r="C364" s="697">
        <x:f>IF('УПВ'!$H4="Да",1,0)</x:f>
      </x:c>
      <x:c r="D364" s="698">
        <x:f>IF('УПВ'!$N4="Да",1,0)</x:f>
      </x:c>
      <x:c r="E364" s="699">
        <x:f>IF('УПВ'!$T4="Да",1,0)</x:f>
      </x:c>
      <x:c r="F364" s="700">
        <x:f>IF('УПВ'!$Z4="Да",1,0)</x:f>
      </x:c>
      <x:c r="G364" s="701">
        <x:f>IF('УПВ'!$AF4="Да",1,0)</x:f>
      </x:c>
      <x:c r="H364" s="702">
        <x:f>IF('УПВ'!$AL4="Да",1,0)</x:f>
      </x:c>
      <x:c r="I364" s="703">
        <x:f>IF('УПВ'!$AR4="Да",1,0)</x:f>
      </x:c>
      <x:c r="J364" s="704">
        <x:f>IF('УПВ'!$AX4="Да",1,0)</x:f>
      </x:c>
      <x:c r="K364" s="705">
        <x:f>IF('УПВ'!$BD4="Да",1,0)</x:f>
      </x:c>
      <x:c r="L364" s="706">
        <x:f>IF('УПВ'!$BJ4="Да",1,0)</x:f>
      </x:c>
      <x:c r="M364" s="707">
        <x:f>IF('УПВ'!$BP4="Да",1,0)</x:f>
      </x:c>
      <x:c r="N364" s="708">
        <x:f>IF('УПВ'!$BV4="Да",1,0)</x:f>
      </x:c>
      <x:c r="O364" s="375">
        <x:f>IFERROR(ROUND(SUM(C364:N364)/($S$363),1),"")</x:f>
      </x:c>
      <x:c r="Q364" s="711"/>
      <x:c r="R364" s="712"/>
      <x:c r="S364" s="713"/>
    </x:row>
    <x:row r="365" spans="1:25" ht="15" customHeight="1" x14ac:dyDescent="0.3">
      <x:c r="A365" s="710"/>
      <x:c r="B365" s="363" t="s">
        <x:v>620</x:v>
      </x:c>
      <x:c r="C365" s="697">
        <x:f>IF('УПВ'!$H5="Да",1,0)</x:f>
      </x:c>
      <x:c r="D365" s="698">
        <x:f>IF('УПВ'!$N5="Да",1,0)</x:f>
      </x:c>
      <x:c r="E365" s="699">
        <x:f>IF('УПВ'!$T5="Да",1,0)</x:f>
      </x:c>
      <x:c r="F365" s="700">
        <x:f>IF('УПВ'!$Z5="Да",1,0)</x:f>
      </x:c>
      <x:c r="G365" s="701">
        <x:f>IF('УПВ'!$AF5="Да",1,0)</x:f>
      </x:c>
      <x:c r="H365" s="702">
        <x:f>IF('УПВ'!$AL5="Да",1,0)</x:f>
      </x:c>
      <x:c r="I365" s="703">
        <x:f>IF('УПВ'!$AR5="Да",1,0)</x:f>
      </x:c>
      <x:c r="J365" s="704">
        <x:f>IF('УПВ'!$AX5="Да",1,0)</x:f>
      </x:c>
      <x:c r="K365" s="705">
        <x:f>IF('УПВ'!$BD5="Да",1,0)</x:f>
      </x:c>
      <x:c r="L365" s="706">
        <x:f>IF('УПВ'!$BJ5="Да",1,0)</x:f>
      </x:c>
      <x:c r="M365" s="707">
        <x:f>IF('УПВ'!$BP5="Да",1,0)</x:f>
      </x:c>
      <x:c r="N365" s="708">
        <x:f>IF('УПВ'!$BV5="Да",1,0)</x:f>
      </x:c>
      <x:c r="O365" s="375">
        <x:f>IFERROR(ROUND(SUM(C365:N365)/($S$363),1),"")</x:f>
      </x:c>
      <x:c r="Q365" s="714"/>
      <x:c r="R365" s="715"/>
      <x:c r="S365" s="716"/>
    </x:row>
    <x:row r="366" spans="1:25" ht="15" customHeight="1" x14ac:dyDescent="0.25">
      <x:c r="A366" s="710"/>
      <x:c r="B366" s="363" t="s">
        <x:v>622</x:v>
      </x:c>
      <x:c r="C366" s="697">
        <x:f>IF('УПВ'!$H6="Да",1,0)</x:f>
      </x:c>
      <x:c r="D366" s="698">
        <x:f>IF('УПВ'!$N6="Да",1,0)</x:f>
      </x:c>
      <x:c r="E366" s="699">
        <x:f>IF('УПВ'!$T6="Да",1,0)</x:f>
      </x:c>
      <x:c r="F366" s="700">
        <x:f>IF('УПВ'!$Z6="Да",1,0)</x:f>
      </x:c>
      <x:c r="G366" s="701">
        <x:f>IF('УПВ'!$AF6="Да",1,0)</x:f>
      </x:c>
      <x:c r="H366" s="702">
        <x:f>IF('УПВ'!$AL6="Да",1,0)</x:f>
      </x:c>
      <x:c r="I366" s="703">
        <x:f>IF('УПВ'!$AR6="Да",1,0)</x:f>
      </x:c>
      <x:c r="J366" s="704">
        <x:f>IF('УПВ'!$AX6="Да",1,0)</x:f>
      </x:c>
      <x:c r="K366" s="705">
        <x:f>IF('УПВ'!$BD6="Да",1,0)</x:f>
      </x:c>
      <x:c r="L366" s="706">
        <x:f>IF('УПВ'!$BJ6="Да",1,0)</x:f>
      </x:c>
      <x:c r="M366" s="707">
        <x:f>IF('УПВ'!$BP6="Да",1,0)</x:f>
      </x:c>
      <x:c r="N366" s="708">
        <x:f>IF('УПВ'!$BV6="Да",1,0)</x:f>
      </x:c>
      <x:c r="O366" s="375">
        <x:f>IFERROR(ROUND(SUM(C366:N366)/($S$363),1),"")</x:f>
      </x:c>
    </x:row>
    <x:row r="367" spans="1:25" ht="15" customHeight="1" x14ac:dyDescent="0.25">
      <x:c r="A367" s="710"/>
      <x:c r="B367" s="363" t="s">
        <x:v>618</x:v>
      </x:c>
      <x:c r="C367" s="697">
        <x:f>IF('УПВ'!$H7="Да",1,0)</x:f>
      </x:c>
      <x:c r="D367" s="698">
        <x:f>IF('УПВ'!$N7="Да",1,0)</x:f>
      </x:c>
      <x:c r="E367" s="699">
        <x:f>IF('УПВ'!$T7="Да",1,0)</x:f>
      </x:c>
      <x:c r="F367" s="700">
        <x:f>IF('УПВ'!$Z7="Да",1,0)</x:f>
      </x:c>
      <x:c r="G367" s="701">
        <x:f>IF('УПВ'!$AF7="Да",1,0)</x:f>
      </x:c>
      <x:c r="H367" s="702">
        <x:f>IF('УПВ'!$AL7="Да",1,0)</x:f>
      </x:c>
      <x:c r="I367" s="703">
        <x:f>IF('УПВ'!$AR7="Да",1,0)</x:f>
      </x:c>
      <x:c r="J367" s="704">
        <x:f>IF('УПВ'!$AX7="Да",1,0)</x:f>
      </x:c>
      <x:c r="K367" s="705">
        <x:f>IF('УПВ'!$BD7="Да",1,0)</x:f>
      </x:c>
      <x:c r="L367" s="706">
        <x:f>IF('УПВ'!$BJ7="Да",1,0)</x:f>
      </x:c>
      <x:c r="M367" s="707">
        <x:f>IF('УПВ'!$BP7="Да",1,0)</x:f>
      </x:c>
      <x:c r="N367" s="708">
        <x:f>IF('УПВ'!$BV7="Да",1,0)</x:f>
      </x:c>
      <x:c r="O367" s="375">
        <x:f>IFERROR(ROUND(SUM(C367:N367)/($S$363),1),"")</x:f>
      </x:c>
    </x:row>
    <x:row r="368" spans="1:25" ht="15" customHeight="1" x14ac:dyDescent="0.25">
      <x:c r="A368" s="710"/>
      <x:c r="B368" s="363" t="s">
        <x:v>170</x:v>
      </x:c>
      <x:c r="C368" s="697">
        <x:f>IF('УПВ'!$H8="Да",1,0)</x:f>
      </x:c>
      <x:c r="D368" s="698">
        <x:f>IF('УПВ'!$N8="Да",1,0)</x:f>
      </x:c>
      <x:c r="E368" s="699">
        <x:f>IF('УПВ'!$T8="Да",1,0)</x:f>
      </x:c>
      <x:c r="F368" s="700">
        <x:f>IF('УПВ'!$Z8="Да",1,0)</x:f>
      </x:c>
      <x:c r="G368" s="701">
        <x:f>IF('УПВ'!$AF8="Да",1,0)</x:f>
      </x:c>
      <x:c r="H368" s="702">
        <x:f>IF('УПВ'!$AL8="Да",1,0)</x:f>
      </x:c>
      <x:c r="I368" s="703">
        <x:f>IF('УПВ'!$AR8="Да",1,0)</x:f>
      </x:c>
      <x:c r="J368" s="704">
        <x:f>IF('УПВ'!$AX8="Да",1,0)</x:f>
      </x:c>
      <x:c r="K368" s="705">
        <x:f>IF('УПВ'!$BD8="Да",1,0)</x:f>
      </x:c>
      <x:c r="L368" s="706">
        <x:f>IF('УПВ'!$BJ8="Да",1,0)</x:f>
      </x:c>
      <x:c r="M368" s="707">
        <x:f>IF('УПВ'!$BP8="Да",1,0)</x:f>
      </x:c>
      <x:c r="N368" s="708">
        <x:f>IF('УПВ'!$BV8="Да",1,0)</x:f>
      </x:c>
      <x:c r="O368" s="375">
        <x:f>IFERROR(ROUND(SUM(C368:N368)/($S$363),1),"")</x:f>
      </x:c>
    </x:row>
    <x:row r="369" spans="1:25" ht="15" customHeight="1" x14ac:dyDescent="0.25">
      <x:c r="A369" s="710"/>
      <x:c r="B369" s="363" t="s">
        <x:v>625</x:v>
      </x:c>
      <x:c r="C369" s="697">
        <x:f>IF('УПВ'!$H9="Да",1,0)</x:f>
      </x:c>
      <x:c r="D369" s="698">
        <x:f>IF('УПВ'!$N9="Да",1,0)</x:f>
      </x:c>
      <x:c r="E369" s="699">
        <x:f>IF('УПВ'!$T9="Да",1,0)</x:f>
      </x:c>
      <x:c r="F369" s="700">
        <x:f>IF('УПВ'!$Z9="Да",1,0)</x:f>
      </x:c>
      <x:c r="G369" s="701">
        <x:f>IF('УПВ'!$AF9="Да",1,0)</x:f>
      </x:c>
      <x:c r="H369" s="702">
        <x:f>IF('УПВ'!$AL9="Да",1,0)</x:f>
      </x:c>
      <x:c r="I369" s="703">
        <x:f>IF('УПВ'!$AR9="Да",1,0)</x:f>
      </x:c>
      <x:c r="J369" s="704">
        <x:f>IF('УПВ'!$AX9="Да",1,0)</x:f>
      </x:c>
      <x:c r="K369" s="705">
        <x:f>IF('УПВ'!$BD9="Да",1,0)</x:f>
      </x:c>
      <x:c r="L369" s="706">
        <x:f>IF('УПВ'!$BJ9="Да",1,0)</x:f>
      </x:c>
      <x:c r="M369" s="707">
        <x:f>IF('УПВ'!$BP9="Да",1,0)</x:f>
      </x:c>
      <x:c r="N369" s="708">
        <x:f>IF('УПВ'!$BV9="Да",1,0)</x:f>
      </x:c>
      <x:c r="O369" s="375">
        <x:f>IFERROR(ROUND(SUM(C369:N369)/($S$363),1),"")</x:f>
      </x:c>
    </x:row>
    <x:row r="370" spans="1:25" ht="15" customHeight="1" x14ac:dyDescent="0.25">
      <x:c r="A370" s="710"/>
      <x:c r="B370" s="363" t="s">
        <x:v>610</x:v>
      </x:c>
      <x:c r="C370" s="697">
        <x:f>IF('УПВ'!$H10="Да",1,0)</x:f>
      </x:c>
      <x:c r="D370" s="698">
        <x:f>IF('УПВ'!$N10="Да",1,0)</x:f>
      </x:c>
      <x:c r="E370" s="699">
        <x:f>IF('УПВ'!$T10="Да",1,0)</x:f>
      </x:c>
      <x:c r="F370" s="700">
        <x:f>IF('УПВ'!$Z10="Да",1,0)</x:f>
      </x:c>
      <x:c r="G370" s="701">
        <x:f>IF('УПВ'!$AF10="Да",1,0)</x:f>
      </x:c>
      <x:c r="H370" s="702">
        <x:f>IF('УПВ'!$AL10="Да",1,0)</x:f>
      </x:c>
      <x:c r="I370" s="703">
        <x:f>IF('УПВ'!$AR10="Да",1,0)</x:f>
      </x:c>
      <x:c r="J370" s="704">
        <x:f>IF('УПВ'!$AX10="Да",1,0)</x:f>
      </x:c>
      <x:c r="K370" s="705">
        <x:f>IF('УПВ'!$BD10="Да",1,0)</x:f>
      </x:c>
      <x:c r="L370" s="706">
        <x:f>IF('УПВ'!$BJ10="Да",1,0)</x:f>
      </x:c>
      <x:c r="M370" s="707">
        <x:f>IF('УПВ'!$BP10="Да",1,0)</x:f>
      </x:c>
      <x:c r="N370" s="708">
        <x:f>IF('УПВ'!$BV10="Да",1,0)</x:f>
      </x:c>
      <x:c r="O370" s="375">
        <x:f>IFERROR(ROUND(SUM(C370:N370)/($S$363),1),"")</x:f>
      </x:c>
    </x:row>
    <x:row r="371" spans="1:25" ht="15" customHeight="1" x14ac:dyDescent="0.25">
      <x:c r="A371" s="710"/>
      <x:c r="B371" s="363" t="s">
        <x:v>624</x:v>
      </x:c>
      <x:c r="C371" s="697">
        <x:f>IF('УПВ'!$H11="Да",1,0)</x:f>
      </x:c>
      <x:c r="D371" s="698">
        <x:f>IF('УПВ'!$N11="Да",1,0)</x:f>
      </x:c>
      <x:c r="E371" s="699">
        <x:f>IF('УПВ'!$T11="Да",1,0)</x:f>
      </x:c>
      <x:c r="F371" s="700">
        <x:f>IF('УПВ'!$Z11="Да",1,0)</x:f>
      </x:c>
      <x:c r="G371" s="701">
        <x:f>IF('УПВ'!$AF11="Да",1,0)</x:f>
      </x:c>
      <x:c r="H371" s="702">
        <x:f>IF('УПВ'!$AL11="Да",1,0)</x:f>
      </x:c>
      <x:c r="I371" s="703">
        <x:f>IF('УПВ'!$AR11="Да",1,0)</x:f>
      </x:c>
      <x:c r="J371" s="704">
        <x:f>IF('УПВ'!$AX11="Да",1,0)</x:f>
      </x:c>
      <x:c r="K371" s="705">
        <x:f>IF('УПВ'!$BD11="Да",1,0)</x:f>
      </x:c>
      <x:c r="L371" s="706">
        <x:f>IF('УПВ'!$BJ11="Да",1,0)</x:f>
      </x:c>
      <x:c r="M371" s="707">
        <x:f>IF('УПВ'!$BP11="Да",1,0)</x:f>
      </x:c>
      <x:c r="N371" s="708">
        <x:f>IF('УПВ'!$BV11="Да",1,0)</x:f>
      </x:c>
      <x:c r="O371" s="375">
        <x:f>IFERROR(ROUND(SUM(C371:N371)/($S$363),1),"")</x:f>
      </x:c>
    </x:row>
    <x:row r="372" spans="1:25" ht="15" customHeight="1" x14ac:dyDescent="0.25">
      <x:c r="A372" s="710"/>
      <x:c r="B372" s="363" t="s">
        <x:v>611</x:v>
      </x:c>
      <x:c r="C372" s="697">
        <x:f>IF('УПВ'!$H12="Да",1,0)</x:f>
      </x:c>
      <x:c r="D372" s="698">
        <x:f>IF('УПВ'!$N12="Да",1,0)</x:f>
      </x:c>
      <x:c r="E372" s="699">
        <x:f>IF('УПВ'!$T12="Да",1,0)</x:f>
      </x:c>
      <x:c r="F372" s="700">
        <x:f>IF('УПВ'!$Z12="Да",1,0)</x:f>
      </x:c>
      <x:c r="G372" s="701">
        <x:f>IF('УПВ'!$AF12="Да",1,0)</x:f>
      </x:c>
      <x:c r="H372" s="702">
        <x:f>IF('УПВ'!$AL12="Да",1,0)</x:f>
      </x:c>
      <x:c r="I372" s="703">
        <x:f>IF('УПВ'!$AR12="Да",1,0)</x:f>
      </x:c>
      <x:c r="J372" s="704">
        <x:f>IF('УПВ'!$AX12="Да",1,0)</x:f>
      </x:c>
      <x:c r="K372" s="705">
        <x:f>IF('УПВ'!$BD12="Да",1,0)</x:f>
      </x:c>
      <x:c r="L372" s="706">
        <x:f>IF('УПВ'!$BJ12="Да",1,0)</x:f>
      </x:c>
      <x:c r="M372" s="707">
        <x:f>IF('УПВ'!$BP12="Да",1,0)</x:f>
      </x:c>
      <x:c r="N372" s="708">
        <x:f>IF('УПВ'!$BV12="Да",1,0)</x:f>
      </x:c>
      <x:c r="O372" s="375">
        <x:f>IFERROR(ROUND(SUM(C372:N372)/($S$363),1),"")</x:f>
      </x:c>
    </x:row>
    <x:row r="373" spans="1:25" ht="15" customHeight="1" x14ac:dyDescent="0.25">
      <x:c r="A373" s="710"/>
      <x:c r="B373" s="363" t="s">
        <x:v>613</x:v>
      </x:c>
      <x:c r="C373" s="697">
        <x:f>IF('УПВ'!$H13="Да",1,0)</x:f>
      </x:c>
      <x:c r="D373" s="698">
        <x:f>IF('УПВ'!$N13="Да",1,0)</x:f>
      </x:c>
      <x:c r="E373" s="699">
        <x:f>IF('УПВ'!$T13="Да",1,0)</x:f>
      </x:c>
      <x:c r="F373" s="700">
        <x:f>IF('УПВ'!$Z13="Да",1,0)</x:f>
      </x:c>
      <x:c r="G373" s="701">
        <x:f>IF('УПВ'!$AF13="Да",1,0)</x:f>
      </x:c>
      <x:c r="H373" s="702">
        <x:f>IF('УПВ'!$AL13="Да",1,0)</x:f>
      </x:c>
      <x:c r="I373" s="703">
        <x:f>IF('УПВ'!$AR13="Да",1,0)</x:f>
      </x:c>
      <x:c r="J373" s="704">
        <x:f>IF('УПВ'!$AX13="Да",1,0)</x:f>
      </x:c>
      <x:c r="K373" s="705">
        <x:f>IF('УПВ'!$BD13="Да",1,0)</x:f>
      </x:c>
      <x:c r="L373" s="706">
        <x:f>IF('УПВ'!$BJ13="Да",1,0)</x:f>
      </x:c>
      <x:c r="M373" s="707">
        <x:f>IF('УПВ'!$BP13="Да",1,0)</x:f>
      </x:c>
      <x:c r="N373" s="708">
        <x:f>IF('УПВ'!$BV13="Да",1,0)</x:f>
      </x:c>
      <x:c r="O373" s="375">
        <x:f>IFERROR(ROUND(SUM(C373:N373)/($S$363),1),"")</x:f>
      </x:c>
    </x:row>
    <x:row r="374" spans="1:25" ht="15" customHeight="1" x14ac:dyDescent="0.25">
      <x:c r="A374" s="710"/>
      <x:c r="B374" s="363" t="s">
        <x:v>614</x:v>
      </x:c>
      <x:c r="C374" s="697">
        <x:f>IF('УПВ'!$H14="Да",1,0)</x:f>
      </x:c>
      <x:c r="D374" s="698">
        <x:f>IF('УПВ'!$N14="Да",1,0)</x:f>
      </x:c>
      <x:c r="E374" s="699">
        <x:f>IF('УПВ'!$T14="Да",1,0)</x:f>
      </x:c>
      <x:c r="F374" s="700">
        <x:f>IF('УПВ'!$Z14="Да",1,0)</x:f>
      </x:c>
      <x:c r="G374" s="701">
        <x:f>IF('УПВ'!$AF14="Да",1,0)</x:f>
      </x:c>
      <x:c r="H374" s="702">
        <x:f>IF('УПВ'!$AL14="Да",1,0)</x:f>
      </x:c>
      <x:c r="I374" s="703">
        <x:f>IF('УПВ'!$AR14="Да",1,0)</x:f>
      </x:c>
      <x:c r="J374" s="704">
        <x:f>IF('УПВ'!$AX14="Да",1,0)</x:f>
      </x:c>
      <x:c r="K374" s="705">
        <x:f>IF('УПВ'!$BD14="Да",1,0)</x:f>
      </x:c>
      <x:c r="L374" s="706">
        <x:f>IF('УПВ'!$BJ14="Да",1,0)</x:f>
      </x:c>
      <x:c r="M374" s="707">
        <x:f>IF('УПВ'!$BP14="Да",1,0)</x:f>
      </x:c>
      <x:c r="N374" s="708">
        <x:f>IF('УПВ'!$BV14="Да",1,0)</x:f>
      </x:c>
      <x:c r="O374" s="375">
        <x:f>IFERROR(ROUND(SUM(C374:N374)/($S$363),1),"")</x:f>
      </x:c>
    </x:row>
    <x:row r="375" spans="1:25" ht="15" customHeight="1" x14ac:dyDescent="0.25">
      <x:c r="A375" s="710"/>
      <x:c r="B375" s="363" t="s">
        <x:v>628</x:v>
      </x:c>
      <x:c r="C375" s="697">
        <x:f>IF('УПВ'!$H15="Да",1,0)</x:f>
      </x:c>
      <x:c r="D375" s="698">
        <x:f>IF('УПВ'!$N15="Да",1,0)</x:f>
      </x:c>
      <x:c r="E375" s="699">
        <x:f>IF('УПВ'!$T15="Да",1,0)</x:f>
      </x:c>
      <x:c r="F375" s="700">
        <x:f>IF('УПВ'!$Z15="Да",1,0)</x:f>
      </x:c>
      <x:c r="G375" s="701">
        <x:f>IF('УПВ'!$AF15="Да",1,0)</x:f>
      </x:c>
      <x:c r="H375" s="702">
        <x:f>IF('УПВ'!$AL15="Да",1,0)</x:f>
      </x:c>
      <x:c r="I375" s="703">
        <x:f>IF('УПВ'!$AR15="Да",1,0)</x:f>
      </x:c>
      <x:c r="J375" s="704">
        <x:f>IF('УПВ'!$AX15="Да",1,0)</x:f>
      </x:c>
      <x:c r="K375" s="705">
        <x:f>IF('УПВ'!$BD15="Да",1,0)</x:f>
      </x:c>
      <x:c r="L375" s="706">
        <x:f>IF('УПВ'!$BJ15="Да",1,0)</x:f>
      </x:c>
      <x:c r="M375" s="707">
        <x:f>IF('УПВ'!$BP15="Да",1,0)</x:f>
      </x:c>
      <x:c r="N375" s="708">
        <x:f>IF('УПВ'!$BV15="Да",1,0)</x:f>
      </x:c>
      <x:c r="O375" s="375">
        <x:f>IFERROR(ROUND(SUM(C375:N375)/($S$363),1),"")</x:f>
      </x:c>
    </x:row>
    <x:row r="376" spans="1:25" ht="15" customHeight="1" x14ac:dyDescent="0.25">
      <x:c r="A376" s="710"/>
      <x:c r="B376" s="363" t="s">
        <x:v>617</x:v>
      </x:c>
      <x:c r="C376" s="697">
        <x:f>IF('УПВ'!$H16="Да",1,0)</x:f>
      </x:c>
      <x:c r="D376" s="698">
        <x:f>IF('УПВ'!$N16="Да",1,0)</x:f>
      </x:c>
      <x:c r="E376" s="699">
        <x:f>IF('УПВ'!$T16="Да",1,0)</x:f>
      </x:c>
      <x:c r="F376" s="700">
        <x:f>IF('УПВ'!$Z16="Да",1,0)</x:f>
      </x:c>
      <x:c r="G376" s="701">
        <x:f>IF('УПВ'!$AF16="Да",1,0)</x:f>
      </x:c>
      <x:c r="H376" s="702">
        <x:f>IF('УПВ'!$AL16="Да",1,0)</x:f>
      </x:c>
      <x:c r="I376" s="703">
        <x:f>IF('УПВ'!$AR16="Да",1,0)</x:f>
      </x:c>
      <x:c r="J376" s="704">
        <x:f>IF('УПВ'!$AX16="Да",1,0)</x:f>
      </x:c>
      <x:c r="K376" s="705">
        <x:f>IF('УПВ'!$BD16="Да",1,0)</x:f>
      </x:c>
      <x:c r="L376" s="706">
        <x:f>IF('УПВ'!$BJ16="Да",1,0)</x:f>
      </x:c>
      <x:c r="M376" s="707">
        <x:f>IF('УПВ'!$BP16="Да",1,0)</x:f>
      </x:c>
      <x:c r="N376" s="708">
        <x:f>IF('УПВ'!$BV16="Да",1,0)</x:f>
      </x:c>
      <x:c r="O376" s="375">
        <x:f>IFERROR(ROUND(SUM(C376:N376)/($S$363),1),"")</x:f>
      </x:c>
    </x:row>
    <x:row r="377" spans="1:25" ht="15" customHeight="1" x14ac:dyDescent="0.3">
      <x:c r="A377" s="710"/>
      <x:c r="B377" s="363" t="s">
        <x:v>612</x:v>
      </x:c>
      <x:c r="C377" s="697">
        <x:f>IF('УПВ'!$H17="Да",1,0)</x:f>
      </x:c>
      <x:c r="D377" s="698">
        <x:f>IF('УПВ'!$N17="Да",1,0)</x:f>
      </x:c>
      <x:c r="E377" s="699">
        <x:f>IF('УПВ'!$T17="Да",1,0)</x:f>
      </x:c>
      <x:c r="F377" s="700">
        <x:f>IF('УПВ'!$Z17="Да",1,0)</x:f>
      </x:c>
      <x:c r="G377" s="701">
        <x:f>IF('УПВ'!$AF17="Да",1,0)</x:f>
      </x:c>
      <x:c r="H377" s="702">
        <x:f>IF('УПВ'!$AL17="Да",1,0)</x:f>
      </x:c>
      <x:c r="I377" s="703">
        <x:f>IF('УПВ'!$AR17="Да",1,0)</x:f>
      </x:c>
      <x:c r="J377" s="704">
        <x:f>IF('УПВ'!$AX17="Да",1,0)</x:f>
      </x:c>
      <x:c r="K377" s="705">
        <x:f>IF('УПВ'!$BD17="Да",1,0)</x:f>
      </x:c>
      <x:c r="L377" s="706">
        <x:f>IF('УПВ'!$BJ17="Да",1,0)</x:f>
      </x:c>
      <x:c r="M377" s="707">
        <x:f>IF('УПВ'!$BP17="Да",1,0)</x:f>
      </x:c>
      <x:c r="N377" s="708">
        <x:f>IF('УПВ'!$BV17="Да",1,0)</x:f>
      </x:c>
      <x:c r="O377" s="375">
        <x:f>IFERROR(ROUND(SUM(C377:N377)/($S$363),1),"")</x:f>
      </x:c>
    </x:row>
    <x:row r="378" spans="1:25" ht="15" customHeight="1" x14ac:dyDescent="0.25">
      <x:c r="A378" s="710"/>
      <x:c r="B378" s="363" t="s">
        <x:v>623</x:v>
      </x:c>
      <x:c r="C378" s="697">
        <x:f>IF('УПВ'!$H18="Да",1,0)</x:f>
      </x:c>
      <x:c r="D378" s="698">
        <x:f>IF('УПВ'!$N18="Да",1,0)</x:f>
      </x:c>
      <x:c r="E378" s="699">
        <x:f>IF('УПВ'!$T18="Да",1,0)</x:f>
      </x:c>
      <x:c r="F378" s="700">
        <x:f>IF('УПВ'!$Z18="Да",1,0)</x:f>
      </x:c>
      <x:c r="G378" s="701">
        <x:f>IF('УПВ'!$AF18="Да",1,0)</x:f>
      </x:c>
      <x:c r="H378" s="702">
        <x:f>IF('УПВ'!$AL18="Да",1,0)</x:f>
      </x:c>
      <x:c r="I378" s="703">
        <x:f>IF('УПВ'!$AR18="Да",1,0)</x:f>
      </x:c>
      <x:c r="J378" s="704">
        <x:f>IF('УПВ'!$AX18="Да",1,0)</x:f>
      </x:c>
      <x:c r="K378" s="705">
        <x:f>IF('УПВ'!$BD18="Да",1,0)</x:f>
      </x:c>
      <x:c r="L378" s="706">
        <x:f>IF('УПВ'!$BJ18="Да",1,0)</x:f>
      </x:c>
      <x:c r="M378" s="707">
        <x:f>IF('УПВ'!$BP18="Да",1,0)</x:f>
      </x:c>
      <x:c r="N378" s="708">
        <x:f>IF('УПВ'!$BV18="Да",1,0)</x:f>
      </x:c>
      <x:c r="O378" s="375">
        <x:f>IFERROR(ROUND(SUM(C378:N378)/($S$363),1),"")</x:f>
      </x:c>
    </x:row>
    <x:row r="379" spans="1:25" ht="15" customHeight="1" x14ac:dyDescent="0.25">
      <x:c r="A379" s="710"/>
      <x:c r="B379" s="363" t="s">
        <x:v>615</x:v>
      </x:c>
      <x:c r="C379" s="697">
        <x:f>IF('УПВ'!$H19="Да",1,0)</x:f>
      </x:c>
      <x:c r="D379" s="698">
        <x:f>IF('УПВ'!$N19="Да",1,0)</x:f>
      </x:c>
      <x:c r="E379" s="699">
        <x:f>IF('УПВ'!$T19="Да",1,0)</x:f>
      </x:c>
      <x:c r="F379" s="700">
        <x:f>IF('УПВ'!$Z19="Да",1,0)</x:f>
      </x:c>
      <x:c r="G379" s="701">
        <x:f>IF('УПВ'!$AF19="Да",1,0)</x:f>
      </x:c>
      <x:c r="H379" s="702">
        <x:f>IF('УПВ'!$AL19="Да",1,0)</x:f>
      </x:c>
      <x:c r="I379" s="703">
        <x:f>IF('УПВ'!$AR19="Да",1,0)</x:f>
      </x:c>
      <x:c r="J379" s="704">
        <x:f>IF('УПВ'!$AX19="Да",1,0)</x:f>
      </x:c>
      <x:c r="K379" s="705">
        <x:f>IF('УПВ'!$BD19="Да",1,0)</x:f>
      </x:c>
      <x:c r="L379" s="706">
        <x:f>IF('УПВ'!$BJ19="Да",1,0)</x:f>
      </x:c>
      <x:c r="M379" s="707">
        <x:f>IF('УПВ'!$BP19="Да",1,0)</x:f>
      </x:c>
      <x:c r="N379" s="708">
        <x:f>IF('УПВ'!$BV19="Да",1,0)</x:f>
      </x:c>
      <x:c r="O379" s="375">
        <x:f>IFERROR(ROUND(SUM(C379:N379)/($S$363),1),"")</x:f>
      </x:c>
    </x:row>
    <x:row r="380" spans="1:25" ht="15" customHeight="1" x14ac:dyDescent="0.25">
      <x:c r="A380" s="710"/>
      <x:c r="B380" s="363" t="s">
        <x:v>608</x:v>
      </x:c>
      <x:c r="C380" s="697">
        <x:f>IF('УПВ'!$H20="Да",1,0)</x:f>
      </x:c>
      <x:c r="D380" s="698">
        <x:f>IF('УПВ'!$N20="Да",1,0)</x:f>
      </x:c>
      <x:c r="E380" s="699">
        <x:f>IF('УПВ'!$T20="Да",1,0)</x:f>
      </x:c>
      <x:c r="F380" s="700">
        <x:f>IF('УПВ'!$Z20="Да",1,0)</x:f>
      </x:c>
      <x:c r="G380" s="701">
        <x:f>IF('УПВ'!$AF20="Да",1,0)</x:f>
      </x:c>
      <x:c r="H380" s="702">
        <x:f>IF('УПВ'!$AL20="Да",1,0)</x:f>
      </x:c>
      <x:c r="I380" s="703">
        <x:f>IF('УПВ'!$AR20="Да",1,0)</x:f>
      </x:c>
      <x:c r="J380" s="704">
        <x:f>IF('УПВ'!$AX20="Да",1,0)</x:f>
      </x:c>
      <x:c r="K380" s="705">
        <x:f>IF('УПВ'!$BD20="Да",1,0)</x:f>
      </x:c>
      <x:c r="L380" s="706">
        <x:f>IF('УПВ'!$BJ20="Да",1,0)</x:f>
      </x:c>
      <x:c r="M380" s="707">
        <x:f>IF('УПВ'!$BP20="Да",1,0)</x:f>
      </x:c>
      <x:c r="N380" s="708">
        <x:f>IF('УПВ'!$BV20="Да",1,0)</x:f>
      </x:c>
      <x:c r="O380" s="375">
        <x:f>IFERROR(ROUND(SUM(C380:N380)/($S$363),1),"")</x:f>
      </x:c>
    </x:row>
    <x:row r="381" spans="1:25" ht="15" customHeight="1" x14ac:dyDescent="0.25">
      <x:c r="A381" s="710"/>
      <x:c r="B381" s="363" t="s">
        <x:v>621</x:v>
      </x:c>
      <x:c r="C381" s="697">
        <x:f>IF('УПВ'!$H21="Да",1,0)</x:f>
      </x:c>
      <x:c r="D381" s="698">
        <x:f>IF('УПВ'!$N21="Да",1,0)</x:f>
      </x:c>
      <x:c r="E381" s="699">
        <x:f>IF('УПВ'!$T21="Да",1,0)</x:f>
      </x:c>
      <x:c r="F381" s="700">
        <x:f>IF('УПВ'!$Z21="Да",1,0)</x:f>
      </x:c>
      <x:c r="G381" s="701">
        <x:f>IF('УПВ'!$AF21="Да",1,0)</x:f>
      </x:c>
      <x:c r="H381" s="702">
        <x:f>IF('УПВ'!$AL21="Да",1,0)</x:f>
      </x:c>
      <x:c r="I381" s="703">
        <x:f>IF('УПВ'!$AR21="Да",1,0)</x:f>
      </x:c>
      <x:c r="J381" s="704">
        <x:f>IF('УПВ'!$AX21="Да",1,0)</x:f>
      </x:c>
      <x:c r="K381" s="705">
        <x:f>IF('УПВ'!$BD21="Да",1,0)</x:f>
      </x:c>
      <x:c r="L381" s="706">
        <x:f>IF('УПВ'!$BJ21="Да",1,0)</x:f>
      </x:c>
      <x:c r="M381" s="707">
        <x:f>IF('УПВ'!$BP21="Да",1,0)</x:f>
      </x:c>
      <x:c r="N381" s="708">
        <x:f>IF('УПВ'!$BV21="Да",1,0)</x:f>
      </x:c>
      <x:c r="O381" s="375">
        <x:f>IFERROR(ROUND(SUM(C381:N381)/($S$363),1),"")</x:f>
      </x:c>
    </x:row>
    <x:row r="382" spans="1:25" ht="15.75" customHeight="1" x14ac:dyDescent="0.25">
      <x:c r="A382" s="717"/>
      <x:c r="B382" s="379" t="s">
        <x:v>627</x:v>
      </x:c>
      <x:c r="C382" s="697">
        <x:f>IF('УПВ'!$H22="Да",1,0)</x:f>
      </x:c>
      <x:c r="D382" s="698">
        <x:f>IF('УПВ'!$N22="Да",1,0)</x:f>
      </x:c>
      <x:c r="E382" s="699">
        <x:f>IF('УПВ'!$T22="Да",1,0)</x:f>
      </x:c>
      <x:c r="F382" s="700">
        <x:f>IF('УПВ'!$Z22="Да",1,0)</x:f>
      </x:c>
      <x:c r="G382" s="701">
        <x:f>IF('УПВ'!$AF22="Да",1,0)</x:f>
      </x:c>
      <x:c r="H382" s="702">
        <x:f>IF('УПВ'!$AL22="Да",1,0)</x:f>
      </x:c>
      <x:c r="I382" s="703">
        <x:f>IF('УПВ'!$AR22="Да",1,0)</x:f>
      </x:c>
      <x:c r="J382" s="704">
        <x:f>IF('УПВ'!$AX22="Да",1,0)</x:f>
      </x:c>
      <x:c r="K382" s="705">
        <x:f>IF('УПВ'!$BD22="Да",1,0)</x:f>
      </x:c>
      <x:c r="L382" s="706">
        <x:f>IF('УПВ'!$BJ22="Да",1,0)</x:f>
      </x:c>
      <x:c r="M382" s="707">
        <x:f>IF('УПВ'!$BP22="Да",1,0)</x:f>
      </x:c>
      <x:c r="N382" s="708">
        <x:f>IF('УПВ'!$BV22="Да",1,0)</x:f>
      </x:c>
      <x:c r="O382" s="375">
        <x:f>IFERROR(ROUND(SUM(C382:N382)/($S$363),1),"")</x:f>
      </x:c>
    </x:row>
    <x:row r="383" spans="1:25" ht="15" customHeight="1" x14ac:dyDescent="0.25">
      <x:c r="A383" s="696" t="s">
        <x:v>1077</x:v>
      </x:c>
      <x:c r="B383" s="363" t="s">
        <x:v>752</x:v>
      </x:c>
      <x:c r="C383" s="697">
        <x:f>IF('ФУиУСУГиП'!$H3="Да",1,0)</x:f>
      </x:c>
      <x:c r="D383" s="698">
        <x:f>IF('ФУиУСУГиП'!$N3="Да",1,0)</x:f>
      </x:c>
      <x:c r="E383" s="699">
        <x:f>IF('ФУиУСУГиП'!$T3="Да",1,0)</x:f>
      </x:c>
      <x:c r="F383" s="700">
        <x:f>IF('ФУиУСУГиП'!$Z3="Да",1,0)</x:f>
      </x:c>
      <x:c r="G383" s="701">
        <x:f>IF('ФУиУСУГиП'!$AF3="Да",1,0)</x:f>
      </x:c>
      <x:c r="H383" s="702">
        <x:f>IF('ФУиУСУГиП'!$AL3="Да",1,0)</x:f>
      </x:c>
      <x:c r="I383" s="703">
        <x:f>IF('ФУиУСУГиП'!$AR3="Да",1,0)</x:f>
      </x:c>
      <x:c r="J383" s="704">
        <x:f>IF('ФУиУСУГиП'!$AX3="Да",1,0)</x:f>
      </x:c>
      <x:c r="K383" s="705">
        <x:f>IF('ФУиУСУГиП'!$BD3="Да",1,0)</x:f>
      </x:c>
      <x:c r="L383" s="706">
        <x:f>IF('ФУиУСУГиП'!$BJ3="Да",1,0)</x:f>
      </x:c>
      <x:c r="M383" s="707">
        <x:f>IF('ФУиУСУГиП'!$BP3="Да",1,0)</x:f>
      </x:c>
      <x:c r="N383" s="708">
        <x:f>IF('ФУиУСУГиП'!$BV3="Да",1,0)</x:f>
      </x:c>
      <x:c r="O383" s="375">
        <x:f>IFERROR(ROUND(SUM(C383:N383)/($S$383),1),"")</x:f>
      </x:c>
      <x:c r="Q383" s="709" t="s">
        <x:v>1151</x:v>
      </x:c>
      <x:c r="R383" s="596"/>
      <x:c r="S383" s="376">
        <x:f>SUM(IF(COUNTIF(C383:C394,"&gt;0")&gt;0,1,0),IF(COUNTIF(D383:D394,"&gt;0")&gt;0,1,0),IF(COUNTIF(E383:E394,"&gt;0")&gt;0,1,0),IF(COUNTIF(F383:F394,"&gt;0")&gt;0,1,0),IF(COUNTIF(G383:G394,"&gt;0")&gt;0,1,0),IF(COUNTIF(H383:H394,"&gt;0")&gt;0,1,0),IF(COUNTIF(I383:I394,"&gt;0")&gt;0,1,0),IF(COUNTIF(J383:J394,"&gt;0")&gt;0,1,0),IF(COUNTIF(K383:K394,"&gt;0")&gt;0,1,0),IF(COUNTIF(L383:L394,"&gt;0")&gt;0,1,0),IF(COUNTIF(M383:M394,"&gt;0")&gt;0,1,0),IF(COUNTIF(N383:N394,"&gt;0")&gt;0,1,0))</x:f>
      </x:c>
    </x:row>
    <x:row r="384" spans="1:25" ht="15" customHeight="1" x14ac:dyDescent="0.25">
      <x:c r="A384" s="710"/>
      <x:c r="B384" s="363" t="s">
        <x:v>747</x:v>
      </x:c>
      <x:c r="C384" s="697">
        <x:f>IF('ФУиУСУГиП'!$H4="Да",1,0)</x:f>
      </x:c>
      <x:c r="D384" s="698">
        <x:f>IF('ФУиУСУГиП'!$N4="Да",1,0)</x:f>
      </x:c>
      <x:c r="E384" s="699">
        <x:f>IF('ФУиУСУГиП'!$T4="Да",1,0)</x:f>
      </x:c>
      <x:c r="F384" s="700">
        <x:f>IF('ФУиУСУГиП'!$Z4="Да",1,0)</x:f>
      </x:c>
      <x:c r="G384" s="701">
        <x:f>IF('ФУиУСУГиП'!$AF4="Да",1,0)</x:f>
      </x:c>
      <x:c r="H384" s="702">
        <x:f>IF('ФУиУСУГиП'!$AL4="Да",1,0)</x:f>
      </x:c>
      <x:c r="I384" s="703">
        <x:f>IF('ФУиУСУГиП'!$AR4="Да",1,0)</x:f>
      </x:c>
      <x:c r="J384" s="704">
        <x:f>IF('ФУиУСУГиП'!$AX4="Да",1,0)</x:f>
      </x:c>
      <x:c r="K384" s="705">
        <x:f>IF('ФУиУСУГиП'!$BD4="Да",1,0)</x:f>
      </x:c>
      <x:c r="L384" s="706">
        <x:f>IF('ФУиУСУГиП'!$BJ4="Да",1,0)</x:f>
      </x:c>
      <x:c r="M384" s="707">
        <x:f>IF('ФУиУСУГиП'!$BP4="Да",1,0)</x:f>
      </x:c>
      <x:c r="N384" s="708">
        <x:f>IF('ФУиУСУГиП'!$BV4="Да",1,0)</x:f>
      </x:c>
      <x:c r="O384" s="375">
        <x:f>IFERROR(ROUND(SUM(C384:N384)/($S$383),1),"")</x:f>
      </x:c>
      <x:c r="Q384" s="711"/>
      <x:c r="R384" s="712"/>
      <x:c r="S384" s="713"/>
    </x:row>
    <x:row r="385" spans="1:25" ht="15" customHeight="1" x14ac:dyDescent="0.25">
      <x:c r="A385" s="710"/>
      <x:c r="B385" s="363" t="s">
        <x:v>751</x:v>
      </x:c>
      <x:c r="C385" s="697">
        <x:f>IF('ФУиУСУГиП'!$H5="Да",1,0)</x:f>
      </x:c>
      <x:c r="D385" s="698">
        <x:f>IF('ФУиУСУГиП'!$N5="Да",1,0)</x:f>
      </x:c>
      <x:c r="E385" s="699">
        <x:f>IF('ФУиУСУГиП'!$T5="Да",1,0)</x:f>
      </x:c>
      <x:c r="F385" s="700">
        <x:f>IF('ФУиУСУГиП'!$Z5="Да",1,0)</x:f>
      </x:c>
      <x:c r="G385" s="701">
        <x:f>IF('ФУиУСУГиП'!$AF5="Да",1,0)</x:f>
      </x:c>
      <x:c r="H385" s="702">
        <x:f>IF('ФУиУСУГиП'!$AL5="Да",1,0)</x:f>
      </x:c>
      <x:c r="I385" s="703">
        <x:f>IF('ФУиУСУГиП'!$AR5="Да",1,0)</x:f>
      </x:c>
      <x:c r="J385" s="704">
        <x:f>IF('ФУиУСУГиП'!$AX5="Да",1,0)</x:f>
      </x:c>
      <x:c r="K385" s="705">
        <x:f>IF('ФУиУСУГиП'!$BD5="Да",1,0)</x:f>
      </x:c>
      <x:c r="L385" s="706">
        <x:f>IF('ФУиУСУГиП'!$BJ5="Да",1,0)</x:f>
      </x:c>
      <x:c r="M385" s="707">
        <x:f>IF('ФУиУСУГиП'!$BP5="Да",1,0)</x:f>
      </x:c>
      <x:c r="N385" s="708">
        <x:f>IF('ФУиУСУГиП'!$BV5="Да",1,0)</x:f>
      </x:c>
      <x:c r="O385" s="375">
        <x:f>IFERROR(ROUND(SUM(C385:N385)/($S$383),1),"")</x:f>
      </x:c>
      <x:c r="Q385" s="714"/>
      <x:c r="R385" s="715"/>
      <x:c r="S385" s="716"/>
    </x:row>
    <x:row r="386" spans="1:25" ht="15" customHeight="1" x14ac:dyDescent="0.25">
      <x:c r="A386" s="710"/>
      <x:c r="B386" s="363" t="s">
        <x:v>749</x:v>
      </x:c>
      <x:c r="C386" s="697">
        <x:f>IF('ФУиУСУГиП'!$H6="Да",1,0)</x:f>
      </x:c>
      <x:c r="D386" s="698">
        <x:f>IF('ФУиУСУГиП'!$N6="Да",1,0)</x:f>
      </x:c>
      <x:c r="E386" s="699">
        <x:f>IF('ФУиУСУГиП'!$T6="Да",1,0)</x:f>
      </x:c>
      <x:c r="F386" s="700">
        <x:f>IF('ФУиУСУГиП'!$Z6="Да",1,0)</x:f>
      </x:c>
      <x:c r="G386" s="701">
        <x:f>IF('ФУиУСУГиП'!$AF6="Да",1,0)</x:f>
      </x:c>
      <x:c r="H386" s="702">
        <x:f>IF('ФУиУСУГиП'!$AL6="Да",1,0)</x:f>
      </x:c>
      <x:c r="I386" s="703">
        <x:f>IF('ФУиУСУГиП'!$AR6="Да",1,0)</x:f>
      </x:c>
      <x:c r="J386" s="704">
        <x:f>IF('ФУиУСУГиП'!$AX6="Да",1,0)</x:f>
      </x:c>
      <x:c r="K386" s="705">
        <x:f>IF('ФУиУСУГиП'!$BD6="Да",1,0)</x:f>
      </x:c>
      <x:c r="L386" s="706">
        <x:f>IF('ФУиУСУГиП'!$BJ6="Да",1,0)</x:f>
      </x:c>
      <x:c r="M386" s="707">
        <x:f>IF('ФУиУСУГиП'!$BP6="Да",1,0)</x:f>
      </x:c>
      <x:c r="N386" s="708">
        <x:f>IF('ФУиУСУГиП'!$BV6="Да",1,0)</x:f>
      </x:c>
      <x:c r="O386" s="375">
        <x:f>IFERROR(ROUND(SUM(C386:N386)/($S$383),1),"")</x:f>
      </x:c>
    </x:row>
    <x:row r="387" spans="1:25" ht="15" customHeight="1" x14ac:dyDescent="0.25">
      <x:c r="A387" s="710"/>
      <x:c r="B387" s="363" t="s">
        <x:v>750</x:v>
      </x:c>
      <x:c r="C387" s="697">
        <x:f>IF('ФУиУСУГиП'!$H7="Да",1,0)</x:f>
      </x:c>
      <x:c r="D387" s="698">
        <x:f>IF('ФУиУСУГиП'!$N7="Да",1,0)</x:f>
      </x:c>
      <x:c r="E387" s="699">
        <x:f>IF('ФУиУСУГиП'!$T7="Да",1,0)</x:f>
      </x:c>
      <x:c r="F387" s="700">
        <x:f>IF('ФУиУСУГиП'!$Z7="Да",1,0)</x:f>
      </x:c>
      <x:c r="G387" s="701">
        <x:f>IF('ФУиУСУГиП'!$AF7="Да",1,0)</x:f>
      </x:c>
      <x:c r="H387" s="702">
        <x:f>IF('ФУиУСУГиП'!$AL7="Да",1,0)</x:f>
      </x:c>
      <x:c r="I387" s="703">
        <x:f>IF('ФУиУСУГиП'!$AR7="Да",1,0)</x:f>
      </x:c>
      <x:c r="J387" s="704">
        <x:f>IF('ФУиУСУГиП'!$AX7="Да",1,0)</x:f>
      </x:c>
      <x:c r="K387" s="705">
        <x:f>IF('ФУиУСУГиП'!$BD7="Да",1,0)</x:f>
      </x:c>
      <x:c r="L387" s="706">
        <x:f>IF('ФУиУСУГиП'!$BJ7="Да",1,0)</x:f>
      </x:c>
      <x:c r="M387" s="707">
        <x:f>IF('ФУиУСУГиП'!$BP7="Да",1,0)</x:f>
      </x:c>
      <x:c r="N387" s="708">
        <x:f>IF('ФУиУСУГиП'!$BV7="Да",1,0)</x:f>
      </x:c>
      <x:c r="O387" s="375">
        <x:f>IFERROR(ROUND(SUM(C387:N387)/($S$383),1),"")</x:f>
      </x:c>
    </x:row>
    <x:row r="388" spans="1:25" ht="15" customHeight="1" x14ac:dyDescent="0.25">
      <x:c r="A388" s="710"/>
      <x:c r="B388" s="363" t="s">
        <x:v>753</x:v>
      </x:c>
      <x:c r="C388" s="697">
        <x:f>IF('ФУиУСУГиП'!$H8="Да",1,0)</x:f>
      </x:c>
      <x:c r="D388" s="698">
        <x:f>IF('ФУиУСУГиП'!$N8="Да",1,0)</x:f>
      </x:c>
      <x:c r="E388" s="699">
        <x:f>IF('ФУиУСУГиП'!$T8="Да",1,0)</x:f>
      </x:c>
      <x:c r="F388" s="700">
        <x:f>IF('ФУиУСУГиП'!$Z8="Да",1,0)</x:f>
      </x:c>
      <x:c r="G388" s="701">
        <x:f>IF('ФУиУСУГиП'!$AF8="Да",1,0)</x:f>
      </x:c>
      <x:c r="H388" s="702">
        <x:f>IF('ФУиУСУГиП'!$AL8="Да",1,0)</x:f>
      </x:c>
      <x:c r="I388" s="703">
        <x:f>IF('ФУиУСУГиП'!$AR8="Да",1,0)</x:f>
      </x:c>
      <x:c r="J388" s="704">
        <x:f>IF('ФУиУСУГиП'!$AX8="Да",1,0)</x:f>
      </x:c>
      <x:c r="K388" s="705">
        <x:f>IF('ФУиУСУГиП'!$BD8="Да",1,0)</x:f>
      </x:c>
      <x:c r="L388" s="706">
        <x:f>IF('ФУиУСУГиП'!$BJ8="Да",1,0)</x:f>
      </x:c>
      <x:c r="M388" s="707">
        <x:f>IF('ФУиУСУГиП'!$BP8="Да",1,0)</x:f>
      </x:c>
      <x:c r="N388" s="708">
        <x:f>IF('ФУиУСУГиП'!$BV8="Да",1,0)</x:f>
      </x:c>
      <x:c r="O388" s="375">
        <x:f>IFERROR(ROUND(SUM(C388:N388)/($S$383),1),"")</x:f>
      </x:c>
    </x:row>
    <x:row r="389" spans="1:25" ht="15" customHeight="1" x14ac:dyDescent="0.25">
      <x:c r="A389" s="710"/>
      <x:c r="B389" s="363" t="s">
        <x:v>742</x:v>
      </x:c>
      <x:c r="C389" s="697">
        <x:f>IF('ФУиУСУГиП'!$H9="Да",1,0)</x:f>
      </x:c>
      <x:c r="D389" s="698">
        <x:f>IF('ФУиУСУГиП'!$N9="Да",1,0)</x:f>
      </x:c>
      <x:c r="E389" s="699">
        <x:f>IF('ФУиУСУГиП'!$T9="Да",1,0)</x:f>
      </x:c>
      <x:c r="F389" s="700">
        <x:f>IF('ФУиУСУГиП'!$Z9="Да",1,0)</x:f>
      </x:c>
      <x:c r="G389" s="701">
        <x:f>IF('ФУиУСУГиП'!$AF9="Да",1,0)</x:f>
      </x:c>
      <x:c r="H389" s="702">
        <x:f>IF('ФУиУСУГиП'!$AL9="Да",1,0)</x:f>
      </x:c>
      <x:c r="I389" s="703">
        <x:f>IF('ФУиУСУГиП'!$AR9="Да",1,0)</x:f>
      </x:c>
      <x:c r="J389" s="704">
        <x:f>IF('ФУиУСУГиП'!$AX9="Да",1,0)</x:f>
      </x:c>
      <x:c r="K389" s="705">
        <x:f>IF('ФУиУСУГиП'!$BD9="Да",1,0)</x:f>
      </x:c>
      <x:c r="L389" s="706">
        <x:f>IF('ФУиУСУГиП'!$BJ9="Да",1,0)</x:f>
      </x:c>
      <x:c r="M389" s="707">
        <x:f>IF('ФУиУСУГиП'!$BP9="Да",1,0)</x:f>
      </x:c>
      <x:c r="N389" s="708">
        <x:f>IF('ФУиУСУГиП'!$BV9="Да",1,0)</x:f>
      </x:c>
      <x:c r="O389" s="375">
        <x:f>IFERROR(ROUND(SUM(C389:N389)/($S$383),1),"")</x:f>
      </x:c>
    </x:row>
    <x:row r="390" spans="1:25" ht="15" customHeight="1" x14ac:dyDescent="0.25">
      <x:c r="A390" s="710"/>
      <x:c r="B390" s="363" t="s">
        <x:v>745</x:v>
      </x:c>
      <x:c r="C390" s="697">
        <x:f>IF('ФУиУСУГиП'!$H10="Да",1,0)</x:f>
      </x:c>
      <x:c r="D390" s="698">
        <x:f>IF('ФУиУСУГиП'!$N10="Да",1,0)</x:f>
      </x:c>
      <x:c r="E390" s="699">
        <x:f>IF('ФУиУСУГиП'!$T10="Да",1,0)</x:f>
      </x:c>
      <x:c r="F390" s="700">
        <x:f>IF('ФУиУСУГиП'!$Z10="Да",1,0)</x:f>
      </x:c>
      <x:c r="G390" s="701">
        <x:f>IF('ФУиУСУГиП'!$AF10="Да",1,0)</x:f>
      </x:c>
      <x:c r="H390" s="702">
        <x:f>IF('ФУиУСУГиП'!$AL10="Да",1,0)</x:f>
      </x:c>
      <x:c r="I390" s="703">
        <x:f>IF('ФУиУСУГиП'!$AR10="Да",1,0)</x:f>
      </x:c>
      <x:c r="J390" s="704">
        <x:f>IF('ФУиУСУГиП'!$AX10="Да",1,0)</x:f>
      </x:c>
      <x:c r="K390" s="705">
        <x:f>IF('ФУиУСУГиП'!$BD10="Да",1,0)</x:f>
      </x:c>
      <x:c r="L390" s="706">
        <x:f>IF('ФУиУСУГиП'!$BJ10="Да",1,0)</x:f>
      </x:c>
      <x:c r="M390" s="707">
        <x:f>IF('ФУиУСУГиП'!$BP10="Да",1,0)</x:f>
      </x:c>
      <x:c r="N390" s="708">
        <x:f>IF('ФУиУСУГиП'!$BV10="Да",1,0)</x:f>
      </x:c>
      <x:c r="O390" s="375">
        <x:f>IFERROR(ROUND(SUM(C390:N390)/($S$383),1),"")</x:f>
      </x:c>
    </x:row>
    <x:row r="391" spans="1:25" ht="15" customHeight="1" x14ac:dyDescent="0.25">
      <x:c r="A391" s="710"/>
      <x:c r="B391" s="363" t="s">
        <x:v>744</x:v>
      </x:c>
      <x:c r="C391" s="697">
        <x:f>IF('ФУиУСУГиП'!$H11="Да",1,0)</x:f>
      </x:c>
      <x:c r="D391" s="698">
        <x:f>IF('ФУиУСУГиП'!$N11="Да",1,0)</x:f>
      </x:c>
      <x:c r="E391" s="699">
        <x:f>IF('ФУиУСУГиП'!$T11="Да",1,0)</x:f>
      </x:c>
      <x:c r="F391" s="700">
        <x:f>IF('ФУиУСУГиП'!$Z11="Да",1,0)</x:f>
      </x:c>
      <x:c r="G391" s="701">
        <x:f>IF('ФУиУСУГиП'!$AF11="Да",1,0)</x:f>
      </x:c>
      <x:c r="H391" s="702">
        <x:f>IF('ФУиУСУГиП'!$AL11="Да",1,0)</x:f>
      </x:c>
      <x:c r="I391" s="703">
        <x:f>IF('ФУиУСУГиП'!$AR11="Да",1,0)</x:f>
      </x:c>
      <x:c r="J391" s="704">
        <x:f>IF('ФУиУСУГиП'!$AX11="Да",1,0)</x:f>
      </x:c>
      <x:c r="K391" s="705">
        <x:f>IF('ФУиУСУГиП'!$BD11="Да",1,0)</x:f>
      </x:c>
      <x:c r="L391" s="706">
        <x:f>IF('ФУиУСУГиП'!$BJ11="Да",1,0)</x:f>
      </x:c>
      <x:c r="M391" s="707">
        <x:f>IF('ФУиУСУГиП'!$BP11="Да",1,0)</x:f>
      </x:c>
      <x:c r="N391" s="708">
        <x:f>IF('ФУиУСУГиП'!$BV11="Да",1,0)</x:f>
      </x:c>
      <x:c r="O391" s="375">
        <x:f>IFERROR(ROUND(SUM(C391:N391)/($S$383),1),"")</x:f>
      </x:c>
    </x:row>
    <x:row r="392" spans="1:25" ht="15" customHeight="1" x14ac:dyDescent="0.25">
      <x:c r="A392" s="710"/>
      <x:c r="B392" s="363" t="s">
        <x:v>748</x:v>
      </x:c>
      <x:c r="C392" s="697">
        <x:f>IF('ФУиУСУГиП'!$H12="Да",1,0)</x:f>
      </x:c>
      <x:c r="D392" s="698">
        <x:f>IF('ФУиУСУГиП'!$N12="Да",1,0)</x:f>
      </x:c>
      <x:c r="E392" s="699">
        <x:f>IF('ФУиУСУГиП'!$T12="Да",1,0)</x:f>
      </x:c>
      <x:c r="F392" s="700">
        <x:f>IF('ФУиУСУГиП'!$Z12="Да",1,0)</x:f>
      </x:c>
      <x:c r="G392" s="701">
        <x:f>IF('ФУиУСУГиП'!$AF12="Да",1,0)</x:f>
      </x:c>
      <x:c r="H392" s="702">
        <x:f>IF('ФУиУСУГиП'!$AL12="Да",1,0)</x:f>
      </x:c>
      <x:c r="I392" s="703">
        <x:f>IF('ФУиУСУГиП'!$AR12="Да",1,0)</x:f>
      </x:c>
      <x:c r="J392" s="704">
        <x:f>IF('ФУиУСУГиП'!$AX12="Да",1,0)</x:f>
      </x:c>
      <x:c r="K392" s="705">
        <x:f>IF('ФУиУСУГиП'!$BD12="Да",1,0)</x:f>
      </x:c>
      <x:c r="L392" s="706">
        <x:f>IF('ФУиУСУГиП'!$BJ12="Да",1,0)</x:f>
      </x:c>
      <x:c r="M392" s="707">
        <x:f>IF('ФУиУСУГиП'!$BP12="Да",1,0)</x:f>
      </x:c>
      <x:c r="N392" s="708">
        <x:f>IF('ФУиУСУГиП'!$BV12="Да",1,0)</x:f>
      </x:c>
      <x:c r="O392" s="375">
        <x:f>IFERROR(ROUND(SUM(C392:N392)/($S$383),1),"")</x:f>
      </x:c>
    </x:row>
    <x:row r="393" spans="1:25" ht="15" customHeight="1" x14ac:dyDescent="0.25">
      <x:c r="A393" s="710"/>
      <x:c r="B393" s="363" t="s">
        <x:v>746</x:v>
      </x:c>
      <x:c r="C393" s="697">
        <x:f>IF('ФУиУСУГиП'!$H13="Да",1,0)</x:f>
      </x:c>
      <x:c r="D393" s="698">
        <x:f>IF('ФУиУСУГиП'!$N13="Да",1,0)</x:f>
      </x:c>
      <x:c r="E393" s="699">
        <x:f>IF('ФУиУСУГиП'!$T13="Да",1,0)</x:f>
      </x:c>
      <x:c r="F393" s="700">
        <x:f>IF('ФУиУСУГиП'!$Z13="Да",1,0)</x:f>
      </x:c>
      <x:c r="G393" s="701">
        <x:f>IF('ФУиУСУГиП'!$AF13="Да",1,0)</x:f>
      </x:c>
      <x:c r="H393" s="702">
        <x:f>IF('ФУиУСУГиП'!$AL13="Да",1,0)</x:f>
      </x:c>
      <x:c r="I393" s="703">
        <x:f>IF('ФУиУСУГиП'!$AR13="Да",1,0)</x:f>
      </x:c>
      <x:c r="J393" s="704">
        <x:f>IF('ФУиУСУГиП'!$AX13="Да",1,0)</x:f>
      </x:c>
      <x:c r="K393" s="705">
        <x:f>IF('ФУиУСУГиП'!$BD13="Да",1,0)</x:f>
      </x:c>
      <x:c r="L393" s="706">
        <x:f>IF('ФУиУСУГиП'!$BJ13="Да",1,0)</x:f>
      </x:c>
      <x:c r="M393" s="707">
        <x:f>IF('ФУиУСУГиП'!$BP13="Да",1,0)</x:f>
      </x:c>
      <x:c r="N393" s="708">
        <x:f>IF('ФУиУСУГиП'!$BV13="Да",1,0)</x:f>
      </x:c>
      <x:c r="O393" s="375">
        <x:f>IFERROR(ROUND(SUM(C393:N393)/($S$383),1),"")</x:f>
      </x:c>
    </x:row>
    <x:row r="394" spans="1:25" ht="15.75" customHeight="1" x14ac:dyDescent="0.25">
      <x:c r="A394" s="717"/>
      <x:c r="B394" s="379" t="s">
        <x:v>754</x:v>
      </x:c>
      <x:c r="C394" s="697">
        <x:f>IF('ФУиУСУГиП'!$H14="Да",1,0)</x:f>
      </x:c>
      <x:c r="D394" s="698">
        <x:f>IF('ФУиУСУГиП'!$N14="Да",1,0)</x:f>
      </x:c>
      <x:c r="E394" s="699">
        <x:f>IF('ФУиУСУГиП'!$T14="Да",1,0)</x:f>
      </x:c>
      <x:c r="F394" s="700">
        <x:f>IF('ФУиУСУГиП'!$Z14="Да",1,0)</x:f>
      </x:c>
      <x:c r="G394" s="701">
        <x:f>IF('ФУиУСУГиП'!$AF14="Да",1,0)</x:f>
      </x:c>
      <x:c r="H394" s="702">
        <x:f>IF('ФУиУСУГиП'!$AL14="Да",1,0)</x:f>
      </x:c>
      <x:c r="I394" s="703">
        <x:f>IF('ФУиУСУГиП'!$AR14="Да",1,0)</x:f>
      </x:c>
      <x:c r="J394" s="704">
        <x:f>IF('ФУиУСУГиП'!$AX14="Да",1,0)</x:f>
      </x:c>
      <x:c r="K394" s="705">
        <x:f>IF('ФУиУСУГиП'!$BD14="Да",1,0)</x:f>
      </x:c>
      <x:c r="L394" s="706">
        <x:f>IF('ФУиУСУГиП'!$BJ14="Да",1,0)</x:f>
      </x:c>
      <x:c r="M394" s="707">
        <x:f>IF('ФУиУСУГиП'!$BP14="Да",1,0)</x:f>
      </x:c>
      <x:c r="N394" s="708">
        <x:f>IF('ФУиУСУГиП'!$BV14="Да",1,0)</x:f>
      </x:c>
      <x:c r="O394" s="375">
        <x:f>IFERROR(ROUND(SUM(C394:N394)/($S$383),1),"")</x:f>
      </x:c>
    </x:row>
    <x:row r="395" spans="1:25" ht="15" customHeight="1" x14ac:dyDescent="0.25">
      <x:c r="A395" s="696" t="s">
        <x:v>1150</x:v>
      </x:c>
      <x:c r="B395" s="363" t="s">
        <x:v>648</x:v>
      </x:c>
      <x:c r="C395" s="697">
        <x:f>IF('ТАМЕ'!$H3="Да",1,0)</x:f>
      </x:c>
      <x:c r="D395" s="698">
        <x:f>IF('ТАМЕ'!$N3="Да",1,0)</x:f>
      </x:c>
      <x:c r="E395" s="699">
        <x:f>IF('ТАМЕ'!$T3="Да",1,0)</x:f>
      </x:c>
      <x:c r="F395" s="700">
        <x:f>IF('ТАМЕ'!$Z3="Да",1,0)</x:f>
      </x:c>
      <x:c r="G395" s="701">
        <x:f>IF('ТАМЕ'!$AF3="Да",1,0)</x:f>
      </x:c>
      <x:c r="H395" s="702">
        <x:f>IF('ТАМЕ'!$AL3="Да",1,0)</x:f>
      </x:c>
      <x:c r="I395" s="703">
        <x:f>IF('ТАМЕ'!$AR3="Да",1,0)</x:f>
      </x:c>
      <x:c r="J395" s="704">
        <x:f>IF('ТАМЕ'!$AX3="Да",1,0)</x:f>
      </x:c>
      <x:c r="K395" s="705">
        <x:f>IF('ТАМЕ'!$BD3="Да",1,0)</x:f>
      </x:c>
      <x:c r="L395" s="706">
        <x:f>IF('ТАМЕ'!$BJ3="Да",1,0)</x:f>
      </x:c>
      <x:c r="M395" s="707">
        <x:f>IF('ТАМЕ'!$BP3="Да",1,0)</x:f>
      </x:c>
      <x:c r="N395" s="708">
        <x:f>IF('ТАМЕ'!$BV3="Да",1,0)</x:f>
      </x:c>
      <x:c r="O395" s="375">
        <x:f>IFERROR(ROUND(SUM(C395:N395)/($S$395),1),"")</x:f>
      </x:c>
      <x:c r="Q395" s="709" t="s">
        <x:v>1151</x:v>
      </x:c>
      <x:c r="R395" s="596"/>
      <x:c r="S395" s="376">
        <x:f>SUM(IF(COUNTIF(C395:C415,"&gt;0")&gt;0,1,0),IF(COUNTIF(D395:D415,"&gt;0")&gt;0,1,0),IF(COUNTIF(E395:E415,"&gt;0")&gt;0,1,0),IF(COUNTIF(F395:F415,"&gt;0")&gt;0,1,0),IF(COUNTIF(G395:G415,"&gt;0")&gt;0,1,0),IF(COUNTIF(H395:H415,"&gt;0")&gt;0,1,0),IF(COUNTIF(I395:I415,"&gt;0")&gt;0,1,0),IF(COUNTIF(J395:J415,"&gt;0")&gt;0,1,0),IF(COUNTIF(K395:K415,"&gt;0")&gt;0,1,0),IF(COUNTIF(L395:L415,"&gt;0")&gt;0,1,0),IF(COUNTIF(M395:M415,"&gt;0")&gt;0,1,0),IF(COUNTIF(N395:N415,"&gt;0")&gt;0,1,0))</x:f>
      </x:c>
    </x:row>
    <x:row r="396" spans="1:25" ht="15" customHeight="1" x14ac:dyDescent="0.25">
      <x:c r="A396" s="710"/>
      <x:c r="B396" s="363" t="s">
        <x:v>638</x:v>
      </x:c>
      <x:c r="C396" s="697">
        <x:f>IF('ТАМЕ'!$H4="Да",1,0)</x:f>
      </x:c>
      <x:c r="D396" s="698">
        <x:f>IF('ТАМЕ'!$N4="Да",1,0)</x:f>
      </x:c>
      <x:c r="E396" s="699">
        <x:f>IF('ТАМЕ'!$T4="Да",1,0)</x:f>
      </x:c>
      <x:c r="F396" s="700">
        <x:f>IF('ТАМЕ'!$Z4="Да",1,0)</x:f>
      </x:c>
      <x:c r="G396" s="701">
        <x:f>IF('ТАМЕ'!$AF4="Да",1,0)</x:f>
      </x:c>
      <x:c r="H396" s="702">
        <x:f>IF('ТАМЕ'!$AL4="Да",1,0)</x:f>
      </x:c>
      <x:c r="I396" s="703">
        <x:f>IF('ТАМЕ'!$AR4="Да",1,0)</x:f>
      </x:c>
      <x:c r="J396" s="704">
        <x:f>IF('ТАМЕ'!$AX4="Да",1,0)</x:f>
      </x:c>
      <x:c r="K396" s="705">
        <x:f>IF('ТАМЕ'!$BD4="Да",1,0)</x:f>
      </x:c>
      <x:c r="L396" s="706">
        <x:f>IF('ТАМЕ'!$BJ4="Да",1,0)</x:f>
      </x:c>
      <x:c r="M396" s="707">
        <x:f>IF('ТАМЕ'!$BP4="Да",1,0)</x:f>
      </x:c>
      <x:c r="N396" s="708">
        <x:f>IF('ТАМЕ'!$BV4="Да",1,0)</x:f>
      </x:c>
      <x:c r="O396" s="375">
        <x:f>IFERROR(ROUND(SUM(C396:N396)/($S$395),1),"")</x:f>
      </x:c>
      <x:c r="Q396" s="711"/>
      <x:c r="R396" s="712"/>
      <x:c r="S396" s="713"/>
    </x:row>
    <x:row r="397" spans="1:25" ht="15" customHeight="1" x14ac:dyDescent="0.25">
      <x:c r="A397" s="710"/>
      <x:c r="B397" s="363" t="s">
        <x:v>650</x:v>
      </x:c>
      <x:c r="C397" s="697">
        <x:f>IF('ТАМЕ'!$H5="Да",1,0)</x:f>
      </x:c>
      <x:c r="D397" s="698">
        <x:f>IF('ТАМЕ'!$N5="Да",1,0)</x:f>
      </x:c>
      <x:c r="E397" s="699">
        <x:f>IF('ТАМЕ'!$T5="Да",1,0)</x:f>
      </x:c>
      <x:c r="F397" s="700">
        <x:f>IF('ТАМЕ'!$Z5="Да",1,0)</x:f>
      </x:c>
      <x:c r="G397" s="701">
        <x:f>IF('ТАМЕ'!$AF5="Да",1,0)</x:f>
      </x:c>
      <x:c r="H397" s="702">
        <x:f>IF('ТАМЕ'!$AL5="Да",1,0)</x:f>
      </x:c>
      <x:c r="I397" s="703">
        <x:f>IF('ТАМЕ'!$AR5="Да",1,0)</x:f>
      </x:c>
      <x:c r="J397" s="704">
        <x:f>IF('ТАМЕ'!$AX5="Да",1,0)</x:f>
      </x:c>
      <x:c r="K397" s="705">
        <x:f>IF('ТАМЕ'!$BD5="Да",1,0)</x:f>
      </x:c>
      <x:c r="L397" s="706">
        <x:f>IF('ТАМЕ'!$BJ5="Да",1,0)</x:f>
      </x:c>
      <x:c r="M397" s="707">
        <x:f>IF('ТАМЕ'!$BP5="Да",1,0)</x:f>
      </x:c>
      <x:c r="N397" s="708">
        <x:f>IF('ТАМЕ'!$BV5="Да",1,0)</x:f>
      </x:c>
      <x:c r="O397" s="375">
        <x:f>IFERROR(ROUND(SUM(C397:N397)/($S$395),1),"")</x:f>
      </x:c>
      <x:c r="Q397" s="714"/>
      <x:c r="R397" s="715"/>
      <x:c r="S397" s="716"/>
    </x:row>
    <x:row r="398" spans="1:25" ht="15" customHeight="1" x14ac:dyDescent="0.25">
      <x:c r="A398" s="710"/>
      <x:c r="B398" s="363" t="s">
        <x:v>641</x:v>
      </x:c>
      <x:c r="C398" s="697">
        <x:f>IF('ТАМЕ'!$H6="Да",1,0)</x:f>
      </x:c>
      <x:c r="D398" s="698">
        <x:f>IF('ТАМЕ'!$N6="Да",1,0)</x:f>
      </x:c>
      <x:c r="E398" s="699">
        <x:f>IF('ТАМЕ'!$T6="Да",1,0)</x:f>
      </x:c>
      <x:c r="F398" s="700">
        <x:f>IF('ТАМЕ'!$Z6="Да",1,0)</x:f>
      </x:c>
      <x:c r="G398" s="701">
        <x:f>IF('ТАМЕ'!$AF6="Да",1,0)</x:f>
      </x:c>
      <x:c r="H398" s="702">
        <x:f>IF('ТАМЕ'!$AL6="Да",1,0)</x:f>
      </x:c>
      <x:c r="I398" s="703">
        <x:f>IF('ТАМЕ'!$AR6="Да",1,0)</x:f>
      </x:c>
      <x:c r="J398" s="704">
        <x:f>IF('ТАМЕ'!$AX6="Да",1,0)</x:f>
      </x:c>
      <x:c r="K398" s="705">
        <x:f>IF('ТАМЕ'!$BD6="Да",1,0)</x:f>
      </x:c>
      <x:c r="L398" s="706">
        <x:f>IF('ТАМЕ'!$BJ6="Да",1,0)</x:f>
      </x:c>
      <x:c r="M398" s="707">
        <x:f>IF('ТАМЕ'!$BP6="Да",1,0)</x:f>
      </x:c>
      <x:c r="N398" s="708">
        <x:f>IF('ТАМЕ'!$BV6="Да",1,0)</x:f>
      </x:c>
      <x:c r="O398" s="375">
        <x:f>IFERROR(ROUND(SUM(C398:N398)/($S$395),1),"")</x:f>
      </x:c>
    </x:row>
    <x:row r="399" spans="1:25" ht="15" customHeight="1" x14ac:dyDescent="0.25">
      <x:c r="A399" s="710"/>
      <x:c r="B399" s="363" t="s">
        <x:v>637</x:v>
      </x:c>
      <x:c r="C399" s="697">
        <x:f>IF('ТАМЕ'!$H7="Да",1,0)</x:f>
      </x:c>
      <x:c r="D399" s="698">
        <x:f>IF('ТАМЕ'!$N7="Да",1,0)</x:f>
      </x:c>
      <x:c r="E399" s="699">
        <x:f>IF('ТАМЕ'!$T7="Да",1,0)</x:f>
      </x:c>
      <x:c r="F399" s="700">
        <x:f>IF('ТАМЕ'!$Z7="Да",1,0)</x:f>
      </x:c>
      <x:c r="G399" s="701">
        <x:f>IF('ТАМЕ'!$AF7="Да",1,0)</x:f>
      </x:c>
      <x:c r="H399" s="702">
        <x:f>IF('ТАМЕ'!$AL7="Да",1,0)</x:f>
      </x:c>
      <x:c r="I399" s="703">
        <x:f>IF('ТАМЕ'!$AR7="Да",1,0)</x:f>
      </x:c>
      <x:c r="J399" s="704">
        <x:f>IF('ТАМЕ'!$AX7="Да",1,0)</x:f>
      </x:c>
      <x:c r="K399" s="705">
        <x:f>IF('ТАМЕ'!$BD7="Да",1,0)</x:f>
      </x:c>
      <x:c r="L399" s="706">
        <x:f>IF('ТАМЕ'!$BJ7="Да",1,0)</x:f>
      </x:c>
      <x:c r="M399" s="707">
        <x:f>IF('ТАМЕ'!$BP7="Да",1,0)</x:f>
      </x:c>
      <x:c r="N399" s="708">
        <x:f>IF('ТАМЕ'!$BV7="Да",1,0)</x:f>
      </x:c>
      <x:c r="O399" s="375">
        <x:f>IFERROR(ROUND(SUM(C399:N399)/($S$395),1),"")</x:f>
      </x:c>
    </x:row>
    <x:row r="400" spans="1:25" ht="15" customHeight="1" x14ac:dyDescent="0.25">
      <x:c r="A400" s="710"/>
      <x:c r="B400" s="363" t="s">
        <x:v>630</x:v>
      </x:c>
      <x:c r="C400" s="697">
        <x:f>IF('ТАМЕ'!$H8="Да",1,0)</x:f>
      </x:c>
      <x:c r="D400" s="698">
        <x:f>IF('ТАМЕ'!$N8="Да",1,0)</x:f>
      </x:c>
      <x:c r="E400" s="699">
        <x:f>IF('ТАМЕ'!$T8="Да",1,0)</x:f>
      </x:c>
      <x:c r="F400" s="700">
        <x:f>IF('ТАМЕ'!$Z8="Да",1,0)</x:f>
      </x:c>
      <x:c r="G400" s="701">
        <x:f>IF('ТАМЕ'!$AF8="Да",1,0)</x:f>
      </x:c>
      <x:c r="H400" s="702">
        <x:f>IF('ТАМЕ'!$AL8="Да",1,0)</x:f>
      </x:c>
      <x:c r="I400" s="703">
        <x:f>IF('ТАМЕ'!$AR8="Да",1,0)</x:f>
      </x:c>
      <x:c r="J400" s="704">
        <x:f>IF('ТАМЕ'!$AX8="Да",1,0)</x:f>
      </x:c>
      <x:c r="K400" s="705">
        <x:f>IF('ТАМЕ'!$BD8="Да",1,0)</x:f>
      </x:c>
      <x:c r="L400" s="706">
        <x:f>IF('ТАМЕ'!$BJ8="Да",1,0)</x:f>
      </x:c>
      <x:c r="M400" s="707">
        <x:f>IF('ТАМЕ'!$BP8="Да",1,0)</x:f>
      </x:c>
      <x:c r="N400" s="708">
        <x:f>IF('ТАМЕ'!$BV8="Да",1,0)</x:f>
      </x:c>
      <x:c r="O400" s="375">
        <x:f>IFERROR(ROUND(SUM(C400:N400)/($S$395),1),"")</x:f>
      </x:c>
    </x:row>
    <x:row r="401" spans="1:25" ht="15" customHeight="1" x14ac:dyDescent="0.25">
      <x:c r="A401" s="710"/>
      <x:c r="B401" s="363" t="s">
        <x:v>642</x:v>
      </x:c>
      <x:c r="C401" s="697">
        <x:f>IF('ТАМЕ'!$H9="Да",1,0)</x:f>
      </x:c>
      <x:c r="D401" s="698">
        <x:f>IF('ТАМЕ'!$N9="Да",1,0)</x:f>
      </x:c>
      <x:c r="E401" s="699">
        <x:f>IF('ТАМЕ'!$T9="Да",1,0)</x:f>
      </x:c>
      <x:c r="F401" s="700">
        <x:f>IF('ТАМЕ'!$Z9="Да",1,0)</x:f>
      </x:c>
      <x:c r="G401" s="701">
        <x:f>IF('ТАМЕ'!$AF9="Да",1,0)</x:f>
      </x:c>
      <x:c r="H401" s="702">
        <x:f>IF('ТАМЕ'!$AL9="Да",1,0)</x:f>
      </x:c>
      <x:c r="I401" s="703">
        <x:f>IF('ТАМЕ'!$AR9="Да",1,0)</x:f>
      </x:c>
      <x:c r="J401" s="704">
        <x:f>IF('ТАМЕ'!$AX9="Да",1,0)</x:f>
      </x:c>
      <x:c r="K401" s="705">
        <x:f>IF('ТАМЕ'!$BD9="Да",1,0)</x:f>
      </x:c>
      <x:c r="L401" s="706">
        <x:f>IF('ТАМЕ'!$BJ9="Да",1,0)</x:f>
      </x:c>
      <x:c r="M401" s="707">
        <x:f>IF('ТАМЕ'!$BP9="Да",1,0)</x:f>
      </x:c>
      <x:c r="N401" s="708">
        <x:f>IF('ТАМЕ'!$BV9="Да",1,0)</x:f>
      </x:c>
      <x:c r="O401" s="375">
        <x:f>IFERROR(ROUND(SUM(C401:N401)/($S$395),1),"")</x:f>
      </x:c>
    </x:row>
    <x:row r="402" spans="1:25" ht="15" customHeight="1" x14ac:dyDescent="0.25">
      <x:c r="A402" s="710"/>
      <x:c r="B402" s="363" t="s">
        <x:v>632</x:v>
      </x:c>
      <x:c r="C402" s="697">
        <x:f>IF('ТАМЕ'!$H10="Да",1,0)</x:f>
      </x:c>
      <x:c r="D402" s="698">
        <x:f>IF('ТАМЕ'!$N10="Да",1,0)</x:f>
      </x:c>
      <x:c r="E402" s="699">
        <x:f>IF('ТАМЕ'!$T10="Да",1,0)</x:f>
      </x:c>
      <x:c r="F402" s="700">
        <x:f>IF('ТАМЕ'!$Z10="Да",1,0)</x:f>
      </x:c>
      <x:c r="G402" s="701">
        <x:f>IF('ТАМЕ'!$AF10="Да",1,0)</x:f>
      </x:c>
      <x:c r="H402" s="702">
        <x:f>IF('ТАМЕ'!$AL10="Да",1,0)</x:f>
      </x:c>
      <x:c r="I402" s="703">
        <x:f>IF('ТАМЕ'!$AR10="Да",1,0)</x:f>
      </x:c>
      <x:c r="J402" s="704">
        <x:f>IF('ТАМЕ'!$AX10="Да",1,0)</x:f>
      </x:c>
      <x:c r="K402" s="705">
        <x:f>IF('ТАМЕ'!$BD10="Да",1,0)</x:f>
      </x:c>
      <x:c r="L402" s="706">
        <x:f>IF('ТАМЕ'!$BJ10="Да",1,0)</x:f>
      </x:c>
      <x:c r="M402" s="707">
        <x:f>IF('ТАМЕ'!$BP10="Да",1,0)</x:f>
      </x:c>
      <x:c r="N402" s="708">
        <x:f>IF('ТАМЕ'!$BV10="Да",1,0)</x:f>
      </x:c>
      <x:c r="O402" s="375">
        <x:f>IFERROR(ROUND(SUM(C402:N402)/($S$395),1),"")</x:f>
      </x:c>
    </x:row>
    <x:row r="403" spans="1:25" ht="15" customHeight="1" x14ac:dyDescent="0.25">
      <x:c r="A403" s="710"/>
      <x:c r="B403" s="363" t="s">
        <x:v>635</x:v>
      </x:c>
      <x:c r="C403" s="697">
        <x:f>IF('ТАМЕ'!$H11="Да",1,0)</x:f>
      </x:c>
      <x:c r="D403" s="698">
        <x:f>IF('ТАМЕ'!$N11="Да",1,0)</x:f>
      </x:c>
      <x:c r="E403" s="699">
        <x:f>IF('ТАМЕ'!$T11="Да",1,0)</x:f>
      </x:c>
      <x:c r="F403" s="700">
        <x:f>IF('ТАМЕ'!$Z11="Да",1,0)</x:f>
      </x:c>
      <x:c r="G403" s="701">
        <x:f>IF('ТАМЕ'!$AF11="Да",1,0)</x:f>
      </x:c>
      <x:c r="H403" s="702">
        <x:f>IF('ТАМЕ'!$AL11="Да",1,0)</x:f>
      </x:c>
      <x:c r="I403" s="703">
        <x:f>IF('ТАМЕ'!$AR11="Да",1,0)</x:f>
      </x:c>
      <x:c r="J403" s="704">
        <x:f>IF('ТАМЕ'!$AX11="Да",1,0)</x:f>
      </x:c>
      <x:c r="K403" s="705">
        <x:f>IF('ТАМЕ'!$BD11="Да",1,0)</x:f>
      </x:c>
      <x:c r="L403" s="706">
        <x:f>IF('ТАМЕ'!$BJ11="Да",1,0)</x:f>
      </x:c>
      <x:c r="M403" s="707">
        <x:f>IF('ТАМЕ'!$BP11="Да",1,0)</x:f>
      </x:c>
      <x:c r="N403" s="708">
        <x:f>IF('ТАМЕ'!$BV11="Да",1,0)</x:f>
      </x:c>
      <x:c r="O403" s="375">
        <x:f>IFERROR(ROUND(SUM(C403:N403)/($S$395),1),"")</x:f>
      </x:c>
    </x:row>
    <x:row r="404" spans="1:25" ht="15" customHeight="1" x14ac:dyDescent="0.25">
      <x:c r="A404" s="710"/>
      <x:c r="B404" s="363" t="s">
        <x:v>636</x:v>
      </x:c>
      <x:c r="C404" s="697">
        <x:f>IF('ТАМЕ'!$H12="Да",1,0)</x:f>
      </x:c>
      <x:c r="D404" s="698">
        <x:f>IF('ТАМЕ'!$N12="Да",1,0)</x:f>
      </x:c>
      <x:c r="E404" s="699">
        <x:f>IF('ТАМЕ'!$T12="Да",1,0)</x:f>
      </x:c>
      <x:c r="F404" s="700">
        <x:f>IF('ТАМЕ'!$Z12="Да",1,0)</x:f>
      </x:c>
      <x:c r="G404" s="701">
        <x:f>IF('ТАМЕ'!$AF12="Да",1,0)</x:f>
      </x:c>
      <x:c r="H404" s="702">
        <x:f>IF('ТАМЕ'!$AL12="Да",1,0)</x:f>
      </x:c>
      <x:c r="I404" s="703">
        <x:f>IF('ТАМЕ'!$AR12="Да",1,0)</x:f>
      </x:c>
      <x:c r="J404" s="704">
        <x:f>IF('ТАМЕ'!$AX12="Да",1,0)</x:f>
      </x:c>
      <x:c r="K404" s="705">
        <x:f>IF('ТАМЕ'!$BD12="Да",1,0)</x:f>
      </x:c>
      <x:c r="L404" s="706">
        <x:f>IF('ТАМЕ'!$BJ12="Да",1,0)</x:f>
      </x:c>
      <x:c r="M404" s="707">
        <x:f>IF('ТАМЕ'!$BP12="Да",1,0)</x:f>
      </x:c>
      <x:c r="N404" s="708">
        <x:f>IF('ТАМЕ'!$BV12="Да",1,0)</x:f>
      </x:c>
      <x:c r="O404" s="375">
        <x:f>IFERROR(ROUND(SUM(C404:N404)/($S$395),1),"")</x:f>
      </x:c>
    </x:row>
    <x:row r="405" spans="1:25" ht="15" customHeight="1" x14ac:dyDescent="0.25">
      <x:c r="A405" s="710"/>
      <x:c r="B405" s="363" t="s">
        <x:v>634</x:v>
      </x:c>
      <x:c r="C405" s="697">
        <x:f>IF('ТАМЕ'!$H13="Да",1,0)</x:f>
      </x:c>
      <x:c r="D405" s="698">
        <x:f>IF('ТАМЕ'!$N13="Да",1,0)</x:f>
      </x:c>
      <x:c r="E405" s="699">
        <x:f>IF('ТАМЕ'!$T13="Да",1,0)</x:f>
      </x:c>
      <x:c r="F405" s="700">
        <x:f>IF('ТАМЕ'!$Z13="Да",1,0)</x:f>
      </x:c>
      <x:c r="G405" s="701">
        <x:f>IF('ТАМЕ'!$AF13="Да",1,0)</x:f>
      </x:c>
      <x:c r="H405" s="702">
        <x:f>IF('ТАМЕ'!$AL13="Да",1,0)</x:f>
      </x:c>
      <x:c r="I405" s="703">
        <x:f>IF('ТАМЕ'!$AR13="Да",1,0)</x:f>
      </x:c>
      <x:c r="J405" s="704">
        <x:f>IF('ТАМЕ'!$AX13="Да",1,0)</x:f>
      </x:c>
      <x:c r="K405" s="705">
        <x:f>IF('ТАМЕ'!$BD13="Да",1,0)</x:f>
      </x:c>
      <x:c r="L405" s="706">
        <x:f>IF('ТАМЕ'!$BJ13="Да",1,0)</x:f>
      </x:c>
      <x:c r="M405" s="707">
        <x:f>IF('ТАМЕ'!$BP13="Да",1,0)</x:f>
      </x:c>
      <x:c r="N405" s="708">
        <x:f>IF('ТАМЕ'!$BV13="Да",1,0)</x:f>
      </x:c>
      <x:c r="O405" s="375">
        <x:f>IFERROR(ROUND(SUM(C405:N405)/($S$395),1),"")</x:f>
      </x:c>
    </x:row>
    <x:row r="406" spans="1:25" ht="15" customHeight="1" x14ac:dyDescent="0.25">
      <x:c r="A406" s="710"/>
      <x:c r="B406" s="363" t="s">
        <x:v>647</x:v>
      </x:c>
      <x:c r="C406" s="697">
        <x:f>IF('ТАМЕ'!$H14="Да",1,0)</x:f>
      </x:c>
      <x:c r="D406" s="698">
        <x:f>IF('ТАМЕ'!$N14="Да",1,0)</x:f>
      </x:c>
      <x:c r="E406" s="699">
        <x:f>IF('ТАМЕ'!$T14="Да",1,0)</x:f>
      </x:c>
      <x:c r="F406" s="700">
        <x:f>IF('ТАМЕ'!$Z14="Да",1,0)</x:f>
      </x:c>
      <x:c r="G406" s="701">
        <x:f>IF('ТАМЕ'!$AF14="Да",1,0)</x:f>
      </x:c>
      <x:c r="H406" s="702">
        <x:f>IF('ТАМЕ'!$AL14="Да",1,0)</x:f>
      </x:c>
      <x:c r="I406" s="703">
        <x:f>IF('ТАМЕ'!$AR14="Да",1,0)</x:f>
      </x:c>
      <x:c r="J406" s="704">
        <x:f>IF('ТАМЕ'!$AX14="Да",1,0)</x:f>
      </x:c>
      <x:c r="K406" s="705">
        <x:f>IF('ТАМЕ'!$BD14="Да",1,0)</x:f>
      </x:c>
      <x:c r="L406" s="706">
        <x:f>IF('ТАМЕ'!$BJ14="Да",1,0)</x:f>
      </x:c>
      <x:c r="M406" s="707">
        <x:f>IF('ТАМЕ'!$BP14="Да",1,0)</x:f>
      </x:c>
      <x:c r="N406" s="708">
        <x:f>IF('ТАМЕ'!$BV14="Да",1,0)</x:f>
      </x:c>
      <x:c r="O406" s="375">
        <x:f>IFERROR(ROUND(SUM(C406:N406)/($S$395),1),"")</x:f>
      </x:c>
    </x:row>
    <x:row r="407" spans="1:25" ht="15" customHeight="1" x14ac:dyDescent="0.25">
      <x:c r="A407" s="710"/>
      <x:c r="B407" s="363" t="s">
        <x:v>640</x:v>
      </x:c>
      <x:c r="C407" s="697">
        <x:f>IF('ТАМЕ'!$H15="Да",1,0)</x:f>
      </x:c>
      <x:c r="D407" s="698">
        <x:f>IF('ТАМЕ'!$N15="Да",1,0)</x:f>
      </x:c>
      <x:c r="E407" s="699">
        <x:f>IF('ТАМЕ'!$T15="Да",1,0)</x:f>
      </x:c>
      <x:c r="F407" s="700">
        <x:f>IF('ТАМЕ'!$Z15="Да",1,0)</x:f>
      </x:c>
      <x:c r="G407" s="701">
        <x:f>IF('ТАМЕ'!$AF15="Да",1,0)</x:f>
      </x:c>
      <x:c r="H407" s="702">
        <x:f>IF('ТАМЕ'!$AL15="Да",1,0)</x:f>
      </x:c>
      <x:c r="I407" s="703">
        <x:f>IF('ТАМЕ'!$AR15="Да",1,0)</x:f>
      </x:c>
      <x:c r="J407" s="704">
        <x:f>IF('ТАМЕ'!$AX15="Да",1,0)</x:f>
      </x:c>
      <x:c r="K407" s="705">
        <x:f>IF('ТАМЕ'!$BD15="Да",1,0)</x:f>
      </x:c>
      <x:c r="L407" s="706">
        <x:f>IF('ТАМЕ'!$BJ15="Да",1,0)</x:f>
      </x:c>
      <x:c r="M407" s="707">
        <x:f>IF('ТАМЕ'!$BP15="Да",1,0)</x:f>
      </x:c>
      <x:c r="N407" s="708">
        <x:f>IF('ТАМЕ'!$BV15="Да",1,0)</x:f>
      </x:c>
      <x:c r="O407" s="375">
        <x:f>IFERROR(ROUND(SUM(C407:N407)/($S$395),1),"")</x:f>
      </x:c>
    </x:row>
    <x:row r="408" spans="1:25" ht="15" customHeight="1" x14ac:dyDescent="0.25">
      <x:c r="A408" s="710"/>
      <x:c r="B408" s="363" t="s">
        <x:v>644</x:v>
      </x:c>
      <x:c r="C408" s="697">
        <x:f>IF('ТАМЕ'!$H16="Да",1,0)</x:f>
      </x:c>
      <x:c r="D408" s="698">
        <x:f>IF('ТАМЕ'!$N16="Да",1,0)</x:f>
      </x:c>
      <x:c r="E408" s="699">
        <x:f>IF('ТАМЕ'!$T16="Да",1,0)</x:f>
      </x:c>
      <x:c r="F408" s="700">
        <x:f>IF('ТАМЕ'!$Z16="Да",1,0)</x:f>
      </x:c>
      <x:c r="G408" s="701">
        <x:f>IF('ТАМЕ'!$AF16="Да",1,0)</x:f>
      </x:c>
      <x:c r="H408" s="702">
        <x:f>IF('ТАМЕ'!$AL16="Да",1,0)</x:f>
      </x:c>
      <x:c r="I408" s="703">
        <x:f>IF('ТАМЕ'!$AR16="Да",1,0)</x:f>
      </x:c>
      <x:c r="J408" s="704">
        <x:f>IF('ТАМЕ'!$AX16="Да",1,0)</x:f>
      </x:c>
      <x:c r="K408" s="705">
        <x:f>IF('ТАМЕ'!$BD16="Да",1,0)</x:f>
      </x:c>
      <x:c r="L408" s="706">
        <x:f>IF('ТАМЕ'!$BJ16="Да",1,0)</x:f>
      </x:c>
      <x:c r="M408" s="707">
        <x:f>IF('ТАМЕ'!$BP16="Да",1,0)</x:f>
      </x:c>
      <x:c r="N408" s="708">
        <x:f>IF('ТАМЕ'!$BV16="Да",1,0)</x:f>
      </x:c>
      <x:c r="O408" s="375">
        <x:f>IFERROR(ROUND(SUM(C408:N408)/($S$395),1),"")</x:f>
      </x:c>
    </x:row>
    <x:row r="409" spans="1:25" ht="15" customHeight="1" x14ac:dyDescent="0.25">
      <x:c r="A409" s="710"/>
      <x:c r="B409" s="363" t="s">
        <x:v>646</x:v>
      </x:c>
      <x:c r="C409" s="697">
        <x:f>IF('ТАМЕ'!$H17="Да",1,0)</x:f>
      </x:c>
      <x:c r="D409" s="698">
        <x:f>IF('ТАМЕ'!$N17="Да",1,0)</x:f>
      </x:c>
      <x:c r="E409" s="699">
        <x:f>IF('ТАМЕ'!$T17="Да",1,0)</x:f>
      </x:c>
      <x:c r="F409" s="700">
        <x:f>IF('ТАМЕ'!$Z17="Да",1,0)</x:f>
      </x:c>
      <x:c r="G409" s="701">
        <x:f>IF('ТАМЕ'!$AF17="Да",1,0)</x:f>
      </x:c>
      <x:c r="H409" s="702">
        <x:f>IF('ТАМЕ'!$AL17="Да",1,0)</x:f>
      </x:c>
      <x:c r="I409" s="703">
        <x:f>IF('ТАМЕ'!$AR17="Да",1,0)</x:f>
      </x:c>
      <x:c r="J409" s="704">
        <x:f>IF('ТАМЕ'!$AX17="Да",1,0)</x:f>
      </x:c>
      <x:c r="K409" s="705">
        <x:f>IF('ТАМЕ'!$BD17="Да",1,0)</x:f>
      </x:c>
      <x:c r="L409" s="706">
        <x:f>IF('ТАМЕ'!$BJ17="Да",1,0)</x:f>
      </x:c>
      <x:c r="M409" s="707">
        <x:f>IF('ТАМЕ'!$BP17="Да",1,0)</x:f>
      </x:c>
      <x:c r="N409" s="708">
        <x:f>IF('ТАМЕ'!$BV17="Да",1,0)</x:f>
      </x:c>
      <x:c r="O409" s="375">
        <x:f>IFERROR(ROUND(SUM(C409:N409)/($S$395),1),"")</x:f>
      </x:c>
    </x:row>
    <x:row r="410" spans="1:25" ht="15" customHeight="1" x14ac:dyDescent="0.25">
      <x:c r="A410" s="710"/>
      <x:c r="B410" s="363" t="s">
        <x:v>633</x:v>
      </x:c>
      <x:c r="C410" s="697">
        <x:f>IF('ТАМЕ'!$H18="Да",1,0)</x:f>
      </x:c>
      <x:c r="D410" s="698">
        <x:f>IF('ТАМЕ'!$N18="Да",1,0)</x:f>
      </x:c>
      <x:c r="E410" s="699">
        <x:f>IF('ТАМЕ'!$T18="Да",1,0)</x:f>
      </x:c>
      <x:c r="F410" s="700">
        <x:f>IF('ТАМЕ'!$Z18="Да",1,0)</x:f>
      </x:c>
      <x:c r="G410" s="701">
        <x:f>IF('ТАМЕ'!$AF18="Да",1,0)</x:f>
      </x:c>
      <x:c r="H410" s="702">
        <x:f>IF('ТАМЕ'!$AL18="Да",1,0)</x:f>
      </x:c>
      <x:c r="I410" s="703">
        <x:f>IF('ТАМЕ'!$AR18="Да",1,0)</x:f>
      </x:c>
      <x:c r="J410" s="704">
        <x:f>IF('ТАМЕ'!$AX18="Да",1,0)</x:f>
      </x:c>
      <x:c r="K410" s="705">
        <x:f>IF('ТАМЕ'!$BD18="Да",1,0)</x:f>
      </x:c>
      <x:c r="L410" s="706">
        <x:f>IF('ТАМЕ'!$BJ18="Да",1,0)</x:f>
      </x:c>
      <x:c r="M410" s="707">
        <x:f>IF('ТАМЕ'!$BP18="Да",1,0)</x:f>
      </x:c>
      <x:c r="N410" s="708">
        <x:f>IF('ТАМЕ'!$BV18="Да",1,0)</x:f>
      </x:c>
      <x:c r="O410" s="375">
        <x:f>IFERROR(ROUND(SUM(C410:N410)/($S$395),1),"")</x:f>
      </x:c>
    </x:row>
    <x:row r="411" spans="1:25" ht="15" customHeight="1" x14ac:dyDescent="0.25">
      <x:c r="A411" s="710"/>
      <x:c r="B411" s="363" t="s">
        <x:v>651</x:v>
      </x:c>
      <x:c r="C411" s="697">
        <x:f>IF('ТАМЕ'!$H19="Да",1,0)</x:f>
      </x:c>
      <x:c r="D411" s="698">
        <x:f>IF('ТАМЕ'!$N19="Да",1,0)</x:f>
      </x:c>
      <x:c r="E411" s="699">
        <x:f>IF('ТАМЕ'!$T19="Да",1,0)</x:f>
      </x:c>
      <x:c r="F411" s="700">
        <x:f>IF('ТАМЕ'!$Z19="Да",1,0)</x:f>
      </x:c>
      <x:c r="G411" s="701">
        <x:f>IF('ТАМЕ'!$AF19="Да",1,0)</x:f>
      </x:c>
      <x:c r="H411" s="702">
        <x:f>IF('ТАМЕ'!$AL19="Да",1,0)</x:f>
      </x:c>
      <x:c r="I411" s="703">
        <x:f>IF('ТАМЕ'!$AR19="Да",1,0)</x:f>
      </x:c>
      <x:c r="J411" s="704">
        <x:f>IF('ТАМЕ'!$AX19="Да",1,0)</x:f>
      </x:c>
      <x:c r="K411" s="705">
        <x:f>IF('ТАМЕ'!$BD19="Да",1,0)</x:f>
      </x:c>
      <x:c r="L411" s="706">
        <x:f>IF('ТАМЕ'!$BJ19="Да",1,0)</x:f>
      </x:c>
      <x:c r="M411" s="707">
        <x:f>IF('ТАМЕ'!$BP19="Да",1,0)</x:f>
      </x:c>
      <x:c r="N411" s="708">
        <x:f>IF('ТАМЕ'!$BV19="Да",1,0)</x:f>
      </x:c>
      <x:c r="O411" s="375">
        <x:f>IFERROR(ROUND(SUM(C411:N411)/($S$395),1),"")</x:f>
      </x:c>
    </x:row>
    <x:row r="412" spans="1:25" ht="15" customHeight="1" x14ac:dyDescent="0.25">
      <x:c r="A412" s="710"/>
      <x:c r="B412" s="363" t="s">
        <x:v>643</x:v>
      </x:c>
      <x:c r="C412" s="697">
        <x:f>IF('ТАМЕ'!$H20="Да",1,0)</x:f>
      </x:c>
      <x:c r="D412" s="698">
        <x:f>IF('ТАМЕ'!$N20="Да",1,0)</x:f>
      </x:c>
      <x:c r="E412" s="699">
        <x:f>IF('ТАМЕ'!$T20="Да",1,0)</x:f>
      </x:c>
      <x:c r="F412" s="700">
        <x:f>IF('ТАМЕ'!$Z20="Да",1,0)</x:f>
      </x:c>
      <x:c r="G412" s="701">
        <x:f>IF('ТАМЕ'!$AF20="Да",1,0)</x:f>
      </x:c>
      <x:c r="H412" s="702">
        <x:f>IF('ТАМЕ'!$AL20="Да",1,0)</x:f>
      </x:c>
      <x:c r="I412" s="703">
        <x:f>IF('ТАМЕ'!$AR20="Да",1,0)</x:f>
      </x:c>
      <x:c r="J412" s="704">
        <x:f>IF('ТАМЕ'!$AX20="Да",1,0)</x:f>
      </x:c>
      <x:c r="K412" s="705">
        <x:f>IF('ТАМЕ'!$BD20="Да",1,0)</x:f>
      </x:c>
      <x:c r="L412" s="706">
        <x:f>IF('ТАМЕ'!$BJ20="Да",1,0)</x:f>
      </x:c>
      <x:c r="M412" s="707">
        <x:f>IF('ТАМЕ'!$BP20="Да",1,0)</x:f>
      </x:c>
      <x:c r="N412" s="708">
        <x:f>IF('ТАМЕ'!$BV20="Да",1,0)</x:f>
      </x:c>
      <x:c r="O412" s="375">
        <x:f>IFERROR(ROUND(SUM(C412:N412)/($S$395),1),"")</x:f>
      </x:c>
    </x:row>
    <x:row r="413" spans="1:25" ht="15" customHeight="1" x14ac:dyDescent="0.25">
      <x:c r="A413" s="710"/>
      <x:c r="B413" s="363" t="s">
        <x:v>645</x:v>
      </x:c>
      <x:c r="C413" s="697">
        <x:f>IF('ТАМЕ'!$H21="Да",1,0)</x:f>
      </x:c>
      <x:c r="D413" s="698">
        <x:f>IF('ТАМЕ'!$N21="Да",1,0)</x:f>
      </x:c>
      <x:c r="E413" s="699">
        <x:f>IF('ТАМЕ'!$T21="Да",1,0)</x:f>
      </x:c>
      <x:c r="F413" s="700">
        <x:f>IF('ТАМЕ'!$Z21="Да",1,0)</x:f>
      </x:c>
      <x:c r="G413" s="701">
        <x:f>IF('ТАМЕ'!$AF21="Да",1,0)</x:f>
      </x:c>
      <x:c r="H413" s="702">
        <x:f>IF('ТАМЕ'!$AL21="Да",1,0)</x:f>
      </x:c>
      <x:c r="I413" s="703">
        <x:f>IF('ТАМЕ'!$AR21="Да",1,0)</x:f>
      </x:c>
      <x:c r="J413" s="704">
        <x:f>IF('ТАМЕ'!$AX21="Да",1,0)</x:f>
      </x:c>
      <x:c r="K413" s="705">
        <x:f>IF('ТАМЕ'!$BD21="Да",1,0)</x:f>
      </x:c>
      <x:c r="L413" s="706">
        <x:f>IF('ТАМЕ'!$BJ21="Да",1,0)</x:f>
      </x:c>
      <x:c r="M413" s="707">
        <x:f>IF('ТАМЕ'!$BP21="Да",1,0)</x:f>
      </x:c>
      <x:c r="N413" s="708">
        <x:f>IF('ТАМЕ'!$BV21="Да",1,0)</x:f>
      </x:c>
      <x:c r="O413" s="375">
        <x:f>IFERROR(ROUND(SUM(C413:N413)/($S$395),1),"")</x:f>
      </x:c>
    </x:row>
    <x:row r="414" spans="1:25" ht="15" customHeight="1" x14ac:dyDescent="0.25">
      <x:c r="A414" s="710"/>
      <x:c r="B414" s="363" t="s">
        <x:v>639</x:v>
      </x:c>
      <x:c r="C414" s="697">
        <x:f>IF('ТАМЕ'!$H22="Да",1,0)</x:f>
      </x:c>
      <x:c r="D414" s="698">
        <x:f>IF('ТАМЕ'!$N22="Да",1,0)</x:f>
      </x:c>
      <x:c r="E414" s="699">
        <x:f>IF('ТАМЕ'!$T22="Да",1,0)</x:f>
      </x:c>
      <x:c r="F414" s="700">
        <x:f>IF('ТАМЕ'!$Z22="Да",1,0)</x:f>
      </x:c>
      <x:c r="G414" s="701">
        <x:f>IF('ТАМЕ'!$AF22="Да",1,0)</x:f>
      </x:c>
      <x:c r="H414" s="702">
        <x:f>IF('ТАМЕ'!$AL22="Да",1,0)</x:f>
      </x:c>
      <x:c r="I414" s="703">
        <x:f>IF('ТАМЕ'!$AR22="Да",1,0)</x:f>
      </x:c>
      <x:c r="J414" s="704">
        <x:f>IF('ТАМЕ'!$AX22="Да",1,0)</x:f>
      </x:c>
      <x:c r="K414" s="705">
        <x:f>IF('ТАМЕ'!$BD22="Да",1,0)</x:f>
      </x:c>
      <x:c r="L414" s="706">
        <x:f>IF('ТАМЕ'!$BJ22="Да",1,0)</x:f>
      </x:c>
      <x:c r="M414" s="707">
        <x:f>IF('ТАМЕ'!$BP22="Да",1,0)</x:f>
      </x:c>
      <x:c r="N414" s="708">
        <x:f>IF('ТАМЕ'!$BV22="Да",1,0)</x:f>
      </x:c>
      <x:c r="O414" s="375">
        <x:f>IFERROR(ROUND(SUM(C414:N414)/($S$395),1),"")</x:f>
      </x:c>
    </x:row>
    <x:row r="415" spans="1:25" ht="15.75" customHeight="1" x14ac:dyDescent="0.25">
      <x:c r="A415" s="717"/>
      <x:c r="B415" s="379" t="s">
        <x:v>649</x:v>
      </x:c>
      <x:c r="C415" s="697">
        <x:f>IF('ТАМЕ'!$H23="Да",1,0)</x:f>
      </x:c>
      <x:c r="D415" s="698">
        <x:f>IF('ТАМЕ'!$N23="Да",1,0)</x:f>
      </x:c>
      <x:c r="E415" s="699">
        <x:f>IF('ТАМЕ'!$T23="Да",1,0)</x:f>
      </x:c>
      <x:c r="F415" s="700">
        <x:f>IF('ТАМЕ'!$Z23="Да",1,0)</x:f>
      </x:c>
      <x:c r="G415" s="701">
        <x:f>IF('ТАМЕ'!$AF23="Да",1,0)</x:f>
      </x:c>
      <x:c r="H415" s="702">
        <x:f>IF('ТАМЕ'!$AL23="Да",1,0)</x:f>
      </x:c>
      <x:c r="I415" s="703">
        <x:f>IF('ТАМЕ'!$AR23="Да",1,0)</x:f>
      </x:c>
      <x:c r="J415" s="704">
        <x:f>IF('ТАМЕ'!$AX23="Да",1,0)</x:f>
      </x:c>
      <x:c r="K415" s="705">
        <x:f>IF('ТАМЕ'!$BD23="Да",1,0)</x:f>
      </x:c>
      <x:c r="L415" s="706">
        <x:f>IF('ТАМЕ'!$BJ23="Да",1,0)</x:f>
      </x:c>
      <x:c r="M415" s="707">
        <x:f>IF('ТАМЕ'!$BP23="Да",1,0)</x:f>
      </x:c>
      <x:c r="N415" s="708">
        <x:f>IF('ТАМЕ'!$BV23="Да",1,0)</x:f>
      </x:c>
      <x:c r="O415" s="375">
        <x:f>IFERROR(ROUND(SUM(C415:N415)/($S$395),1),"")</x:f>
      </x:c>
    </x:row>
    <x:row r="416" spans="1:25" ht="15" customHeight="1" x14ac:dyDescent="0.25">
      <x:c r="A416" s="696" t="s">
        <x:v>1079</x:v>
      </x:c>
      <x:c r="B416" s="363" t="s">
        <x:v>579</x:v>
      </x:c>
      <x:c r="C416" s="697">
        <x:f>IF('Г-43-107'!$H3="Да",1,0)</x:f>
      </x:c>
      <x:c r="D416" s="698">
        <x:f>IF('Г-43-107'!$N3="Да",1,0)</x:f>
      </x:c>
      <x:c r="E416" s="699">
        <x:f>IF('Г-43-107'!$T3="Да",1,0)</x:f>
      </x:c>
      <x:c r="F416" s="700">
        <x:f>IF('Г-43-107'!$Z3="Да",1,0)</x:f>
      </x:c>
      <x:c r="G416" s="701">
        <x:f>IF('Г-43-107'!$AF3="Да",1,0)</x:f>
      </x:c>
      <x:c r="H416" s="702">
        <x:f>IF('Г-43-107'!$AL3="Да",1,0)</x:f>
      </x:c>
      <x:c r="I416" s="703">
        <x:f>IF('Г-43-107'!$AR3="Да",1,0)</x:f>
      </x:c>
      <x:c r="J416" s="704">
        <x:f>IF('Г-43-107'!$AX3="Да",1,0)</x:f>
      </x:c>
      <x:c r="K416" s="705">
        <x:f>IF('Г-43-107'!$BD3="Да",1,0)</x:f>
      </x:c>
      <x:c r="L416" s="706">
        <x:f>IF('Г-43-107'!$BJ3="Да",1,0)</x:f>
      </x:c>
      <x:c r="M416" s="707">
        <x:f>IF('Г-43-107'!$BP3="Да",1,0)</x:f>
      </x:c>
      <x:c r="N416" s="708">
        <x:f>IF('Г-43-107'!$BV3="Да",1,0)</x:f>
      </x:c>
      <x:c r="O416" s="375">
        <x:f>IFERROR(ROUND(SUM(C416:N416)/($S$416),1),"")</x:f>
      </x:c>
      <x:c r="Q416" s="709" t="s">
        <x:v>1151</x:v>
      </x:c>
      <x:c r="R416" s="596"/>
      <x:c r="S416" s="376">
        <x:f>SUM(IF(COUNTIF(C416:C508,"&gt;0")&gt;0,1,0),IF(COUNTIF(D416:D508,"&gt;0")&gt;0,1,0),IF(COUNTIF(E416:E508,"&gt;0")&gt;0,1,0),IF(COUNTIF(F416:F508,"&gt;0")&gt;0,1,0),IF(COUNTIF(G416:G508,"&gt;0")&gt;0,1,0),IF(COUNTIF(H416:H508,"&gt;0")&gt;0,1,0),IF(COUNTIF(I416:I508,"&gt;0")&gt;0,1,0),IF(COUNTIF(J416:J508,"&gt;0")&gt;0,1,0),IF(COUNTIF(K416:K508,"&gt;0")&gt;0,1,0),IF(COUNTIF(L416:L508,"&gt;0")&gt;0,1,0),IF(COUNTIF(M416:M508,"&gt;0")&gt;0,1,0),IF(COUNTIF(N416:N508,"&gt;0")&gt;0,1,0))</x:f>
      </x:c>
    </x:row>
    <x:row r="417" spans="1:25" ht="15" customHeight="1" x14ac:dyDescent="0.25">
      <x:c r="A417" s="710"/>
      <x:c r="B417" s="363" t="s">
        <x:v>589</x:v>
      </x:c>
      <x:c r="C417" s="697">
        <x:f>IF('Г-43-107'!$H4="Да",1,0)</x:f>
      </x:c>
      <x:c r="D417" s="698">
        <x:f>IF('Г-43-107'!$N4="Да",1,0)</x:f>
      </x:c>
      <x:c r="E417" s="699">
        <x:f>IF('Г-43-107'!$T4="Да",1,0)</x:f>
      </x:c>
      <x:c r="F417" s="700">
        <x:f>IF('Г-43-107'!$Z4="Да",1,0)</x:f>
      </x:c>
      <x:c r="G417" s="701">
        <x:f>IF('Г-43-107'!$AF4="Да",1,0)</x:f>
      </x:c>
      <x:c r="H417" s="702">
        <x:f>IF('Г-43-107'!$AL4="Да",1,0)</x:f>
      </x:c>
      <x:c r="I417" s="703">
        <x:f>IF('Г-43-107'!$AR4="Да",1,0)</x:f>
      </x:c>
      <x:c r="J417" s="704">
        <x:f>IF('Г-43-107'!$AX4="Да",1,0)</x:f>
      </x:c>
      <x:c r="K417" s="705">
        <x:f>IF('Г-43-107'!$BD4="Да",1,0)</x:f>
      </x:c>
      <x:c r="L417" s="706">
        <x:f>IF('Г-43-107'!$BJ4="Да",1,0)</x:f>
      </x:c>
      <x:c r="M417" s="707">
        <x:f>IF('Г-43-107'!$BP4="Да",1,0)</x:f>
      </x:c>
      <x:c r="N417" s="708">
        <x:f>IF('Г-43-107'!$BV4="Да",1,0)</x:f>
      </x:c>
      <x:c r="O417" s="375">
        <x:f>IFERROR(ROUND(SUM(C417:N417)/($S$416),1),"")</x:f>
      </x:c>
      <x:c r="Q417" s="711"/>
      <x:c r="R417" s="712"/>
      <x:c r="S417" s="713"/>
    </x:row>
    <x:row r="418" spans="1:25" ht="15" customHeight="1" x14ac:dyDescent="0.25">
      <x:c r="A418" s="710"/>
      <x:c r="B418" s="363" t="s">
        <x:v>532</x:v>
      </x:c>
      <x:c r="C418" s="697">
        <x:f>IF('Г-43-107'!$H5="Да",1,0)</x:f>
      </x:c>
      <x:c r="D418" s="698">
        <x:f>IF('Г-43-107'!$N5="Да",1,0)</x:f>
      </x:c>
      <x:c r="E418" s="699">
        <x:f>IF('Г-43-107'!$T5="Да",1,0)</x:f>
      </x:c>
      <x:c r="F418" s="700">
        <x:f>IF('Г-43-107'!$Z5="Да",1,0)</x:f>
      </x:c>
      <x:c r="G418" s="701">
        <x:f>IF('Г-43-107'!$AF5="Да",1,0)</x:f>
      </x:c>
      <x:c r="H418" s="702">
        <x:f>IF('Г-43-107'!$AL5="Да",1,0)</x:f>
      </x:c>
      <x:c r="I418" s="703">
        <x:f>IF('Г-43-107'!$AR5="Да",1,0)</x:f>
      </x:c>
      <x:c r="J418" s="704">
        <x:f>IF('Г-43-107'!$AX5="Да",1,0)</x:f>
      </x:c>
      <x:c r="K418" s="705">
        <x:f>IF('Г-43-107'!$BD5="Да",1,0)</x:f>
      </x:c>
      <x:c r="L418" s="706">
        <x:f>IF('Г-43-107'!$BJ5="Да",1,0)</x:f>
      </x:c>
      <x:c r="M418" s="707">
        <x:f>IF('Г-43-107'!$BP5="Да",1,0)</x:f>
      </x:c>
      <x:c r="N418" s="708">
        <x:f>IF('Г-43-107'!$BV5="Да",1,0)</x:f>
      </x:c>
      <x:c r="O418" s="375">
        <x:f>IFERROR(ROUND(SUM(C418:N418)/($S$416),1),"")</x:f>
      </x:c>
      <x:c r="Q418" s="714"/>
      <x:c r="R418" s="715"/>
      <x:c r="S418" s="716"/>
    </x:row>
    <x:row r="419" spans="1:25" ht="15" customHeight="1" x14ac:dyDescent="0.25">
      <x:c r="A419" s="710"/>
      <x:c r="B419" s="363" t="s">
        <x:v>563</x:v>
      </x:c>
      <x:c r="C419" s="697">
        <x:f>IF('Г-43-107'!$H6="Да",1,0)</x:f>
      </x:c>
      <x:c r="D419" s="698">
        <x:f>IF('Г-43-107'!$N6="Да",1,0)</x:f>
      </x:c>
      <x:c r="E419" s="699">
        <x:f>IF('Г-43-107'!$T6="Да",1,0)</x:f>
      </x:c>
      <x:c r="F419" s="700">
        <x:f>IF('Г-43-107'!$Z6="Да",1,0)</x:f>
      </x:c>
      <x:c r="G419" s="701">
        <x:f>IF('Г-43-107'!$AF6="Да",1,0)</x:f>
      </x:c>
      <x:c r="H419" s="702">
        <x:f>IF('Г-43-107'!$AL6="Да",1,0)</x:f>
      </x:c>
      <x:c r="I419" s="703">
        <x:f>IF('Г-43-107'!$AR6="Да",1,0)</x:f>
      </x:c>
      <x:c r="J419" s="704">
        <x:f>IF('Г-43-107'!$AX6="Да",1,0)</x:f>
      </x:c>
      <x:c r="K419" s="705">
        <x:f>IF('Г-43-107'!$BD6="Да",1,0)</x:f>
      </x:c>
      <x:c r="L419" s="706">
        <x:f>IF('Г-43-107'!$BJ6="Да",1,0)</x:f>
      </x:c>
      <x:c r="M419" s="707">
        <x:f>IF('Г-43-107'!$BP6="Да",1,0)</x:f>
      </x:c>
      <x:c r="N419" s="708">
        <x:f>IF('Г-43-107'!$BV6="Да",1,0)</x:f>
      </x:c>
      <x:c r="O419" s="375">
        <x:f>IFERROR(ROUND(SUM(C419:N419)/($S$416),1),"")</x:f>
      </x:c>
    </x:row>
    <x:row r="420" spans="1:25" ht="15" customHeight="1" x14ac:dyDescent="0.25">
      <x:c r="A420" s="710"/>
      <x:c r="B420" s="363" t="s">
        <x:v>547</x:v>
      </x:c>
      <x:c r="C420" s="697">
        <x:f>IF('Г-43-107'!$H7="Да",1,0)</x:f>
      </x:c>
      <x:c r="D420" s="698">
        <x:f>IF('Г-43-107'!$N7="Да",1,0)</x:f>
      </x:c>
      <x:c r="E420" s="699">
        <x:f>IF('Г-43-107'!$T7="Да",1,0)</x:f>
      </x:c>
      <x:c r="F420" s="700">
        <x:f>IF('Г-43-107'!$Z7="Да",1,0)</x:f>
      </x:c>
      <x:c r="G420" s="701">
        <x:f>IF('Г-43-107'!$AF7="Да",1,0)</x:f>
      </x:c>
      <x:c r="H420" s="702">
        <x:f>IF('Г-43-107'!$AL7="Да",1,0)</x:f>
      </x:c>
      <x:c r="I420" s="703">
        <x:f>IF('Г-43-107'!$AR7="Да",1,0)</x:f>
      </x:c>
      <x:c r="J420" s="704">
        <x:f>IF('Г-43-107'!$AX7="Да",1,0)</x:f>
      </x:c>
      <x:c r="K420" s="705">
        <x:f>IF('Г-43-107'!$BD7="Да",1,0)</x:f>
      </x:c>
      <x:c r="L420" s="706">
        <x:f>IF('Г-43-107'!$BJ7="Да",1,0)</x:f>
      </x:c>
      <x:c r="M420" s="707">
        <x:f>IF('Г-43-107'!$BP7="Да",1,0)</x:f>
      </x:c>
      <x:c r="N420" s="708">
        <x:f>IF('Г-43-107'!$BV7="Да",1,0)</x:f>
      </x:c>
      <x:c r="O420" s="375">
        <x:f>IFERROR(ROUND(SUM(C420:N420)/($S$416),1),"")</x:f>
      </x:c>
    </x:row>
    <x:row r="421" spans="1:25" ht="15" customHeight="1" x14ac:dyDescent="0.25">
      <x:c r="A421" s="710"/>
      <x:c r="B421" s="363" t="s">
        <x:v>557</x:v>
      </x:c>
      <x:c r="C421" s="697">
        <x:f>IF('Г-43-107'!$H8="Да",1,0)</x:f>
      </x:c>
      <x:c r="D421" s="698">
        <x:f>IF('Г-43-107'!$N8="Да",1,0)</x:f>
      </x:c>
      <x:c r="E421" s="699">
        <x:f>IF('Г-43-107'!$T8="Да",1,0)</x:f>
      </x:c>
      <x:c r="F421" s="700">
        <x:f>IF('Г-43-107'!$Z8="Да",1,0)</x:f>
      </x:c>
      <x:c r="G421" s="701">
        <x:f>IF('Г-43-107'!$AF8="Да",1,0)</x:f>
      </x:c>
      <x:c r="H421" s="702">
        <x:f>IF('Г-43-107'!$AL8="Да",1,0)</x:f>
      </x:c>
      <x:c r="I421" s="703">
        <x:f>IF('Г-43-107'!$AR8="Да",1,0)</x:f>
      </x:c>
      <x:c r="J421" s="704">
        <x:f>IF('Г-43-107'!$AX8="Да",1,0)</x:f>
      </x:c>
      <x:c r="K421" s="705">
        <x:f>IF('Г-43-107'!$BD8="Да",1,0)</x:f>
      </x:c>
      <x:c r="L421" s="706">
        <x:f>IF('Г-43-107'!$BJ8="Да",1,0)</x:f>
      </x:c>
      <x:c r="M421" s="707">
        <x:f>IF('Г-43-107'!$BP8="Да",1,0)</x:f>
      </x:c>
      <x:c r="N421" s="708">
        <x:f>IF('Г-43-107'!$BV8="Да",1,0)</x:f>
      </x:c>
      <x:c r="O421" s="375">
        <x:f>IFERROR(ROUND(SUM(C421:N421)/($S$416),1),"")</x:f>
      </x:c>
    </x:row>
    <x:row r="422" spans="1:25" ht="15" customHeight="1" x14ac:dyDescent="0.25">
      <x:c r="A422" s="710"/>
      <x:c r="B422" s="363" t="s">
        <x:v>530</x:v>
      </x:c>
      <x:c r="C422" s="697">
        <x:f>IF('Г-43-107'!$H9="Да",1,0)</x:f>
      </x:c>
      <x:c r="D422" s="698">
        <x:f>IF('Г-43-107'!$N9="Да",1,0)</x:f>
      </x:c>
      <x:c r="E422" s="699">
        <x:f>IF('Г-43-107'!$T9="Да",1,0)</x:f>
      </x:c>
      <x:c r="F422" s="700">
        <x:f>IF('Г-43-107'!$Z9="Да",1,0)</x:f>
      </x:c>
      <x:c r="G422" s="701">
        <x:f>IF('Г-43-107'!$AF9="Да",1,0)</x:f>
      </x:c>
      <x:c r="H422" s="702">
        <x:f>IF('Г-43-107'!$AL9="Да",1,0)</x:f>
      </x:c>
      <x:c r="I422" s="703">
        <x:f>IF('Г-43-107'!$AR9="Да",1,0)</x:f>
      </x:c>
      <x:c r="J422" s="704">
        <x:f>IF('Г-43-107'!$AX9="Да",1,0)</x:f>
      </x:c>
      <x:c r="K422" s="705">
        <x:f>IF('Г-43-107'!$BD9="Да",1,0)</x:f>
      </x:c>
      <x:c r="L422" s="706">
        <x:f>IF('Г-43-107'!$BJ9="Да",1,0)</x:f>
      </x:c>
      <x:c r="M422" s="707">
        <x:f>IF('Г-43-107'!$BP9="Да",1,0)</x:f>
      </x:c>
      <x:c r="N422" s="708">
        <x:f>IF('Г-43-107'!$BV9="Да",1,0)</x:f>
      </x:c>
      <x:c r="O422" s="375">
        <x:f>IFERROR(ROUND(SUM(C422:N422)/($S$416),1),"")</x:f>
      </x:c>
    </x:row>
    <x:row r="423" spans="1:25" ht="15" customHeight="1" x14ac:dyDescent="0.25">
      <x:c r="A423" s="710"/>
      <x:c r="B423" s="363" t="s">
        <x:v>555</x:v>
      </x:c>
      <x:c r="C423" s="697">
        <x:f>IF('Г-43-107'!$H10="Да",1,0)</x:f>
      </x:c>
      <x:c r="D423" s="698">
        <x:f>IF('Г-43-107'!$N10="Да",1,0)</x:f>
      </x:c>
      <x:c r="E423" s="699">
        <x:f>IF('Г-43-107'!$T10="Да",1,0)</x:f>
      </x:c>
      <x:c r="F423" s="700">
        <x:f>IF('Г-43-107'!$Z10="Да",1,0)</x:f>
      </x:c>
      <x:c r="G423" s="701">
        <x:f>IF('Г-43-107'!$AF10="Да",1,0)</x:f>
      </x:c>
      <x:c r="H423" s="702">
        <x:f>IF('Г-43-107'!$AL10="Да",1,0)</x:f>
      </x:c>
      <x:c r="I423" s="703">
        <x:f>IF('Г-43-107'!$AR10="Да",1,0)</x:f>
      </x:c>
      <x:c r="J423" s="704">
        <x:f>IF('Г-43-107'!$AX10="Да",1,0)</x:f>
      </x:c>
      <x:c r="K423" s="705">
        <x:f>IF('Г-43-107'!$BD10="Да",1,0)</x:f>
      </x:c>
      <x:c r="L423" s="706">
        <x:f>IF('Г-43-107'!$BJ10="Да",1,0)</x:f>
      </x:c>
      <x:c r="M423" s="707">
        <x:f>IF('Г-43-107'!$BP10="Да",1,0)</x:f>
      </x:c>
      <x:c r="N423" s="708">
        <x:f>IF('Г-43-107'!$BV10="Да",1,0)</x:f>
      </x:c>
      <x:c r="O423" s="375">
        <x:f>IFERROR(ROUND(SUM(C423:N423)/($S$416),1),"")</x:f>
      </x:c>
    </x:row>
    <x:row r="424" spans="1:25" ht="15" customHeight="1" x14ac:dyDescent="0.25">
      <x:c r="A424" s="710"/>
      <x:c r="B424" s="363" t="s">
        <x:v>568</x:v>
      </x:c>
      <x:c r="C424" s="697">
        <x:f>IF('Г-43-107'!$H11="Да",1,0)</x:f>
      </x:c>
      <x:c r="D424" s="698">
        <x:f>IF('Г-43-107'!$N11="Да",1,0)</x:f>
      </x:c>
      <x:c r="E424" s="699">
        <x:f>IF('Г-43-107'!$T11="Да",1,0)</x:f>
      </x:c>
      <x:c r="F424" s="700">
        <x:f>IF('Г-43-107'!$Z11="Да",1,0)</x:f>
      </x:c>
      <x:c r="G424" s="701">
        <x:f>IF('Г-43-107'!$AF11="Да",1,0)</x:f>
      </x:c>
      <x:c r="H424" s="702">
        <x:f>IF('Г-43-107'!$AL11="Да",1,0)</x:f>
      </x:c>
      <x:c r="I424" s="703">
        <x:f>IF('Г-43-107'!$AR11="Да",1,0)</x:f>
      </x:c>
      <x:c r="J424" s="704">
        <x:f>IF('Г-43-107'!$AX11="Да",1,0)</x:f>
      </x:c>
      <x:c r="K424" s="705">
        <x:f>IF('Г-43-107'!$BD11="Да",1,0)</x:f>
      </x:c>
      <x:c r="L424" s="706">
        <x:f>IF('Г-43-107'!$BJ11="Да",1,0)</x:f>
      </x:c>
      <x:c r="M424" s="707">
        <x:f>IF('Г-43-107'!$BP11="Да",1,0)</x:f>
      </x:c>
      <x:c r="N424" s="708">
        <x:f>IF('Г-43-107'!$BV11="Да",1,0)</x:f>
      </x:c>
      <x:c r="O424" s="375">
        <x:f>IFERROR(ROUND(SUM(C424:N424)/($S$416),1),"")</x:f>
      </x:c>
    </x:row>
    <x:row r="425" spans="1:25" ht="15" customHeight="1" x14ac:dyDescent="0.25">
      <x:c r="A425" s="710"/>
      <x:c r="B425" s="363" t="s">
        <x:v>580</x:v>
      </x:c>
      <x:c r="C425" s="697">
        <x:f>IF('Г-43-107'!$H12="Да",1,0)</x:f>
      </x:c>
      <x:c r="D425" s="698">
        <x:f>IF('Г-43-107'!$N12="Да",1,0)</x:f>
      </x:c>
      <x:c r="E425" s="699">
        <x:f>IF('Г-43-107'!$T12="Да",1,0)</x:f>
      </x:c>
      <x:c r="F425" s="700">
        <x:f>IF('Г-43-107'!$Z12="Да",1,0)</x:f>
      </x:c>
      <x:c r="G425" s="701">
        <x:f>IF('Г-43-107'!$AF12="Да",1,0)</x:f>
      </x:c>
      <x:c r="H425" s="702">
        <x:f>IF('Г-43-107'!$AL12="Да",1,0)</x:f>
      </x:c>
      <x:c r="I425" s="703">
        <x:f>IF('Г-43-107'!$AR12="Да",1,0)</x:f>
      </x:c>
      <x:c r="J425" s="704">
        <x:f>IF('Г-43-107'!$AX12="Да",1,0)</x:f>
      </x:c>
      <x:c r="K425" s="705">
        <x:f>IF('Г-43-107'!$BD12="Да",1,0)</x:f>
      </x:c>
      <x:c r="L425" s="706">
        <x:f>IF('Г-43-107'!$BJ12="Да",1,0)</x:f>
      </x:c>
      <x:c r="M425" s="707">
        <x:f>IF('Г-43-107'!$BP12="Да",1,0)</x:f>
      </x:c>
      <x:c r="N425" s="708">
        <x:f>IF('Г-43-107'!$BV12="Да",1,0)</x:f>
      </x:c>
      <x:c r="O425" s="375">
        <x:f>IFERROR(ROUND(SUM(C425:N425)/($S$416),1),"")</x:f>
      </x:c>
    </x:row>
    <x:row r="426" spans="1:25" ht="15" customHeight="1" x14ac:dyDescent="0.25">
      <x:c r="A426" s="710"/>
      <x:c r="B426" s="363" t="s">
        <x:v>552</x:v>
      </x:c>
      <x:c r="C426" s="697">
        <x:f>IF('Г-43-107'!$H13="Да",1,0)</x:f>
      </x:c>
      <x:c r="D426" s="698">
        <x:f>IF('Г-43-107'!$N13="Да",1,0)</x:f>
      </x:c>
      <x:c r="E426" s="699">
        <x:f>IF('Г-43-107'!$T13="Да",1,0)</x:f>
      </x:c>
      <x:c r="F426" s="700">
        <x:f>IF('Г-43-107'!$Z13="Да",1,0)</x:f>
      </x:c>
      <x:c r="G426" s="701">
        <x:f>IF('Г-43-107'!$AF13="Да",1,0)</x:f>
      </x:c>
      <x:c r="H426" s="702">
        <x:f>IF('Г-43-107'!$AL13="Да",1,0)</x:f>
      </x:c>
      <x:c r="I426" s="703">
        <x:f>IF('Г-43-107'!$AR13="Да",1,0)</x:f>
      </x:c>
      <x:c r="J426" s="704">
        <x:f>IF('Г-43-107'!$AX13="Да",1,0)</x:f>
      </x:c>
      <x:c r="K426" s="705">
        <x:f>IF('Г-43-107'!$BD13="Да",1,0)</x:f>
      </x:c>
      <x:c r="L426" s="706">
        <x:f>IF('Г-43-107'!$BJ13="Да",1,0)</x:f>
      </x:c>
      <x:c r="M426" s="707">
        <x:f>IF('Г-43-107'!$BP13="Да",1,0)</x:f>
      </x:c>
      <x:c r="N426" s="708">
        <x:f>IF('Г-43-107'!$BV13="Да",1,0)</x:f>
      </x:c>
      <x:c r="O426" s="375">
        <x:f>IFERROR(ROUND(SUM(C426:N426)/($S$416),1),"")</x:f>
      </x:c>
    </x:row>
    <x:row r="427" spans="1:25" ht="15" customHeight="1" x14ac:dyDescent="0.25">
      <x:c r="A427" s="710"/>
      <x:c r="B427" s="363" t="s">
        <x:v>564</x:v>
      </x:c>
      <x:c r="C427" s="697">
        <x:f>IF('Г-43-107'!$H14="Да",1,0)</x:f>
      </x:c>
      <x:c r="D427" s="698">
        <x:f>IF('Г-43-107'!$N14="Да",1,0)</x:f>
      </x:c>
      <x:c r="E427" s="699">
        <x:f>IF('Г-43-107'!$T14="Да",1,0)</x:f>
      </x:c>
      <x:c r="F427" s="700">
        <x:f>IF('Г-43-107'!$Z14="Да",1,0)</x:f>
      </x:c>
      <x:c r="G427" s="701">
        <x:f>IF('Г-43-107'!$AF14="Да",1,0)</x:f>
      </x:c>
      <x:c r="H427" s="702">
        <x:f>IF('Г-43-107'!$AL14="Да",1,0)</x:f>
      </x:c>
      <x:c r="I427" s="703">
        <x:f>IF('Г-43-107'!$AR14="Да",1,0)</x:f>
      </x:c>
      <x:c r="J427" s="704">
        <x:f>IF('Г-43-107'!$AX14="Да",1,0)</x:f>
      </x:c>
      <x:c r="K427" s="705">
        <x:f>IF('Г-43-107'!$BD14="Да",1,0)</x:f>
      </x:c>
      <x:c r="L427" s="706">
        <x:f>IF('Г-43-107'!$BJ14="Да",1,0)</x:f>
      </x:c>
      <x:c r="M427" s="707">
        <x:f>IF('Г-43-107'!$BP14="Да",1,0)</x:f>
      </x:c>
      <x:c r="N427" s="708">
        <x:f>IF('Г-43-107'!$BV14="Да",1,0)</x:f>
      </x:c>
      <x:c r="O427" s="375">
        <x:f>IFERROR(ROUND(SUM(C427:N427)/($S$416),1),"")</x:f>
      </x:c>
    </x:row>
    <x:row r="428" spans="1:25" ht="15" customHeight="1" x14ac:dyDescent="0.25">
      <x:c r="A428" s="710"/>
      <x:c r="B428" s="363" t="s">
        <x:v>588</x:v>
      </x:c>
      <x:c r="C428" s="697">
        <x:f>IF('Г-43-107'!$H15="Да",1,0)</x:f>
      </x:c>
      <x:c r="D428" s="698">
        <x:f>IF('Г-43-107'!$N15="Да",1,0)</x:f>
      </x:c>
      <x:c r="E428" s="699">
        <x:f>IF('Г-43-107'!$T15="Да",1,0)</x:f>
      </x:c>
      <x:c r="F428" s="700">
        <x:f>IF('Г-43-107'!$Z15="Да",1,0)</x:f>
      </x:c>
      <x:c r="G428" s="701">
        <x:f>IF('Г-43-107'!$AF15="Да",1,0)</x:f>
      </x:c>
      <x:c r="H428" s="702">
        <x:f>IF('Г-43-107'!$AL15="Да",1,0)</x:f>
      </x:c>
      <x:c r="I428" s="703">
        <x:f>IF('Г-43-107'!$AR15="Да",1,0)</x:f>
      </x:c>
      <x:c r="J428" s="704">
        <x:f>IF('Г-43-107'!$AX15="Да",1,0)</x:f>
      </x:c>
      <x:c r="K428" s="705">
        <x:f>IF('Г-43-107'!$BD15="Да",1,0)</x:f>
      </x:c>
      <x:c r="L428" s="706">
        <x:f>IF('Г-43-107'!$BJ15="Да",1,0)</x:f>
      </x:c>
      <x:c r="M428" s="707">
        <x:f>IF('Г-43-107'!$BP15="Да",1,0)</x:f>
      </x:c>
      <x:c r="N428" s="708">
        <x:f>IF('Г-43-107'!$BV15="Да",1,0)</x:f>
      </x:c>
      <x:c r="O428" s="375">
        <x:f>IFERROR(ROUND(SUM(C428:N428)/($S$416),1),"")</x:f>
      </x:c>
    </x:row>
    <x:row r="429" spans="1:25" ht="15" customHeight="1" x14ac:dyDescent="0.25">
      <x:c r="A429" s="710"/>
      <x:c r="B429" s="363" t="s">
        <x:v>574</x:v>
      </x:c>
      <x:c r="C429" s="697">
        <x:f>IF('Г-43-107'!$H16="Да",1,0)</x:f>
      </x:c>
      <x:c r="D429" s="698">
        <x:f>IF('Г-43-107'!$N16="Да",1,0)</x:f>
      </x:c>
      <x:c r="E429" s="699">
        <x:f>IF('Г-43-107'!$T16="Да",1,0)</x:f>
      </x:c>
      <x:c r="F429" s="700">
        <x:f>IF('Г-43-107'!$Z16="Да",1,0)</x:f>
      </x:c>
      <x:c r="G429" s="701">
        <x:f>IF('Г-43-107'!$AF16="Да",1,0)</x:f>
      </x:c>
      <x:c r="H429" s="702">
        <x:f>IF('Г-43-107'!$AL16="Да",1,0)</x:f>
      </x:c>
      <x:c r="I429" s="703">
        <x:f>IF('Г-43-107'!$AR16="Да",1,0)</x:f>
      </x:c>
      <x:c r="J429" s="704">
        <x:f>IF('Г-43-107'!$AX16="Да",1,0)</x:f>
      </x:c>
      <x:c r="K429" s="705">
        <x:f>IF('Г-43-107'!$BD16="Да",1,0)</x:f>
      </x:c>
      <x:c r="L429" s="706">
        <x:f>IF('Г-43-107'!$BJ16="Да",1,0)</x:f>
      </x:c>
      <x:c r="M429" s="707">
        <x:f>IF('Г-43-107'!$BP16="Да",1,0)</x:f>
      </x:c>
      <x:c r="N429" s="708">
        <x:f>IF('Г-43-107'!$BV16="Да",1,0)</x:f>
      </x:c>
      <x:c r="O429" s="375">
        <x:f>IFERROR(ROUND(SUM(C429:N429)/($S$416),1),"")</x:f>
      </x:c>
    </x:row>
    <x:row r="430" spans="1:25" ht="15" customHeight="1" x14ac:dyDescent="0.25">
      <x:c r="A430" s="710"/>
      <x:c r="B430" s="363" t="s">
        <x:v>583</x:v>
      </x:c>
      <x:c r="C430" s="697">
        <x:f>IF('Г-43-107'!$H17="Да",1,0)</x:f>
      </x:c>
      <x:c r="D430" s="698">
        <x:f>IF('Г-43-107'!$N17="Да",1,0)</x:f>
      </x:c>
      <x:c r="E430" s="699">
        <x:f>IF('Г-43-107'!$T17="Да",1,0)</x:f>
      </x:c>
      <x:c r="F430" s="700">
        <x:f>IF('Г-43-107'!$Z17="Да",1,0)</x:f>
      </x:c>
      <x:c r="G430" s="701">
        <x:f>IF('Г-43-107'!$AF17="Да",1,0)</x:f>
      </x:c>
      <x:c r="H430" s="702">
        <x:f>IF('Г-43-107'!$AL17="Да",1,0)</x:f>
      </x:c>
      <x:c r="I430" s="703">
        <x:f>IF('Г-43-107'!$AR17="Да",1,0)</x:f>
      </x:c>
      <x:c r="J430" s="704">
        <x:f>IF('Г-43-107'!$AX17="Да",1,0)</x:f>
      </x:c>
      <x:c r="K430" s="705">
        <x:f>IF('Г-43-107'!$BD17="Да",1,0)</x:f>
      </x:c>
      <x:c r="L430" s="706">
        <x:f>IF('Г-43-107'!$BJ17="Да",1,0)</x:f>
      </x:c>
      <x:c r="M430" s="707">
        <x:f>IF('Г-43-107'!$BP17="Да",1,0)</x:f>
      </x:c>
      <x:c r="N430" s="708">
        <x:f>IF('Г-43-107'!$BV17="Да",1,0)</x:f>
      </x:c>
      <x:c r="O430" s="375">
        <x:f>IFERROR(ROUND(SUM(C430:N430)/($S$416),1),"")</x:f>
      </x:c>
    </x:row>
    <x:row r="431" spans="1:25" ht="15" customHeight="1" x14ac:dyDescent="0.25">
      <x:c r="A431" s="710"/>
      <x:c r="B431" s="363" t="s">
        <x:v>522</x:v>
      </x:c>
      <x:c r="C431" s="697">
        <x:f>IF('Г-43-107'!$H18="Да",1,0)</x:f>
      </x:c>
      <x:c r="D431" s="698">
        <x:f>IF('Г-43-107'!$N18="Да",1,0)</x:f>
      </x:c>
      <x:c r="E431" s="699">
        <x:f>IF('Г-43-107'!$T18="Да",1,0)</x:f>
      </x:c>
      <x:c r="F431" s="700">
        <x:f>IF('Г-43-107'!$Z18="Да",1,0)</x:f>
      </x:c>
      <x:c r="G431" s="701">
        <x:f>IF('Г-43-107'!$AF18="Да",1,0)</x:f>
      </x:c>
      <x:c r="H431" s="702">
        <x:f>IF('Г-43-107'!$AL18="Да",1,0)</x:f>
      </x:c>
      <x:c r="I431" s="703">
        <x:f>IF('Г-43-107'!$AR18="Да",1,0)</x:f>
      </x:c>
      <x:c r="J431" s="704">
        <x:f>IF('Г-43-107'!$AX18="Да",1,0)</x:f>
      </x:c>
      <x:c r="K431" s="705">
        <x:f>IF('Г-43-107'!$BD18="Да",1,0)</x:f>
      </x:c>
      <x:c r="L431" s="706">
        <x:f>IF('Г-43-107'!$BJ18="Да",1,0)</x:f>
      </x:c>
      <x:c r="M431" s="707">
        <x:f>IF('Г-43-107'!$BP18="Да",1,0)</x:f>
      </x:c>
      <x:c r="N431" s="708">
        <x:f>IF('Г-43-107'!$BV18="Да",1,0)</x:f>
      </x:c>
      <x:c r="O431" s="375">
        <x:f>IFERROR(ROUND(SUM(C431:N431)/($S$416),1),"")</x:f>
      </x:c>
    </x:row>
    <x:row r="432" spans="1:25" ht="15" customHeight="1" x14ac:dyDescent="0.25">
      <x:c r="A432" s="710"/>
      <x:c r="B432" s="363" t="s">
        <x:v>549</x:v>
      </x:c>
      <x:c r="C432" s="697">
        <x:f>IF('Г-43-107'!$H19="Да",1,0)</x:f>
      </x:c>
      <x:c r="D432" s="698">
        <x:f>IF('Г-43-107'!$N19="Да",1,0)</x:f>
      </x:c>
      <x:c r="E432" s="699">
        <x:f>IF('Г-43-107'!$T19="Да",1,0)</x:f>
      </x:c>
      <x:c r="F432" s="700">
        <x:f>IF('Г-43-107'!$Z19="Да",1,0)</x:f>
      </x:c>
      <x:c r="G432" s="701">
        <x:f>IF('Г-43-107'!$AF19="Да",1,0)</x:f>
      </x:c>
      <x:c r="H432" s="702">
        <x:f>IF('Г-43-107'!$AL19="Да",1,0)</x:f>
      </x:c>
      <x:c r="I432" s="703">
        <x:f>IF('Г-43-107'!$AR19="Да",1,0)</x:f>
      </x:c>
      <x:c r="J432" s="704">
        <x:f>IF('Г-43-107'!$AX19="Да",1,0)</x:f>
      </x:c>
      <x:c r="K432" s="705">
        <x:f>IF('Г-43-107'!$BD19="Да",1,0)</x:f>
      </x:c>
      <x:c r="L432" s="706">
        <x:f>IF('Г-43-107'!$BJ19="Да",1,0)</x:f>
      </x:c>
      <x:c r="M432" s="707">
        <x:f>IF('Г-43-107'!$BP19="Да",1,0)</x:f>
      </x:c>
      <x:c r="N432" s="708">
        <x:f>IF('Г-43-107'!$BV19="Да",1,0)</x:f>
      </x:c>
      <x:c r="O432" s="375">
        <x:f>IFERROR(ROUND(SUM(C432:N432)/($S$416),1),"")</x:f>
      </x:c>
    </x:row>
    <x:row r="433" spans="1:25" ht="15" customHeight="1" x14ac:dyDescent="0.25">
      <x:c r="A433" s="710"/>
      <x:c r="B433" s="363" t="s">
        <x:v>544</x:v>
      </x:c>
      <x:c r="C433" s="697">
        <x:f>IF('Г-43-107'!$H20="Да",1,0)</x:f>
      </x:c>
      <x:c r="D433" s="698">
        <x:f>IF('Г-43-107'!$N20="Да",1,0)</x:f>
      </x:c>
      <x:c r="E433" s="699">
        <x:f>IF('Г-43-107'!$T20="Да",1,0)</x:f>
      </x:c>
      <x:c r="F433" s="700">
        <x:f>IF('Г-43-107'!$Z20="Да",1,0)</x:f>
      </x:c>
      <x:c r="G433" s="701">
        <x:f>IF('Г-43-107'!$AF20="Да",1,0)</x:f>
      </x:c>
      <x:c r="H433" s="702">
        <x:f>IF('Г-43-107'!$AL20="Да",1,0)</x:f>
      </x:c>
      <x:c r="I433" s="703">
        <x:f>IF('Г-43-107'!$AR20="Да",1,0)</x:f>
      </x:c>
      <x:c r="J433" s="704">
        <x:f>IF('Г-43-107'!$AX20="Да",1,0)</x:f>
      </x:c>
      <x:c r="K433" s="705">
        <x:f>IF('Г-43-107'!$BD20="Да",1,0)</x:f>
      </x:c>
      <x:c r="L433" s="706">
        <x:f>IF('Г-43-107'!$BJ20="Да",1,0)</x:f>
      </x:c>
      <x:c r="M433" s="707">
        <x:f>IF('Г-43-107'!$BP20="Да",1,0)</x:f>
      </x:c>
      <x:c r="N433" s="708">
        <x:f>IF('Г-43-107'!$BV20="Да",1,0)</x:f>
      </x:c>
      <x:c r="O433" s="375">
        <x:f>IFERROR(ROUND(SUM(C433:N433)/($S$416),1),"")</x:f>
      </x:c>
    </x:row>
    <x:row r="434" spans="1:25" ht="15" customHeight="1" x14ac:dyDescent="0.25">
      <x:c r="A434" s="710"/>
      <x:c r="B434" s="363" t="s">
        <x:v>599</x:v>
      </x:c>
      <x:c r="C434" s="697">
        <x:f>IF('Г-43-107'!$H21="Да",1,0)</x:f>
      </x:c>
      <x:c r="D434" s="698">
        <x:f>IF('Г-43-107'!$N21="Да",1,0)</x:f>
      </x:c>
      <x:c r="E434" s="699">
        <x:f>IF('Г-43-107'!$T21="Да",1,0)</x:f>
      </x:c>
      <x:c r="F434" s="700">
        <x:f>IF('Г-43-107'!$Z21="Да",1,0)</x:f>
      </x:c>
      <x:c r="G434" s="701">
        <x:f>IF('Г-43-107'!$AF21="Да",1,0)</x:f>
      </x:c>
      <x:c r="H434" s="702">
        <x:f>IF('Г-43-107'!$AL21="Да",1,0)</x:f>
      </x:c>
      <x:c r="I434" s="703">
        <x:f>IF('Г-43-107'!$AR21="Да",1,0)</x:f>
      </x:c>
      <x:c r="J434" s="704">
        <x:f>IF('Г-43-107'!$AX21="Да",1,0)</x:f>
      </x:c>
      <x:c r="K434" s="705">
        <x:f>IF('Г-43-107'!$BD21="Да",1,0)</x:f>
      </x:c>
      <x:c r="L434" s="706">
        <x:f>IF('Г-43-107'!$BJ21="Да",1,0)</x:f>
      </x:c>
      <x:c r="M434" s="707">
        <x:f>IF('Г-43-107'!$BP21="Да",1,0)</x:f>
      </x:c>
      <x:c r="N434" s="708">
        <x:f>IF('Г-43-107'!$BV21="Да",1,0)</x:f>
      </x:c>
      <x:c r="O434" s="375">
        <x:f>IFERROR(ROUND(SUM(C434:N434)/($S$416),1),"")</x:f>
      </x:c>
    </x:row>
    <x:row r="435" spans="1:25" ht="15" customHeight="1" x14ac:dyDescent="0.25">
      <x:c r="A435" s="710"/>
      <x:c r="B435" s="363" t="s">
        <x:v>567</x:v>
      </x:c>
      <x:c r="C435" s="697">
        <x:f>IF('Г-43-107'!$H22="Да",1,0)</x:f>
      </x:c>
      <x:c r="D435" s="698">
        <x:f>IF('Г-43-107'!$N22="Да",1,0)</x:f>
      </x:c>
      <x:c r="E435" s="699">
        <x:f>IF('Г-43-107'!$T22="Да",1,0)</x:f>
      </x:c>
      <x:c r="F435" s="700">
        <x:f>IF('Г-43-107'!$Z22="Да",1,0)</x:f>
      </x:c>
      <x:c r="G435" s="701">
        <x:f>IF('Г-43-107'!$AF22="Да",1,0)</x:f>
      </x:c>
      <x:c r="H435" s="702">
        <x:f>IF('Г-43-107'!$AL22="Да",1,0)</x:f>
      </x:c>
      <x:c r="I435" s="703">
        <x:f>IF('Г-43-107'!$AR22="Да",1,0)</x:f>
      </x:c>
      <x:c r="J435" s="704">
        <x:f>IF('Г-43-107'!$AX22="Да",1,0)</x:f>
      </x:c>
      <x:c r="K435" s="705">
        <x:f>IF('Г-43-107'!$BD22="Да",1,0)</x:f>
      </x:c>
      <x:c r="L435" s="706">
        <x:f>IF('Г-43-107'!$BJ22="Да",1,0)</x:f>
      </x:c>
      <x:c r="M435" s="707">
        <x:f>IF('Г-43-107'!$BP22="Да",1,0)</x:f>
      </x:c>
      <x:c r="N435" s="708">
        <x:f>IF('Г-43-107'!$BV22="Да",1,0)</x:f>
      </x:c>
      <x:c r="O435" s="375">
        <x:f>IFERROR(ROUND(SUM(C435:N435)/($S$416),1),"")</x:f>
      </x:c>
    </x:row>
    <x:row r="436" spans="1:25" ht="15" customHeight="1" x14ac:dyDescent="0.25">
      <x:c r="A436" s="710"/>
      <x:c r="B436" s="363" t="s">
        <x:v>541</x:v>
      </x:c>
      <x:c r="C436" s="697">
        <x:f>IF('Г-43-107'!$H23="Да",1,0)</x:f>
      </x:c>
      <x:c r="D436" s="698">
        <x:f>IF('Г-43-107'!$N23="Да",1,0)</x:f>
      </x:c>
      <x:c r="E436" s="699">
        <x:f>IF('Г-43-107'!$T23="Да",1,0)</x:f>
      </x:c>
      <x:c r="F436" s="700">
        <x:f>IF('Г-43-107'!$Z23="Да",1,0)</x:f>
      </x:c>
      <x:c r="G436" s="701">
        <x:f>IF('Г-43-107'!$AF23="Да",1,0)</x:f>
      </x:c>
      <x:c r="H436" s="702">
        <x:f>IF('Г-43-107'!$AL23="Да",1,0)</x:f>
      </x:c>
      <x:c r="I436" s="703">
        <x:f>IF('Г-43-107'!$AR23="Да",1,0)</x:f>
      </x:c>
      <x:c r="J436" s="704">
        <x:f>IF('Г-43-107'!$AX23="Да",1,0)</x:f>
      </x:c>
      <x:c r="K436" s="705">
        <x:f>IF('Г-43-107'!$BD23="Да",1,0)</x:f>
      </x:c>
      <x:c r="L436" s="706">
        <x:f>IF('Г-43-107'!$BJ23="Да",1,0)</x:f>
      </x:c>
      <x:c r="M436" s="707">
        <x:f>IF('Г-43-107'!$BP23="Да",1,0)</x:f>
      </x:c>
      <x:c r="N436" s="708">
        <x:f>IF('Г-43-107'!$BV23="Да",1,0)</x:f>
      </x:c>
      <x:c r="O436" s="375">
        <x:f>IFERROR(ROUND(SUM(C436:N436)/($S$416),1),"")</x:f>
      </x:c>
    </x:row>
    <x:row r="437" spans="1:25" ht="15" customHeight="1" x14ac:dyDescent="0.25">
      <x:c r="A437" s="710"/>
      <x:c r="B437" s="363" t="s">
        <x:v>566</x:v>
      </x:c>
      <x:c r="C437" s="697">
        <x:f>IF('Г-43-107'!$H24="Да",1,0)</x:f>
      </x:c>
      <x:c r="D437" s="698">
        <x:f>IF('Г-43-107'!$N24="Да",1,0)</x:f>
      </x:c>
      <x:c r="E437" s="699">
        <x:f>IF('Г-43-107'!$T24="Да",1,0)</x:f>
      </x:c>
      <x:c r="F437" s="700">
        <x:f>IF('Г-43-107'!$Z24="Да",1,0)</x:f>
      </x:c>
      <x:c r="G437" s="701">
        <x:f>IF('Г-43-107'!$AF24="Да",1,0)</x:f>
      </x:c>
      <x:c r="H437" s="702">
        <x:f>IF('Г-43-107'!$AL24="Да",1,0)</x:f>
      </x:c>
      <x:c r="I437" s="703">
        <x:f>IF('Г-43-107'!$AR24="Да",1,0)</x:f>
      </x:c>
      <x:c r="J437" s="704">
        <x:f>IF('Г-43-107'!$AX24="Да",1,0)</x:f>
      </x:c>
      <x:c r="K437" s="705">
        <x:f>IF('Г-43-107'!$BD24="Да",1,0)</x:f>
      </x:c>
      <x:c r="L437" s="706">
        <x:f>IF('Г-43-107'!$BJ24="Да",1,0)</x:f>
      </x:c>
      <x:c r="M437" s="707">
        <x:f>IF('Г-43-107'!$BP24="Да",1,0)</x:f>
      </x:c>
      <x:c r="N437" s="708">
        <x:f>IF('Г-43-107'!$BV24="Да",1,0)</x:f>
      </x:c>
      <x:c r="O437" s="375">
        <x:f>IFERROR(ROUND(SUM(C437:N437)/($S$416),1),"")</x:f>
      </x:c>
    </x:row>
    <x:row r="438" spans="1:25" ht="15" customHeight="1" x14ac:dyDescent="0.25">
      <x:c r="A438" s="710"/>
      <x:c r="B438" s="363" t="s">
        <x:v>554</x:v>
      </x:c>
      <x:c r="C438" s="697">
        <x:f>IF('Г-43-107'!$H25="Да",1,0)</x:f>
      </x:c>
      <x:c r="D438" s="698">
        <x:f>IF('Г-43-107'!$N25="Да",1,0)</x:f>
      </x:c>
      <x:c r="E438" s="699">
        <x:f>IF('Г-43-107'!$T25="Да",1,0)</x:f>
      </x:c>
      <x:c r="F438" s="700">
        <x:f>IF('Г-43-107'!$Z25="Да",1,0)</x:f>
      </x:c>
      <x:c r="G438" s="701">
        <x:f>IF('Г-43-107'!$AF25="Да",1,0)</x:f>
      </x:c>
      <x:c r="H438" s="702">
        <x:f>IF('Г-43-107'!$AL25="Да",1,0)</x:f>
      </x:c>
      <x:c r="I438" s="703">
        <x:f>IF('Г-43-107'!$AR25="Да",1,0)</x:f>
      </x:c>
      <x:c r="J438" s="704">
        <x:f>IF('Г-43-107'!$AX25="Да",1,0)</x:f>
      </x:c>
      <x:c r="K438" s="705">
        <x:f>IF('Г-43-107'!$BD25="Да",1,0)</x:f>
      </x:c>
      <x:c r="L438" s="706">
        <x:f>IF('Г-43-107'!$BJ25="Да",1,0)</x:f>
      </x:c>
      <x:c r="M438" s="707">
        <x:f>IF('Г-43-107'!$BP25="Да",1,0)</x:f>
      </x:c>
      <x:c r="N438" s="708">
        <x:f>IF('Г-43-107'!$BV25="Да",1,0)</x:f>
      </x:c>
      <x:c r="O438" s="375">
        <x:f>IFERROR(ROUND(SUM(C438:N438)/($S$416),1),"")</x:f>
      </x:c>
    </x:row>
    <x:row r="439" spans="1:25" ht="15" customHeight="1" x14ac:dyDescent="0.25">
      <x:c r="A439" s="710"/>
      <x:c r="B439" s="363" t="s">
        <x:v>603</x:v>
      </x:c>
      <x:c r="C439" s="697">
        <x:f>IF('Г-43-107'!$H26="Да",1,0)</x:f>
      </x:c>
      <x:c r="D439" s="698">
        <x:f>IF('Г-43-107'!$N26="Да",1,0)</x:f>
      </x:c>
      <x:c r="E439" s="699">
        <x:f>IF('Г-43-107'!$T26="Да",1,0)</x:f>
      </x:c>
      <x:c r="F439" s="700">
        <x:f>IF('Г-43-107'!$Z26="Да",1,0)</x:f>
      </x:c>
      <x:c r="G439" s="701">
        <x:f>IF('Г-43-107'!$AF26="Да",1,0)</x:f>
      </x:c>
      <x:c r="H439" s="702">
        <x:f>IF('Г-43-107'!$AL26="Да",1,0)</x:f>
      </x:c>
      <x:c r="I439" s="703">
        <x:f>IF('Г-43-107'!$AR26="Да",1,0)</x:f>
      </x:c>
      <x:c r="J439" s="704">
        <x:f>IF('Г-43-107'!$AX26="Да",1,0)</x:f>
      </x:c>
      <x:c r="K439" s="705">
        <x:f>IF('Г-43-107'!$BD26="Да",1,0)</x:f>
      </x:c>
      <x:c r="L439" s="706">
        <x:f>IF('Г-43-107'!$BJ26="Да",1,0)</x:f>
      </x:c>
      <x:c r="M439" s="707">
        <x:f>IF('Г-43-107'!$BP26="Да",1,0)</x:f>
      </x:c>
      <x:c r="N439" s="708">
        <x:f>IF('Г-43-107'!$BV26="Да",1,0)</x:f>
      </x:c>
      <x:c r="O439" s="375">
        <x:f>IFERROR(ROUND(SUM(C439:N439)/($S$416),1),"")</x:f>
      </x:c>
    </x:row>
    <x:row r="440" spans="1:25" ht="15" customHeight="1" x14ac:dyDescent="0.25">
      <x:c r="A440" s="710"/>
      <x:c r="B440" s="363" t="s">
        <x:v>581</x:v>
      </x:c>
      <x:c r="C440" s="697">
        <x:f>IF('Г-43-107'!$H27="Да",1,0)</x:f>
      </x:c>
      <x:c r="D440" s="698">
        <x:f>IF('Г-43-107'!$N27="Да",1,0)</x:f>
      </x:c>
      <x:c r="E440" s="699">
        <x:f>IF('Г-43-107'!$T27="Да",1,0)</x:f>
      </x:c>
      <x:c r="F440" s="700">
        <x:f>IF('Г-43-107'!$Z27="Да",1,0)</x:f>
      </x:c>
      <x:c r="G440" s="701">
        <x:f>IF('Г-43-107'!$AF27="Да",1,0)</x:f>
      </x:c>
      <x:c r="H440" s="702">
        <x:f>IF('Г-43-107'!$AL27="Да",1,0)</x:f>
      </x:c>
      <x:c r="I440" s="703">
        <x:f>IF('Г-43-107'!$AR27="Да",1,0)</x:f>
      </x:c>
      <x:c r="J440" s="704">
        <x:f>IF('Г-43-107'!$AX27="Да",1,0)</x:f>
      </x:c>
      <x:c r="K440" s="705">
        <x:f>IF('Г-43-107'!$BD27="Да",1,0)</x:f>
      </x:c>
      <x:c r="L440" s="706">
        <x:f>IF('Г-43-107'!$BJ27="Да",1,0)</x:f>
      </x:c>
      <x:c r="M440" s="707">
        <x:f>IF('Г-43-107'!$BP27="Да",1,0)</x:f>
      </x:c>
      <x:c r="N440" s="708">
        <x:f>IF('Г-43-107'!$BV27="Да",1,0)</x:f>
      </x:c>
      <x:c r="O440" s="375">
        <x:f>IFERROR(ROUND(SUM(C440:N440)/($S$416),1),"")</x:f>
      </x:c>
    </x:row>
    <x:row r="441" spans="1:25" ht="15" customHeight="1" x14ac:dyDescent="0.25">
      <x:c r="A441" s="710"/>
      <x:c r="B441" s="363" t="s">
        <x:v>523</x:v>
      </x:c>
      <x:c r="C441" s="697">
        <x:f>IF('Г-43-107'!$H28="Да",1,0)</x:f>
      </x:c>
      <x:c r="D441" s="698">
        <x:f>IF('Г-43-107'!$N28="Да",1,0)</x:f>
      </x:c>
      <x:c r="E441" s="699">
        <x:f>IF('Г-43-107'!$T28="Да",1,0)</x:f>
      </x:c>
      <x:c r="F441" s="700">
        <x:f>IF('Г-43-107'!$Z28="Да",1,0)</x:f>
      </x:c>
      <x:c r="G441" s="701">
        <x:f>IF('Г-43-107'!$AF28="Да",1,0)</x:f>
      </x:c>
      <x:c r="H441" s="702">
        <x:f>IF('Г-43-107'!$AL28="Да",1,0)</x:f>
      </x:c>
      <x:c r="I441" s="703">
        <x:f>IF('Г-43-107'!$AR28="Да",1,0)</x:f>
      </x:c>
      <x:c r="J441" s="704">
        <x:f>IF('Г-43-107'!$AX28="Да",1,0)</x:f>
      </x:c>
      <x:c r="K441" s="705">
        <x:f>IF('Г-43-107'!$BD28="Да",1,0)</x:f>
      </x:c>
      <x:c r="L441" s="706">
        <x:f>IF('Г-43-107'!$BJ28="Да",1,0)</x:f>
      </x:c>
      <x:c r="M441" s="707">
        <x:f>IF('Г-43-107'!$BP28="Да",1,0)</x:f>
      </x:c>
      <x:c r="N441" s="708">
        <x:f>IF('Г-43-107'!$BV28="Да",1,0)</x:f>
      </x:c>
      <x:c r="O441" s="375">
        <x:f>IFERROR(ROUND(SUM(C441:N441)/($S$416),1),"")</x:f>
      </x:c>
    </x:row>
    <x:row r="442" spans="1:25" ht="15" customHeight="1" x14ac:dyDescent="0.25">
      <x:c r="A442" s="710"/>
      <x:c r="B442" s="363" t="s">
        <x:v>538</x:v>
      </x:c>
      <x:c r="C442" s="697">
        <x:f>IF('Г-43-107'!$H29="Да",1,0)</x:f>
      </x:c>
      <x:c r="D442" s="698">
        <x:f>IF('Г-43-107'!$N29="Да",1,0)</x:f>
      </x:c>
      <x:c r="E442" s="699">
        <x:f>IF('Г-43-107'!$T29="Да",1,0)</x:f>
      </x:c>
      <x:c r="F442" s="700">
        <x:f>IF('Г-43-107'!$Z29="Да",1,0)</x:f>
      </x:c>
      <x:c r="G442" s="701">
        <x:f>IF('Г-43-107'!$AF29="Да",1,0)</x:f>
      </x:c>
      <x:c r="H442" s="702">
        <x:f>IF('Г-43-107'!$AL29="Да",1,0)</x:f>
      </x:c>
      <x:c r="I442" s="703">
        <x:f>IF('Г-43-107'!$AR29="Да",1,0)</x:f>
      </x:c>
      <x:c r="J442" s="704">
        <x:f>IF('Г-43-107'!$AX29="Да",1,0)</x:f>
      </x:c>
      <x:c r="K442" s="705">
        <x:f>IF('Г-43-107'!$BD29="Да",1,0)</x:f>
      </x:c>
      <x:c r="L442" s="706">
        <x:f>IF('Г-43-107'!$BJ29="Да",1,0)</x:f>
      </x:c>
      <x:c r="M442" s="707">
        <x:f>IF('Г-43-107'!$BP29="Да",1,0)</x:f>
      </x:c>
      <x:c r="N442" s="708">
        <x:f>IF('Г-43-107'!$BV29="Да",1,0)</x:f>
      </x:c>
      <x:c r="O442" s="375">
        <x:f>IFERROR(ROUND(SUM(C442:N442)/($S$416),1),"")</x:f>
      </x:c>
    </x:row>
    <x:row r="443" spans="1:25" ht="15" customHeight="1" x14ac:dyDescent="0.25">
      <x:c r="A443" s="710"/>
      <x:c r="B443" s="363" t="s">
        <x:v>607</x:v>
      </x:c>
      <x:c r="C443" s="697">
        <x:f>IF('Г-43-107'!$H30="Да",1,0)</x:f>
      </x:c>
      <x:c r="D443" s="698">
        <x:f>IF('Г-43-107'!$N30="Да",1,0)</x:f>
      </x:c>
      <x:c r="E443" s="699">
        <x:f>IF('Г-43-107'!$T30="Да",1,0)</x:f>
      </x:c>
      <x:c r="F443" s="700">
        <x:f>IF('Г-43-107'!$Z30="Да",1,0)</x:f>
      </x:c>
      <x:c r="G443" s="701">
        <x:f>IF('Г-43-107'!$AF30="Да",1,0)</x:f>
      </x:c>
      <x:c r="H443" s="702">
        <x:f>IF('Г-43-107'!$AL30="Да",1,0)</x:f>
      </x:c>
      <x:c r="I443" s="703">
        <x:f>IF('Г-43-107'!$AR30="Да",1,0)</x:f>
      </x:c>
      <x:c r="J443" s="704">
        <x:f>IF('Г-43-107'!$AX30="Да",1,0)</x:f>
      </x:c>
      <x:c r="K443" s="705">
        <x:f>IF('Г-43-107'!$BD30="Да",1,0)</x:f>
      </x:c>
      <x:c r="L443" s="706">
        <x:f>IF('Г-43-107'!$BJ30="Да",1,0)</x:f>
      </x:c>
      <x:c r="M443" s="707">
        <x:f>IF('Г-43-107'!$BP30="Да",1,0)</x:f>
      </x:c>
      <x:c r="N443" s="708">
        <x:f>IF('Г-43-107'!$BV30="Да",1,0)</x:f>
      </x:c>
      <x:c r="O443" s="375">
        <x:f>IFERROR(ROUND(SUM(C443:N443)/($S$416),1),"")</x:f>
      </x:c>
    </x:row>
    <x:row r="444" spans="1:25" ht="15" customHeight="1" x14ac:dyDescent="0.25">
      <x:c r="A444" s="710"/>
      <x:c r="B444" s="363" t="s">
        <x:v>550</x:v>
      </x:c>
      <x:c r="C444" s="697">
        <x:f>IF('Г-43-107'!$H31="Да",1,0)</x:f>
      </x:c>
      <x:c r="D444" s="698">
        <x:f>IF('Г-43-107'!$N31="Да",1,0)</x:f>
      </x:c>
      <x:c r="E444" s="699">
        <x:f>IF('Г-43-107'!$T31="Да",1,0)</x:f>
      </x:c>
      <x:c r="F444" s="700">
        <x:f>IF('Г-43-107'!$Z31="Да",1,0)</x:f>
      </x:c>
      <x:c r="G444" s="701">
        <x:f>IF('Г-43-107'!$AF31="Да",1,0)</x:f>
      </x:c>
      <x:c r="H444" s="702">
        <x:f>IF('Г-43-107'!$AL31="Да",1,0)</x:f>
      </x:c>
      <x:c r="I444" s="703">
        <x:f>IF('Г-43-107'!$AR31="Да",1,0)</x:f>
      </x:c>
      <x:c r="J444" s="704">
        <x:f>IF('Г-43-107'!$AX31="Да",1,0)</x:f>
      </x:c>
      <x:c r="K444" s="705">
        <x:f>IF('Г-43-107'!$BD31="Да",1,0)</x:f>
      </x:c>
      <x:c r="L444" s="706">
        <x:f>IF('Г-43-107'!$BJ31="Да",1,0)</x:f>
      </x:c>
      <x:c r="M444" s="707">
        <x:f>IF('Г-43-107'!$BP31="Да",1,0)</x:f>
      </x:c>
      <x:c r="N444" s="708">
        <x:f>IF('Г-43-107'!$BV31="Да",1,0)</x:f>
      </x:c>
      <x:c r="O444" s="375">
        <x:f>IFERROR(ROUND(SUM(C444:N444)/($S$416),1),"")</x:f>
      </x:c>
    </x:row>
    <x:row r="445" spans="1:25" ht="15" customHeight="1" x14ac:dyDescent="0.25">
      <x:c r="A445" s="710"/>
      <x:c r="B445" s="363" t="s">
        <x:v>576</x:v>
      </x:c>
      <x:c r="C445" s="697">
        <x:f>IF('Г-43-107'!$H32="Да",1,0)</x:f>
      </x:c>
      <x:c r="D445" s="698">
        <x:f>IF('Г-43-107'!$N32="Да",1,0)</x:f>
      </x:c>
      <x:c r="E445" s="699">
        <x:f>IF('Г-43-107'!$T32="Да",1,0)</x:f>
      </x:c>
      <x:c r="F445" s="700">
        <x:f>IF('Г-43-107'!$Z32="Да",1,0)</x:f>
      </x:c>
      <x:c r="G445" s="701">
        <x:f>IF('Г-43-107'!$AF32="Да",1,0)</x:f>
      </x:c>
      <x:c r="H445" s="702">
        <x:f>IF('Г-43-107'!$AL32="Да",1,0)</x:f>
      </x:c>
      <x:c r="I445" s="703">
        <x:f>IF('Г-43-107'!$AR32="Да",1,0)</x:f>
      </x:c>
      <x:c r="J445" s="704">
        <x:f>IF('Г-43-107'!$AX32="Да",1,0)</x:f>
      </x:c>
      <x:c r="K445" s="705">
        <x:f>IF('Г-43-107'!$BD32="Да",1,0)</x:f>
      </x:c>
      <x:c r="L445" s="706">
        <x:f>IF('Г-43-107'!$BJ32="Да",1,0)</x:f>
      </x:c>
      <x:c r="M445" s="707">
        <x:f>IF('Г-43-107'!$BP32="Да",1,0)</x:f>
      </x:c>
      <x:c r="N445" s="708">
        <x:f>IF('Г-43-107'!$BV32="Да",1,0)</x:f>
      </x:c>
      <x:c r="O445" s="375">
        <x:f>IFERROR(ROUND(SUM(C445:N445)/($S$416),1),"")</x:f>
      </x:c>
    </x:row>
    <x:row r="446" spans="1:25" ht="15" customHeight="1" x14ac:dyDescent="0.25">
      <x:c r="A446" s="710"/>
      <x:c r="B446" s="363" t="s">
        <x:v>572</x:v>
      </x:c>
      <x:c r="C446" s="697">
        <x:f>IF('Г-43-107'!$H33="Да",1,0)</x:f>
      </x:c>
      <x:c r="D446" s="698">
        <x:f>IF('Г-43-107'!$N33="Да",1,0)</x:f>
      </x:c>
      <x:c r="E446" s="699">
        <x:f>IF('Г-43-107'!$T33="Да",1,0)</x:f>
      </x:c>
      <x:c r="F446" s="700">
        <x:f>IF('Г-43-107'!$Z33="Да",1,0)</x:f>
      </x:c>
      <x:c r="G446" s="701">
        <x:f>IF('Г-43-107'!$AF33="Да",1,0)</x:f>
      </x:c>
      <x:c r="H446" s="702">
        <x:f>IF('Г-43-107'!$AL33="Да",1,0)</x:f>
      </x:c>
      <x:c r="I446" s="703">
        <x:f>IF('Г-43-107'!$AR33="Да",1,0)</x:f>
      </x:c>
      <x:c r="J446" s="704">
        <x:f>IF('Г-43-107'!$AX33="Да",1,0)</x:f>
      </x:c>
      <x:c r="K446" s="705">
        <x:f>IF('Г-43-107'!$BD33="Да",1,0)</x:f>
      </x:c>
      <x:c r="L446" s="706">
        <x:f>IF('Г-43-107'!$BJ33="Да",1,0)</x:f>
      </x:c>
      <x:c r="M446" s="707">
        <x:f>IF('Г-43-107'!$BP33="Да",1,0)</x:f>
      </x:c>
      <x:c r="N446" s="708">
        <x:f>IF('Г-43-107'!$BV33="Да",1,0)</x:f>
      </x:c>
      <x:c r="O446" s="375">
        <x:f>IFERROR(ROUND(SUM(C446:N446)/($S$416),1),"")</x:f>
      </x:c>
    </x:row>
    <x:row r="447" spans="1:25" ht="15" customHeight="1" x14ac:dyDescent="0.25">
      <x:c r="A447" s="710"/>
      <x:c r="B447" s="363" t="s">
        <x:v>587</x:v>
      </x:c>
      <x:c r="C447" s="697">
        <x:f>IF('Г-43-107'!$H34="Да",1,0)</x:f>
      </x:c>
      <x:c r="D447" s="698">
        <x:f>IF('Г-43-107'!$N34="Да",1,0)</x:f>
      </x:c>
      <x:c r="E447" s="699">
        <x:f>IF('Г-43-107'!$T34="Да",1,0)</x:f>
      </x:c>
      <x:c r="F447" s="700">
        <x:f>IF('Г-43-107'!$Z34="Да",1,0)</x:f>
      </x:c>
      <x:c r="G447" s="701">
        <x:f>IF('Г-43-107'!$AF34="Да",1,0)</x:f>
      </x:c>
      <x:c r="H447" s="702">
        <x:f>IF('Г-43-107'!$AL34="Да",1,0)</x:f>
      </x:c>
      <x:c r="I447" s="703">
        <x:f>IF('Г-43-107'!$AR34="Да",1,0)</x:f>
      </x:c>
      <x:c r="J447" s="704">
        <x:f>IF('Г-43-107'!$AX34="Да",1,0)</x:f>
      </x:c>
      <x:c r="K447" s="705">
        <x:f>IF('Г-43-107'!$BD34="Да",1,0)</x:f>
      </x:c>
      <x:c r="L447" s="706">
        <x:f>IF('Г-43-107'!$BJ34="Да",1,0)</x:f>
      </x:c>
      <x:c r="M447" s="707">
        <x:f>IF('Г-43-107'!$BP34="Да",1,0)</x:f>
      </x:c>
      <x:c r="N447" s="708">
        <x:f>IF('Г-43-107'!$BV34="Да",1,0)</x:f>
      </x:c>
      <x:c r="O447" s="375">
        <x:f>IFERROR(ROUND(SUM(C447:N447)/($S$416),1),"")</x:f>
      </x:c>
    </x:row>
    <x:row r="448" spans="1:25" ht="15" customHeight="1" x14ac:dyDescent="0.25">
      <x:c r="A448" s="710"/>
      <x:c r="B448" s="363" t="s">
        <x:v>524</x:v>
      </x:c>
      <x:c r="C448" s="697">
        <x:f>IF('Г-43-107'!$H35="Да",1,0)</x:f>
      </x:c>
      <x:c r="D448" s="698">
        <x:f>IF('Г-43-107'!$N35="Да",1,0)</x:f>
      </x:c>
      <x:c r="E448" s="699">
        <x:f>IF('Г-43-107'!$T35="Да",1,0)</x:f>
      </x:c>
      <x:c r="F448" s="700">
        <x:f>IF('Г-43-107'!$Z35="Да",1,0)</x:f>
      </x:c>
      <x:c r="G448" s="701">
        <x:f>IF('Г-43-107'!$AF35="Да",1,0)</x:f>
      </x:c>
      <x:c r="H448" s="702">
        <x:f>IF('Г-43-107'!$AL35="Да",1,0)</x:f>
      </x:c>
      <x:c r="I448" s="703">
        <x:f>IF('Г-43-107'!$AR35="Да",1,0)</x:f>
      </x:c>
      <x:c r="J448" s="704">
        <x:f>IF('Г-43-107'!$AX35="Да",1,0)</x:f>
      </x:c>
      <x:c r="K448" s="705">
        <x:f>IF('Г-43-107'!$BD35="Да",1,0)</x:f>
      </x:c>
      <x:c r="L448" s="706">
        <x:f>IF('Г-43-107'!$BJ35="Да",1,0)</x:f>
      </x:c>
      <x:c r="M448" s="707">
        <x:f>IF('Г-43-107'!$BP35="Да",1,0)</x:f>
      </x:c>
      <x:c r="N448" s="708">
        <x:f>IF('Г-43-107'!$BV35="Да",1,0)</x:f>
      </x:c>
      <x:c r="O448" s="375">
        <x:f>IFERROR(ROUND(SUM(C448:N448)/($S$416),1),"")</x:f>
      </x:c>
    </x:row>
    <x:row r="449" spans="1:25" ht="15" customHeight="1" x14ac:dyDescent="0.25">
      <x:c r="A449" s="710"/>
      <x:c r="B449" s="363" t="s">
        <x:v>598</x:v>
      </x:c>
      <x:c r="C449" s="697">
        <x:f>IF('Г-43-107'!$H36="Да",1,0)</x:f>
      </x:c>
      <x:c r="D449" s="698">
        <x:f>IF('Г-43-107'!$N36="Да",1,0)</x:f>
      </x:c>
      <x:c r="E449" s="699">
        <x:f>IF('Г-43-107'!$T36="Да",1,0)</x:f>
      </x:c>
      <x:c r="F449" s="700">
        <x:f>IF('Г-43-107'!$Z36="Да",1,0)</x:f>
      </x:c>
      <x:c r="G449" s="701">
        <x:f>IF('Г-43-107'!$AF36="Да",1,0)</x:f>
      </x:c>
      <x:c r="H449" s="702">
        <x:f>IF('Г-43-107'!$AL36="Да",1,0)</x:f>
      </x:c>
      <x:c r="I449" s="703">
        <x:f>IF('Г-43-107'!$AR36="Да",1,0)</x:f>
      </x:c>
      <x:c r="J449" s="704">
        <x:f>IF('Г-43-107'!$AX36="Да",1,0)</x:f>
      </x:c>
      <x:c r="K449" s="705">
        <x:f>IF('Г-43-107'!$BD36="Да",1,0)</x:f>
      </x:c>
      <x:c r="L449" s="706">
        <x:f>IF('Г-43-107'!$BJ36="Да",1,0)</x:f>
      </x:c>
      <x:c r="M449" s="707">
        <x:f>IF('Г-43-107'!$BP36="Да",1,0)</x:f>
      </x:c>
      <x:c r="N449" s="708">
        <x:f>IF('Г-43-107'!$BV36="Да",1,0)</x:f>
      </x:c>
      <x:c r="O449" s="375">
        <x:f>IFERROR(ROUND(SUM(C449:N449)/($S$416),1),"")</x:f>
      </x:c>
    </x:row>
    <x:row r="450" spans="1:25" ht="15" customHeight="1" x14ac:dyDescent="0.25">
      <x:c r="A450" s="710"/>
      <x:c r="B450" s="363" t="s">
        <x:v>600</x:v>
      </x:c>
      <x:c r="C450" s="697">
        <x:f>IF('Г-43-107'!$H37="Да",1,0)</x:f>
      </x:c>
      <x:c r="D450" s="698">
        <x:f>IF('Г-43-107'!$N37="Да",1,0)</x:f>
      </x:c>
      <x:c r="E450" s="699">
        <x:f>IF('Г-43-107'!$T37="Да",1,0)</x:f>
      </x:c>
      <x:c r="F450" s="700">
        <x:f>IF('Г-43-107'!$Z37="Да",1,0)</x:f>
      </x:c>
      <x:c r="G450" s="701">
        <x:f>IF('Г-43-107'!$AF37="Да",1,0)</x:f>
      </x:c>
      <x:c r="H450" s="702">
        <x:f>IF('Г-43-107'!$AL37="Да",1,0)</x:f>
      </x:c>
      <x:c r="I450" s="703">
        <x:f>IF('Г-43-107'!$AR37="Да",1,0)</x:f>
      </x:c>
      <x:c r="J450" s="704">
        <x:f>IF('Г-43-107'!$AX37="Да",1,0)</x:f>
      </x:c>
      <x:c r="K450" s="705">
        <x:f>IF('Г-43-107'!$BD37="Да",1,0)</x:f>
      </x:c>
      <x:c r="L450" s="706">
        <x:f>IF('Г-43-107'!$BJ37="Да",1,0)</x:f>
      </x:c>
      <x:c r="M450" s="707">
        <x:f>IF('Г-43-107'!$BP37="Да",1,0)</x:f>
      </x:c>
      <x:c r="N450" s="708">
        <x:f>IF('Г-43-107'!$BV37="Да",1,0)</x:f>
      </x:c>
      <x:c r="O450" s="375">
        <x:f>IFERROR(ROUND(SUM(C450:N450)/($S$416),1),"")</x:f>
      </x:c>
    </x:row>
    <x:row r="451" spans="1:25" ht="15" customHeight="1" x14ac:dyDescent="0.25">
      <x:c r="A451" s="710"/>
      <x:c r="B451" s="363" t="s">
        <x:v>590</x:v>
      </x:c>
      <x:c r="C451" s="697">
        <x:f>IF('Г-43-107'!$H38="Да",1,0)</x:f>
      </x:c>
      <x:c r="D451" s="698">
        <x:f>IF('Г-43-107'!$N38="Да",1,0)</x:f>
      </x:c>
      <x:c r="E451" s="699">
        <x:f>IF('Г-43-107'!$T38="Да",1,0)</x:f>
      </x:c>
      <x:c r="F451" s="700">
        <x:f>IF('Г-43-107'!$Z38="Да",1,0)</x:f>
      </x:c>
      <x:c r="G451" s="701">
        <x:f>IF('Г-43-107'!$AF38="Да",1,0)</x:f>
      </x:c>
      <x:c r="H451" s="702">
        <x:f>IF('Г-43-107'!$AL38="Да",1,0)</x:f>
      </x:c>
      <x:c r="I451" s="703">
        <x:f>IF('Г-43-107'!$AR38="Да",1,0)</x:f>
      </x:c>
      <x:c r="J451" s="704">
        <x:f>IF('Г-43-107'!$AX38="Да",1,0)</x:f>
      </x:c>
      <x:c r="K451" s="705">
        <x:f>IF('Г-43-107'!$BD38="Да",1,0)</x:f>
      </x:c>
      <x:c r="L451" s="706">
        <x:f>IF('Г-43-107'!$BJ38="Да",1,0)</x:f>
      </x:c>
      <x:c r="M451" s="707">
        <x:f>IF('Г-43-107'!$BP38="Да",1,0)</x:f>
      </x:c>
      <x:c r="N451" s="708">
        <x:f>IF('Г-43-107'!$BV38="Да",1,0)</x:f>
      </x:c>
      <x:c r="O451" s="375">
        <x:f>IFERROR(ROUND(SUM(C451:N451)/($S$416),1),"")</x:f>
      </x:c>
    </x:row>
    <x:row r="452" spans="1:25" ht="15" customHeight="1" x14ac:dyDescent="0.25">
      <x:c r="A452" s="710"/>
      <x:c r="B452" s="363" t="s">
        <x:v>565</x:v>
      </x:c>
      <x:c r="C452" s="697">
        <x:f>IF('Г-43-107'!$H39="Да",1,0)</x:f>
      </x:c>
      <x:c r="D452" s="698">
        <x:f>IF('Г-43-107'!$N39="Да",1,0)</x:f>
      </x:c>
      <x:c r="E452" s="699">
        <x:f>IF('Г-43-107'!$T39="Да",1,0)</x:f>
      </x:c>
      <x:c r="F452" s="700">
        <x:f>IF('Г-43-107'!$Z39="Да",1,0)</x:f>
      </x:c>
      <x:c r="G452" s="701">
        <x:f>IF('Г-43-107'!$AF39="Да",1,0)</x:f>
      </x:c>
      <x:c r="H452" s="702">
        <x:f>IF('Г-43-107'!$AL39="Да",1,0)</x:f>
      </x:c>
      <x:c r="I452" s="703">
        <x:f>IF('Г-43-107'!$AR39="Да",1,0)</x:f>
      </x:c>
      <x:c r="J452" s="704">
        <x:f>IF('Г-43-107'!$AX39="Да",1,0)</x:f>
      </x:c>
      <x:c r="K452" s="705">
        <x:f>IF('Г-43-107'!$BD39="Да",1,0)</x:f>
      </x:c>
      <x:c r="L452" s="706">
        <x:f>IF('Г-43-107'!$BJ39="Да",1,0)</x:f>
      </x:c>
      <x:c r="M452" s="707">
        <x:f>IF('Г-43-107'!$BP39="Да",1,0)</x:f>
      </x:c>
      <x:c r="N452" s="708">
        <x:f>IF('Г-43-107'!$BV39="Да",1,0)</x:f>
      </x:c>
      <x:c r="O452" s="375">
        <x:f>IFERROR(ROUND(SUM(C452:N452)/($S$416),1),"")</x:f>
      </x:c>
    </x:row>
    <x:row r="453" spans="1:25" ht="15" customHeight="1" x14ac:dyDescent="0.25">
      <x:c r="A453" s="710"/>
      <x:c r="B453" s="363" t="s">
        <x:v>585</x:v>
      </x:c>
      <x:c r="C453" s="697">
        <x:f>IF('Г-43-107'!$H40="Да",1,0)</x:f>
      </x:c>
      <x:c r="D453" s="698">
        <x:f>IF('Г-43-107'!$N40="Да",1,0)</x:f>
      </x:c>
      <x:c r="E453" s="699">
        <x:f>IF('Г-43-107'!$T40="Да",1,0)</x:f>
      </x:c>
      <x:c r="F453" s="700">
        <x:f>IF('Г-43-107'!$Z40="Да",1,0)</x:f>
      </x:c>
      <x:c r="G453" s="701">
        <x:f>IF('Г-43-107'!$AF40="Да",1,0)</x:f>
      </x:c>
      <x:c r="H453" s="702">
        <x:f>IF('Г-43-107'!$AL40="Да",1,0)</x:f>
      </x:c>
      <x:c r="I453" s="703">
        <x:f>IF('Г-43-107'!$AR40="Да",1,0)</x:f>
      </x:c>
      <x:c r="J453" s="704">
        <x:f>IF('Г-43-107'!$AX40="Да",1,0)</x:f>
      </x:c>
      <x:c r="K453" s="705">
        <x:f>IF('Г-43-107'!$BD40="Да",1,0)</x:f>
      </x:c>
      <x:c r="L453" s="706">
        <x:f>IF('Г-43-107'!$BJ40="Да",1,0)</x:f>
      </x:c>
      <x:c r="M453" s="707">
        <x:f>IF('Г-43-107'!$BP40="Да",1,0)</x:f>
      </x:c>
      <x:c r="N453" s="708">
        <x:f>IF('Г-43-107'!$BV40="Да",1,0)</x:f>
      </x:c>
      <x:c r="O453" s="375">
        <x:f>IFERROR(ROUND(SUM(C453:N453)/($S$416),1),"")</x:f>
      </x:c>
    </x:row>
    <x:row r="454" spans="1:25" ht="15" customHeight="1" x14ac:dyDescent="0.25">
      <x:c r="A454" s="710"/>
      <x:c r="B454" s="363" t="s">
        <x:v>591</x:v>
      </x:c>
      <x:c r="C454" s="697">
        <x:f>IF('Г-43-107'!$H41="Да",1,0)</x:f>
      </x:c>
      <x:c r="D454" s="698">
        <x:f>IF('Г-43-107'!$N41="Да",1,0)</x:f>
      </x:c>
      <x:c r="E454" s="699">
        <x:f>IF('Г-43-107'!$T41="Да",1,0)</x:f>
      </x:c>
      <x:c r="F454" s="700">
        <x:f>IF('Г-43-107'!$Z41="Да",1,0)</x:f>
      </x:c>
      <x:c r="G454" s="701">
        <x:f>IF('Г-43-107'!$AF41="Да",1,0)</x:f>
      </x:c>
      <x:c r="H454" s="702">
        <x:f>IF('Г-43-107'!$AL41="Да",1,0)</x:f>
      </x:c>
      <x:c r="I454" s="703">
        <x:f>IF('Г-43-107'!$AR41="Да",1,0)</x:f>
      </x:c>
      <x:c r="J454" s="704">
        <x:f>IF('Г-43-107'!$AX41="Да",1,0)</x:f>
      </x:c>
      <x:c r="K454" s="705">
        <x:f>IF('Г-43-107'!$BD41="Да",1,0)</x:f>
      </x:c>
      <x:c r="L454" s="706">
        <x:f>IF('Г-43-107'!$BJ41="Да",1,0)</x:f>
      </x:c>
      <x:c r="M454" s="707">
        <x:f>IF('Г-43-107'!$BP41="Да",1,0)</x:f>
      </x:c>
      <x:c r="N454" s="708">
        <x:f>IF('Г-43-107'!$BV41="Да",1,0)</x:f>
      </x:c>
      <x:c r="O454" s="375">
        <x:f>IFERROR(ROUND(SUM(C454:N454)/($S$416),1),"")</x:f>
      </x:c>
    </x:row>
    <x:row r="455" spans="1:25" ht="15" customHeight="1" x14ac:dyDescent="0.25">
      <x:c r="A455" s="710"/>
      <x:c r="B455" s="363" t="s">
        <x:v>525</x:v>
      </x:c>
      <x:c r="C455" s="697">
        <x:f>IF('Г-43-107'!$H42="Да",1,0)</x:f>
      </x:c>
      <x:c r="D455" s="698">
        <x:f>IF('Г-43-107'!$N42="Да",1,0)</x:f>
      </x:c>
      <x:c r="E455" s="699">
        <x:f>IF('Г-43-107'!$T42="Да",1,0)</x:f>
      </x:c>
      <x:c r="F455" s="700">
        <x:f>IF('Г-43-107'!$Z42="Да",1,0)</x:f>
      </x:c>
      <x:c r="G455" s="701">
        <x:f>IF('Г-43-107'!$AF42="Да",1,0)</x:f>
      </x:c>
      <x:c r="H455" s="702">
        <x:f>IF('Г-43-107'!$AL42="Да",1,0)</x:f>
      </x:c>
      <x:c r="I455" s="703">
        <x:f>IF('Г-43-107'!$AR42="Да",1,0)</x:f>
      </x:c>
      <x:c r="J455" s="704">
        <x:f>IF('Г-43-107'!$AX42="Да",1,0)</x:f>
      </x:c>
      <x:c r="K455" s="705">
        <x:f>IF('Г-43-107'!$BD42="Да",1,0)</x:f>
      </x:c>
      <x:c r="L455" s="706">
        <x:f>IF('Г-43-107'!$BJ42="Да",1,0)</x:f>
      </x:c>
      <x:c r="M455" s="707">
        <x:f>IF('Г-43-107'!$BP42="Да",1,0)</x:f>
      </x:c>
      <x:c r="N455" s="708">
        <x:f>IF('Г-43-107'!$BV42="Да",1,0)</x:f>
      </x:c>
      <x:c r="O455" s="375">
        <x:f>IFERROR(ROUND(SUM(C455:N455)/($S$416),1),"")</x:f>
      </x:c>
    </x:row>
    <x:row r="456" spans="1:25" ht="15" customHeight="1" x14ac:dyDescent="0.25">
      <x:c r="A456" s="710"/>
      <x:c r="B456" s="363" t="s">
        <x:v>601</x:v>
      </x:c>
      <x:c r="C456" s="697">
        <x:f>IF('Г-43-107'!$H43="Да",1,0)</x:f>
      </x:c>
      <x:c r="D456" s="698">
        <x:f>IF('Г-43-107'!$N43="Да",1,0)</x:f>
      </x:c>
      <x:c r="E456" s="699">
        <x:f>IF('Г-43-107'!$T43="Да",1,0)</x:f>
      </x:c>
      <x:c r="F456" s="700">
        <x:f>IF('Г-43-107'!$Z43="Да",1,0)</x:f>
      </x:c>
      <x:c r="G456" s="701">
        <x:f>IF('Г-43-107'!$AF43="Да",1,0)</x:f>
      </x:c>
      <x:c r="H456" s="702">
        <x:f>IF('Г-43-107'!$AL43="Да",1,0)</x:f>
      </x:c>
      <x:c r="I456" s="703">
        <x:f>IF('Г-43-107'!$AR43="Да",1,0)</x:f>
      </x:c>
      <x:c r="J456" s="704">
        <x:f>IF('Г-43-107'!$AX43="Да",1,0)</x:f>
      </x:c>
      <x:c r="K456" s="705">
        <x:f>IF('Г-43-107'!$BD43="Да",1,0)</x:f>
      </x:c>
      <x:c r="L456" s="706">
        <x:f>IF('Г-43-107'!$BJ43="Да",1,0)</x:f>
      </x:c>
      <x:c r="M456" s="707">
        <x:f>IF('Г-43-107'!$BP43="Да",1,0)</x:f>
      </x:c>
      <x:c r="N456" s="708">
        <x:f>IF('Г-43-107'!$BV43="Да",1,0)</x:f>
      </x:c>
      <x:c r="O456" s="375">
        <x:f>IFERROR(ROUND(SUM(C456:N456)/($S$416),1),"")</x:f>
      </x:c>
    </x:row>
    <x:row r="457" spans="1:25" ht="15" customHeight="1" x14ac:dyDescent="0.3">
      <x:c r="A457" s="710"/>
      <x:c r="B457" s="363" t="s">
        <x:v>551</x:v>
      </x:c>
      <x:c r="C457" s="697">
        <x:f>IF('Г-43-107'!$H44="Да",1,0)</x:f>
      </x:c>
      <x:c r="D457" s="698">
        <x:f>IF('Г-43-107'!$N44="Да",1,0)</x:f>
      </x:c>
      <x:c r="E457" s="699">
        <x:f>IF('Г-43-107'!$T44="Да",1,0)</x:f>
      </x:c>
      <x:c r="F457" s="700">
        <x:f>IF('Г-43-107'!$Z44="Да",1,0)</x:f>
      </x:c>
      <x:c r="G457" s="701">
        <x:f>IF('Г-43-107'!$AF44="Да",1,0)</x:f>
      </x:c>
      <x:c r="H457" s="702">
        <x:f>IF('Г-43-107'!$AL44="Да",1,0)</x:f>
      </x:c>
      <x:c r="I457" s="703">
        <x:f>IF('Г-43-107'!$AR44="Да",1,0)</x:f>
      </x:c>
      <x:c r="J457" s="704">
        <x:f>IF('Г-43-107'!$AX44="Да",1,0)</x:f>
      </x:c>
      <x:c r="K457" s="705">
        <x:f>IF('Г-43-107'!$BD44="Да",1,0)</x:f>
      </x:c>
      <x:c r="L457" s="706">
        <x:f>IF('Г-43-107'!$BJ44="Да",1,0)</x:f>
      </x:c>
      <x:c r="M457" s="707">
        <x:f>IF('Г-43-107'!$BP44="Да",1,0)</x:f>
      </x:c>
      <x:c r="N457" s="708">
        <x:f>IF('Г-43-107'!$BV44="Да",1,0)</x:f>
      </x:c>
      <x:c r="O457" s="375">
        <x:f>IFERROR(ROUND(SUM(C457:N457)/($S$416),1),"")</x:f>
      </x:c>
    </x:row>
    <x:row r="458" spans="1:25" ht="15" customHeight="1" x14ac:dyDescent="0.25">
      <x:c r="A458" s="710"/>
      <x:c r="B458" s="363" t="s">
        <x:v>592</x:v>
      </x:c>
      <x:c r="C458" s="697">
        <x:f>IF('Г-43-107'!$H45="Да",1,0)</x:f>
      </x:c>
      <x:c r="D458" s="698">
        <x:f>IF('Г-43-107'!$N45="Да",1,0)</x:f>
      </x:c>
      <x:c r="E458" s="699">
        <x:f>IF('Г-43-107'!$T45="Да",1,0)</x:f>
      </x:c>
      <x:c r="F458" s="700">
        <x:f>IF('Г-43-107'!$Z45="Да",1,0)</x:f>
      </x:c>
      <x:c r="G458" s="701">
        <x:f>IF('Г-43-107'!$AF45="Да",1,0)</x:f>
      </x:c>
      <x:c r="H458" s="702">
        <x:f>IF('Г-43-107'!$AL45="Да",1,0)</x:f>
      </x:c>
      <x:c r="I458" s="703">
        <x:f>IF('Г-43-107'!$AR45="Да",1,0)</x:f>
      </x:c>
      <x:c r="J458" s="704">
        <x:f>IF('Г-43-107'!$AX45="Да",1,0)</x:f>
      </x:c>
      <x:c r="K458" s="705">
        <x:f>IF('Г-43-107'!$BD45="Да",1,0)</x:f>
      </x:c>
      <x:c r="L458" s="706">
        <x:f>IF('Г-43-107'!$BJ45="Да",1,0)</x:f>
      </x:c>
      <x:c r="M458" s="707">
        <x:f>IF('Г-43-107'!$BP45="Да",1,0)</x:f>
      </x:c>
      <x:c r="N458" s="708">
        <x:f>IF('Г-43-107'!$BV45="Да",1,0)</x:f>
      </x:c>
      <x:c r="O458" s="375">
        <x:f>IFERROR(ROUND(SUM(C458:N458)/($S$416),1),"")</x:f>
      </x:c>
    </x:row>
    <x:row r="459" spans="1:25" ht="15" customHeight="1" x14ac:dyDescent="0.25">
      <x:c r="A459" s="710"/>
      <x:c r="B459" s="363" t="s">
        <x:v>561</x:v>
      </x:c>
      <x:c r="C459" s="697">
        <x:f>IF('Г-43-107'!$H46="Да",1,0)</x:f>
      </x:c>
      <x:c r="D459" s="698">
        <x:f>IF('Г-43-107'!$N46="Да",1,0)</x:f>
      </x:c>
      <x:c r="E459" s="699">
        <x:f>IF('Г-43-107'!$T46="Да",1,0)</x:f>
      </x:c>
      <x:c r="F459" s="700">
        <x:f>IF('Г-43-107'!$Z46="Да",1,0)</x:f>
      </x:c>
      <x:c r="G459" s="701">
        <x:f>IF('Г-43-107'!$AF46="Да",1,0)</x:f>
      </x:c>
      <x:c r="H459" s="702">
        <x:f>IF('Г-43-107'!$AL46="Да",1,0)</x:f>
      </x:c>
      <x:c r="I459" s="703">
        <x:f>IF('Г-43-107'!$AR46="Да",1,0)</x:f>
      </x:c>
      <x:c r="J459" s="704">
        <x:f>IF('Г-43-107'!$AX46="Да",1,0)</x:f>
      </x:c>
      <x:c r="K459" s="705">
        <x:f>IF('Г-43-107'!$BD46="Да",1,0)</x:f>
      </x:c>
      <x:c r="L459" s="706">
        <x:f>IF('Г-43-107'!$BJ46="Да",1,0)</x:f>
      </x:c>
      <x:c r="M459" s="707">
        <x:f>IF('Г-43-107'!$BP46="Да",1,0)</x:f>
      </x:c>
      <x:c r="N459" s="708">
        <x:f>IF('Г-43-107'!$BV46="Да",1,0)</x:f>
      </x:c>
      <x:c r="O459" s="375">
        <x:f>IFERROR(ROUND(SUM(C459:N459)/($S$416),1),"")</x:f>
      </x:c>
    </x:row>
    <x:row r="460" spans="1:25" ht="15" customHeight="1" x14ac:dyDescent="0.25">
      <x:c r="A460" s="710"/>
      <x:c r="B460" s="363" t="s">
        <x:v>560</x:v>
      </x:c>
      <x:c r="C460" s="697">
        <x:f>IF('Г-43-107'!$H47="Да",1,0)</x:f>
      </x:c>
      <x:c r="D460" s="698">
        <x:f>IF('Г-43-107'!$N47="Да",1,0)</x:f>
      </x:c>
      <x:c r="E460" s="699">
        <x:f>IF('Г-43-107'!$T47="Да",1,0)</x:f>
      </x:c>
      <x:c r="F460" s="700">
        <x:f>IF('Г-43-107'!$Z47="Да",1,0)</x:f>
      </x:c>
      <x:c r="G460" s="701">
        <x:f>IF('Г-43-107'!$AF47="Да",1,0)</x:f>
      </x:c>
      <x:c r="H460" s="702">
        <x:f>IF('Г-43-107'!$AL47="Да",1,0)</x:f>
      </x:c>
      <x:c r="I460" s="703">
        <x:f>IF('Г-43-107'!$AR47="Да",1,0)</x:f>
      </x:c>
      <x:c r="J460" s="704">
        <x:f>IF('Г-43-107'!$AX47="Да",1,0)</x:f>
      </x:c>
      <x:c r="K460" s="705">
        <x:f>IF('Г-43-107'!$BD47="Да",1,0)</x:f>
      </x:c>
      <x:c r="L460" s="706">
        <x:f>IF('Г-43-107'!$BJ47="Да",1,0)</x:f>
      </x:c>
      <x:c r="M460" s="707">
        <x:f>IF('Г-43-107'!$BP47="Да",1,0)</x:f>
      </x:c>
      <x:c r="N460" s="708">
        <x:f>IF('Г-43-107'!$BV47="Да",1,0)</x:f>
      </x:c>
      <x:c r="O460" s="375">
        <x:f>IFERROR(ROUND(SUM(C460:N460)/($S$416),1),"")</x:f>
      </x:c>
    </x:row>
    <x:row r="461" spans="1:25" ht="15" customHeight="1" x14ac:dyDescent="0.25">
      <x:c r="A461" s="710"/>
      <x:c r="B461" s="363" t="s">
        <x:v>558</x:v>
      </x:c>
      <x:c r="C461" s="697">
        <x:f>IF('Г-43-107'!$H48="Да",1,0)</x:f>
      </x:c>
      <x:c r="D461" s="698">
        <x:f>IF('Г-43-107'!$N48="Да",1,0)</x:f>
      </x:c>
      <x:c r="E461" s="699">
        <x:f>IF('Г-43-107'!$T48="Да",1,0)</x:f>
      </x:c>
      <x:c r="F461" s="700">
        <x:f>IF('Г-43-107'!$Z48="Да",1,0)</x:f>
      </x:c>
      <x:c r="G461" s="701">
        <x:f>IF('Г-43-107'!$AF48="Да",1,0)</x:f>
      </x:c>
      <x:c r="H461" s="702">
        <x:f>IF('Г-43-107'!$AL48="Да",1,0)</x:f>
      </x:c>
      <x:c r="I461" s="703">
        <x:f>IF('Г-43-107'!$AR48="Да",1,0)</x:f>
      </x:c>
      <x:c r="J461" s="704">
        <x:f>IF('Г-43-107'!$AX48="Да",1,0)</x:f>
      </x:c>
      <x:c r="K461" s="705">
        <x:f>IF('Г-43-107'!$BD48="Да",1,0)</x:f>
      </x:c>
      <x:c r="L461" s="706">
        <x:f>IF('Г-43-107'!$BJ48="Да",1,0)</x:f>
      </x:c>
      <x:c r="M461" s="707">
        <x:f>IF('Г-43-107'!$BP48="Да",1,0)</x:f>
      </x:c>
      <x:c r="N461" s="708">
        <x:f>IF('Г-43-107'!$BV48="Да",1,0)</x:f>
      </x:c>
      <x:c r="O461" s="375">
        <x:f>IFERROR(ROUND(SUM(C461:N461)/($S$416),1),"")</x:f>
      </x:c>
    </x:row>
    <x:row r="462" spans="1:25" ht="15" customHeight="1" x14ac:dyDescent="0.25">
      <x:c r="A462" s="710"/>
      <x:c r="B462" s="363" t="s">
        <x:v>1129</x:v>
      </x:c>
      <x:c r="C462" s="697">
        <x:f>IF('Г-43-107'!$H49="Да",1,0)</x:f>
      </x:c>
      <x:c r="D462" s="698">
        <x:f>IF('Г-43-107'!$N49="Да",1,0)</x:f>
      </x:c>
      <x:c r="E462" s="699">
        <x:f>IF('Г-43-107'!$T49="Да",1,0)</x:f>
      </x:c>
      <x:c r="F462" s="700">
        <x:f>IF('Г-43-107'!$Z49="Да",1,0)</x:f>
      </x:c>
      <x:c r="G462" s="701">
        <x:f>IF('Г-43-107'!$AF49="Да",1,0)</x:f>
      </x:c>
      <x:c r="H462" s="702">
        <x:f>IF('Г-43-107'!$AL49="Да",1,0)</x:f>
      </x:c>
      <x:c r="I462" s="703">
        <x:f>IF('Г-43-107'!$AR49="Да",1,0)</x:f>
      </x:c>
      <x:c r="J462" s="704">
        <x:f>IF('Г-43-107'!$AX49="Да",1,0)</x:f>
      </x:c>
      <x:c r="K462" s="705">
        <x:f>IF('Г-43-107'!$BD49="Да",1,0)</x:f>
      </x:c>
      <x:c r="L462" s="706">
        <x:f>IF('Г-43-107'!$BJ49="Да",1,0)</x:f>
      </x:c>
      <x:c r="M462" s="707">
        <x:f>IF('Г-43-107'!$BP49="Да",1,0)</x:f>
      </x:c>
      <x:c r="N462" s="708">
        <x:f>IF('Г-43-107'!$BV49="Да",1,0)</x:f>
      </x:c>
      <x:c r="O462" s="375">
        <x:f>IFERROR(ROUND(SUM(C462:N462)/($S$416),1),"")</x:f>
      </x:c>
    </x:row>
    <x:row r="463" spans="1:25" ht="15" customHeight="1" x14ac:dyDescent="0.25">
      <x:c r="A463" s="710"/>
      <x:c r="B463" s="363" t="s">
        <x:v>562</x:v>
      </x:c>
      <x:c r="C463" s="697">
        <x:f>IF('Г-43-107'!$H50="Да",1,0)</x:f>
      </x:c>
      <x:c r="D463" s="698">
        <x:f>IF('Г-43-107'!$N50="Да",1,0)</x:f>
      </x:c>
      <x:c r="E463" s="699">
        <x:f>IF('Г-43-107'!$T50="Да",1,0)</x:f>
      </x:c>
      <x:c r="F463" s="700">
        <x:f>IF('Г-43-107'!$Z50="Да",1,0)</x:f>
      </x:c>
      <x:c r="G463" s="701">
        <x:f>IF('Г-43-107'!$AF50="Да",1,0)</x:f>
      </x:c>
      <x:c r="H463" s="702">
        <x:f>IF('Г-43-107'!$AL50="Да",1,0)</x:f>
      </x:c>
      <x:c r="I463" s="703">
        <x:f>IF('Г-43-107'!$AR50="Да",1,0)</x:f>
      </x:c>
      <x:c r="J463" s="704">
        <x:f>IF('Г-43-107'!$AX50="Да",1,0)</x:f>
      </x:c>
      <x:c r="K463" s="705">
        <x:f>IF('Г-43-107'!$BD50="Да",1,0)</x:f>
      </x:c>
      <x:c r="L463" s="706">
        <x:f>IF('Г-43-107'!$BJ50="Да",1,0)</x:f>
      </x:c>
      <x:c r="M463" s="707">
        <x:f>IF('Г-43-107'!$BP50="Да",1,0)</x:f>
      </x:c>
      <x:c r="N463" s="708">
        <x:f>IF('Г-43-107'!$BV50="Да",1,0)</x:f>
      </x:c>
      <x:c r="O463" s="375">
        <x:f>IFERROR(ROUND(SUM(C463:N463)/($S$416),1),"")</x:f>
      </x:c>
    </x:row>
    <x:row r="464" spans="1:25" ht="15" customHeight="1" x14ac:dyDescent="0.25">
      <x:c r="A464" s="710"/>
      <x:c r="B464" s="363" t="s">
        <x:v>586</x:v>
      </x:c>
      <x:c r="C464" s="697">
        <x:f>IF('Г-43-107'!$H51="Да",1,0)</x:f>
      </x:c>
      <x:c r="D464" s="698">
        <x:f>IF('Г-43-107'!$N51="Да",1,0)</x:f>
      </x:c>
      <x:c r="E464" s="699">
        <x:f>IF('Г-43-107'!$T51="Да",1,0)</x:f>
      </x:c>
      <x:c r="F464" s="700">
        <x:f>IF('Г-43-107'!$Z51="Да",1,0)</x:f>
      </x:c>
      <x:c r="G464" s="701">
        <x:f>IF('Г-43-107'!$AF51="Да",1,0)</x:f>
      </x:c>
      <x:c r="H464" s="702">
        <x:f>IF('Г-43-107'!$AL51="Да",1,0)</x:f>
      </x:c>
      <x:c r="I464" s="703">
        <x:f>IF('Г-43-107'!$AR51="Да",1,0)</x:f>
      </x:c>
      <x:c r="J464" s="704">
        <x:f>IF('Г-43-107'!$AX51="Да",1,0)</x:f>
      </x:c>
      <x:c r="K464" s="705">
        <x:f>IF('Г-43-107'!$BD51="Да",1,0)</x:f>
      </x:c>
      <x:c r="L464" s="706">
        <x:f>IF('Г-43-107'!$BJ51="Да",1,0)</x:f>
      </x:c>
      <x:c r="M464" s="707">
        <x:f>IF('Г-43-107'!$BP51="Да",1,0)</x:f>
      </x:c>
      <x:c r="N464" s="708">
        <x:f>IF('Г-43-107'!$BV51="Да",1,0)</x:f>
      </x:c>
      <x:c r="O464" s="375">
        <x:f>IFERROR(ROUND(SUM(C464:N464)/($S$416),1),"")</x:f>
      </x:c>
    </x:row>
    <x:row r="465" spans="1:25" ht="15" customHeight="1" x14ac:dyDescent="0.25">
      <x:c r="A465" s="710"/>
      <x:c r="B465" s="363" t="s">
        <x:v>577</x:v>
      </x:c>
      <x:c r="C465" s="697">
        <x:f>IF('Г-43-107'!$H52="Да",1,0)</x:f>
      </x:c>
      <x:c r="D465" s="698">
        <x:f>IF('Г-43-107'!$N52="Да",1,0)</x:f>
      </x:c>
      <x:c r="E465" s="699">
        <x:f>IF('Г-43-107'!$T52="Да",1,0)</x:f>
      </x:c>
      <x:c r="F465" s="700">
        <x:f>IF('Г-43-107'!$Z52="Да",1,0)</x:f>
      </x:c>
      <x:c r="G465" s="701">
        <x:f>IF('Г-43-107'!$AF52="Да",1,0)</x:f>
      </x:c>
      <x:c r="H465" s="702">
        <x:f>IF('Г-43-107'!$AL52="Да",1,0)</x:f>
      </x:c>
      <x:c r="I465" s="703">
        <x:f>IF('Г-43-107'!$AR52="Да",1,0)</x:f>
      </x:c>
      <x:c r="J465" s="704">
        <x:f>IF('Г-43-107'!$AX52="Да",1,0)</x:f>
      </x:c>
      <x:c r="K465" s="705">
        <x:f>IF('Г-43-107'!$BD52="Да",1,0)</x:f>
      </x:c>
      <x:c r="L465" s="706">
        <x:f>IF('Г-43-107'!$BJ52="Да",1,0)</x:f>
      </x:c>
      <x:c r="M465" s="707">
        <x:f>IF('Г-43-107'!$BP52="Да",1,0)</x:f>
      </x:c>
      <x:c r="N465" s="708">
        <x:f>IF('Г-43-107'!$BV52="Да",1,0)</x:f>
      </x:c>
      <x:c r="O465" s="375">
        <x:f>IFERROR(ROUND(SUM(C465:N465)/($S$416),1),"")</x:f>
      </x:c>
    </x:row>
    <x:row r="466" spans="1:25" ht="15" customHeight="1" x14ac:dyDescent="0.25">
      <x:c r="A466" s="710"/>
      <x:c r="B466" s="363" t="s">
        <x:v>1130</x:v>
      </x:c>
      <x:c r="C466" s="697">
        <x:f>IF('Г-43-107'!$H53="Да",1,0)</x:f>
      </x:c>
      <x:c r="D466" s="698">
        <x:f>IF('Г-43-107'!$N53="Да",1,0)</x:f>
      </x:c>
      <x:c r="E466" s="699">
        <x:f>IF('Г-43-107'!$T53="Да",1,0)</x:f>
      </x:c>
      <x:c r="F466" s="700">
        <x:f>IF('Г-43-107'!$Z53="Да",1,0)</x:f>
      </x:c>
      <x:c r="G466" s="701">
        <x:f>IF('Г-43-107'!$AF53="Да",1,0)</x:f>
      </x:c>
      <x:c r="H466" s="702">
        <x:f>IF('Г-43-107'!$AL53="Да",1,0)</x:f>
      </x:c>
      <x:c r="I466" s="703">
        <x:f>IF('Г-43-107'!$AR53="Да",1,0)</x:f>
      </x:c>
      <x:c r="J466" s="704">
        <x:f>IF('Г-43-107'!$AX53="Да",1,0)</x:f>
      </x:c>
      <x:c r="K466" s="705">
        <x:f>IF('Г-43-107'!$BD53="Да",1,0)</x:f>
      </x:c>
      <x:c r="L466" s="706">
        <x:f>IF('Г-43-107'!$BJ53="Да",1,0)</x:f>
      </x:c>
      <x:c r="M466" s="707">
        <x:f>IF('Г-43-107'!$BP53="Да",1,0)</x:f>
      </x:c>
      <x:c r="N466" s="708">
        <x:f>IF('Г-43-107'!$BV53="Да",1,0)</x:f>
      </x:c>
      <x:c r="O466" s="375">
        <x:f>IFERROR(ROUND(SUM(C466:N466)/($S$416),1),"")</x:f>
      </x:c>
    </x:row>
    <x:row r="467" spans="1:25" ht="15" customHeight="1" x14ac:dyDescent="0.25">
      <x:c r="A467" s="710"/>
      <x:c r="B467" s="363" t="s">
        <x:v>529</x:v>
      </x:c>
      <x:c r="C467" s="697">
        <x:f>IF('Г-43-107'!$H54="Да",1,0)</x:f>
      </x:c>
      <x:c r="D467" s="698">
        <x:f>IF('Г-43-107'!$N54="Да",1,0)</x:f>
      </x:c>
      <x:c r="E467" s="699">
        <x:f>IF('Г-43-107'!$T54="Да",1,0)</x:f>
      </x:c>
      <x:c r="F467" s="700">
        <x:f>IF('Г-43-107'!$Z54="Да",1,0)</x:f>
      </x:c>
      <x:c r="G467" s="701">
        <x:f>IF('Г-43-107'!$AF54="Да",1,0)</x:f>
      </x:c>
      <x:c r="H467" s="702">
        <x:f>IF('Г-43-107'!$AL54="Да",1,0)</x:f>
      </x:c>
      <x:c r="I467" s="703">
        <x:f>IF('Г-43-107'!$AR54="Да",1,0)</x:f>
      </x:c>
      <x:c r="J467" s="704">
        <x:f>IF('Г-43-107'!$AX54="Да",1,0)</x:f>
      </x:c>
      <x:c r="K467" s="705">
        <x:f>IF('Г-43-107'!$BD54="Да",1,0)</x:f>
      </x:c>
      <x:c r="L467" s="706">
        <x:f>IF('Г-43-107'!$BJ54="Да",1,0)</x:f>
      </x:c>
      <x:c r="M467" s="707">
        <x:f>IF('Г-43-107'!$BP54="Да",1,0)</x:f>
      </x:c>
      <x:c r="N467" s="708">
        <x:f>IF('Г-43-107'!$BV54="Да",1,0)</x:f>
      </x:c>
      <x:c r="O467" s="375">
        <x:f>IFERROR(ROUND(SUM(C467:N467)/($S$416),1),"")</x:f>
      </x:c>
    </x:row>
    <x:row r="468" spans="1:25" ht="15" customHeight="1" x14ac:dyDescent="0.25">
      <x:c r="A468" s="710"/>
      <x:c r="B468" s="363" t="s">
        <x:v>545</x:v>
      </x:c>
      <x:c r="C468" s="697">
        <x:f>IF('Г-43-107'!$H55="Да",1,0)</x:f>
      </x:c>
      <x:c r="D468" s="698">
        <x:f>IF('Г-43-107'!$N55="Да",1,0)</x:f>
      </x:c>
      <x:c r="E468" s="699">
        <x:f>IF('Г-43-107'!$T55="Да",1,0)</x:f>
      </x:c>
      <x:c r="F468" s="700">
        <x:f>IF('Г-43-107'!$Z55="Да",1,0)</x:f>
      </x:c>
      <x:c r="G468" s="701">
        <x:f>IF('Г-43-107'!$AF55="Да",1,0)</x:f>
      </x:c>
      <x:c r="H468" s="702">
        <x:f>IF('Г-43-107'!$AL55="Да",1,0)</x:f>
      </x:c>
      <x:c r="I468" s="703">
        <x:f>IF('Г-43-107'!$AR55="Да",1,0)</x:f>
      </x:c>
      <x:c r="J468" s="704">
        <x:f>IF('Г-43-107'!$AX55="Да",1,0)</x:f>
      </x:c>
      <x:c r="K468" s="705">
        <x:f>IF('Г-43-107'!$BD55="Да",1,0)</x:f>
      </x:c>
      <x:c r="L468" s="706">
        <x:f>IF('Г-43-107'!$BJ55="Да",1,0)</x:f>
      </x:c>
      <x:c r="M468" s="707">
        <x:f>IF('Г-43-107'!$BP55="Да",1,0)</x:f>
      </x:c>
      <x:c r="N468" s="708">
        <x:f>IF('Г-43-107'!$BV55="Да",1,0)</x:f>
      </x:c>
      <x:c r="O468" s="375">
        <x:f>IFERROR(ROUND(SUM(C468:N468)/($S$416),1),"")</x:f>
      </x:c>
    </x:row>
    <x:row r="469" spans="1:25" ht="15" customHeight="1" x14ac:dyDescent="0.25">
      <x:c r="A469" s="710"/>
      <x:c r="B469" s="363" t="s">
        <x:v>539</x:v>
      </x:c>
      <x:c r="C469" s="697">
        <x:f>IF('Г-43-107'!$H56="Да",1,0)</x:f>
      </x:c>
      <x:c r="D469" s="698">
        <x:f>IF('Г-43-107'!$N56="Да",1,0)</x:f>
      </x:c>
      <x:c r="E469" s="699">
        <x:f>IF('Г-43-107'!$T56="Да",1,0)</x:f>
      </x:c>
      <x:c r="F469" s="700">
        <x:f>IF('Г-43-107'!$Z56="Да",1,0)</x:f>
      </x:c>
      <x:c r="G469" s="701">
        <x:f>IF('Г-43-107'!$AF56="Да",1,0)</x:f>
      </x:c>
      <x:c r="H469" s="702">
        <x:f>IF('Г-43-107'!$AL56="Да",1,0)</x:f>
      </x:c>
      <x:c r="I469" s="703">
        <x:f>IF('Г-43-107'!$AR56="Да",1,0)</x:f>
      </x:c>
      <x:c r="J469" s="704">
        <x:f>IF('Г-43-107'!$AX56="Да",1,0)</x:f>
      </x:c>
      <x:c r="K469" s="705">
        <x:f>IF('Г-43-107'!$BD56="Да",1,0)</x:f>
      </x:c>
      <x:c r="L469" s="706">
        <x:f>IF('Г-43-107'!$BJ56="Да",1,0)</x:f>
      </x:c>
      <x:c r="M469" s="707">
        <x:f>IF('Г-43-107'!$BP56="Да",1,0)</x:f>
      </x:c>
      <x:c r="N469" s="708">
        <x:f>IF('Г-43-107'!$BV56="Да",1,0)</x:f>
      </x:c>
      <x:c r="O469" s="375">
        <x:f>IFERROR(ROUND(SUM(C469:N469)/($S$416),1),"")</x:f>
      </x:c>
    </x:row>
    <x:row r="470" spans="1:25" ht="15" customHeight="1" x14ac:dyDescent="0.25">
      <x:c r="A470" s="710"/>
      <x:c r="B470" s="363" t="s">
        <x:v>597</x:v>
      </x:c>
      <x:c r="C470" s="697">
        <x:f>IF('Г-43-107'!$H57="Да",1,0)</x:f>
      </x:c>
      <x:c r="D470" s="698">
        <x:f>IF('Г-43-107'!$N57="Да",1,0)</x:f>
      </x:c>
      <x:c r="E470" s="699">
        <x:f>IF('Г-43-107'!$T57="Да",1,0)</x:f>
      </x:c>
      <x:c r="F470" s="700">
        <x:f>IF('Г-43-107'!$Z57="Да",1,0)</x:f>
      </x:c>
      <x:c r="G470" s="701">
        <x:f>IF('Г-43-107'!$AF57="Да",1,0)</x:f>
      </x:c>
      <x:c r="H470" s="702">
        <x:f>IF('Г-43-107'!$AL57="Да",1,0)</x:f>
      </x:c>
      <x:c r="I470" s="703">
        <x:f>IF('Г-43-107'!$AR57="Да",1,0)</x:f>
      </x:c>
      <x:c r="J470" s="704">
        <x:f>IF('Г-43-107'!$AX57="Да",1,0)</x:f>
      </x:c>
      <x:c r="K470" s="705">
        <x:f>IF('Г-43-107'!$BD57="Да",1,0)</x:f>
      </x:c>
      <x:c r="L470" s="706">
        <x:f>IF('Г-43-107'!$BJ57="Да",1,0)</x:f>
      </x:c>
      <x:c r="M470" s="707">
        <x:f>IF('Г-43-107'!$BP57="Да",1,0)</x:f>
      </x:c>
      <x:c r="N470" s="708">
        <x:f>IF('Г-43-107'!$BV57="Да",1,0)</x:f>
      </x:c>
      <x:c r="O470" s="375">
        <x:f>IFERROR(ROUND(SUM(C470:N470)/($S$416),1),"")</x:f>
      </x:c>
    </x:row>
    <x:row r="471" spans="1:25" ht="15" customHeight="1" x14ac:dyDescent="0.25">
      <x:c r="A471" s="710"/>
      <x:c r="B471" s="363" t="s">
        <x:v>548</x:v>
      </x:c>
      <x:c r="C471" s="697">
        <x:f>IF('Г-43-107'!$H58="Да",1,0)</x:f>
      </x:c>
      <x:c r="D471" s="698">
        <x:f>IF('Г-43-107'!$N58="Да",1,0)</x:f>
      </x:c>
      <x:c r="E471" s="699">
        <x:f>IF('Г-43-107'!$T58="Да",1,0)</x:f>
      </x:c>
      <x:c r="F471" s="700">
        <x:f>IF('Г-43-107'!$Z58="Да",1,0)</x:f>
      </x:c>
      <x:c r="G471" s="701">
        <x:f>IF('Г-43-107'!$AF58="Да",1,0)</x:f>
      </x:c>
      <x:c r="H471" s="702">
        <x:f>IF('Г-43-107'!$AL58="Да",1,0)</x:f>
      </x:c>
      <x:c r="I471" s="703">
        <x:f>IF('Г-43-107'!$AR58="Да",1,0)</x:f>
      </x:c>
      <x:c r="J471" s="704">
        <x:f>IF('Г-43-107'!$AX58="Да",1,0)</x:f>
      </x:c>
      <x:c r="K471" s="705">
        <x:f>IF('Г-43-107'!$BD58="Да",1,0)</x:f>
      </x:c>
      <x:c r="L471" s="706">
        <x:f>IF('Г-43-107'!$BJ58="Да",1,0)</x:f>
      </x:c>
      <x:c r="M471" s="707">
        <x:f>IF('Г-43-107'!$BP58="Да",1,0)</x:f>
      </x:c>
      <x:c r="N471" s="708">
        <x:f>IF('Г-43-107'!$BV58="Да",1,0)</x:f>
      </x:c>
      <x:c r="O471" s="375">
        <x:f>IFERROR(ROUND(SUM(C471:N471)/($S$416),1),"")</x:f>
      </x:c>
    </x:row>
    <x:row r="472" spans="1:25" ht="15" customHeight="1" x14ac:dyDescent="0.25">
      <x:c r="A472" s="710"/>
      <x:c r="B472" s="363" t="s">
        <x:v>584</x:v>
      </x:c>
      <x:c r="C472" s="697">
        <x:f>IF('Г-43-107'!$H59="Да",1,0)</x:f>
      </x:c>
      <x:c r="D472" s="698">
        <x:f>IF('Г-43-107'!$N59="Да",1,0)</x:f>
      </x:c>
      <x:c r="E472" s="699">
        <x:f>IF('Г-43-107'!$T59="Да",1,0)</x:f>
      </x:c>
      <x:c r="F472" s="700">
        <x:f>IF('Г-43-107'!$Z59="Да",1,0)</x:f>
      </x:c>
      <x:c r="G472" s="701">
        <x:f>IF('Г-43-107'!$AF59="Да",1,0)</x:f>
      </x:c>
      <x:c r="H472" s="702">
        <x:f>IF('Г-43-107'!$AL59="Да",1,0)</x:f>
      </x:c>
      <x:c r="I472" s="703">
        <x:f>IF('Г-43-107'!$AR59="Да",1,0)</x:f>
      </x:c>
      <x:c r="J472" s="704">
        <x:f>IF('Г-43-107'!$AX59="Да",1,0)</x:f>
      </x:c>
      <x:c r="K472" s="705">
        <x:f>IF('Г-43-107'!$BD59="Да",1,0)</x:f>
      </x:c>
      <x:c r="L472" s="706">
        <x:f>IF('Г-43-107'!$BJ59="Да",1,0)</x:f>
      </x:c>
      <x:c r="M472" s="707">
        <x:f>IF('Г-43-107'!$BP59="Да",1,0)</x:f>
      </x:c>
      <x:c r="N472" s="708">
        <x:f>IF('Г-43-107'!$BV59="Да",1,0)</x:f>
      </x:c>
      <x:c r="O472" s="375">
        <x:f>IFERROR(ROUND(SUM(C472:N472)/($S$416),1),"")</x:f>
      </x:c>
    </x:row>
    <x:row r="473" spans="1:25" ht="15" customHeight="1" x14ac:dyDescent="0.25">
      <x:c r="A473" s="710"/>
      <x:c r="B473" s="363" t="s">
        <x:v>596</x:v>
      </x:c>
      <x:c r="C473" s="697">
        <x:f>IF('Г-43-107'!$H60="Да",1,0)</x:f>
      </x:c>
      <x:c r="D473" s="698">
        <x:f>IF('Г-43-107'!$N60="Да",1,0)</x:f>
      </x:c>
      <x:c r="E473" s="699">
        <x:f>IF('Г-43-107'!$T60="Да",1,0)</x:f>
      </x:c>
      <x:c r="F473" s="700">
        <x:f>IF('Г-43-107'!$Z60="Да",1,0)</x:f>
      </x:c>
      <x:c r="G473" s="701">
        <x:f>IF('Г-43-107'!$AF60="Да",1,0)</x:f>
      </x:c>
      <x:c r="H473" s="702">
        <x:f>IF('Г-43-107'!$AL60="Да",1,0)</x:f>
      </x:c>
      <x:c r="I473" s="703">
        <x:f>IF('Г-43-107'!$AR60="Да",1,0)</x:f>
      </x:c>
      <x:c r="J473" s="704">
        <x:f>IF('Г-43-107'!$AX60="Да",1,0)</x:f>
      </x:c>
      <x:c r="K473" s="705">
        <x:f>IF('Г-43-107'!$BD60="Да",1,0)</x:f>
      </x:c>
      <x:c r="L473" s="706">
        <x:f>IF('Г-43-107'!$BJ60="Да",1,0)</x:f>
      </x:c>
      <x:c r="M473" s="707">
        <x:f>IF('Г-43-107'!$BP60="Да",1,0)</x:f>
      </x:c>
      <x:c r="N473" s="708">
        <x:f>IF('Г-43-107'!$BV60="Да",1,0)</x:f>
      </x:c>
      <x:c r="O473" s="375">
        <x:f>IFERROR(ROUND(SUM(C473:N473)/($S$416),1),"")</x:f>
      </x:c>
    </x:row>
    <x:row r="474" spans="1:25" ht="15" customHeight="1" x14ac:dyDescent="0.25">
      <x:c r="A474" s="710"/>
      <x:c r="B474" s="363" t="s">
        <x:v>594</x:v>
      </x:c>
      <x:c r="C474" s="697">
        <x:f>IF('Г-43-107'!$H61="Да",1,0)</x:f>
      </x:c>
      <x:c r="D474" s="698">
        <x:f>IF('Г-43-107'!$N61="Да",1,0)</x:f>
      </x:c>
      <x:c r="E474" s="699">
        <x:f>IF('Г-43-107'!$T61="Да",1,0)</x:f>
      </x:c>
      <x:c r="F474" s="700">
        <x:f>IF('Г-43-107'!$Z61="Да",1,0)</x:f>
      </x:c>
      <x:c r="G474" s="701">
        <x:f>IF('Г-43-107'!$AF61="Да",1,0)</x:f>
      </x:c>
      <x:c r="H474" s="702">
        <x:f>IF('Г-43-107'!$AL61="Да",1,0)</x:f>
      </x:c>
      <x:c r="I474" s="703">
        <x:f>IF('Г-43-107'!$AR61="Да",1,0)</x:f>
      </x:c>
      <x:c r="J474" s="704">
        <x:f>IF('Г-43-107'!$AX61="Да",1,0)</x:f>
      </x:c>
      <x:c r="K474" s="705">
        <x:f>IF('Г-43-107'!$BD61="Да",1,0)</x:f>
      </x:c>
      <x:c r="L474" s="706">
        <x:f>IF('Г-43-107'!$BJ61="Да",1,0)</x:f>
      </x:c>
      <x:c r="M474" s="707">
        <x:f>IF('Г-43-107'!$BP61="Да",1,0)</x:f>
      </x:c>
      <x:c r="N474" s="708">
        <x:f>IF('Г-43-107'!$BV61="Да",1,0)</x:f>
      </x:c>
      <x:c r="O474" s="375">
        <x:f>IFERROR(ROUND(SUM(C474:N474)/($S$416),1),"")</x:f>
      </x:c>
    </x:row>
    <x:row r="475" spans="1:25" ht="15" customHeight="1" x14ac:dyDescent="0.25">
      <x:c r="A475" s="710"/>
      <x:c r="B475" s="363" t="s">
        <x:v>519</x:v>
      </x:c>
      <x:c r="C475" s="697">
        <x:f>IF('Г-43-107'!$H62="Да",1,0)</x:f>
      </x:c>
      <x:c r="D475" s="698">
        <x:f>IF('Г-43-107'!$N62="Да",1,0)</x:f>
      </x:c>
      <x:c r="E475" s="699">
        <x:f>IF('Г-43-107'!$T62="Да",1,0)</x:f>
      </x:c>
      <x:c r="F475" s="700">
        <x:f>IF('Г-43-107'!$Z62="Да",1,0)</x:f>
      </x:c>
      <x:c r="G475" s="701">
        <x:f>IF('Г-43-107'!$AF62="Да",1,0)</x:f>
      </x:c>
      <x:c r="H475" s="702">
        <x:f>IF('Г-43-107'!$AL62="Да",1,0)</x:f>
      </x:c>
      <x:c r="I475" s="703">
        <x:f>IF('Г-43-107'!$AR62="Да",1,0)</x:f>
      </x:c>
      <x:c r="J475" s="704">
        <x:f>IF('Г-43-107'!$AX62="Да",1,0)</x:f>
      </x:c>
      <x:c r="K475" s="705">
        <x:f>IF('Г-43-107'!$BD62="Да",1,0)</x:f>
      </x:c>
      <x:c r="L475" s="706">
        <x:f>IF('Г-43-107'!$BJ62="Да",1,0)</x:f>
      </x:c>
      <x:c r="M475" s="707">
        <x:f>IF('Г-43-107'!$BP62="Да",1,0)</x:f>
      </x:c>
      <x:c r="N475" s="708">
        <x:f>IF('Г-43-107'!$BV62="Да",1,0)</x:f>
      </x:c>
      <x:c r="O475" s="375">
        <x:f>IFERROR(ROUND(SUM(C475:N475)/($S$416),1),"")</x:f>
      </x:c>
    </x:row>
    <x:row r="476" spans="1:25" ht="15" customHeight="1" x14ac:dyDescent="0.25">
      <x:c r="A476" s="710"/>
      <x:c r="B476" s="363" t="s">
        <x:v>595</x:v>
      </x:c>
      <x:c r="C476" s="697">
        <x:f>IF('Г-43-107'!$H63="Да",1,0)</x:f>
      </x:c>
      <x:c r="D476" s="698">
        <x:f>IF('Г-43-107'!$N63="Да",1,0)</x:f>
      </x:c>
      <x:c r="E476" s="699">
        <x:f>IF('Г-43-107'!$T63="Да",1,0)</x:f>
      </x:c>
      <x:c r="F476" s="700">
        <x:f>IF('Г-43-107'!$Z63="Да",1,0)</x:f>
      </x:c>
      <x:c r="G476" s="701">
        <x:f>IF('Г-43-107'!$AF63="Да",1,0)</x:f>
      </x:c>
      <x:c r="H476" s="702">
        <x:f>IF('Г-43-107'!$AL63="Да",1,0)</x:f>
      </x:c>
      <x:c r="I476" s="703">
        <x:f>IF('Г-43-107'!$AR63="Да",1,0)</x:f>
      </x:c>
      <x:c r="J476" s="704">
        <x:f>IF('Г-43-107'!$AX63="Да",1,0)</x:f>
      </x:c>
      <x:c r="K476" s="705">
        <x:f>IF('Г-43-107'!$BD63="Да",1,0)</x:f>
      </x:c>
      <x:c r="L476" s="706">
        <x:f>IF('Г-43-107'!$BJ63="Да",1,0)</x:f>
      </x:c>
      <x:c r="M476" s="707">
        <x:f>IF('Г-43-107'!$BP63="Да",1,0)</x:f>
      </x:c>
      <x:c r="N476" s="708">
        <x:f>IF('Г-43-107'!$BV63="Да",1,0)</x:f>
      </x:c>
      <x:c r="O476" s="375">
        <x:f>IFERROR(ROUND(SUM(C476:N476)/($S$416),1),"")</x:f>
      </x:c>
    </x:row>
    <x:row r="477" spans="1:25" ht="15" customHeight="1" x14ac:dyDescent="0.25">
      <x:c r="A477" s="710"/>
      <x:c r="B477" s="363" t="s">
        <x:v>526</x:v>
      </x:c>
      <x:c r="C477" s="697">
        <x:f>IF('Г-43-107'!$H64="Да",1,0)</x:f>
      </x:c>
      <x:c r="D477" s="698">
        <x:f>IF('Г-43-107'!$N64="Да",1,0)</x:f>
      </x:c>
      <x:c r="E477" s="699">
        <x:f>IF('Г-43-107'!$T64="Да",1,0)</x:f>
      </x:c>
      <x:c r="F477" s="700">
        <x:f>IF('Г-43-107'!$Z64="Да",1,0)</x:f>
      </x:c>
      <x:c r="G477" s="701">
        <x:f>IF('Г-43-107'!$AF64="Да",1,0)</x:f>
      </x:c>
      <x:c r="H477" s="702">
        <x:f>IF('Г-43-107'!$AL64="Да",1,0)</x:f>
      </x:c>
      <x:c r="I477" s="703">
        <x:f>IF('Г-43-107'!$AR64="Да",1,0)</x:f>
      </x:c>
      <x:c r="J477" s="704">
        <x:f>IF('Г-43-107'!$AX64="Да",1,0)</x:f>
      </x:c>
      <x:c r="K477" s="705">
        <x:f>IF('Г-43-107'!$BD64="Да",1,0)</x:f>
      </x:c>
      <x:c r="L477" s="706">
        <x:f>IF('Г-43-107'!$BJ64="Да",1,0)</x:f>
      </x:c>
      <x:c r="M477" s="707">
        <x:f>IF('Г-43-107'!$BP64="Да",1,0)</x:f>
      </x:c>
      <x:c r="N477" s="708">
        <x:f>IF('Г-43-107'!$BV64="Да",1,0)</x:f>
      </x:c>
      <x:c r="O477" s="375">
        <x:f>IFERROR(ROUND(SUM(C477:N477)/($S$416),1),"")</x:f>
      </x:c>
    </x:row>
    <x:row r="478" spans="1:25" ht="15" customHeight="1" x14ac:dyDescent="0.3">
      <x:c r="A478" s="710"/>
      <x:c r="B478" s="363" t="s">
        <x:v>578</x:v>
      </x:c>
      <x:c r="C478" s="697">
        <x:f>IF('Г-43-107'!$H65="Да",1,0)</x:f>
      </x:c>
      <x:c r="D478" s="698">
        <x:f>IF('Г-43-107'!$N65="Да",1,0)</x:f>
      </x:c>
      <x:c r="E478" s="699">
        <x:f>IF('Г-43-107'!$T65="Да",1,0)</x:f>
      </x:c>
      <x:c r="F478" s="700">
        <x:f>IF('Г-43-107'!$Z65="Да",1,0)</x:f>
      </x:c>
      <x:c r="G478" s="701">
        <x:f>IF('Г-43-107'!$AF65="Да",1,0)</x:f>
      </x:c>
      <x:c r="H478" s="702">
        <x:f>IF('Г-43-107'!$AL65="Да",1,0)</x:f>
      </x:c>
      <x:c r="I478" s="703">
        <x:f>IF('Г-43-107'!$AR65="Да",1,0)</x:f>
      </x:c>
      <x:c r="J478" s="704">
        <x:f>IF('Г-43-107'!$AX65="Да",1,0)</x:f>
      </x:c>
      <x:c r="K478" s="705">
        <x:f>IF('Г-43-107'!$BD65="Да",1,0)</x:f>
      </x:c>
      <x:c r="L478" s="706">
        <x:f>IF('Г-43-107'!$BJ65="Да",1,0)</x:f>
      </x:c>
      <x:c r="M478" s="707">
        <x:f>IF('Г-43-107'!$BP65="Да",1,0)</x:f>
      </x:c>
      <x:c r="N478" s="708">
        <x:f>IF('Г-43-107'!$BV65="Да",1,0)</x:f>
      </x:c>
      <x:c r="O478" s="375">
        <x:f>IFERROR(ROUND(SUM(C478:N478)/($S$416),1),"")</x:f>
      </x:c>
    </x:row>
    <x:row r="479" spans="1:25" ht="15" customHeight="1" x14ac:dyDescent="0.25">
      <x:c r="A479" s="710"/>
      <x:c r="B479" s="363" t="s">
        <x:v>546</x:v>
      </x:c>
      <x:c r="C479" s="697">
        <x:f>IF('Г-43-107'!$H66="Да",1,0)</x:f>
      </x:c>
      <x:c r="D479" s="698">
        <x:f>IF('Г-43-107'!$N66="Да",1,0)</x:f>
      </x:c>
      <x:c r="E479" s="699">
        <x:f>IF('Г-43-107'!$T66="Да",1,0)</x:f>
      </x:c>
      <x:c r="F479" s="700">
        <x:f>IF('Г-43-107'!$Z66="Да",1,0)</x:f>
      </x:c>
      <x:c r="G479" s="701">
        <x:f>IF('Г-43-107'!$AF66="Да",1,0)</x:f>
      </x:c>
      <x:c r="H479" s="702">
        <x:f>IF('Г-43-107'!$AL66="Да",1,0)</x:f>
      </x:c>
      <x:c r="I479" s="703">
        <x:f>IF('Г-43-107'!$AR66="Да",1,0)</x:f>
      </x:c>
      <x:c r="J479" s="704">
        <x:f>IF('Г-43-107'!$AX66="Да",1,0)</x:f>
      </x:c>
      <x:c r="K479" s="705">
        <x:f>IF('Г-43-107'!$BD66="Да",1,0)</x:f>
      </x:c>
      <x:c r="L479" s="706">
        <x:f>IF('Г-43-107'!$BJ66="Да",1,0)</x:f>
      </x:c>
      <x:c r="M479" s="707">
        <x:f>IF('Г-43-107'!$BP66="Да",1,0)</x:f>
      </x:c>
      <x:c r="N479" s="708">
        <x:f>IF('Г-43-107'!$BV66="Да",1,0)</x:f>
      </x:c>
      <x:c r="O479" s="375">
        <x:f>IFERROR(ROUND(SUM(C479:N479)/($S$416),1),"")</x:f>
      </x:c>
    </x:row>
    <x:row r="480" spans="1:25" ht="15" customHeight="1" x14ac:dyDescent="0.25">
      <x:c r="A480" s="710"/>
      <x:c r="B480" s="363" t="s">
        <x:v>571</x:v>
      </x:c>
      <x:c r="C480" s="697">
        <x:f>IF('Г-43-107'!$H67="Да",1,0)</x:f>
      </x:c>
      <x:c r="D480" s="698">
        <x:f>IF('Г-43-107'!$N67="Да",1,0)</x:f>
      </x:c>
      <x:c r="E480" s="699">
        <x:f>IF('Г-43-107'!$T67="Да",1,0)</x:f>
      </x:c>
      <x:c r="F480" s="700">
        <x:f>IF('Г-43-107'!$Z67="Да",1,0)</x:f>
      </x:c>
      <x:c r="G480" s="701">
        <x:f>IF('Г-43-107'!$AF67="Да",1,0)</x:f>
      </x:c>
      <x:c r="H480" s="702">
        <x:f>IF('Г-43-107'!$AL67="Да",1,0)</x:f>
      </x:c>
      <x:c r="I480" s="703">
        <x:f>IF('Г-43-107'!$AR67="Да",1,0)</x:f>
      </x:c>
      <x:c r="J480" s="704">
        <x:f>IF('Г-43-107'!$AX67="Да",1,0)</x:f>
      </x:c>
      <x:c r="K480" s="705">
        <x:f>IF('Г-43-107'!$BD67="Да",1,0)</x:f>
      </x:c>
      <x:c r="L480" s="706">
        <x:f>IF('Г-43-107'!$BJ67="Да",1,0)</x:f>
      </x:c>
      <x:c r="M480" s="707">
        <x:f>IF('Г-43-107'!$BP67="Да",1,0)</x:f>
      </x:c>
      <x:c r="N480" s="708">
        <x:f>IF('Г-43-107'!$BV67="Да",1,0)</x:f>
      </x:c>
      <x:c r="O480" s="375">
        <x:f>IFERROR(ROUND(SUM(C480:N480)/($S$416),1),"")</x:f>
      </x:c>
    </x:row>
    <x:row r="481" spans="1:25" ht="15" customHeight="1" x14ac:dyDescent="0.25">
      <x:c r="A481" s="710"/>
      <x:c r="B481" s="363" t="s">
        <x:v>527</x:v>
      </x:c>
      <x:c r="C481" s="697">
        <x:f>IF('Г-43-107'!$H68="Да",1,0)</x:f>
      </x:c>
      <x:c r="D481" s="698">
        <x:f>IF('Г-43-107'!$N68="Да",1,0)</x:f>
      </x:c>
      <x:c r="E481" s="699">
        <x:f>IF('Г-43-107'!$T68="Да",1,0)</x:f>
      </x:c>
      <x:c r="F481" s="700">
        <x:f>IF('Г-43-107'!$Z68="Да",1,0)</x:f>
      </x:c>
      <x:c r="G481" s="701">
        <x:f>IF('Г-43-107'!$AF68="Да",1,0)</x:f>
      </x:c>
      <x:c r="H481" s="702">
        <x:f>IF('Г-43-107'!$AL68="Да",1,0)</x:f>
      </x:c>
      <x:c r="I481" s="703">
        <x:f>IF('Г-43-107'!$AR68="Да",1,0)</x:f>
      </x:c>
      <x:c r="J481" s="704">
        <x:f>IF('Г-43-107'!$AX68="Да",1,0)</x:f>
      </x:c>
      <x:c r="K481" s="705">
        <x:f>IF('Г-43-107'!$BD68="Да",1,0)</x:f>
      </x:c>
      <x:c r="L481" s="706">
        <x:f>IF('Г-43-107'!$BJ68="Да",1,0)</x:f>
      </x:c>
      <x:c r="M481" s="707">
        <x:f>IF('Г-43-107'!$BP68="Да",1,0)</x:f>
      </x:c>
      <x:c r="N481" s="708">
        <x:f>IF('Г-43-107'!$BV68="Да",1,0)</x:f>
      </x:c>
      <x:c r="O481" s="375">
        <x:f>IFERROR(ROUND(SUM(C481:N481)/($S$416),1),"")</x:f>
      </x:c>
    </x:row>
    <x:row r="482" spans="1:25" ht="15" customHeight="1" x14ac:dyDescent="0.25">
      <x:c r="A482" s="710"/>
      <x:c r="B482" s="363" t="s">
        <x:v>553</x:v>
      </x:c>
      <x:c r="C482" s="697">
        <x:f>IF('Г-43-107'!$H69="Да",1,0)</x:f>
      </x:c>
      <x:c r="D482" s="698">
        <x:f>IF('Г-43-107'!$N69="Да",1,0)</x:f>
      </x:c>
      <x:c r="E482" s="699">
        <x:f>IF('Г-43-107'!$T69="Да",1,0)</x:f>
      </x:c>
      <x:c r="F482" s="700">
        <x:f>IF('Г-43-107'!$Z69="Да",1,0)</x:f>
      </x:c>
      <x:c r="G482" s="701">
        <x:f>IF('Г-43-107'!$AF69="Да",1,0)</x:f>
      </x:c>
      <x:c r="H482" s="702">
        <x:f>IF('Г-43-107'!$AL69="Да",1,0)</x:f>
      </x:c>
      <x:c r="I482" s="703">
        <x:f>IF('Г-43-107'!$AR69="Да",1,0)</x:f>
      </x:c>
      <x:c r="J482" s="704">
        <x:f>IF('Г-43-107'!$AX69="Да",1,0)</x:f>
      </x:c>
      <x:c r="K482" s="705">
        <x:f>IF('Г-43-107'!$BD69="Да",1,0)</x:f>
      </x:c>
      <x:c r="L482" s="706">
        <x:f>IF('Г-43-107'!$BJ69="Да",1,0)</x:f>
      </x:c>
      <x:c r="M482" s="707">
        <x:f>IF('Г-43-107'!$BP69="Да",1,0)</x:f>
      </x:c>
      <x:c r="N482" s="708">
        <x:f>IF('Г-43-107'!$BV69="Да",1,0)</x:f>
      </x:c>
      <x:c r="O482" s="375">
        <x:f>IFERROR(ROUND(SUM(C482:N482)/($S$416),1),"")</x:f>
      </x:c>
    </x:row>
    <x:row r="483" spans="1:25" ht="15" customHeight="1" x14ac:dyDescent="0.25">
      <x:c r="A483" s="710"/>
      <x:c r="B483" s="363" t="s">
        <x:v>542</x:v>
      </x:c>
      <x:c r="C483" s="697">
        <x:f>IF('Г-43-107'!$H70="Да",1,0)</x:f>
      </x:c>
      <x:c r="D483" s="698">
        <x:f>IF('Г-43-107'!$N70="Да",1,0)</x:f>
      </x:c>
      <x:c r="E483" s="699">
        <x:f>IF('Г-43-107'!$T70="Да",1,0)</x:f>
      </x:c>
      <x:c r="F483" s="700">
        <x:f>IF('Г-43-107'!$Z70="Да",1,0)</x:f>
      </x:c>
      <x:c r="G483" s="701">
        <x:f>IF('Г-43-107'!$AF70="Да",1,0)</x:f>
      </x:c>
      <x:c r="H483" s="702">
        <x:f>IF('Г-43-107'!$AL70="Да",1,0)</x:f>
      </x:c>
      <x:c r="I483" s="703">
        <x:f>IF('Г-43-107'!$AR70="Да",1,0)</x:f>
      </x:c>
      <x:c r="J483" s="704">
        <x:f>IF('Г-43-107'!$AX70="Да",1,0)</x:f>
      </x:c>
      <x:c r="K483" s="705">
        <x:f>IF('Г-43-107'!$BD70="Да",1,0)</x:f>
      </x:c>
      <x:c r="L483" s="706">
        <x:f>IF('Г-43-107'!$BJ70="Да",1,0)</x:f>
      </x:c>
      <x:c r="M483" s="707">
        <x:f>IF('Г-43-107'!$BP70="Да",1,0)</x:f>
      </x:c>
      <x:c r="N483" s="708">
        <x:f>IF('Г-43-107'!$BV70="Да",1,0)</x:f>
      </x:c>
      <x:c r="O483" s="375">
        <x:f>IFERROR(ROUND(SUM(C483:N483)/($S$416),1),"")</x:f>
      </x:c>
    </x:row>
    <x:row r="484" spans="1:25" ht="15" customHeight="1" x14ac:dyDescent="0.25">
      <x:c r="A484" s="710"/>
      <x:c r="B484" s="363" t="s">
        <x:v>602</x:v>
      </x:c>
      <x:c r="C484" s="697">
        <x:f>IF('Г-43-107'!$H71="Да",1,0)</x:f>
      </x:c>
      <x:c r="D484" s="698">
        <x:f>IF('Г-43-107'!$N71="Да",1,0)</x:f>
      </x:c>
      <x:c r="E484" s="699">
        <x:f>IF('Г-43-107'!$T71="Да",1,0)</x:f>
      </x:c>
      <x:c r="F484" s="700">
        <x:f>IF('Г-43-107'!$Z71="Да",1,0)</x:f>
      </x:c>
      <x:c r="G484" s="701">
        <x:f>IF('Г-43-107'!$AF71="Да",1,0)</x:f>
      </x:c>
      <x:c r="H484" s="702">
        <x:f>IF('Г-43-107'!$AL71="Да",1,0)</x:f>
      </x:c>
      <x:c r="I484" s="703">
        <x:f>IF('Г-43-107'!$AR71="Да",1,0)</x:f>
      </x:c>
      <x:c r="J484" s="704">
        <x:f>IF('Г-43-107'!$AX71="Да",1,0)</x:f>
      </x:c>
      <x:c r="K484" s="705">
        <x:f>IF('Г-43-107'!$BD71="Да",1,0)</x:f>
      </x:c>
      <x:c r="L484" s="706">
        <x:f>IF('Г-43-107'!$BJ71="Да",1,0)</x:f>
      </x:c>
      <x:c r="M484" s="707">
        <x:f>IF('Г-43-107'!$BP71="Да",1,0)</x:f>
      </x:c>
      <x:c r="N484" s="708">
        <x:f>IF('Г-43-107'!$BV71="Да",1,0)</x:f>
      </x:c>
      <x:c r="O484" s="375">
        <x:f>IFERROR(ROUND(SUM(C484:N484)/($S$416),1),"")</x:f>
      </x:c>
    </x:row>
    <x:row r="485" spans="1:25" ht="15" customHeight="1" x14ac:dyDescent="0.25">
      <x:c r="A485" s="710"/>
      <x:c r="B485" s="363" t="s">
        <x:v>540</x:v>
      </x:c>
      <x:c r="C485" s="697">
        <x:f>IF('Г-43-107'!$H72="Да",1,0)</x:f>
      </x:c>
      <x:c r="D485" s="698">
        <x:f>IF('Г-43-107'!$N72="Да",1,0)</x:f>
      </x:c>
      <x:c r="E485" s="699">
        <x:f>IF('Г-43-107'!$T72="Да",1,0)</x:f>
      </x:c>
      <x:c r="F485" s="700">
        <x:f>IF('Г-43-107'!$Z72="Да",1,0)</x:f>
      </x:c>
      <x:c r="G485" s="701">
        <x:f>IF('Г-43-107'!$AF72="Да",1,0)</x:f>
      </x:c>
      <x:c r="H485" s="702">
        <x:f>IF('Г-43-107'!$AL72="Да",1,0)</x:f>
      </x:c>
      <x:c r="I485" s="703">
        <x:f>IF('Г-43-107'!$AR72="Да",1,0)</x:f>
      </x:c>
      <x:c r="J485" s="704">
        <x:f>IF('Г-43-107'!$AX72="Да",1,0)</x:f>
      </x:c>
      <x:c r="K485" s="705">
        <x:f>IF('Г-43-107'!$BD72="Да",1,0)</x:f>
      </x:c>
      <x:c r="L485" s="706">
        <x:f>IF('Г-43-107'!$BJ72="Да",1,0)</x:f>
      </x:c>
      <x:c r="M485" s="707">
        <x:f>IF('Г-43-107'!$BP72="Да",1,0)</x:f>
      </x:c>
      <x:c r="N485" s="708">
        <x:f>IF('Г-43-107'!$BV72="Да",1,0)</x:f>
      </x:c>
      <x:c r="O485" s="375">
        <x:f>IFERROR(ROUND(SUM(C485:N485)/($S$416),1),"")</x:f>
      </x:c>
    </x:row>
    <x:row r="486" spans="1:25" ht="15" customHeight="1" x14ac:dyDescent="0.25">
      <x:c r="A486" s="710"/>
      <x:c r="B486" s="363" t="s">
        <x:v>573</x:v>
      </x:c>
      <x:c r="C486" s="697">
        <x:f>IF('Г-43-107'!$H73="Да",1,0)</x:f>
      </x:c>
      <x:c r="D486" s="698">
        <x:f>IF('Г-43-107'!$N73="Да",1,0)</x:f>
      </x:c>
      <x:c r="E486" s="699">
        <x:f>IF('Г-43-107'!$T73="Да",1,0)</x:f>
      </x:c>
      <x:c r="F486" s="700">
        <x:f>IF('Г-43-107'!$Z73="Да",1,0)</x:f>
      </x:c>
      <x:c r="G486" s="701">
        <x:f>IF('Г-43-107'!$AF73="Да",1,0)</x:f>
      </x:c>
      <x:c r="H486" s="702">
        <x:f>IF('Г-43-107'!$AL73="Да",1,0)</x:f>
      </x:c>
      <x:c r="I486" s="703">
        <x:f>IF('Г-43-107'!$AR73="Да",1,0)</x:f>
      </x:c>
      <x:c r="J486" s="704">
        <x:f>IF('Г-43-107'!$AX73="Да",1,0)</x:f>
      </x:c>
      <x:c r="K486" s="705">
        <x:f>IF('Г-43-107'!$BD73="Да",1,0)</x:f>
      </x:c>
      <x:c r="L486" s="706">
        <x:f>IF('Г-43-107'!$BJ73="Да",1,0)</x:f>
      </x:c>
      <x:c r="M486" s="707">
        <x:f>IF('Г-43-107'!$BP73="Да",1,0)</x:f>
      </x:c>
      <x:c r="N486" s="708">
        <x:f>IF('Г-43-107'!$BV73="Да",1,0)</x:f>
      </x:c>
      <x:c r="O486" s="375">
        <x:f>IFERROR(ROUND(SUM(C486:N486)/($S$416),1),"")</x:f>
      </x:c>
    </x:row>
    <x:row r="487" spans="1:25" ht="15" customHeight="1" x14ac:dyDescent="0.25">
      <x:c r="A487" s="710"/>
      <x:c r="B487" s="363" t="s">
        <x:v>606</x:v>
      </x:c>
      <x:c r="C487" s="697">
        <x:f>IF('Г-43-107'!$H74="Да",1,0)</x:f>
      </x:c>
      <x:c r="D487" s="698">
        <x:f>IF('Г-43-107'!$N74="Да",1,0)</x:f>
      </x:c>
      <x:c r="E487" s="699">
        <x:f>IF('Г-43-107'!$T74="Да",1,0)</x:f>
      </x:c>
      <x:c r="F487" s="700">
        <x:f>IF('Г-43-107'!$Z74="Да",1,0)</x:f>
      </x:c>
      <x:c r="G487" s="701">
        <x:f>IF('Г-43-107'!$AF74="Да",1,0)</x:f>
      </x:c>
      <x:c r="H487" s="702">
        <x:f>IF('Г-43-107'!$AL74="Да",1,0)</x:f>
      </x:c>
      <x:c r="I487" s="703">
        <x:f>IF('Г-43-107'!$AR74="Да",1,0)</x:f>
      </x:c>
      <x:c r="J487" s="704">
        <x:f>IF('Г-43-107'!$AX74="Да",1,0)</x:f>
      </x:c>
      <x:c r="K487" s="705">
        <x:f>IF('Г-43-107'!$BD74="Да",1,0)</x:f>
      </x:c>
      <x:c r="L487" s="706">
        <x:f>IF('Г-43-107'!$BJ74="Да",1,0)</x:f>
      </x:c>
      <x:c r="M487" s="707">
        <x:f>IF('Г-43-107'!$BP74="Да",1,0)</x:f>
      </x:c>
      <x:c r="N487" s="708">
        <x:f>IF('Г-43-107'!$BV74="Да",1,0)</x:f>
      </x:c>
      <x:c r="O487" s="375">
        <x:f>IFERROR(ROUND(SUM(C487:N487)/($S$416),1),"")</x:f>
      </x:c>
    </x:row>
    <x:row r="488" spans="1:25" ht="15" customHeight="1" x14ac:dyDescent="0.25">
      <x:c r="A488" s="710"/>
      <x:c r="B488" s="363" t="s">
        <x:v>593</x:v>
      </x:c>
      <x:c r="C488" s="697">
        <x:f>IF('Г-43-107'!$H75="Да",1,0)</x:f>
      </x:c>
      <x:c r="D488" s="698">
        <x:f>IF('Г-43-107'!$N75="Да",1,0)</x:f>
      </x:c>
      <x:c r="E488" s="699">
        <x:f>IF('Г-43-107'!$T75="Да",1,0)</x:f>
      </x:c>
      <x:c r="F488" s="700">
        <x:f>IF('Г-43-107'!$Z75="Да",1,0)</x:f>
      </x:c>
      <x:c r="G488" s="701">
        <x:f>IF('Г-43-107'!$AF75="Да",1,0)</x:f>
      </x:c>
      <x:c r="H488" s="702">
        <x:f>IF('Г-43-107'!$AL75="Да",1,0)</x:f>
      </x:c>
      <x:c r="I488" s="703">
        <x:f>IF('Г-43-107'!$AR75="Да",1,0)</x:f>
      </x:c>
      <x:c r="J488" s="704">
        <x:f>IF('Г-43-107'!$AX75="Да",1,0)</x:f>
      </x:c>
      <x:c r="K488" s="705">
        <x:f>IF('Г-43-107'!$BD75="Да",1,0)</x:f>
      </x:c>
      <x:c r="L488" s="706">
        <x:f>IF('Г-43-107'!$BJ75="Да",1,0)</x:f>
      </x:c>
      <x:c r="M488" s="707">
        <x:f>IF('Г-43-107'!$BP75="Да",1,0)</x:f>
      </x:c>
      <x:c r="N488" s="708">
        <x:f>IF('Г-43-107'!$BV75="Да",1,0)</x:f>
      </x:c>
      <x:c r="O488" s="375">
        <x:f>IFERROR(ROUND(SUM(C488:N488)/($S$416),1),"")</x:f>
      </x:c>
    </x:row>
    <x:row r="489" spans="1:25" ht="15" customHeight="1" x14ac:dyDescent="0.25">
      <x:c r="A489" s="710"/>
      <x:c r="B489" s="363" t="s">
        <x:v>575</x:v>
      </x:c>
      <x:c r="C489" s="697">
        <x:f>IF('Г-43-107'!$H76="Да",1,0)</x:f>
      </x:c>
      <x:c r="D489" s="698">
        <x:f>IF('Г-43-107'!$N76="Да",1,0)</x:f>
      </x:c>
      <x:c r="E489" s="699">
        <x:f>IF('Г-43-107'!$T76="Да",1,0)</x:f>
      </x:c>
      <x:c r="F489" s="700">
        <x:f>IF('Г-43-107'!$Z76="Да",1,0)</x:f>
      </x:c>
      <x:c r="G489" s="701">
        <x:f>IF('Г-43-107'!$AF76="Да",1,0)</x:f>
      </x:c>
      <x:c r="H489" s="702">
        <x:f>IF('Г-43-107'!$AL76="Да",1,0)</x:f>
      </x:c>
      <x:c r="I489" s="703">
        <x:f>IF('Г-43-107'!$AR76="Да",1,0)</x:f>
      </x:c>
      <x:c r="J489" s="704">
        <x:f>IF('Г-43-107'!$AX76="Да",1,0)</x:f>
      </x:c>
      <x:c r="K489" s="705">
        <x:f>IF('Г-43-107'!$BD76="Да",1,0)</x:f>
      </x:c>
      <x:c r="L489" s="706">
        <x:f>IF('Г-43-107'!$BJ76="Да",1,0)</x:f>
      </x:c>
      <x:c r="M489" s="707">
        <x:f>IF('Г-43-107'!$BP76="Да",1,0)</x:f>
      </x:c>
      <x:c r="N489" s="708">
        <x:f>IF('Г-43-107'!$BV76="Да",1,0)</x:f>
      </x:c>
      <x:c r="O489" s="375">
        <x:f>IFERROR(ROUND(SUM(C489:N489)/($S$416),1),"")</x:f>
      </x:c>
    </x:row>
    <x:row r="490" spans="1:25" ht="15" customHeight="1" x14ac:dyDescent="0.25">
      <x:c r="A490" s="710"/>
      <x:c r="B490" s="363" t="s">
        <x:v>543</x:v>
      </x:c>
      <x:c r="C490" s="697">
        <x:f>IF('Г-43-107'!$H77="Да",1,0)</x:f>
      </x:c>
      <x:c r="D490" s="698">
        <x:f>IF('Г-43-107'!$N77="Да",1,0)</x:f>
      </x:c>
      <x:c r="E490" s="699">
        <x:f>IF('Г-43-107'!$T77="Да",1,0)</x:f>
      </x:c>
      <x:c r="F490" s="700">
        <x:f>IF('Г-43-107'!$Z77="Да",1,0)</x:f>
      </x:c>
      <x:c r="G490" s="701">
        <x:f>IF('Г-43-107'!$AF77="Да",1,0)</x:f>
      </x:c>
      <x:c r="H490" s="702">
        <x:f>IF('Г-43-107'!$AL77="Да",1,0)</x:f>
      </x:c>
      <x:c r="I490" s="703">
        <x:f>IF('Г-43-107'!$AR77="Да",1,0)</x:f>
      </x:c>
      <x:c r="J490" s="704">
        <x:f>IF('Г-43-107'!$AX77="Да",1,0)</x:f>
      </x:c>
      <x:c r="K490" s="705">
        <x:f>IF('Г-43-107'!$BD77="Да",1,0)</x:f>
      </x:c>
      <x:c r="L490" s="706">
        <x:f>IF('Г-43-107'!$BJ77="Да",1,0)</x:f>
      </x:c>
      <x:c r="M490" s="707">
        <x:f>IF('Г-43-107'!$BP77="Да",1,0)</x:f>
      </x:c>
      <x:c r="N490" s="708">
        <x:f>IF('Г-43-107'!$BV77="Да",1,0)</x:f>
      </x:c>
      <x:c r="O490" s="375">
        <x:f>IFERROR(ROUND(SUM(C490:N490)/($S$416),1),"")</x:f>
      </x:c>
    </x:row>
    <x:row r="491" spans="1:25" ht="15" customHeight="1" x14ac:dyDescent="0.25">
      <x:c r="A491" s="710"/>
      <x:c r="B491" s="363" t="s">
        <x:v>569</x:v>
      </x:c>
      <x:c r="C491" s="697">
        <x:f>IF('Г-43-107'!$H78="Да",1,0)</x:f>
      </x:c>
      <x:c r="D491" s="698">
        <x:f>IF('Г-43-107'!$N78="Да",1,0)</x:f>
      </x:c>
      <x:c r="E491" s="699">
        <x:f>IF('Г-43-107'!$T78="Да",1,0)</x:f>
      </x:c>
      <x:c r="F491" s="700">
        <x:f>IF('Г-43-107'!$Z78="Да",1,0)</x:f>
      </x:c>
      <x:c r="G491" s="701">
        <x:f>IF('Г-43-107'!$AF78="Да",1,0)</x:f>
      </x:c>
      <x:c r="H491" s="702">
        <x:f>IF('Г-43-107'!$AL78="Да",1,0)</x:f>
      </x:c>
      <x:c r="I491" s="703">
        <x:f>IF('Г-43-107'!$AR78="Да",1,0)</x:f>
      </x:c>
      <x:c r="J491" s="704">
        <x:f>IF('Г-43-107'!$AX78="Да",1,0)</x:f>
      </x:c>
      <x:c r="K491" s="705">
        <x:f>IF('Г-43-107'!$BD78="Да",1,0)</x:f>
      </x:c>
      <x:c r="L491" s="706">
        <x:f>IF('Г-43-107'!$BJ78="Да",1,0)</x:f>
      </x:c>
      <x:c r="M491" s="707">
        <x:f>IF('Г-43-107'!$BP78="Да",1,0)</x:f>
      </x:c>
      <x:c r="N491" s="708">
        <x:f>IF('Г-43-107'!$BV78="Да",1,0)</x:f>
      </x:c>
      <x:c r="O491" s="375">
        <x:f>IFERROR(ROUND(SUM(C491:N491)/($S$416),1),"")</x:f>
      </x:c>
    </x:row>
    <x:row r="492" spans="1:25" ht="15" customHeight="1" x14ac:dyDescent="0.25">
      <x:c r="A492" s="710"/>
      <x:c r="B492" s="363" t="s">
        <x:v>536</x:v>
      </x:c>
      <x:c r="C492" s="697">
        <x:f>IF('Г-43-107'!$H79="Да",1,0)</x:f>
      </x:c>
      <x:c r="D492" s="698">
        <x:f>IF('Г-43-107'!$N79="Да",1,0)</x:f>
      </x:c>
      <x:c r="E492" s="699">
        <x:f>IF('Г-43-107'!$T79="Да",1,0)</x:f>
      </x:c>
      <x:c r="F492" s="700">
        <x:f>IF('Г-43-107'!$Z79="Да",1,0)</x:f>
      </x:c>
      <x:c r="G492" s="701">
        <x:f>IF('Г-43-107'!$AF79="Да",1,0)</x:f>
      </x:c>
      <x:c r="H492" s="702">
        <x:f>IF('Г-43-107'!$AL79="Да",1,0)</x:f>
      </x:c>
      <x:c r="I492" s="703">
        <x:f>IF('Г-43-107'!$AR79="Да",1,0)</x:f>
      </x:c>
      <x:c r="J492" s="704">
        <x:f>IF('Г-43-107'!$AX79="Да",1,0)</x:f>
      </x:c>
      <x:c r="K492" s="705">
        <x:f>IF('Г-43-107'!$BD79="Да",1,0)</x:f>
      </x:c>
      <x:c r="L492" s="706">
        <x:f>IF('Г-43-107'!$BJ79="Да",1,0)</x:f>
      </x:c>
      <x:c r="M492" s="707">
        <x:f>IF('Г-43-107'!$BP79="Да",1,0)</x:f>
      </x:c>
      <x:c r="N492" s="708">
        <x:f>IF('Г-43-107'!$BV79="Да",1,0)</x:f>
      </x:c>
      <x:c r="O492" s="375">
        <x:f>IFERROR(ROUND(SUM(C492:N492)/($S$416),1),"")</x:f>
      </x:c>
    </x:row>
    <x:row r="493" spans="1:25" ht="15" customHeight="1" x14ac:dyDescent="0.25">
      <x:c r="A493" s="710"/>
      <x:c r="B493" s="363" t="s">
        <x:v>605</x:v>
      </x:c>
      <x:c r="C493" s="697">
        <x:f>IF('Г-43-107'!$H80="Да",1,0)</x:f>
      </x:c>
      <x:c r="D493" s="698">
        <x:f>IF('Г-43-107'!$N80="Да",1,0)</x:f>
      </x:c>
      <x:c r="E493" s="699">
        <x:f>IF('Г-43-107'!$T80="Да",1,0)</x:f>
      </x:c>
      <x:c r="F493" s="700">
        <x:f>IF('Г-43-107'!$Z80="Да",1,0)</x:f>
      </x:c>
      <x:c r="G493" s="701">
        <x:f>IF('Г-43-107'!$AF80="Да",1,0)</x:f>
      </x:c>
      <x:c r="H493" s="702">
        <x:f>IF('Г-43-107'!$AL80="Да",1,0)</x:f>
      </x:c>
      <x:c r="I493" s="703">
        <x:f>IF('Г-43-107'!$AR80="Да",1,0)</x:f>
      </x:c>
      <x:c r="J493" s="704">
        <x:f>IF('Г-43-107'!$AX80="Да",1,0)</x:f>
      </x:c>
      <x:c r="K493" s="705">
        <x:f>IF('Г-43-107'!$BD80="Да",1,0)</x:f>
      </x:c>
      <x:c r="L493" s="706">
        <x:f>IF('Г-43-107'!$BJ80="Да",1,0)</x:f>
      </x:c>
      <x:c r="M493" s="707">
        <x:f>IF('Г-43-107'!$BP80="Да",1,0)</x:f>
      </x:c>
      <x:c r="N493" s="708">
        <x:f>IF('Г-43-107'!$BV80="Да",1,0)</x:f>
      </x:c>
      <x:c r="O493" s="375">
        <x:f>IFERROR(ROUND(SUM(C493:N493)/($S$416),1),"")</x:f>
      </x:c>
    </x:row>
    <x:row r="494" spans="1:25" ht="15" customHeight="1" x14ac:dyDescent="0.25">
      <x:c r="A494" s="710"/>
      <x:c r="B494" s="363" t="s">
        <x:v>534</x:v>
      </x:c>
      <x:c r="C494" s="697">
        <x:f>IF('Г-43-107'!$H81="Да",1,0)</x:f>
      </x:c>
      <x:c r="D494" s="698">
        <x:f>IF('Г-43-107'!$N81="Да",1,0)</x:f>
      </x:c>
      <x:c r="E494" s="699">
        <x:f>IF('Г-43-107'!$T81="Да",1,0)</x:f>
      </x:c>
      <x:c r="F494" s="700">
        <x:f>IF('Г-43-107'!$Z81="Да",1,0)</x:f>
      </x:c>
      <x:c r="G494" s="701">
        <x:f>IF('Г-43-107'!$AF81="Да",1,0)</x:f>
      </x:c>
      <x:c r="H494" s="702">
        <x:f>IF('Г-43-107'!$AL81="Да",1,0)</x:f>
      </x:c>
      <x:c r="I494" s="703">
        <x:f>IF('Г-43-107'!$AR81="Да",1,0)</x:f>
      </x:c>
      <x:c r="J494" s="704">
        <x:f>IF('Г-43-107'!$AX81="Да",1,0)</x:f>
      </x:c>
      <x:c r="K494" s="705">
        <x:f>IF('Г-43-107'!$BD81="Да",1,0)</x:f>
      </x:c>
      <x:c r="L494" s="706">
        <x:f>IF('Г-43-107'!$BJ81="Да",1,0)</x:f>
      </x:c>
      <x:c r="M494" s="707">
        <x:f>IF('Г-43-107'!$BP81="Да",1,0)</x:f>
      </x:c>
      <x:c r="N494" s="708">
        <x:f>IF('Г-43-107'!$BV81="Да",1,0)</x:f>
      </x:c>
      <x:c r="O494" s="375">
        <x:f>IFERROR(ROUND(SUM(C494:N494)/($S$416),1),"")</x:f>
      </x:c>
    </x:row>
    <x:row r="495" spans="1:25" ht="15" customHeight="1" x14ac:dyDescent="0.25">
      <x:c r="A495" s="710"/>
      <x:c r="B495" s="363" t="s">
        <x:v>582</x:v>
      </x:c>
      <x:c r="C495" s="697">
        <x:f>IF('Г-43-107'!$H82="Да",1,0)</x:f>
      </x:c>
      <x:c r="D495" s="698">
        <x:f>IF('Г-43-107'!$N82="Да",1,0)</x:f>
      </x:c>
      <x:c r="E495" s="699">
        <x:f>IF('Г-43-107'!$T82="Да",1,0)</x:f>
      </x:c>
      <x:c r="F495" s="700">
        <x:f>IF('Г-43-107'!$Z82="Да",1,0)</x:f>
      </x:c>
      <x:c r="G495" s="701">
        <x:f>IF('Г-43-107'!$AF82="Да",1,0)</x:f>
      </x:c>
      <x:c r="H495" s="702">
        <x:f>IF('Г-43-107'!$AL82="Да",1,0)</x:f>
      </x:c>
      <x:c r="I495" s="703">
        <x:f>IF('Г-43-107'!$AR82="Да",1,0)</x:f>
      </x:c>
      <x:c r="J495" s="704">
        <x:f>IF('Г-43-107'!$AX82="Да",1,0)</x:f>
      </x:c>
      <x:c r="K495" s="705">
        <x:f>IF('Г-43-107'!$BD82="Да",1,0)</x:f>
      </x:c>
      <x:c r="L495" s="706">
        <x:f>IF('Г-43-107'!$BJ82="Да",1,0)</x:f>
      </x:c>
      <x:c r="M495" s="707">
        <x:f>IF('Г-43-107'!$BP82="Да",1,0)</x:f>
      </x:c>
      <x:c r="N495" s="708">
        <x:f>IF('Г-43-107'!$BV82="Да",1,0)</x:f>
      </x:c>
      <x:c r="O495" s="375">
        <x:f>IFERROR(ROUND(SUM(C495:N495)/($S$416),1),"")</x:f>
      </x:c>
    </x:row>
    <x:row r="496" spans="1:25" ht="15" customHeight="1" x14ac:dyDescent="0.25">
      <x:c r="A496" s="710"/>
      <x:c r="B496" s="363" t="s">
        <x:v>521</x:v>
      </x:c>
      <x:c r="C496" s="697">
        <x:f>IF('Г-43-107'!$H83="Да",1,0)</x:f>
      </x:c>
      <x:c r="D496" s="698">
        <x:f>IF('Г-43-107'!$N83="Да",1,0)</x:f>
      </x:c>
      <x:c r="E496" s="699">
        <x:f>IF('Г-43-107'!$T83="Да",1,0)</x:f>
      </x:c>
      <x:c r="F496" s="700">
        <x:f>IF('Г-43-107'!$Z83="Да",1,0)</x:f>
      </x:c>
      <x:c r="G496" s="701">
        <x:f>IF('Г-43-107'!$AF83="Да",1,0)</x:f>
      </x:c>
      <x:c r="H496" s="702">
        <x:f>IF('Г-43-107'!$AL83="Да",1,0)</x:f>
      </x:c>
      <x:c r="I496" s="703">
        <x:f>IF('Г-43-107'!$AR83="Да",1,0)</x:f>
      </x:c>
      <x:c r="J496" s="704">
        <x:f>IF('Г-43-107'!$AX83="Да",1,0)</x:f>
      </x:c>
      <x:c r="K496" s="705">
        <x:f>IF('Г-43-107'!$BD83="Да",1,0)</x:f>
      </x:c>
      <x:c r="L496" s="706">
        <x:f>IF('Г-43-107'!$BJ83="Да",1,0)</x:f>
      </x:c>
      <x:c r="M496" s="707">
        <x:f>IF('Г-43-107'!$BP83="Да",1,0)</x:f>
      </x:c>
      <x:c r="N496" s="708">
        <x:f>IF('Г-43-107'!$BV83="Да",1,0)</x:f>
      </x:c>
      <x:c r="O496" s="375">
        <x:f>IFERROR(ROUND(SUM(C496:N496)/($S$416),1),"")</x:f>
      </x:c>
    </x:row>
    <x:row r="497" spans="1:25" ht="15" customHeight="1" x14ac:dyDescent="0.25">
      <x:c r="A497" s="710"/>
      <x:c r="B497" s="363" t="s">
        <x:v>520</x:v>
      </x:c>
      <x:c r="C497" s="697">
        <x:f>IF('Г-43-107'!$H84="Да",1,0)</x:f>
      </x:c>
      <x:c r="D497" s="698">
        <x:f>IF('Г-43-107'!$N84="Да",1,0)</x:f>
      </x:c>
      <x:c r="E497" s="699">
        <x:f>IF('Г-43-107'!$T84="Да",1,0)</x:f>
      </x:c>
      <x:c r="F497" s="700">
        <x:f>IF('Г-43-107'!$Z84="Да",1,0)</x:f>
      </x:c>
      <x:c r="G497" s="701">
        <x:f>IF('Г-43-107'!$AF84="Да",1,0)</x:f>
      </x:c>
      <x:c r="H497" s="702">
        <x:f>IF('Г-43-107'!$AL84="Да",1,0)</x:f>
      </x:c>
      <x:c r="I497" s="703">
        <x:f>IF('Г-43-107'!$AR84="Да",1,0)</x:f>
      </x:c>
      <x:c r="J497" s="704">
        <x:f>IF('Г-43-107'!$AX84="Да",1,0)</x:f>
      </x:c>
      <x:c r="K497" s="705">
        <x:f>IF('Г-43-107'!$BD84="Да",1,0)</x:f>
      </x:c>
      <x:c r="L497" s="706">
        <x:f>IF('Г-43-107'!$BJ84="Да",1,0)</x:f>
      </x:c>
      <x:c r="M497" s="707">
        <x:f>IF('Г-43-107'!$BP84="Да",1,0)</x:f>
      </x:c>
      <x:c r="N497" s="708">
        <x:f>IF('Г-43-107'!$BV84="Да",1,0)</x:f>
      </x:c>
      <x:c r="O497" s="375">
        <x:f>IFERROR(ROUND(SUM(C497:N497)/($S$416),1),"")</x:f>
      </x:c>
    </x:row>
    <x:row r="498" spans="1:25" ht="15" customHeight="1" x14ac:dyDescent="0.25">
      <x:c r="A498" s="710"/>
      <x:c r="B498" s="363" t="s">
        <x:v>570</x:v>
      </x:c>
      <x:c r="C498" s="697">
        <x:f>IF('Г-43-107'!$H85="Да",1,0)</x:f>
      </x:c>
      <x:c r="D498" s="698">
        <x:f>IF('Г-43-107'!$N85="Да",1,0)</x:f>
      </x:c>
      <x:c r="E498" s="699">
        <x:f>IF('Г-43-107'!$T85="Да",1,0)</x:f>
      </x:c>
      <x:c r="F498" s="700">
        <x:f>IF('Г-43-107'!$Z85="Да",1,0)</x:f>
      </x:c>
      <x:c r="G498" s="701">
        <x:f>IF('Г-43-107'!$AF85="Да",1,0)</x:f>
      </x:c>
      <x:c r="H498" s="702">
        <x:f>IF('Г-43-107'!$AL85="Да",1,0)</x:f>
      </x:c>
      <x:c r="I498" s="703">
        <x:f>IF('Г-43-107'!$AR85="Да",1,0)</x:f>
      </x:c>
      <x:c r="J498" s="704">
        <x:f>IF('Г-43-107'!$AX85="Да",1,0)</x:f>
      </x:c>
      <x:c r="K498" s="705">
        <x:f>IF('Г-43-107'!$BD85="Да",1,0)</x:f>
      </x:c>
      <x:c r="L498" s="706">
        <x:f>IF('Г-43-107'!$BJ85="Да",1,0)</x:f>
      </x:c>
      <x:c r="M498" s="707">
        <x:f>IF('Г-43-107'!$BP85="Да",1,0)</x:f>
      </x:c>
      <x:c r="N498" s="708">
        <x:f>IF('Г-43-107'!$BV85="Да",1,0)</x:f>
      </x:c>
      <x:c r="O498" s="375">
        <x:f>IFERROR(ROUND(SUM(C498:N498)/($S$416),1),"")</x:f>
      </x:c>
    </x:row>
    <x:row r="499" spans="1:25" ht="15" customHeight="1" x14ac:dyDescent="0.25">
      <x:c r="A499" s="710"/>
      <x:c r="B499" s="363" t="s">
        <x:v>604</x:v>
      </x:c>
      <x:c r="C499" s="697">
        <x:f>IF('Г-43-107'!$H86="Да",1,0)</x:f>
      </x:c>
      <x:c r="D499" s="698">
        <x:f>IF('Г-43-107'!$N86="Да",1,0)</x:f>
      </x:c>
      <x:c r="E499" s="699">
        <x:f>IF('Г-43-107'!$T86="Да",1,0)</x:f>
      </x:c>
      <x:c r="F499" s="700">
        <x:f>IF('Г-43-107'!$Z86="Да",1,0)</x:f>
      </x:c>
      <x:c r="G499" s="701">
        <x:f>IF('Г-43-107'!$AF86="Да",1,0)</x:f>
      </x:c>
      <x:c r="H499" s="702">
        <x:f>IF('Г-43-107'!$AL86="Да",1,0)</x:f>
      </x:c>
      <x:c r="I499" s="703">
        <x:f>IF('Г-43-107'!$AR86="Да",1,0)</x:f>
      </x:c>
      <x:c r="J499" s="704">
        <x:f>IF('Г-43-107'!$AX86="Да",1,0)</x:f>
      </x:c>
      <x:c r="K499" s="705">
        <x:f>IF('Г-43-107'!$BD86="Да",1,0)</x:f>
      </x:c>
      <x:c r="L499" s="706">
        <x:f>IF('Г-43-107'!$BJ86="Да",1,0)</x:f>
      </x:c>
      <x:c r="M499" s="707">
        <x:f>IF('Г-43-107'!$BP86="Да",1,0)</x:f>
      </x:c>
      <x:c r="N499" s="708">
        <x:f>IF('Г-43-107'!$BV86="Да",1,0)</x:f>
      </x:c>
      <x:c r="O499" s="375">
        <x:f>IFERROR(ROUND(SUM(C499:N499)/($S$416),1),"")</x:f>
      </x:c>
    </x:row>
    <x:row r="500" spans="1:25" ht="15" customHeight="1" x14ac:dyDescent="0.25">
      <x:c r="A500" s="710"/>
      <x:c r="B500" s="363" t="s">
        <x:v>535</x:v>
      </x:c>
      <x:c r="C500" s="697">
        <x:f>IF('Г-43-107'!$H87="Да",1,0)</x:f>
      </x:c>
      <x:c r="D500" s="698">
        <x:f>IF('Г-43-107'!$N87="Да",1,0)</x:f>
      </x:c>
      <x:c r="E500" s="699">
        <x:f>IF('Г-43-107'!$T87="Да",1,0)</x:f>
      </x:c>
      <x:c r="F500" s="700">
        <x:f>IF('Г-43-107'!$Z87="Да",1,0)</x:f>
      </x:c>
      <x:c r="G500" s="701">
        <x:f>IF('Г-43-107'!$AF87="Да",1,0)</x:f>
      </x:c>
      <x:c r="H500" s="702">
        <x:f>IF('Г-43-107'!$AL87="Да",1,0)</x:f>
      </x:c>
      <x:c r="I500" s="703">
        <x:f>IF('Г-43-107'!$AR87="Да",1,0)</x:f>
      </x:c>
      <x:c r="J500" s="704">
        <x:f>IF('Г-43-107'!$AX87="Да",1,0)</x:f>
      </x:c>
      <x:c r="K500" s="705">
        <x:f>IF('Г-43-107'!$BD87="Да",1,0)</x:f>
      </x:c>
      <x:c r="L500" s="706">
        <x:f>IF('Г-43-107'!$BJ87="Да",1,0)</x:f>
      </x:c>
      <x:c r="M500" s="707">
        <x:f>IF('Г-43-107'!$BP87="Да",1,0)</x:f>
      </x:c>
      <x:c r="N500" s="708">
        <x:f>IF('Г-43-107'!$BV87="Да",1,0)</x:f>
      </x:c>
      <x:c r="O500" s="375">
        <x:f>IFERROR(ROUND(SUM(C500:N500)/($S$416),1),"")</x:f>
      </x:c>
    </x:row>
    <x:row r="501" spans="1:25" ht="15" customHeight="1" x14ac:dyDescent="0.25">
      <x:c r="A501" s="710"/>
      <x:c r="B501" s="363" t="s">
        <x:v>518</x:v>
      </x:c>
      <x:c r="C501" s="697">
        <x:f>IF('Г-43-107'!$H88="Да",1,0)</x:f>
      </x:c>
      <x:c r="D501" s="698">
        <x:f>IF('Г-43-107'!$N88="Да",1,0)</x:f>
      </x:c>
      <x:c r="E501" s="699">
        <x:f>IF('Г-43-107'!$T88="Да",1,0)</x:f>
      </x:c>
      <x:c r="F501" s="700">
        <x:f>IF('Г-43-107'!$Z88="Да",1,0)</x:f>
      </x:c>
      <x:c r="G501" s="701">
        <x:f>IF('Г-43-107'!$AF88="Да",1,0)</x:f>
      </x:c>
      <x:c r="H501" s="702">
        <x:f>IF('Г-43-107'!$AL88="Да",1,0)</x:f>
      </x:c>
      <x:c r="I501" s="703">
        <x:f>IF('Г-43-107'!$AR88="Да",1,0)</x:f>
      </x:c>
      <x:c r="J501" s="704">
        <x:f>IF('Г-43-107'!$AX88="Да",1,0)</x:f>
      </x:c>
      <x:c r="K501" s="705">
        <x:f>IF('Г-43-107'!$BD88="Да",1,0)</x:f>
      </x:c>
      <x:c r="L501" s="706">
        <x:f>IF('Г-43-107'!$BJ88="Да",1,0)</x:f>
      </x:c>
      <x:c r="M501" s="707">
        <x:f>IF('Г-43-107'!$BP88="Да",1,0)</x:f>
      </x:c>
      <x:c r="N501" s="708">
        <x:f>IF('Г-43-107'!$BV88="Да",1,0)</x:f>
      </x:c>
      <x:c r="O501" s="375">
        <x:f>IFERROR(ROUND(SUM(C501:N501)/($S$416),1),"")</x:f>
      </x:c>
    </x:row>
    <x:row r="502" spans="1:25" ht="15" customHeight="1" x14ac:dyDescent="0.25">
      <x:c r="A502" s="710"/>
      <x:c r="B502" s="363" t="s">
        <x:v>528</x:v>
      </x:c>
      <x:c r="C502" s="697">
        <x:f>IF('Г-43-107'!$H89="Да",1,0)</x:f>
      </x:c>
      <x:c r="D502" s="698">
        <x:f>IF('Г-43-107'!$N89="Да",1,0)</x:f>
      </x:c>
      <x:c r="E502" s="699">
        <x:f>IF('Г-43-107'!$T89="Да",1,0)</x:f>
      </x:c>
      <x:c r="F502" s="700">
        <x:f>IF('Г-43-107'!$Z89="Да",1,0)</x:f>
      </x:c>
      <x:c r="G502" s="701">
        <x:f>IF('Г-43-107'!$AF89="Да",1,0)</x:f>
      </x:c>
      <x:c r="H502" s="702">
        <x:f>IF('Г-43-107'!$AL89="Да",1,0)</x:f>
      </x:c>
      <x:c r="I502" s="703">
        <x:f>IF('Г-43-107'!$AR89="Да",1,0)</x:f>
      </x:c>
      <x:c r="J502" s="704">
        <x:f>IF('Г-43-107'!$AX89="Да",1,0)</x:f>
      </x:c>
      <x:c r="K502" s="705">
        <x:f>IF('Г-43-107'!$BD89="Да",1,0)</x:f>
      </x:c>
      <x:c r="L502" s="706">
        <x:f>IF('Г-43-107'!$BJ89="Да",1,0)</x:f>
      </x:c>
      <x:c r="M502" s="707">
        <x:f>IF('Г-43-107'!$BP89="Да",1,0)</x:f>
      </x:c>
      <x:c r="N502" s="708">
        <x:f>IF('Г-43-107'!$BV89="Да",1,0)</x:f>
      </x:c>
      <x:c r="O502" s="375">
        <x:f>IFERROR(ROUND(SUM(C502:N502)/($S$416),1),"")</x:f>
      </x:c>
    </x:row>
    <x:row r="503" spans="1:25" ht="15" customHeight="1" x14ac:dyDescent="0.25">
      <x:c r="A503" s="710"/>
      <x:c r="B503" s="363" t="s">
        <x:v>556</x:v>
      </x:c>
      <x:c r="C503" s="697">
        <x:f>IF('Г-43-107'!$H90="Да",1,0)</x:f>
      </x:c>
      <x:c r="D503" s="698">
        <x:f>IF('Г-43-107'!$N90="Да",1,0)</x:f>
      </x:c>
      <x:c r="E503" s="699">
        <x:f>IF('Г-43-107'!$T90="Да",1,0)</x:f>
      </x:c>
      <x:c r="F503" s="700">
        <x:f>IF('Г-43-107'!$Z90="Да",1,0)</x:f>
      </x:c>
      <x:c r="G503" s="701">
        <x:f>IF('Г-43-107'!$AF90="Да",1,0)</x:f>
      </x:c>
      <x:c r="H503" s="702">
        <x:f>IF('Г-43-107'!$AL90="Да",1,0)</x:f>
      </x:c>
      <x:c r="I503" s="703">
        <x:f>IF('Г-43-107'!$AR90="Да",1,0)</x:f>
      </x:c>
      <x:c r="J503" s="704">
        <x:f>IF('Г-43-107'!$AX90="Да",1,0)</x:f>
      </x:c>
      <x:c r="K503" s="705">
        <x:f>IF('Г-43-107'!$BD90="Да",1,0)</x:f>
      </x:c>
      <x:c r="L503" s="706">
        <x:f>IF('Г-43-107'!$BJ90="Да",1,0)</x:f>
      </x:c>
      <x:c r="M503" s="707">
        <x:f>IF('Г-43-107'!$BP90="Да",1,0)</x:f>
      </x:c>
      <x:c r="N503" s="708">
        <x:f>IF('Г-43-107'!$BV90="Да",1,0)</x:f>
      </x:c>
      <x:c r="O503" s="375">
        <x:f>IFERROR(ROUND(SUM(C503:N503)/($S$416),1),"")</x:f>
      </x:c>
    </x:row>
    <x:row r="504" spans="1:25" ht="15" customHeight="1" x14ac:dyDescent="0.25">
      <x:c r="A504" s="710"/>
      <x:c r="B504" s="363" t="s">
        <x:v>531</x:v>
      </x:c>
      <x:c r="C504" s="697">
        <x:f>IF('Г-43-107'!$H91="Да",1,0)</x:f>
      </x:c>
      <x:c r="D504" s="698">
        <x:f>IF('Г-43-107'!$N91="Да",1,0)</x:f>
      </x:c>
      <x:c r="E504" s="699">
        <x:f>IF('Г-43-107'!$T91="Да",1,0)</x:f>
      </x:c>
      <x:c r="F504" s="700">
        <x:f>IF('Г-43-107'!$Z91="Да",1,0)</x:f>
      </x:c>
      <x:c r="G504" s="701">
        <x:f>IF('Г-43-107'!$AF91="Да",1,0)</x:f>
      </x:c>
      <x:c r="H504" s="702">
        <x:f>IF('Г-43-107'!$AL91="Да",1,0)</x:f>
      </x:c>
      <x:c r="I504" s="703">
        <x:f>IF('Г-43-107'!$AR91="Да",1,0)</x:f>
      </x:c>
      <x:c r="J504" s="704">
        <x:f>IF('Г-43-107'!$AX91="Да",1,0)</x:f>
      </x:c>
      <x:c r="K504" s="705">
        <x:f>IF('Г-43-107'!$BD91="Да",1,0)</x:f>
      </x:c>
      <x:c r="L504" s="706">
        <x:f>IF('Г-43-107'!$BJ91="Да",1,0)</x:f>
      </x:c>
      <x:c r="M504" s="707">
        <x:f>IF('Г-43-107'!$BP91="Да",1,0)</x:f>
      </x:c>
      <x:c r="N504" s="708">
        <x:f>IF('Г-43-107'!$BV91="Да",1,0)</x:f>
      </x:c>
      <x:c r="O504" s="375">
        <x:f>IFERROR(ROUND(SUM(C504:N504)/($S$416),1),"")</x:f>
      </x:c>
    </x:row>
    <x:row r="505" spans="1:25" ht="15" customHeight="1" x14ac:dyDescent="0.25">
      <x:c r="A505" s="710"/>
      <x:c r="B505" s="363" t="s">
        <x:v>537</x:v>
      </x:c>
      <x:c r="C505" s="697">
        <x:f>IF('Г-43-107'!$H92="Да",1,0)</x:f>
      </x:c>
      <x:c r="D505" s="698">
        <x:f>IF('Г-43-107'!$N92="Да",1,0)</x:f>
      </x:c>
      <x:c r="E505" s="699">
        <x:f>IF('Г-43-107'!$T92="Да",1,0)</x:f>
      </x:c>
      <x:c r="F505" s="700">
        <x:f>IF('Г-43-107'!$Z92="Да",1,0)</x:f>
      </x:c>
      <x:c r="G505" s="701">
        <x:f>IF('Г-43-107'!$AF92="Да",1,0)</x:f>
      </x:c>
      <x:c r="H505" s="702">
        <x:f>IF('Г-43-107'!$AL92="Да",1,0)</x:f>
      </x:c>
      <x:c r="I505" s="703">
        <x:f>IF('Г-43-107'!$AR92="Да",1,0)</x:f>
      </x:c>
      <x:c r="J505" s="704">
        <x:f>IF('Г-43-107'!$AX92="Да",1,0)</x:f>
      </x:c>
      <x:c r="K505" s="705">
        <x:f>IF('Г-43-107'!$BD92="Да",1,0)</x:f>
      </x:c>
      <x:c r="L505" s="706">
        <x:f>IF('Г-43-107'!$BJ92="Да",1,0)</x:f>
      </x:c>
      <x:c r="M505" s="707">
        <x:f>IF('Г-43-107'!$BP92="Да",1,0)</x:f>
      </x:c>
      <x:c r="N505" s="708">
        <x:f>IF('Г-43-107'!$BV92="Да",1,0)</x:f>
      </x:c>
      <x:c r="O505" s="375">
        <x:f>IFERROR(ROUND(SUM(C505:N505)/($S$416),1),"")</x:f>
      </x:c>
    </x:row>
    <x:row r="506" spans="1:25" ht="15" customHeight="1" x14ac:dyDescent="0.25">
      <x:c r="A506" s="710"/>
      <x:c r="B506" s="363" t="s">
        <x:v>533</x:v>
      </x:c>
      <x:c r="C506" s="697">
        <x:f>IF('Г-43-107'!$H93="Да",1,0)</x:f>
      </x:c>
      <x:c r="D506" s="698">
        <x:f>IF('Г-43-107'!$N93="Да",1,0)</x:f>
      </x:c>
      <x:c r="E506" s="699">
        <x:f>IF('Г-43-107'!$T93="Да",1,0)</x:f>
      </x:c>
      <x:c r="F506" s="700">
        <x:f>IF('Г-43-107'!$Z93="Да",1,0)</x:f>
      </x:c>
      <x:c r="G506" s="701">
        <x:f>IF('Г-43-107'!$AF93="Да",1,0)</x:f>
      </x:c>
      <x:c r="H506" s="702">
        <x:f>IF('Г-43-107'!$AL93="Да",1,0)</x:f>
      </x:c>
      <x:c r="I506" s="703">
        <x:f>IF('Г-43-107'!$AR93="Да",1,0)</x:f>
      </x:c>
      <x:c r="J506" s="704">
        <x:f>IF('Г-43-107'!$AX93="Да",1,0)</x:f>
      </x:c>
      <x:c r="K506" s="705">
        <x:f>IF('Г-43-107'!$BD93="Да",1,0)</x:f>
      </x:c>
      <x:c r="L506" s="706">
        <x:f>IF('Г-43-107'!$BJ93="Да",1,0)</x:f>
      </x:c>
      <x:c r="M506" s="707">
        <x:f>IF('Г-43-107'!$BP93="Да",1,0)</x:f>
      </x:c>
      <x:c r="N506" s="708">
        <x:f>IF('Г-43-107'!$BV93="Да",1,0)</x:f>
      </x:c>
      <x:c r="O506" s="375">
        <x:f>IFERROR(ROUND(SUM(C506:N506)/($S$416),1),"")</x:f>
      </x:c>
    </x:row>
    <x:row r="507" spans="1:25" ht="15" customHeight="1" x14ac:dyDescent="0.25">
      <x:c r="A507" s="710"/>
      <x:c r="B507" s="363" t="s">
        <x:v>516</x:v>
      </x:c>
      <x:c r="C507" s="697">
        <x:f>IF('Г-43-107'!$H94="Да",1,0)</x:f>
      </x:c>
      <x:c r="D507" s="698">
        <x:f>IF('Г-43-107'!$N94="Да",1,0)</x:f>
      </x:c>
      <x:c r="E507" s="699">
        <x:f>IF('Г-43-107'!$T94="Да",1,0)</x:f>
      </x:c>
      <x:c r="F507" s="700">
        <x:f>IF('Г-43-107'!$Z94="Да",1,0)</x:f>
      </x:c>
      <x:c r="G507" s="701">
        <x:f>IF('Г-43-107'!$AF94="Да",1,0)</x:f>
      </x:c>
      <x:c r="H507" s="702">
        <x:f>IF('Г-43-107'!$AL94="Да",1,0)</x:f>
      </x:c>
      <x:c r="I507" s="703">
        <x:f>IF('Г-43-107'!$AR94="Да",1,0)</x:f>
      </x:c>
      <x:c r="J507" s="704">
        <x:f>IF('Г-43-107'!$AX94="Да",1,0)</x:f>
      </x:c>
      <x:c r="K507" s="705">
        <x:f>IF('Г-43-107'!$BD94="Да",1,0)</x:f>
      </x:c>
      <x:c r="L507" s="706">
        <x:f>IF('Г-43-107'!$BJ94="Да",1,0)</x:f>
      </x:c>
      <x:c r="M507" s="707">
        <x:f>IF('Г-43-107'!$BP94="Да",1,0)</x:f>
      </x:c>
      <x:c r="N507" s="708">
        <x:f>IF('Г-43-107'!$BV94="Да",1,0)</x:f>
      </x:c>
      <x:c r="O507" s="375">
        <x:f>IFERROR(ROUND(SUM(C507:N507)/($S$416),1),"")</x:f>
      </x:c>
    </x:row>
    <x:row r="508" spans="1:25" ht="15.75" customHeight="1" x14ac:dyDescent="0.25">
      <x:c r="A508" s="717"/>
      <x:c r="B508" s="379" t="s">
        <x:v>559</x:v>
      </x:c>
      <x:c r="C508" s="697">
        <x:f>IF('Г-43-107'!$H95="Да",1,0)</x:f>
      </x:c>
      <x:c r="D508" s="698">
        <x:f>IF('Г-43-107'!$N95="Да",1,0)</x:f>
      </x:c>
      <x:c r="E508" s="699">
        <x:f>IF('Г-43-107'!$T95="Да",1,0)</x:f>
      </x:c>
      <x:c r="F508" s="700">
        <x:f>IF('Г-43-107'!$Z95="Да",1,0)</x:f>
      </x:c>
      <x:c r="G508" s="701">
        <x:f>IF('Г-43-107'!$AF95="Да",1,0)</x:f>
      </x:c>
      <x:c r="H508" s="702">
        <x:f>IF('Г-43-107'!$AL95="Да",1,0)</x:f>
      </x:c>
      <x:c r="I508" s="703">
        <x:f>IF('Г-43-107'!$AR95="Да",1,0)</x:f>
      </x:c>
      <x:c r="J508" s="704">
        <x:f>IF('Г-43-107'!$AX95="Да",1,0)</x:f>
      </x:c>
      <x:c r="K508" s="705">
        <x:f>IF('Г-43-107'!$BD95="Да",1,0)</x:f>
      </x:c>
      <x:c r="L508" s="706">
        <x:f>IF('Г-43-107'!$BJ95="Да",1,0)</x:f>
      </x:c>
      <x:c r="M508" s="707">
        <x:f>IF('Г-43-107'!$BP95="Да",1,0)</x:f>
      </x:c>
      <x:c r="N508" s="708">
        <x:f>IF('Г-43-107'!$BV95="Да",1,0)</x:f>
      </x:c>
      <x:c r="O508" s="375">
        <x:f>IFERROR(ROUND(SUM(C508:N508)/($S$416),1),"")</x:f>
      </x:c>
    </x:row>
    <x:row r="509" spans="1:25" ht="15" customHeight="1" x14ac:dyDescent="0.25">
      <x:c r="A509" s="696" t="s">
        <x:v>1081</x:v>
      </x:c>
      <x:c r="B509" s="363" t="s">
        <x:v>334</x:v>
      </x:c>
      <x:c r="C509" s="697">
        <x:f>IF('КУПН'!$H3="Да",1,0)</x:f>
      </x:c>
      <x:c r="D509" s="698">
        <x:f>IF('КУПН'!$N3="Да",1,0)</x:f>
      </x:c>
      <x:c r="E509" s="699">
        <x:f>IF('КУПН'!$T3="Да",1,0)</x:f>
      </x:c>
      <x:c r="F509" s="700">
        <x:f>IF('КУПН'!$Z3="Да",1,0)</x:f>
      </x:c>
      <x:c r="G509" s="701">
        <x:f>IF('КУПН'!$AF3="Да",1,0)</x:f>
      </x:c>
      <x:c r="H509" s="702">
        <x:f>IF('КУПН'!$AL3="Да",1,0)</x:f>
      </x:c>
      <x:c r="I509" s="703">
        <x:f>IF('КУПН'!$AR3="Да",1,0)</x:f>
      </x:c>
      <x:c r="J509" s="704">
        <x:f>IF('КУПН'!$AX3="Да",1,0)</x:f>
      </x:c>
      <x:c r="K509" s="705">
        <x:f>IF('КУПН'!$BD3="Да",1,0)</x:f>
      </x:c>
      <x:c r="L509" s="706">
        <x:f>IF('КУПН'!$BJ3="Да",1,0)</x:f>
      </x:c>
      <x:c r="M509" s="707">
        <x:f>IF('КУПН'!$BP3="Да",1,0)</x:f>
      </x:c>
      <x:c r="N509" s="708">
        <x:f>IF('КУПН'!$BV3="Да",1,0)</x:f>
      </x:c>
      <x:c r="O509" s="375">
        <x:f>IFERROR(ROUND(SUM(C509:N509)/($S$509),1),"")</x:f>
      </x:c>
      <x:c r="Q509" s="709" t="s">
        <x:v>1151</x:v>
      </x:c>
      <x:c r="R509" s="596"/>
      <x:c r="S509" s="376">
        <x:f>SUM(IF(COUNTIF(C509:C614,"&gt;0")&gt;0,1,0),IF(COUNTIF(D509:D614,"&gt;0")&gt;0,1,0),IF(COUNTIF(E509:E614,"&gt;0")&gt;0,1,0),IF(COUNTIF(F509:F614,"&gt;0")&gt;0,1,0),IF(COUNTIF(G509:G614,"&gt;0")&gt;0,1,0),IF(COUNTIF(H509:H614,"&gt;0")&gt;0,1,0),IF(COUNTIF(I509:I614,"&gt;0")&gt;0,1,0),IF(COUNTIF(J509:J614,"&gt;0")&gt;0,1,0),IF(COUNTIF(K509:K614,"&gt;0")&gt;0,1,0),IF(COUNTIF(L509:L614,"&gt;0")&gt;0,1,0),IF(COUNTIF(M509:M614,"&gt;0")&gt;0,1,0),IF(COUNTIF(N509:N614,"&gt;0")&gt;0,1,0))</x:f>
      </x:c>
    </x:row>
    <x:row r="510" spans="1:25" ht="15" customHeight="1" x14ac:dyDescent="0.25">
      <x:c r="A510" s="710"/>
      <x:c r="B510" s="363" t="s">
        <x:v>317</x:v>
      </x:c>
      <x:c r="C510" s="697">
        <x:f>IF('КУПН'!$H4="Да",1,0)</x:f>
      </x:c>
      <x:c r="D510" s="698">
        <x:f>IF('КУПН'!$N4="Да",1,0)</x:f>
      </x:c>
      <x:c r="E510" s="699">
        <x:f>IF('КУПН'!$T4="Да",1,0)</x:f>
      </x:c>
      <x:c r="F510" s="700">
        <x:f>IF('КУПН'!$Z4="Да",1,0)</x:f>
      </x:c>
      <x:c r="G510" s="701">
        <x:f>IF('КУПН'!$AF4="Да",1,0)</x:f>
      </x:c>
      <x:c r="H510" s="702">
        <x:f>IF('КУПН'!$AL4="Да",1,0)</x:f>
      </x:c>
      <x:c r="I510" s="703">
        <x:f>IF('КУПН'!$AR4="Да",1,0)</x:f>
      </x:c>
      <x:c r="J510" s="704">
        <x:f>IF('КУПН'!$AX4="Да",1,0)</x:f>
      </x:c>
      <x:c r="K510" s="705">
        <x:f>IF('КУПН'!$BD4="Да",1,0)</x:f>
      </x:c>
      <x:c r="L510" s="706">
        <x:f>IF('КУПН'!$BJ4="Да",1,0)</x:f>
      </x:c>
      <x:c r="M510" s="707">
        <x:f>IF('КУПН'!$BP4="Да",1,0)</x:f>
      </x:c>
      <x:c r="N510" s="708">
        <x:f>IF('КУПН'!$BV4="Да",1,0)</x:f>
      </x:c>
      <x:c r="O510" s="375">
        <x:f>IFERROR(ROUND(SUM(C510:N510)/($S$509),1),"")</x:f>
      </x:c>
      <x:c r="Q510" s="711"/>
      <x:c r="R510" s="712"/>
      <x:c r="S510" s="713"/>
    </x:row>
    <x:row r="511" spans="1:25" ht="15" customHeight="1" x14ac:dyDescent="0.25">
      <x:c r="A511" s="710"/>
      <x:c r="B511" s="363" t="s">
        <x:v>333</x:v>
      </x:c>
      <x:c r="C511" s="697">
        <x:f>IF('КУПН'!$H5="Да",1,0)</x:f>
      </x:c>
      <x:c r="D511" s="698">
        <x:f>IF('КУПН'!$N5="Да",1,0)</x:f>
      </x:c>
      <x:c r="E511" s="699">
        <x:f>IF('КУПН'!$T5="Да",1,0)</x:f>
      </x:c>
      <x:c r="F511" s="700">
        <x:f>IF('КУПН'!$Z5="Да",1,0)</x:f>
      </x:c>
      <x:c r="G511" s="701">
        <x:f>IF('КУПН'!$AF5="Да",1,0)</x:f>
      </x:c>
      <x:c r="H511" s="702">
        <x:f>IF('КУПН'!$AL5="Да",1,0)</x:f>
      </x:c>
      <x:c r="I511" s="703">
        <x:f>IF('КУПН'!$AR5="Да",1,0)</x:f>
      </x:c>
      <x:c r="J511" s="704">
        <x:f>IF('КУПН'!$AX5="Да",1,0)</x:f>
      </x:c>
      <x:c r="K511" s="705">
        <x:f>IF('КУПН'!$BD5="Да",1,0)</x:f>
      </x:c>
      <x:c r="L511" s="706">
        <x:f>IF('КУПН'!$BJ5="Да",1,0)</x:f>
      </x:c>
      <x:c r="M511" s="707">
        <x:f>IF('КУПН'!$BP5="Да",1,0)</x:f>
      </x:c>
      <x:c r="N511" s="708">
        <x:f>IF('КУПН'!$BV5="Да",1,0)</x:f>
      </x:c>
      <x:c r="O511" s="375">
        <x:f>IFERROR(ROUND(SUM(C511:N511)/($S$509),1),"")</x:f>
      </x:c>
      <x:c r="Q511" s="714"/>
      <x:c r="R511" s="715"/>
      <x:c r="S511" s="716"/>
    </x:row>
    <x:row r="512" spans="1:25" ht="15" customHeight="1" x14ac:dyDescent="0.25">
      <x:c r="A512" s="710"/>
      <x:c r="B512" s="363" t="s">
        <x:v>335</x:v>
      </x:c>
      <x:c r="C512" s="697">
        <x:f>IF('КУПН'!$H6="Да",1,0)</x:f>
      </x:c>
      <x:c r="D512" s="698">
        <x:f>IF('КУПН'!$N6="Да",1,0)</x:f>
      </x:c>
      <x:c r="E512" s="699">
        <x:f>IF('КУПН'!$T6="Да",1,0)</x:f>
      </x:c>
      <x:c r="F512" s="700">
        <x:f>IF('КУПН'!$Z6="Да",1,0)</x:f>
      </x:c>
      <x:c r="G512" s="701">
        <x:f>IF('КУПН'!$AF6="Да",1,0)</x:f>
      </x:c>
      <x:c r="H512" s="702">
        <x:f>IF('КУПН'!$AL6="Да",1,0)</x:f>
      </x:c>
      <x:c r="I512" s="703">
        <x:f>IF('КУПН'!$AR6="Да",1,0)</x:f>
      </x:c>
      <x:c r="J512" s="704">
        <x:f>IF('КУПН'!$AX6="Да",1,0)</x:f>
      </x:c>
      <x:c r="K512" s="705">
        <x:f>IF('КУПН'!$BD6="Да",1,0)</x:f>
      </x:c>
      <x:c r="L512" s="706">
        <x:f>IF('КУПН'!$BJ6="Да",1,0)</x:f>
      </x:c>
      <x:c r="M512" s="707">
        <x:f>IF('КУПН'!$BP6="Да",1,0)</x:f>
      </x:c>
      <x:c r="N512" s="708">
        <x:f>IF('КУПН'!$BV6="Да",1,0)</x:f>
      </x:c>
      <x:c r="O512" s="375">
        <x:f>IFERROR(ROUND(SUM(C512:N512)/($S$509),1),"")</x:f>
      </x:c>
    </x:row>
    <x:row r="513" spans="1:25" ht="15" customHeight="1" x14ac:dyDescent="0.25">
      <x:c r="A513" s="710"/>
      <x:c r="B513" s="363" t="s">
        <x:v>1131</x:v>
      </x:c>
      <x:c r="C513" s="697">
        <x:f>IF('КУПН'!$H7="Да",1,0)</x:f>
      </x:c>
      <x:c r="D513" s="698">
        <x:f>IF('КУПН'!$N7="Да",1,0)</x:f>
      </x:c>
      <x:c r="E513" s="699">
        <x:f>IF('КУПН'!$T7="Да",1,0)</x:f>
      </x:c>
      <x:c r="F513" s="700">
        <x:f>IF('КУПН'!$Z7="Да",1,0)</x:f>
      </x:c>
      <x:c r="G513" s="701">
        <x:f>IF('КУПН'!$AF7="Да",1,0)</x:f>
      </x:c>
      <x:c r="H513" s="702">
        <x:f>IF('КУПН'!$AL7="Да",1,0)</x:f>
      </x:c>
      <x:c r="I513" s="703">
        <x:f>IF('КУПН'!$AR7="Да",1,0)</x:f>
      </x:c>
      <x:c r="J513" s="704">
        <x:f>IF('КУПН'!$AX7="Да",1,0)</x:f>
      </x:c>
      <x:c r="K513" s="705">
        <x:f>IF('КУПН'!$BD7="Да",1,0)</x:f>
      </x:c>
      <x:c r="L513" s="706">
        <x:f>IF('КУПН'!$BJ7="Да",1,0)</x:f>
      </x:c>
      <x:c r="M513" s="707">
        <x:f>IF('КУПН'!$BP7="Да",1,0)</x:f>
      </x:c>
      <x:c r="N513" s="708">
        <x:f>IF('КУПН'!$BV7="Да",1,0)</x:f>
      </x:c>
      <x:c r="O513" s="375">
        <x:f>IFERROR(ROUND(SUM(C513:N513)/($S$509),1),"")</x:f>
      </x:c>
    </x:row>
    <x:row r="514" spans="1:25" ht="15" customHeight="1" x14ac:dyDescent="0.25">
      <x:c r="A514" s="710"/>
      <x:c r="B514" s="363" t="s">
        <x:v>299</x:v>
      </x:c>
      <x:c r="C514" s="697">
        <x:f>IF('КУПН'!$H8="Да",1,0)</x:f>
      </x:c>
      <x:c r="D514" s="698">
        <x:f>IF('КУПН'!$N8="Да",1,0)</x:f>
      </x:c>
      <x:c r="E514" s="699">
        <x:f>IF('КУПН'!$T8="Да",1,0)</x:f>
      </x:c>
      <x:c r="F514" s="700">
        <x:f>IF('КУПН'!$Z8="Да",1,0)</x:f>
      </x:c>
      <x:c r="G514" s="701">
        <x:f>IF('КУПН'!$AF8="Да",1,0)</x:f>
      </x:c>
      <x:c r="H514" s="702">
        <x:f>IF('КУПН'!$AL8="Да",1,0)</x:f>
      </x:c>
      <x:c r="I514" s="703">
        <x:f>IF('КУПН'!$AR8="Да",1,0)</x:f>
      </x:c>
      <x:c r="J514" s="704">
        <x:f>IF('КУПН'!$AX8="Да",1,0)</x:f>
      </x:c>
      <x:c r="K514" s="705">
        <x:f>IF('КУПН'!$BD8="Да",1,0)</x:f>
      </x:c>
      <x:c r="L514" s="706">
        <x:f>IF('КУПН'!$BJ8="Да",1,0)</x:f>
      </x:c>
      <x:c r="M514" s="707">
        <x:f>IF('КУПН'!$BP8="Да",1,0)</x:f>
      </x:c>
      <x:c r="N514" s="708">
        <x:f>IF('КУПН'!$BV8="Да",1,0)</x:f>
      </x:c>
      <x:c r="O514" s="375">
        <x:f>IFERROR(ROUND(SUM(C514:N514)/($S$509),1),"")</x:f>
      </x:c>
    </x:row>
    <x:row r="515" spans="1:25" ht="15" customHeight="1" x14ac:dyDescent="0.25">
      <x:c r="A515" s="710"/>
      <x:c r="B515" s="363" t="s">
        <x:v>1132</x:v>
      </x:c>
      <x:c r="C515" s="697">
        <x:f>IF('КУПН'!$H9="Да",1,0)</x:f>
      </x:c>
      <x:c r="D515" s="698">
        <x:f>IF('КУПН'!$N9="Да",1,0)</x:f>
      </x:c>
      <x:c r="E515" s="699">
        <x:f>IF('КУПН'!$T9="Да",1,0)</x:f>
      </x:c>
      <x:c r="F515" s="700">
        <x:f>IF('КУПН'!$Z9="Да",1,0)</x:f>
      </x:c>
      <x:c r="G515" s="701">
        <x:f>IF('КУПН'!$AF9="Да",1,0)</x:f>
      </x:c>
      <x:c r="H515" s="702">
        <x:f>IF('КУПН'!$AL9="Да",1,0)</x:f>
      </x:c>
      <x:c r="I515" s="703">
        <x:f>IF('КУПН'!$AR9="Да",1,0)</x:f>
      </x:c>
      <x:c r="J515" s="704">
        <x:f>IF('КУПН'!$AX9="Да",1,0)</x:f>
      </x:c>
      <x:c r="K515" s="705">
        <x:f>IF('КУПН'!$BD9="Да",1,0)</x:f>
      </x:c>
      <x:c r="L515" s="706">
        <x:f>IF('КУПН'!$BJ9="Да",1,0)</x:f>
      </x:c>
      <x:c r="M515" s="707">
        <x:f>IF('КУПН'!$BP9="Да",1,0)</x:f>
      </x:c>
      <x:c r="N515" s="708">
        <x:f>IF('КУПН'!$BV9="Да",1,0)</x:f>
      </x:c>
      <x:c r="O515" s="375">
        <x:f>IFERROR(ROUND(SUM(C515:N515)/($S$509),1),"")</x:f>
      </x:c>
    </x:row>
    <x:row r="516" spans="1:25" ht="15" customHeight="1" x14ac:dyDescent="0.25">
      <x:c r="A516" s="710"/>
      <x:c r="B516" s="363" t="s">
        <x:v>315</x:v>
      </x:c>
      <x:c r="C516" s="697">
        <x:f>IF('КУПН'!$H10="Да",1,0)</x:f>
      </x:c>
      <x:c r="D516" s="698">
        <x:f>IF('КУПН'!$N10="Да",1,0)</x:f>
      </x:c>
      <x:c r="E516" s="699">
        <x:f>IF('КУПН'!$T10="Да",1,0)</x:f>
      </x:c>
      <x:c r="F516" s="700">
        <x:f>IF('КУПН'!$Z10="Да",1,0)</x:f>
      </x:c>
      <x:c r="G516" s="701">
        <x:f>IF('КУПН'!$AF10="Да",1,0)</x:f>
      </x:c>
      <x:c r="H516" s="702">
        <x:f>IF('КУПН'!$AL10="Да",1,0)</x:f>
      </x:c>
      <x:c r="I516" s="703">
        <x:f>IF('КУПН'!$AR10="Да",1,0)</x:f>
      </x:c>
      <x:c r="J516" s="704">
        <x:f>IF('КУПН'!$AX10="Да",1,0)</x:f>
      </x:c>
      <x:c r="K516" s="705">
        <x:f>IF('КУПН'!$BD10="Да",1,0)</x:f>
      </x:c>
      <x:c r="L516" s="706">
        <x:f>IF('КУПН'!$BJ10="Да",1,0)</x:f>
      </x:c>
      <x:c r="M516" s="707">
        <x:f>IF('КУПН'!$BP10="Да",1,0)</x:f>
      </x:c>
      <x:c r="N516" s="708">
        <x:f>IF('КУПН'!$BV10="Да",1,0)</x:f>
      </x:c>
      <x:c r="O516" s="375">
        <x:f>IFERROR(ROUND(SUM(C516:N516)/($S$509),1),"")</x:f>
      </x:c>
    </x:row>
    <x:row r="517" spans="1:25" ht="15" customHeight="1" x14ac:dyDescent="0.25">
      <x:c r="A517" s="710"/>
      <x:c r="B517" s="363" t="s">
        <x:v>313</x:v>
      </x:c>
      <x:c r="C517" s="697">
        <x:f>IF('КУПН'!$H11="Да",1,0)</x:f>
      </x:c>
      <x:c r="D517" s="698">
        <x:f>IF('КУПН'!$N11="Да",1,0)</x:f>
      </x:c>
      <x:c r="E517" s="699">
        <x:f>IF('КУПН'!$T11="Да",1,0)</x:f>
      </x:c>
      <x:c r="F517" s="700">
        <x:f>IF('КУПН'!$Z11="Да",1,0)</x:f>
      </x:c>
      <x:c r="G517" s="701">
        <x:f>IF('КУПН'!$AF11="Да",1,0)</x:f>
      </x:c>
      <x:c r="H517" s="702">
        <x:f>IF('КУПН'!$AL11="Да",1,0)</x:f>
      </x:c>
      <x:c r="I517" s="703">
        <x:f>IF('КУПН'!$AR11="Да",1,0)</x:f>
      </x:c>
      <x:c r="J517" s="704">
        <x:f>IF('КУПН'!$AX11="Да",1,0)</x:f>
      </x:c>
      <x:c r="K517" s="705">
        <x:f>IF('КУПН'!$BD11="Да",1,0)</x:f>
      </x:c>
      <x:c r="L517" s="706">
        <x:f>IF('КУПН'!$BJ11="Да",1,0)</x:f>
      </x:c>
      <x:c r="M517" s="707">
        <x:f>IF('КУПН'!$BP11="Да",1,0)</x:f>
      </x:c>
      <x:c r="N517" s="708">
        <x:f>IF('КУПН'!$BV11="Да",1,0)</x:f>
      </x:c>
      <x:c r="O517" s="375">
        <x:f>IFERROR(ROUND(SUM(C517:N517)/($S$509),1),"")</x:f>
      </x:c>
    </x:row>
    <x:row r="518" spans="1:25" ht="15" customHeight="1" x14ac:dyDescent="0.25">
      <x:c r="A518" s="710"/>
      <x:c r="B518" s="363" t="s">
        <x:v>326</x:v>
      </x:c>
      <x:c r="C518" s="697">
        <x:f>IF('КУПН'!$H12="Да",1,0)</x:f>
      </x:c>
      <x:c r="D518" s="698">
        <x:f>IF('КУПН'!$N12="Да",1,0)</x:f>
      </x:c>
      <x:c r="E518" s="699">
        <x:f>IF('КУПН'!$T12="Да",1,0)</x:f>
      </x:c>
      <x:c r="F518" s="700">
        <x:f>IF('КУПН'!$Z12="Да",1,0)</x:f>
      </x:c>
      <x:c r="G518" s="701">
        <x:f>IF('КУПН'!$AF12="Да",1,0)</x:f>
      </x:c>
      <x:c r="H518" s="702">
        <x:f>IF('КУПН'!$AL12="Да",1,0)</x:f>
      </x:c>
      <x:c r="I518" s="703">
        <x:f>IF('КУПН'!$AR12="Да",1,0)</x:f>
      </x:c>
      <x:c r="J518" s="704">
        <x:f>IF('КУПН'!$AX12="Да",1,0)</x:f>
      </x:c>
      <x:c r="K518" s="705">
        <x:f>IF('КУПН'!$BD12="Да",1,0)</x:f>
      </x:c>
      <x:c r="L518" s="706">
        <x:f>IF('КУПН'!$BJ12="Да",1,0)</x:f>
      </x:c>
      <x:c r="M518" s="707">
        <x:f>IF('КУПН'!$BP12="Да",1,0)</x:f>
      </x:c>
      <x:c r="N518" s="708">
        <x:f>IF('КУПН'!$BV12="Да",1,0)</x:f>
      </x:c>
      <x:c r="O518" s="375">
        <x:f>IFERROR(ROUND(SUM(C518:N518)/($S$509),1),"")</x:f>
      </x:c>
    </x:row>
    <x:row r="519" spans="1:25" ht="15" customHeight="1" x14ac:dyDescent="0.25">
      <x:c r="A519" s="710"/>
      <x:c r="B519" s="363" t="s">
        <x:v>386</x:v>
      </x:c>
      <x:c r="C519" s="697">
        <x:f>IF('КУПН'!$H13="Да",1,0)</x:f>
      </x:c>
      <x:c r="D519" s="698">
        <x:f>IF('КУПН'!$N13="Да",1,0)</x:f>
      </x:c>
      <x:c r="E519" s="699">
        <x:f>IF('КУПН'!$T13="Да",1,0)</x:f>
      </x:c>
      <x:c r="F519" s="700">
        <x:f>IF('КУПН'!$Z13="Да",1,0)</x:f>
      </x:c>
      <x:c r="G519" s="701">
        <x:f>IF('КУПН'!$AF13="Да",1,0)</x:f>
      </x:c>
      <x:c r="H519" s="702">
        <x:f>IF('КУПН'!$AL13="Да",1,0)</x:f>
      </x:c>
      <x:c r="I519" s="703">
        <x:f>IF('КУПН'!$AR13="Да",1,0)</x:f>
      </x:c>
      <x:c r="J519" s="704">
        <x:f>IF('КУПН'!$AX13="Да",1,0)</x:f>
      </x:c>
      <x:c r="K519" s="705">
        <x:f>IF('КУПН'!$BD13="Да",1,0)</x:f>
      </x:c>
      <x:c r="L519" s="706">
        <x:f>IF('КУПН'!$BJ13="Да",1,0)</x:f>
      </x:c>
      <x:c r="M519" s="707">
        <x:f>IF('КУПН'!$BP13="Да",1,0)</x:f>
      </x:c>
      <x:c r="N519" s="708">
        <x:f>IF('КУПН'!$BV13="Да",1,0)</x:f>
      </x:c>
      <x:c r="O519" s="375">
        <x:f>IFERROR(ROUND(SUM(C519:N519)/($S$509),1),"")</x:f>
      </x:c>
    </x:row>
    <x:row r="520" spans="1:25" ht="15" customHeight="1" x14ac:dyDescent="0.25">
      <x:c r="A520" s="710"/>
      <x:c r="B520" s="363" t="s">
        <x:v>312</x:v>
      </x:c>
      <x:c r="C520" s="697">
        <x:f>IF('КУПН'!$H14="Да",1,0)</x:f>
      </x:c>
      <x:c r="D520" s="698">
        <x:f>IF('КУПН'!$N14="Да",1,0)</x:f>
      </x:c>
      <x:c r="E520" s="699">
        <x:f>IF('КУПН'!$T14="Да",1,0)</x:f>
      </x:c>
      <x:c r="F520" s="700">
        <x:f>IF('КУПН'!$Z14="Да",1,0)</x:f>
      </x:c>
      <x:c r="G520" s="701">
        <x:f>IF('КУПН'!$AF14="Да",1,0)</x:f>
      </x:c>
      <x:c r="H520" s="702">
        <x:f>IF('КУПН'!$AL14="Да",1,0)</x:f>
      </x:c>
      <x:c r="I520" s="703">
        <x:f>IF('КУПН'!$AR14="Да",1,0)</x:f>
      </x:c>
      <x:c r="J520" s="704">
        <x:f>IF('КУПН'!$AX14="Да",1,0)</x:f>
      </x:c>
      <x:c r="K520" s="705">
        <x:f>IF('КУПН'!$BD14="Да",1,0)</x:f>
      </x:c>
      <x:c r="L520" s="706">
        <x:f>IF('КУПН'!$BJ14="Да",1,0)</x:f>
      </x:c>
      <x:c r="M520" s="707">
        <x:f>IF('КУПН'!$BP14="Да",1,0)</x:f>
      </x:c>
      <x:c r="N520" s="708">
        <x:f>IF('КУПН'!$BV14="Да",1,0)</x:f>
      </x:c>
      <x:c r="O520" s="375">
        <x:f>IFERROR(ROUND(SUM(C520:N520)/($S$509),1),"")</x:f>
      </x:c>
    </x:row>
    <x:row r="521" spans="1:25" ht="15" customHeight="1" x14ac:dyDescent="0.25">
      <x:c r="A521" s="710"/>
      <x:c r="B521" s="363" t="s">
        <x:v>348</x:v>
      </x:c>
      <x:c r="C521" s="697">
        <x:f>IF('КУПН'!$H15="Да",1,0)</x:f>
      </x:c>
      <x:c r="D521" s="698">
        <x:f>IF('КУПН'!$N15="Да",1,0)</x:f>
      </x:c>
      <x:c r="E521" s="699">
        <x:f>IF('КУПН'!$T15="Да",1,0)</x:f>
      </x:c>
      <x:c r="F521" s="700">
        <x:f>IF('КУПН'!$Z15="Да",1,0)</x:f>
      </x:c>
      <x:c r="G521" s="701">
        <x:f>IF('КУПН'!$AF15="Да",1,0)</x:f>
      </x:c>
      <x:c r="H521" s="702">
        <x:f>IF('КУПН'!$AL15="Да",1,0)</x:f>
      </x:c>
      <x:c r="I521" s="703">
        <x:f>IF('КУПН'!$AR15="Да",1,0)</x:f>
      </x:c>
      <x:c r="J521" s="704">
        <x:f>IF('КУПН'!$AX15="Да",1,0)</x:f>
      </x:c>
      <x:c r="K521" s="705">
        <x:f>IF('КУПН'!$BD15="Да",1,0)</x:f>
      </x:c>
      <x:c r="L521" s="706">
        <x:f>IF('КУПН'!$BJ15="Да",1,0)</x:f>
      </x:c>
      <x:c r="M521" s="707">
        <x:f>IF('КУПН'!$BP15="Да",1,0)</x:f>
      </x:c>
      <x:c r="N521" s="708">
        <x:f>IF('КУПН'!$BV15="Да",1,0)</x:f>
      </x:c>
      <x:c r="O521" s="375">
        <x:f>IFERROR(ROUND(SUM(C521:N521)/($S$509),1),"")</x:f>
      </x:c>
    </x:row>
    <x:row r="522" spans="1:25" ht="15" customHeight="1" x14ac:dyDescent="0.25">
      <x:c r="A522" s="710"/>
      <x:c r="B522" s="363" t="s">
        <x:v>370</x:v>
      </x:c>
      <x:c r="C522" s="697">
        <x:f>IF('КУПН'!$H16="Да",1,0)</x:f>
      </x:c>
      <x:c r="D522" s="698">
        <x:f>IF('КУПН'!$N16="Да",1,0)</x:f>
      </x:c>
      <x:c r="E522" s="699">
        <x:f>IF('КУПН'!$T16="Да",1,0)</x:f>
      </x:c>
      <x:c r="F522" s="700">
        <x:f>IF('КУПН'!$Z16="Да",1,0)</x:f>
      </x:c>
      <x:c r="G522" s="701">
        <x:f>IF('КУПН'!$AF16="Да",1,0)</x:f>
      </x:c>
      <x:c r="H522" s="702">
        <x:f>IF('КУПН'!$AL16="Да",1,0)</x:f>
      </x:c>
      <x:c r="I522" s="703">
        <x:f>IF('КУПН'!$AR16="Да",1,0)</x:f>
      </x:c>
      <x:c r="J522" s="704">
        <x:f>IF('КУПН'!$AX16="Да",1,0)</x:f>
      </x:c>
      <x:c r="K522" s="705">
        <x:f>IF('КУПН'!$BD16="Да",1,0)</x:f>
      </x:c>
      <x:c r="L522" s="706">
        <x:f>IF('КУПН'!$BJ16="Да",1,0)</x:f>
      </x:c>
      <x:c r="M522" s="707">
        <x:f>IF('КУПН'!$BP16="Да",1,0)</x:f>
      </x:c>
      <x:c r="N522" s="708">
        <x:f>IF('КУПН'!$BV16="Да",1,0)</x:f>
      </x:c>
      <x:c r="O522" s="375">
        <x:f>IFERROR(ROUND(SUM(C522:N522)/($S$509),1),"")</x:f>
      </x:c>
    </x:row>
    <x:row r="523" spans="1:25" ht="15" customHeight="1" x14ac:dyDescent="0.25">
      <x:c r="A523" s="710"/>
      <x:c r="B523" s="363" t="s">
        <x:v>316</x:v>
      </x:c>
      <x:c r="C523" s="697">
        <x:f>IF('КУПН'!$H17="Да",1,0)</x:f>
      </x:c>
      <x:c r="D523" s="698">
        <x:f>IF('КУПН'!$N17="Да",1,0)</x:f>
      </x:c>
      <x:c r="E523" s="699">
        <x:f>IF('КУПН'!$T17="Да",1,0)</x:f>
      </x:c>
      <x:c r="F523" s="700">
        <x:f>IF('КУПН'!$Z17="Да",1,0)</x:f>
      </x:c>
      <x:c r="G523" s="701">
        <x:f>IF('КУПН'!$AF17="Да",1,0)</x:f>
      </x:c>
      <x:c r="H523" s="702">
        <x:f>IF('КУПН'!$AL17="Да",1,0)</x:f>
      </x:c>
      <x:c r="I523" s="703">
        <x:f>IF('КУПН'!$AR17="Да",1,0)</x:f>
      </x:c>
      <x:c r="J523" s="704">
        <x:f>IF('КУПН'!$AX17="Да",1,0)</x:f>
      </x:c>
      <x:c r="K523" s="705">
        <x:f>IF('КУПН'!$BD17="Да",1,0)</x:f>
      </x:c>
      <x:c r="L523" s="706">
        <x:f>IF('КУПН'!$BJ17="Да",1,0)</x:f>
      </x:c>
      <x:c r="M523" s="707">
        <x:f>IF('КУПН'!$BP17="Да",1,0)</x:f>
      </x:c>
      <x:c r="N523" s="708">
        <x:f>IF('КУПН'!$BV17="Да",1,0)</x:f>
      </x:c>
      <x:c r="O523" s="375">
        <x:f>IFERROR(ROUND(SUM(C523:N523)/($S$509),1),"")</x:f>
      </x:c>
    </x:row>
    <x:row r="524" spans="1:25" ht="15" customHeight="1" x14ac:dyDescent="0.25">
      <x:c r="A524" s="710"/>
      <x:c r="B524" s="363" t="s">
        <x:v>378</x:v>
      </x:c>
      <x:c r="C524" s="697">
        <x:f>IF('КУПН'!$H18="Да",1,0)</x:f>
      </x:c>
      <x:c r="D524" s="698">
        <x:f>IF('КУПН'!$N18="Да",1,0)</x:f>
      </x:c>
      <x:c r="E524" s="699">
        <x:f>IF('КУПН'!$T18="Да",1,0)</x:f>
      </x:c>
      <x:c r="F524" s="700">
        <x:f>IF('КУПН'!$Z18="Да",1,0)</x:f>
      </x:c>
      <x:c r="G524" s="701">
        <x:f>IF('КУПН'!$AF18="Да",1,0)</x:f>
      </x:c>
      <x:c r="H524" s="702">
        <x:f>IF('КУПН'!$AL18="Да",1,0)</x:f>
      </x:c>
      <x:c r="I524" s="703">
        <x:f>IF('КУПН'!$AR18="Да",1,0)</x:f>
      </x:c>
      <x:c r="J524" s="704">
        <x:f>IF('КУПН'!$AX18="Да",1,0)</x:f>
      </x:c>
      <x:c r="K524" s="705">
        <x:f>IF('КУПН'!$BD18="Да",1,0)</x:f>
      </x:c>
      <x:c r="L524" s="706">
        <x:f>IF('КУПН'!$BJ18="Да",1,0)</x:f>
      </x:c>
      <x:c r="M524" s="707">
        <x:f>IF('КУПН'!$BP18="Да",1,0)</x:f>
      </x:c>
      <x:c r="N524" s="708">
        <x:f>IF('КУПН'!$BV18="Да",1,0)</x:f>
      </x:c>
      <x:c r="O524" s="375">
        <x:f>IFERROR(ROUND(SUM(C524:N524)/($S$509),1),"")</x:f>
      </x:c>
    </x:row>
    <x:row r="525" spans="1:25" ht="15" customHeight="1" x14ac:dyDescent="0.25">
      <x:c r="A525" s="710"/>
      <x:c r="B525" s="363" t="s">
        <x:v>297</x:v>
      </x:c>
      <x:c r="C525" s="697">
        <x:f>IF('КУПН'!$H19="Да",1,0)</x:f>
      </x:c>
      <x:c r="D525" s="698">
        <x:f>IF('КУПН'!$N19="Да",1,0)</x:f>
      </x:c>
      <x:c r="E525" s="699">
        <x:f>IF('КУПН'!$T19="Да",1,0)</x:f>
      </x:c>
      <x:c r="F525" s="700">
        <x:f>IF('КУПН'!$Z19="Да",1,0)</x:f>
      </x:c>
      <x:c r="G525" s="701">
        <x:f>IF('КУПН'!$AF19="Да",1,0)</x:f>
      </x:c>
      <x:c r="H525" s="702">
        <x:f>IF('КУПН'!$AL19="Да",1,0)</x:f>
      </x:c>
      <x:c r="I525" s="703">
        <x:f>IF('КУПН'!$AR19="Да",1,0)</x:f>
      </x:c>
      <x:c r="J525" s="704">
        <x:f>IF('КУПН'!$AX19="Да",1,0)</x:f>
      </x:c>
      <x:c r="K525" s="705">
        <x:f>IF('КУПН'!$BD19="Да",1,0)</x:f>
      </x:c>
      <x:c r="L525" s="706">
        <x:f>IF('КУПН'!$BJ19="Да",1,0)</x:f>
      </x:c>
      <x:c r="M525" s="707">
        <x:f>IF('КУПН'!$BP19="Да",1,0)</x:f>
      </x:c>
      <x:c r="N525" s="708">
        <x:f>IF('КУПН'!$BV19="Да",1,0)</x:f>
      </x:c>
      <x:c r="O525" s="375">
        <x:f>IFERROR(ROUND(SUM(C525:N525)/($S$509),1),"")</x:f>
      </x:c>
    </x:row>
    <x:row r="526" spans="1:25" ht="15" customHeight="1" x14ac:dyDescent="0.25">
      <x:c r="A526" s="710"/>
      <x:c r="B526" s="363" t="s">
        <x:v>354</x:v>
      </x:c>
      <x:c r="C526" s="697">
        <x:f>IF('КУПН'!$H20="Да",1,0)</x:f>
      </x:c>
      <x:c r="D526" s="698">
        <x:f>IF('КУПН'!$N20="Да",1,0)</x:f>
      </x:c>
      <x:c r="E526" s="699">
        <x:f>IF('КУПН'!$T20="Да",1,0)</x:f>
      </x:c>
      <x:c r="F526" s="700">
        <x:f>IF('КУПН'!$Z20="Да",1,0)</x:f>
      </x:c>
      <x:c r="G526" s="701">
        <x:f>IF('КУПН'!$AF20="Да",1,0)</x:f>
      </x:c>
      <x:c r="H526" s="702">
        <x:f>IF('КУПН'!$AL20="Да",1,0)</x:f>
      </x:c>
      <x:c r="I526" s="703">
        <x:f>IF('КУПН'!$AR20="Да",1,0)</x:f>
      </x:c>
      <x:c r="J526" s="704">
        <x:f>IF('КУПН'!$AX20="Да",1,0)</x:f>
      </x:c>
      <x:c r="K526" s="705">
        <x:f>IF('КУПН'!$BD20="Да",1,0)</x:f>
      </x:c>
      <x:c r="L526" s="706">
        <x:f>IF('КУПН'!$BJ20="Да",1,0)</x:f>
      </x:c>
      <x:c r="M526" s="707">
        <x:f>IF('КУПН'!$BP20="Да",1,0)</x:f>
      </x:c>
      <x:c r="N526" s="708">
        <x:f>IF('КУПН'!$BV20="Да",1,0)</x:f>
      </x:c>
      <x:c r="O526" s="375">
        <x:f>IFERROR(ROUND(SUM(C526:N526)/($S$509),1),"")</x:f>
      </x:c>
    </x:row>
    <x:row r="527" spans="1:25" ht="15" customHeight="1" x14ac:dyDescent="0.25">
      <x:c r="A527" s="710"/>
      <x:c r="B527" s="363" t="s">
        <x:v>363</x:v>
      </x:c>
      <x:c r="C527" s="697">
        <x:f>IF('КУПН'!$H21="Да",1,0)</x:f>
      </x:c>
      <x:c r="D527" s="698">
        <x:f>IF('КУПН'!$N21="Да",1,0)</x:f>
      </x:c>
      <x:c r="E527" s="699">
        <x:f>IF('КУПН'!$T21="Да",1,0)</x:f>
      </x:c>
      <x:c r="F527" s="700">
        <x:f>IF('КУПН'!$Z21="Да",1,0)</x:f>
      </x:c>
      <x:c r="G527" s="701">
        <x:f>IF('КУПН'!$AF21="Да",1,0)</x:f>
      </x:c>
      <x:c r="H527" s="702">
        <x:f>IF('КУПН'!$AL21="Да",1,0)</x:f>
      </x:c>
      <x:c r="I527" s="703">
        <x:f>IF('КУПН'!$AR21="Да",1,0)</x:f>
      </x:c>
      <x:c r="J527" s="704">
        <x:f>IF('КУПН'!$AX21="Да",1,0)</x:f>
      </x:c>
      <x:c r="K527" s="705">
        <x:f>IF('КУПН'!$BD21="Да",1,0)</x:f>
      </x:c>
      <x:c r="L527" s="706">
        <x:f>IF('КУПН'!$BJ21="Да",1,0)</x:f>
      </x:c>
      <x:c r="M527" s="707">
        <x:f>IF('КУПН'!$BP21="Да",1,0)</x:f>
      </x:c>
      <x:c r="N527" s="708">
        <x:f>IF('КУПН'!$BV21="Да",1,0)</x:f>
      </x:c>
      <x:c r="O527" s="375">
        <x:f>IFERROR(ROUND(SUM(C527:N527)/($S$509),1),"")</x:f>
      </x:c>
    </x:row>
    <x:row r="528" spans="1:25" ht="15" customHeight="1" x14ac:dyDescent="0.25">
      <x:c r="A528" s="710"/>
      <x:c r="B528" s="363" t="s">
        <x:v>369</x:v>
      </x:c>
      <x:c r="C528" s="697">
        <x:f>IF('КУПН'!$H22="Да",1,0)</x:f>
      </x:c>
      <x:c r="D528" s="698">
        <x:f>IF('КУПН'!$N22="Да",1,0)</x:f>
      </x:c>
      <x:c r="E528" s="699">
        <x:f>IF('КУПН'!$T22="Да",1,0)</x:f>
      </x:c>
      <x:c r="F528" s="700">
        <x:f>IF('КУПН'!$Z22="Да",1,0)</x:f>
      </x:c>
      <x:c r="G528" s="701">
        <x:f>IF('КУПН'!$AF22="Да",1,0)</x:f>
      </x:c>
      <x:c r="H528" s="702">
        <x:f>IF('КУПН'!$AL22="Да",1,0)</x:f>
      </x:c>
      <x:c r="I528" s="703">
        <x:f>IF('КУПН'!$AR22="Да",1,0)</x:f>
      </x:c>
      <x:c r="J528" s="704">
        <x:f>IF('КУПН'!$AX22="Да",1,0)</x:f>
      </x:c>
      <x:c r="K528" s="705">
        <x:f>IF('КУПН'!$BD22="Да",1,0)</x:f>
      </x:c>
      <x:c r="L528" s="706">
        <x:f>IF('КУПН'!$BJ22="Да",1,0)</x:f>
      </x:c>
      <x:c r="M528" s="707">
        <x:f>IF('КУПН'!$BP22="Да",1,0)</x:f>
      </x:c>
      <x:c r="N528" s="708">
        <x:f>IF('КУПН'!$BV22="Да",1,0)</x:f>
      </x:c>
      <x:c r="O528" s="375">
        <x:f>IFERROR(ROUND(SUM(C528:N528)/($S$509),1),"")</x:f>
      </x:c>
    </x:row>
    <x:row r="529" spans="1:25" ht="15" customHeight="1" x14ac:dyDescent="0.25">
      <x:c r="A529" s="710"/>
      <x:c r="B529" s="363" t="s">
        <x:v>381</x:v>
      </x:c>
      <x:c r="C529" s="697">
        <x:f>IF('КУПН'!$H23="Да",1,0)</x:f>
      </x:c>
      <x:c r="D529" s="698">
        <x:f>IF('КУПН'!$N23="Да",1,0)</x:f>
      </x:c>
      <x:c r="E529" s="699">
        <x:f>IF('КУПН'!$T23="Да",1,0)</x:f>
      </x:c>
      <x:c r="F529" s="700">
        <x:f>IF('КУПН'!$Z23="Да",1,0)</x:f>
      </x:c>
      <x:c r="G529" s="701">
        <x:f>IF('КУПН'!$AF23="Да",1,0)</x:f>
      </x:c>
      <x:c r="H529" s="702">
        <x:f>IF('КУПН'!$AL23="Да",1,0)</x:f>
      </x:c>
      <x:c r="I529" s="703">
        <x:f>IF('КУПН'!$AR23="Да",1,0)</x:f>
      </x:c>
      <x:c r="J529" s="704">
        <x:f>IF('КУПН'!$AX23="Да",1,0)</x:f>
      </x:c>
      <x:c r="K529" s="705">
        <x:f>IF('КУПН'!$BD23="Да",1,0)</x:f>
      </x:c>
      <x:c r="L529" s="706">
        <x:f>IF('КУПН'!$BJ23="Да",1,0)</x:f>
      </x:c>
      <x:c r="M529" s="707">
        <x:f>IF('КУПН'!$BP23="Да",1,0)</x:f>
      </x:c>
      <x:c r="N529" s="708">
        <x:f>IF('КУПН'!$BV23="Да",1,0)</x:f>
      </x:c>
      <x:c r="O529" s="375">
        <x:f>IFERROR(ROUND(SUM(C529:N529)/($S$509),1),"")</x:f>
      </x:c>
    </x:row>
    <x:row r="530" spans="1:25" ht="15" customHeight="1" x14ac:dyDescent="0.25">
      <x:c r="A530" s="710"/>
      <x:c r="B530" s="363" t="s">
        <x:v>301</x:v>
      </x:c>
      <x:c r="C530" s="697">
        <x:f>IF('КУПН'!$H24="Да",1,0)</x:f>
      </x:c>
      <x:c r="D530" s="698">
        <x:f>IF('КУПН'!$N24="Да",1,0)</x:f>
      </x:c>
      <x:c r="E530" s="699">
        <x:f>IF('КУПН'!$T24="Да",1,0)</x:f>
      </x:c>
      <x:c r="F530" s="700">
        <x:f>IF('КУПН'!$Z24="Да",1,0)</x:f>
      </x:c>
      <x:c r="G530" s="701">
        <x:f>IF('КУПН'!$AF24="Да",1,0)</x:f>
      </x:c>
      <x:c r="H530" s="702">
        <x:f>IF('КУПН'!$AL24="Да",1,0)</x:f>
      </x:c>
      <x:c r="I530" s="703">
        <x:f>IF('КУПН'!$AR24="Да",1,0)</x:f>
      </x:c>
      <x:c r="J530" s="704">
        <x:f>IF('КУПН'!$AX24="Да",1,0)</x:f>
      </x:c>
      <x:c r="K530" s="705">
        <x:f>IF('КУПН'!$BD24="Да",1,0)</x:f>
      </x:c>
      <x:c r="L530" s="706">
        <x:f>IF('КУПН'!$BJ24="Да",1,0)</x:f>
      </x:c>
      <x:c r="M530" s="707">
        <x:f>IF('КУПН'!$BP24="Да",1,0)</x:f>
      </x:c>
      <x:c r="N530" s="708">
        <x:f>IF('КУПН'!$BV24="Да",1,0)</x:f>
      </x:c>
      <x:c r="O530" s="375">
        <x:f>IFERROR(ROUND(SUM(C530:N530)/($S$509),1),"")</x:f>
      </x:c>
    </x:row>
    <x:row r="531" spans="1:25" ht="15" customHeight="1" x14ac:dyDescent="0.25">
      <x:c r="A531" s="710"/>
      <x:c r="B531" s="363" t="s">
        <x:v>384</x:v>
      </x:c>
      <x:c r="C531" s="697">
        <x:f>IF('КУПН'!$H25="Да",1,0)</x:f>
      </x:c>
      <x:c r="D531" s="698">
        <x:f>IF('КУПН'!$N25="Да",1,0)</x:f>
      </x:c>
      <x:c r="E531" s="699">
        <x:f>IF('КУПН'!$T25="Да",1,0)</x:f>
      </x:c>
      <x:c r="F531" s="700">
        <x:f>IF('КУПН'!$Z25="Да",1,0)</x:f>
      </x:c>
      <x:c r="G531" s="701">
        <x:f>IF('КУПН'!$AF25="Да",1,0)</x:f>
      </x:c>
      <x:c r="H531" s="702">
        <x:f>IF('КУПН'!$AL25="Да",1,0)</x:f>
      </x:c>
      <x:c r="I531" s="703">
        <x:f>IF('КУПН'!$AR25="Да",1,0)</x:f>
      </x:c>
      <x:c r="J531" s="704">
        <x:f>IF('КУПН'!$AX25="Да",1,0)</x:f>
      </x:c>
      <x:c r="K531" s="705">
        <x:f>IF('КУПН'!$BD25="Да",1,0)</x:f>
      </x:c>
      <x:c r="L531" s="706">
        <x:f>IF('КУПН'!$BJ25="Да",1,0)</x:f>
      </x:c>
      <x:c r="M531" s="707">
        <x:f>IF('КУПН'!$BP25="Да",1,0)</x:f>
      </x:c>
      <x:c r="N531" s="708">
        <x:f>IF('КУПН'!$BV25="Да",1,0)</x:f>
      </x:c>
      <x:c r="O531" s="375">
        <x:f>IFERROR(ROUND(SUM(C531:N531)/($S$509),1),"")</x:f>
      </x:c>
    </x:row>
    <x:row r="532" spans="1:25" ht="15" customHeight="1" x14ac:dyDescent="0.25">
      <x:c r="A532" s="710"/>
      <x:c r="B532" s="363" t="s">
        <x:v>346</x:v>
      </x:c>
      <x:c r="C532" s="697">
        <x:f>IF('КУПН'!$H26="Да",1,0)</x:f>
      </x:c>
      <x:c r="D532" s="698">
        <x:f>IF('КУПН'!$N26="Да",1,0)</x:f>
      </x:c>
      <x:c r="E532" s="699">
        <x:f>IF('КУПН'!$T26="Да",1,0)</x:f>
      </x:c>
      <x:c r="F532" s="700">
        <x:f>IF('КУПН'!$Z26="Да",1,0)</x:f>
      </x:c>
      <x:c r="G532" s="701">
        <x:f>IF('КУПН'!$AF26="Да",1,0)</x:f>
      </x:c>
      <x:c r="H532" s="702">
        <x:f>IF('КУПН'!$AL26="Да",1,0)</x:f>
      </x:c>
      <x:c r="I532" s="703">
        <x:f>IF('КУПН'!$AR26="Да",1,0)</x:f>
      </x:c>
      <x:c r="J532" s="704">
        <x:f>IF('КУПН'!$AX26="Да",1,0)</x:f>
      </x:c>
      <x:c r="K532" s="705">
        <x:f>IF('КУПН'!$BD26="Да",1,0)</x:f>
      </x:c>
      <x:c r="L532" s="706">
        <x:f>IF('КУПН'!$BJ26="Да",1,0)</x:f>
      </x:c>
      <x:c r="M532" s="707">
        <x:f>IF('КУПН'!$BP26="Да",1,0)</x:f>
      </x:c>
      <x:c r="N532" s="708">
        <x:f>IF('КУПН'!$BV26="Да",1,0)</x:f>
      </x:c>
      <x:c r="O532" s="375">
        <x:f>IFERROR(ROUND(SUM(C532:N532)/($S$509),1),"")</x:f>
      </x:c>
    </x:row>
    <x:row r="533" spans="1:25" ht="15" customHeight="1" x14ac:dyDescent="0.25">
      <x:c r="A533" s="710"/>
      <x:c r="B533" s="363" t="s">
        <x:v>342</x:v>
      </x:c>
      <x:c r="C533" s="697">
        <x:f>IF('КУПН'!$H27="Да",1,0)</x:f>
      </x:c>
      <x:c r="D533" s="698">
        <x:f>IF('КУПН'!$N27="Да",1,0)</x:f>
      </x:c>
      <x:c r="E533" s="699">
        <x:f>IF('КУПН'!$T27="Да",1,0)</x:f>
      </x:c>
      <x:c r="F533" s="700">
        <x:f>IF('КУПН'!$Z27="Да",1,0)</x:f>
      </x:c>
      <x:c r="G533" s="701">
        <x:f>IF('КУПН'!$AF27="Да",1,0)</x:f>
      </x:c>
      <x:c r="H533" s="702">
        <x:f>IF('КУПН'!$AL27="Да",1,0)</x:f>
      </x:c>
      <x:c r="I533" s="703">
        <x:f>IF('КУПН'!$AR27="Да",1,0)</x:f>
      </x:c>
      <x:c r="J533" s="704">
        <x:f>IF('КУПН'!$AX27="Да",1,0)</x:f>
      </x:c>
      <x:c r="K533" s="705">
        <x:f>IF('КУПН'!$BD27="Да",1,0)</x:f>
      </x:c>
      <x:c r="L533" s="706">
        <x:f>IF('КУПН'!$BJ27="Да",1,0)</x:f>
      </x:c>
      <x:c r="M533" s="707">
        <x:f>IF('КУПН'!$BP27="Да",1,0)</x:f>
      </x:c>
      <x:c r="N533" s="708">
        <x:f>IF('КУПН'!$BV27="Да",1,0)</x:f>
      </x:c>
      <x:c r="O533" s="375">
        <x:f>IFERROR(ROUND(SUM(C533:N533)/($S$509),1),"")</x:f>
      </x:c>
    </x:row>
    <x:row r="534" spans="1:25" ht="15" customHeight="1" x14ac:dyDescent="0.25">
      <x:c r="A534" s="710"/>
      <x:c r="B534" s="363" t="s">
        <x:v>380</x:v>
      </x:c>
      <x:c r="C534" s="697">
        <x:f>IF('КУПН'!$H28="Да",1,0)</x:f>
      </x:c>
      <x:c r="D534" s="698">
        <x:f>IF('КУПН'!$N28="Да",1,0)</x:f>
      </x:c>
      <x:c r="E534" s="699">
        <x:f>IF('КУПН'!$T28="Да",1,0)</x:f>
      </x:c>
      <x:c r="F534" s="700">
        <x:f>IF('КУПН'!$Z28="Да",1,0)</x:f>
      </x:c>
      <x:c r="G534" s="701">
        <x:f>IF('КУПН'!$AF28="Да",1,0)</x:f>
      </x:c>
      <x:c r="H534" s="702">
        <x:f>IF('КУПН'!$AL28="Да",1,0)</x:f>
      </x:c>
      <x:c r="I534" s="703">
        <x:f>IF('КУПН'!$AR28="Да",1,0)</x:f>
      </x:c>
      <x:c r="J534" s="704">
        <x:f>IF('КУПН'!$AX28="Да",1,0)</x:f>
      </x:c>
      <x:c r="K534" s="705">
        <x:f>IF('КУПН'!$BD28="Да",1,0)</x:f>
      </x:c>
      <x:c r="L534" s="706">
        <x:f>IF('КУПН'!$BJ28="Да",1,0)</x:f>
      </x:c>
      <x:c r="M534" s="707">
        <x:f>IF('КУПН'!$BP28="Да",1,0)</x:f>
      </x:c>
      <x:c r="N534" s="708">
        <x:f>IF('КУПН'!$BV28="Да",1,0)</x:f>
      </x:c>
      <x:c r="O534" s="375">
        <x:f>IFERROR(ROUND(SUM(C534:N534)/($S$509),1),"")</x:f>
      </x:c>
    </x:row>
    <x:row r="535" spans="1:25" ht="15" customHeight="1" x14ac:dyDescent="0.25">
      <x:c r="A535" s="710"/>
      <x:c r="B535" s="363" t="s">
        <x:v>345</x:v>
      </x:c>
      <x:c r="C535" s="697">
        <x:f>IF('КУПН'!$H29="Да",1,0)</x:f>
      </x:c>
      <x:c r="D535" s="698">
        <x:f>IF('КУПН'!$N29="Да",1,0)</x:f>
      </x:c>
      <x:c r="E535" s="699">
        <x:f>IF('КУПН'!$T29="Да",1,0)</x:f>
      </x:c>
      <x:c r="F535" s="700">
        <x:f>IF('КУПН'!$Z29="Да",1,0)</x:f>
      </x:c>
      <x:c r="G535" s="701">
        <x:f>IF('КУПН'!$AF29="Да",1,0)</x:f>
      </x:c>
      <x:c r="H535" s="702">
        <x:f>IF('КУПН'!$AL29="Да",1,0)</x:f>
      </x:c>
      <x:c r="I535" s="703">
        <x:f>IF('КУПН'!$AR29="Да",1,0)</x:f>
      </x:c>
      <x:c r="J535" s="704">
        <x:f>IF('КУПН'!$AX29="Да",1,0)</x:f>
      </x:c>
      <x:c r="K535" s="705">
        <x:f>IF('КУПН'!$BD29="Да",1,0)</x:f>
      </x:c>
      <x:c r="L535" s="706">
        <x:f>IF('КУПН'!$BJ29="Да",1,0)</x:f>
      </x:c>
      <x:c r="M535" s="707">
        <x:f>IF('КУПН'!$BP29="Да",1,0)</x:f>
      </x:c>
      <x:c r="N535" s="708">
        <x:f>IF('КУПН'!$BV29="Да",1,0)</x:f>
      </x:c>
      <x:c r="O535" s="375">
        <x:f>IFERROR(ROUND(SUM(C535:N535)/($S$509),1),"")</x:f>
      </x:c>
    </x:row>
    <x:row r="536" spans="1:25" ht="15" customHeight="1" x14ac:dyDescent="0.25">
      <x:c r="A536" s="710"/>
      <x:c r="B536" s="363" t="s">
        <x:v>350</x:v>
      </x:c>
      <x:c r="C536" s="697">
        <x:f>IF('КУПН'!$H30="Да",1,0)</x:f>
      </x:c>
      <x:c r="D536" s="698">
        <x:f>IF('КУПН'!$N30="Да",1,0)</x:f>
      </x:c>
      <x:c r="E536" s="699">
        <x:f>IF('КУПН'!$T30="Да",1,0)</x:f>
      </x:c>
      <x:c r="F536" s="700">
        <x:f>IF('КУПН'!$Z30="Да",1,0)</x:f>
      </x:c>
      <x:c r="G536" s="701">
        <x:f>IF('КУПН'!$AF30="Да",1,0)</x:f>
      </x:c>
      <x:c r="H536" s="702">
        <x:f>IF('КУПН'!$AL30="Да",1,0)</x:f>
      </x:c>
      <x:c r="I536" s="703">
        <x:f>IF('КУПН'!$AR30="Да",1,0)</x:f>
      </x:c>
      <x:c r="J536" s="704">
        <x:f>IF('КУПН'!$AX30="Да",1,0)</x:f>
      </x:c>
      <x:c r="K536" s="705">
        <x:f>IF('КУПН'!$BD30="Да",1,0)</x:f>
      </x:c>
      <x:c r="L536" s="706">
        <x:f>IF('КУПН'!$BJ30="Да",1,0)</x:f>
      </x:c>
      <x:c r="M536" s="707">
        <x:f>IF('КУПН'!$BP30="Да",1,0)</x:f>
      </x:c>
      <x:c r="N536" s="708">
        <x:f>IF('КУПН'!$BV30="Да",1,0)</x:f>
      </x:c>
      <x:c r="O536" s="375">
        <x:f>IFERROR(ROUND(SUM(C536:N536)/($S$509),1),"")</x:f>
      </x:c>
    </x:row>
    <x:row r="537" spans="1:25" ht="15" customHeight="1" x14ac:dyDescent="0.25">
      <x:c r="A537" s="710"/>
      <x:c r="B537" s="363" t="s">
        <x:v>340</x:v>
      </x:c>
      <x:c r="C537" s="697">
        <x:f>IF('КУПН'!$H31="Да",1,0)</x:f>
      </x:c>
      <x:c r="D537" s="698">
        <x:f>IF('КУПН'!$N31="Да",1,0)</x:f>
      </x:c>
      <x:c r="E537" s="699">
        <x:f>IF('КУПН'!$T31="Да",1,0)</x:f>
      </x:c>
      <x:c r="F537" s="700">
        <x:f>IF('КУПН'!$Z31="Да",1,0)</x:f>
      </x:c>
      <x:c r="G537" s="701">
        <x:f>IF('КУПН'!$AF31="Да",1,0)</x:f>
      </x:c>
      <x:c r="H537" s="702">
        <x:f>IF('КУПН'!$AL31="Да",1,0)</x:f>
      </x:c>
      <x:c r="I537" s="703">
        <x:f>IF('КУПН'!$AR31="Да",1,0)</x:f>
      </x:c>
      <x:c r="J537" s="704">
        <x:f>IF('КУПН'!$AX31="Да",1,0)</x:f>
      </x:c>
      <x:c r="K537" s="705">
        <x:f>IF('КУПН'!$BD31="Да",1,0)</x:f>
      </x:c>
      <x:c r="L537" s="706">
        <x:f>IF('КУПН'!$BJ31="Да",1,0)</x:f>
      </x:c>
      <x:c r="M537" s="707">
        <x:f>IF('КУПН'!$BP31="Да",1,0)</x:f>
      </x:c>
      <x:c r="N537" s="708">
        <x:f>IF('КУПН'!$BV31="Да",1,0)</x:f>
      </x:c>
      <x:c r="O537" s="375">
        <x:f>IFERROR(ROUND(SUM(C537:N537)/($S$509),1),"")</x:f>
      </x:c>
    </x:row>
    <x:row r="538" spans="1:25" ht="15" customHeight="1" x14ac:dyDescent="0.25">
      <x:c r="A538" s="710"/>
      <x:c r="B538" s="363" t="s">
        <x:v>388</x:v>
      </x:c>
      <x:c r="C538" s="697">
        <x:f>IF('КУПН'!$H32="Да",1,0)</x:f>
      </x:c>
      <x:c r="D538" s="698">
        <x:f>IF('КУПН'!$N32="Да",1,0)</x:f>
      </x:c>
      <x:c r="E538" s="699">
        <x:f>IF('КУПН'!$T32="Да",1,0)</x:f>
      </x:c>
      <x:c r="F538" s="700">
        <x:f>IF('КУПН'!$Z32="Да",1,0)</x:f>
      </x:c>
      <x:c r="G538" s="701">
        <x:f>IF('КУПН'!$AF32="Да",1,0)</x:f>
      </x:c>
      <x:c r="H538" s="702">
        <x:f>IF('КУПН'!$AL32="Да",1,0)</x:f>
      </x:c>
      <x:c r="I538" s="703">
        <x:f>IF('КУПН'!$AR32="Да",1,0)</x:f>
      </x:c>
      <x:c r="J538" s="704">
        <x:f>IF('КУПН'!$AX32="Да",1,0)</x:f>
      </x:c>
      <x:c r="K538" s="705">
        <x:f>IF('КУПН'!$BD32="Да",1,0)</x:f>
      </x:c>
      <x:c r="L538" s="706">
        <x:f>IF('КУПН'!$BJ32="Да",1,0)</x:f>
      </x:c>
      <x:c r="M538" s="707">
        <x:f>IF('КУПН'!$BP32="Да",1,0)</x:f>
      </x:c>
      <x:c r="N538" s="708">
        <x:f>IF('КУПН'!$BV32="Да",1,0)</x:f>
      </x:c>
      <x:c r="O538" s="375">
        <x:f>IFERROR(ROUND(SUM(C538:N538)/($S$509),1),"")</x:f>
      </x:c>
    </x:row>
    <x:row r="539" spans="1:25" ht="15" customHeight="1" x14ac:dyDescent="0.25">
      <x:c r="A539" s="710"/>
      <x:c r="B539" s="363" t="s">
        <x:v>308</x:v>
      </x:c>
      <x:c r="C539" s="697">
        <x:f>IF('КУПН'!$H33="Да",1,0)</x:f>
      </x:c>
      <x:c r="D539" s="698">
        <x:f>IF('КУПН'!$N33="Да",1,0)</x:f>
      </x:c>
      <x:c r="E539" s="699">
        <x:f>IF('КУПН'!$T33="Да",1,0)</x:f>
      </x:c>
      <x:c r="F539" s="700">
        <x:f>IF('КУПН'!$Z33="Да",1,0)</x:f>
      </x:c>
      <x:c r="G539" s="701">
        <x:f>IF('КУПН'!$AF33="Да",1,0)</x:f>
      </x:c>
      <x:c r="H539" s="702">
        <x:f>IF('КУПН'!$AL33="Да",1,0)</x:f>
      </x:c>
      <x:c r="I539" s="703">
        <x:f>IF('КУПН'!$AR33="Да",1,0)</x:f>
      </x:c>
      <x:c r="J539" s="704">
        <x:f>IF('КУПН'!$AX33="Да",1,0)</x:f>
      </x:c>
      <x:c r="K539" s="705">
        <x:f>IF('КУПН'!$BD33="Да",1,0)</x:f>
      </x:c>
      <x:c r="L539" s="706">
        <x:f>IF('КУПН'!$BJ33="Да",1,0)</x:f>
      </x:c>
      <x:c r="M539" s="707">
        <x:f>IF('КУПН'!$BP33="Да",1,0)</x:f>
      </x:c>
      <x:c r="N539" s="708">
        <x:f>IF('КУПН'!$BV33="Да",1,0)</x:f>
      </x:c>
      <x:c r="O539" s="375">
        <x:f>IFERROR(ROUND(SUM(C539:N539)/($S$509),1),"")</x:f>
      </x:c>
    </x:row>
    <x:row r="540" spans="1:25" ht="15" customHeight="1" x14ac:dyDescent="0.25">
      <x:c r="A540" s="710"/>
      <x:c r="B540" s="363" t="s">
        <x:v>327</x:v>
      </x:c>
      <x:c r="C540" s="697">
        <x:f>IF('КУПН'!$H34="Да",1,0)</x:f>
      </x:c>
      <x:c r="D540" s="698">
        <x:f>IF('КУПН'!$N34="Да",1,0)</x:f>
      </x:c>
      <x:c r="E540" s="699">
        <x:f>IF('КУПН'!$T34="Да",1,0)</x:f>
      </x:c>
      <x:c r="F540" s="700">
        <x:f>IF('КУПН'!$Z34="Да",1,0)</x:f>
      </x:c>
      <x:c r="G540" s="701">
        <x:f>IF('КУПН'!$AF34="Да",1,0)</x:f>
      </x:c>
      <x:c r="H540" s="702">
        <x:f>IF('КУПН'!$AL34="Да",1,0)</x:f>
      </x:c>
      <x:c r="I540" s="703">
        <x:f>IF('КУПН'!$AR34="Да",1,0)</x:f>
      </x:c>
      <x:c r="J540" s="704">
        <x:f>IF('КУПН'!$AX34="Да",1,0)</x:f>
      </x:c>
      <x:c r="K540" s="705">
        <x:f>IF('КУПН'!$BD34="Да",1,0)</x:f>
      </x:c>
      <x:c r="L540" s="706">
        <x:f>IF('КУПН'!$BJ34="Да",1,0)</x:f>
      </x:c>
      <x:c r="M540" s="707">
        <x:f>IF('КУПН'!$BP34="Да",1,0)</x:f>
      </x:c>
      <x:c r="N540" s="708">
        <x:f>IF('КУПН'!$BV34="Да",1,0)</x:f>
      </x:c>
      <x:c r="O540" s="375">
        <x:f>IFERROR(ROUND(SUM(C540:N540)/($S$509),1),"")</x:f>
      </x:c>
    </x:row>
    <x:row r="541" spans="1:25" ht="15" customHeight="1" x14ac:dyDescent="0.25">
      <x:c r="A541" s="710"/>
      <x:c r="B541" s="363" t="s">
        <x:v>328</x:v>
      </x:c>
      <x:c r="C541" s="697">
        <x:f>IF('КУПН'!$H35="Да",1,0)</x:f>
      </x:c>
      <x:c r="D541" s="698">
        <x:f>IF('КУПН'!$N35="Да",1,0)</x:f>
      </x:c>
      <x:c r="E541" s="699">
        <x:f>IF('КУПН'!$T35="Да",1,0)</x:f>
      </x:c>
      <x:c r="F541" s="700">
        <x:f>IF('КУПН'!$Z35="Да",1,0)</x:f>
      </x:c>
      <x:c r="G541" s="701">
        <x:f>IF('КУПН'!$AF35="Да",1,0)</x:f>
      </x:c>
      <x:c r="H541" s="702">
        <x:f>IF('КУПН'!$AL35="Да",1,0)</x:f>
      </x:c>
      <x:c r="I541" s="703">
        <x:f>IF('КУПН'!$AR35="Да",1,0)</x:f>
      </x:c>
      <x:c r="J541" s="704">
        <x:f>IF('КУПН'!$AX35="Да",1,0)</x:f>
      </x:c>
      <x:c r="K541" s="705">
        <x:f>IF('КУПН'!$BD35="Да",1,0)</x:f>
      </x:c>
      <x:c r="L541" s="706">
        <x:f>IF('КУПН'!$BJ35="Да",1,0)</x:f>
      </x:c>
      <x:c r="M541" s="707">
        <x:f>IF('КУПН'!$BP35="Да",1,0)</x:f>
      </x:c>
      <x:c r="N541" s="708">
        <x:f>IF('КУПН'!$BV35="Да",1,0)</x:f>
      </x:c>
      <x:c r="O541" s="375">
        <x:f>IFERROR(ROUND(SUM(C541:N541)/($S$509),1),"")</x:f>
      </x:c>
    </x:row>
    <x:row r="542" spans="1:25" ht="15" customHeight="1" x14ac:dyDescent="0.25">
      <x:c r="A542" s="710"/>
      <x:c r="B542" s="363" t="s">
        <x:v>321</x:v>
      </x:c>
      <x:c r="C542" s="697">
        <x:f>IF('КУПН'!$H36="Да",1,0)</x:f>
      </x:c>
      <x:c r="D542" s="698">
        <x:f>IF('КУПН'!$N36="Да",1,0)</x:f>
      </x:c>
      <x:c r="E542" s="699">
        <x:f>IF('КУПН'!$T36="Да",1,0)</x:f>
      </x:c>
      <x:c r="F542" s="700">
        <x:f>IF('КУПН'!$Z36="Да",1,0)</x:f>
      </x:c>
      <x:c r="G542" s="701">
        <x:f>IF('КУПН'!$AF36="Да",1,0)</x:f>
      </x:c>
      <x:c r="H542" s="702">
        <x:f>IF('КУПН'!$AL36="Да",1,0)</x:f>
      </x:c>
      <x:c r="I542" s="703">
        <x:f>IF('КУПН'!$AR36="Да",1,0)</x:f>
      </x:c>
      <x:c r="J542" s="704">
        <x:f>IF('КУПН'!$AX36="Да",1,0)</x:f>
      </x:c>
      <x:c r="K542" s="705">
        <x:f>IF('КУПН'!$BD36="Да",1,0)</x:f>
      </x:c>
      <x:c r="L542" s="706">
        <x:f>IF('КУПН'!$BJ36="Да",1,0)</x:f>
      </x:c>
      <x:c r="M542" s="707">
        <x:f>IF('КУПН'!$BP36="Да",1,0)</x:f>
      </x:c>
      <x:c r="N542" s="708">
        <x:f>IF('КУПН'!$BV36="Да",1,0)</x:f>
      </x:c>
      <x:c r="O542" s="375">
        <x:f>IFERROR(ROUND(SUM(C542:N542)/($S$509),1),"")</x:f>
      </x:c>
    </x:row>
    <x:row r="543" spans="1:25" ht="15" customHeight="1" x14ac:dyDescent="0.25">
      <x:c r="A543" s="710"/>
      <x:c r="B543" s="363" t="s">
        <x:v>387</x:v>
      </x:c>
      <x:c r="C543" s="697">
        <x:f>IF('КУПН'!$H37="Да",1,0)</x:f>
      </x:c>
      <x:c r="D543" s="698">
        <x:f>IF('КУПН'!$N37="Да",1,0)</x:f>
      </x:c>
      <x:c r="E543" s="699">
        <x:f>IF('КУПН'!$T37="Да",1,0)</x:f>
      </x:c>
      <x:c r="F543" s="700">
        <x:f>IF('КУПН'!$Z37="Да",1,0)</x:f>
      </x:c>
      <x:c r="G543" s="701">
        <x:f>IF('КУПН'!$AF37="Да",1,0)</x:f>
      </x:c>
      <x:c r="H543" s="702">
        <x:f>IF('КУПН'!$AL37="Да",1,0)</x:f>
      </x:c>
      <x:c r="I543" s="703">
        <x:f>IF('КУПН'!$AR37="Да",1,0)</x:f>
      </x:c>
      <x:c r="J543" s="704">
        <x:f>IF('КУПН'!$AX37="Да",1,0)</x:f>
      </x:c>
      <x:c r="K543" s="705">
        <x:f>IF('КУПН'!$BD37="Да",1,0)</x:f>
      </x:c>
      <x:c r="L543" s="706">
        <x:f>IF('КУПН'!$BJ37="Да",1,0)</x:f>
      </x:c>
      <x:c r="M543" s="707">
        <x:f>IF('КУПН'!$BP37="Да",1,0)</x:f>
      </x:c>
      <x:c r="N543" s="708">
        <x:f>IF('КУПН'!$BV37="Да",1,0)</x:f>
      </x:c>
      <x:c r="O543" s="375">
        <x:f>IFERROR(ROUND(SUM(C543:N543)/($S$509),1),"")</x:f>
      </x:c>
    </x:row>
    <x:row r="544" spans="1:25" ht="15" customHeight="1" x14ac:dyDescent="0.25">
      <x:c r="A544" s="710"/>
      <x:c r="B544" s="363" t="s">
        <x:v>338</x:v>
      </x:c>
      <x:c r="C544" s="697">
        <x:f>IF('КУПН'!$H38="Да",1,0)</x:f>
      </x:c>
      <x:c r="D544" s="698">
        <x:f>IF('КУПН'!$N38="Да",1,0)</x:f>
      </x:c>
      <x:c r="E544" s="699">
        <x:f>IF('КУПН'!$T38="Да",1,0)</x:f>
      </x:c>
      <x:c r="F544" s="700">
        <x:f>IF('КУПН'!$Z38="Да",1,0)</x:f>
      </x:c>
      <x:c r="G544" s="701">
        <x:f>IF('КУПН'!$AF38="Да",1,0)</x:f>
      </x:c>
      <x:c r="H544" s="702">
        <x:f>IF('КУПН'!$AL38="Да",1,0)</x:f>
      </x:c>
      <x:c r="I544" s="703">
        <x:f>IF('КУПН'!$AR38="Да",1,0)</x:f>
      </x:c>
      <x:c r="J544" s="704">
        <x:f>IF('КУПН'!$AX38="Да",1,0)</x:f>
      </x:c>
      <x:c r="K544" s="705">
        <x:f>IF('КУПН'!$BD38="Да",1,0)</x:f>
      </x:c>
      <x:c r="L544" s="706">
        <x:f>IF('КУПН'!$BJ38="Да",1,0)</x:f>
      </x:c>
      <x:c r="M544" s="707">
        <x:f>IF('КУПН'!$BP38="Да",1,0)</x:f>
      </x:c>
      <x:c r="N544" s="708">
        <x:f>IF('КУПН'!$BV38="Да",1,0)</x:f>
      </x:c>
      <x:c r="O544" s="375">
        <x:f>IFERROR(ROUND(SUM(C544:N544)/($S$509),1),"")</x:f>
      </x:c>
    </x:row>
    <x:row r="545" spans="1:25" ht="15" customHeight="1" x14ac:dyDescent="0.25">
      <x:c r="A545" s="710"/>
      <x:c r="B545" s="363" t="s">
        <x:v>376</x:v>
      </x:c>
      <x:c r="C545" s="697">
        <x:f>IF('КУПН'!$H39="Да",1,0)</x:f>
      </x:c>
      <x:c r="D545" s="698">
        <x:f>IF('КУПН'!$N39="Да",1,0)</x:f>
      </x:c>
      <x:c r="E545" s="699">
        <x:f>IF('КУПН'!$T39="Да",1,0)</x:f>
      </x:c>
      <x:c r="F545" s="700">
        <x:f>IF('КУПН'!$Z39="Да",1,0)</x:f>
      </x:c>
      <x:c r="G545" s="701">
        <x:f>IF('КУПН'!$AF39="Да",1,0)</x:f>
      </x:c>
      <x:c r="H545" s="702">
        <x:f>IF('КУПН'!$AL39="Да",1,0)</x:f>
      </x:c>
      <x:c r="I545" s="703">
        <x:f>IF('КУПН'!$AR39="Да",1,0)</x:f>
      </x:c>
      <x:c r="J545" s="704">
        <x:f>IF('КУПН'!$AX39="Да",1,0)</x:f>
      </x:c>
      <x:c r="K545" s="705">
        <x:f>IF('КУПН'!$BD39="Да",1,0)</x:f>
      </x:c>
      <x:c r="L545" s="706">
        <x:f>IF('КУПН'!$BJ39="Да",1,0)</x:f>
      </x:c>
      <x:c r="M545" s="707">
        <x:f>IF('КУПН'!$BP39="Да",1,0)</x:f>
      </x:c>
      <x:c r="N545" s="708">
        <x:f>IF('КУПН'!$BV39="Да",1,0)</x:f>
      </x:c>
      <x:c r="O545" s="375">
        <x:f>IFERROR(ROUND(SUM(C545:N545)/($S$509),1),"")</x:f>
      </x:c>
    </x:row>
    <x:row r="546" spans="1:25" ht="15" customHeight="1" x14ac:dyDescent="0.25">
      <x:c r="A546" s="710"/>
      <x:c r="B546" s="363" t="s">
        <x:v>329</x:v>
      </x:c>
      <x:c r="C546" s="697">
        <x:f>IF('КУПН'!$H40="Да",1,0)</x:f>
      </x:c>
      <x:c r="D546" s="698">
        <x:f>IF('КУПН'!$N40="Да",1,0)</x:f>
      </x:c>
      <x:c r="E546" s="699">
        <x:f>IF('КУПН'!$T40="Да",1,0)</x:f>
      </x:c>
      <x:c r="F546" s="700">
        <x:f>IF('КУПН'!$Z40="Да",1,0)</x:f>
      </x:c>
      <x:c r="G546" s="701">
        <x:f>IF('КУПН'!$AF40="Да",1,0)</x:f>
      </x:c>
      <x:c r="H546" s="702">
        <x:f>IF('КУПН'!$AL40="Да",1,0)</x:f>
      </x:c>
      <x:c r="I546" s="703">
        <x:f>IF('КУПН'!$AR40="Да",1,0)</x:f>
      </x:c>
      <x:c r="J546" s="704">
        <x:f>IF('КУПН'!$AX40="Да",1,0)</x:f>
      </x:c>
      <x:c r="K546" s="705">
        <x:f>IF('КУПН'!$BD40="Да",1,0)</x:f>
      </x:c>
      <x:c r="L546" s="706">
        <x:f>IF('КУПН'!$BJ40="Да",1,0)</x:f>
      </x:c>
      <x:c r="M546" s="707">
        <x:f>IF('КУПН'!$BP40="Да",1,0)</x:f>
      </x:c>
      <x:c r="N546" s="708">
        <x:f>IF('КУПН'!$BV40="Да",1,0)</x:f>
      </x:c>
      <x:c r="O546" s="375">
        <x:f>IFERROR(ROUND(SUM(C546:N546)/($S$509),1),"")</x:f>
      </x:c>
    </x:row>
    <x:row r="547" spans="1:25" ht="15" customHeight="1" x14ac:dyDescent="0.25">
      <x:c r="A547" s="710"/>
      <x:c r="B547" s="363" t="s">
        <x:v>372</x:v>
      </x:c>
      <x:c r="C547" s="697">
        <x:f>IF('КУПН'!$H41="Да",1,0)</x:f>
      </x:c>
      <x:c r="D547" s="698">
        <x:f>IF('КУПН'!$N41="Да",1,0)</x:f>
      </x:c>
      <x:c r="E547" s="699">
        <x:f>IF('КУПН'!$T41="Да",1,0)</x:f>
      </x:c>
      <x:c r="F547" s="700">
        <x:f>IF('КУПН'!$Z41="Да",1,0)</x:f>
      </x:c>
      <x:c r="G547" s="701">
        <x:f>IF('КУПН'!$AF41="Да",1,0)</x:f>
      </x:c>
      <x:c r="H547" s="702">
        <x:f>IF('КУПН'!$AL41="Да",1,0)</x:f>
      </x:c>
      <x:c r="I547" s="703">
        <x:f>IF('КУПН'!$AR41="Да",1,0)</x:f>
      </x:c>
      <x:c r="J547" s="704">
        <x:f>IF('КУПН'!$AX41="Да",1,0)</x:f>
      </x:c>
      <x:c r="K547" s="705">
        <x:f>IF('КУПН'!$BD41="Да",1,0)</x:f>
      </x:c>
      <x:c r="L547" s="706">
        <x:f>IF('КУПН'!$BJ41="Да",1,0)</x:f>
      </x:c>
      <x:c r="M547" s="707">
        <x:f>IF('КУПН'!$BP41="Да",1,0)</x:f>
      </x:c>
      <x:c r="N547" s="708">
        <x:f>IF('КУПН'!$BV41="Да",1,0)</x:f>
      </x:c>
      <x:c r="O547" s="375">
        <x:f>IFERROR(ROUND(SUM(C547:N547)/($S$509),1),"")</x:f>
      </x:c>
    </x:row>
    <x:row r="548" spans="1:25" ht="15" customHeight="1" x14ac:dyDescent="0.25">
      <x:c r="A548" s="710"/>
      <x:c r="B548" s="363" t="s">
        <x:v>360</x:v>
      </x:c>
      <x:c r="C548" s="697">
        <x:f>IF('КУПН'!$H42="Да",1,0)</x:f>
      </x:c>
      <x:c r="D548" s="698">
        <x:f>IF('КУПН'!$N42="Да",1,0)</x:f>
      </x:c>
      <x:c r="E548" s="699">
        <x:f>IF('КУПН'!$T42="Да",1,0)</x:f>
      </x:c>
      <x:c r="F548" s="700">
        <x:f>IF('КУПН'!$Z42="Да",1,0)</x:f>
      </x:c>
      <x:c r="G548" s="701">
        <x:f>IF('КУПН'!$AF42="Да",1,0)</x:f>
      </x:c>
      <x:c r="H548" s="702">
        <x:f>IF('КУПН'!$AL42="Да",1,0)</x:f>
      </x:c>
      <x:c r="I548" s="703">
        <x:f>IF('КУПН'!$AR42="Да",1,0)</x:f>
      </x:c>
      <x:c r="J548" s="704">
        <x:f>IF('КУПН'!$AX42="Да",1,0)</x:f>
      </x:c>
      <x:c r="K548" s="705">
        <x:f>IF('КУПН'!$BD42="Да",1,0)</x:f>
      </x:c>
      <x:c r="L548" s="706">
        <x:f>IF('КУПН'!$BJ42="Да",1,0)</x:f>
      </x:c>
      <x:c r="M548" s="707">
        <x:f>IF('КУПН'!$BP42="Да",1,0)</x:f>
      </x:c>
      <x:c r="N548" s="708">
        <x:f>IF('КУПН'!$BV42="Да",1,0)</x:f>
      </x:c>
      <x:c r="O548" s="375">
        <x:f>IFERROR(ROUND(SUM(C548:N548)/($S$509),1),"")</x:f>
      </x:c>
    </x:row>
    <x:row r="549" spans="1:25" ht="15" customHeight="1" x14ac:dyDescent="0.25">
      <x:c r="A549" s="710"/>
      <x:c r="B549" s="363" t="s">
        <x:v>359</x:v>
      </x:c>
      <x:c r="C549" s="697">
        <x:f>IF('КУПН'!$H43="Да",1,0)</x:f>
      </x:c>
      <x:c r="D549" s="698">
        <x:f>IF('КУПН'!$N43="Да",1,0)</x:f>
      </x:c>
      <x:c r="E549" s="699">
        <x:f>IF('КУПН'!$T43="Да",1,0)</x:f>
      </x:c>
      <x:c r="F549" s="700">
        <x:f>IF('КУПН'!$Z43="Да",1,0)</x:f>
      </x:c>
      <x:c r="G549" s="701">
        <x:f>IF('КУПН'!$AF43="Да",1,0)</x:f>
      </x:c>
      <x:c r="H549" s="702">
        <x:f>IF('КУПН'!$AL43="Да",1,0)</x:f>
      </x:c>
      <x:c r="I549" s="703">
        <x:f>IF('КУПН'!$AR43="Да",1,0)</x:f>
      </x:c>
      <x:c r="J549" s="704">
        <x:f>IF('КУПН'!$AX43="Да",1,0)</x:f>
      </x:c>
      <x:c r="K549" s="705">
        <x:f>IF('КУПН'!$BD43="Да",1,0)</x:f>
      </x:c>
      <x:c r="L549" s="706">
        <x:f>IF('КУПН'!$BJ43="Да",1,0)</x:f>
      </x:c>
      <x:c r="M549" s="707">
        <x:f>IF('КУПН'!$BP43="Да",1,0)</x:f>
      </x:c>
      <x:c r="N549" s="708">
        <x:f>IF('КУПН'!$BV43="Да",1,0)</x:f>
      </x:c>
      <x:c r="O549" s="375">
        <x:f>IFERROR(ROUND(SUM(C549:N549)/($S$509),1),"")</x:f>
      </x:c>
    </x:row>
    <x:row r="550" spans="1:25" ht="15" customHeight="1" x14ac:dyDescent="0.25">
      <x:c r="A550" s="710"/>
      <x:c r="B550" s="363" t="s">
        <x:v>307</x:v>
      </x:c>
      <x:c r="C550" s="697">
        <x:f>IF('КУПН'!$H44="Да",1,0)</x:f>
      </x:c>
      <x:c r="D550" s="698">
        <x:f>IF('КУПН'!$N44="Да",1,0)</x:f>
      </x:c>
      <x:c r="E550" s="699">
        <x:f>IF('КУПН'!$T44="Да",1,0)</x:f>
      </x:c>
      <x:c r="F550" s="700">
        <x:f>IF('КУПН'!$Z44="Да",1,0)</x:f>
      </x:c>
      <x:c r="G550" s="701">
        <x:f>IF('КУПН'!$AF44="Да",1,0)</x:f>
      </x:c>
      <x:c r="H550" s="702">
        <x:f>IF('КУПН'!$AL44="Да",1,0)</x:f>
      </x:c>
      <x:c r="I550" s="703">
        <x:f>IF('КУПН'!$AR44="Да",1,0)</x:f>
      </x:c>
      <x:c r="J550" s="704">
        <x:f>IF('КУПН'!$AX44="Да",1,0)</x:f>
      </x:c>
      <x:c r="K550" s="705">
        <x:f>IF('КУПН'!$BD44="Да",1,0)</x:f>
      </x:c>
      <x:c r="L550" s="706">
        <x:f>IF('КУПН'!$BJ44="Да",1,0)</x:f>
      </x:c>
      <x:c r="M550" s="707">
        <x:f>IF('КУПН'!$BP44="Да",1,0)</x:f>
      </x:c>
      <x:c r="N550" s="708">
        <x:f>IF('КУПН'!$BV44="Да",1,0)</x:f>
      </x:c>
      <x:c r="O550" s="375">
        <x:f>IFERROR(ROUND(SUM(C550:N550)/($S$509),1),"")</x:f>
      </x:c>
    </x:row>
    <x:row r="551" spans="1:25" ht="15" customHeight="1" x14ac:dyDescent="0.25">
      <x:c r="A551" s="710"/>
      <x:c r="B551" s="363" t="s">
        <x:v>319</x:v>
      </x:c>
      <x:c r="C551" s="697">
        <x:f>IF('КУПН'!$H45="Да",1,0)</x:f>
      </x:c>
      <x:c r="D551" s="698">
        <x:f>IF('КУПН'!$N45="Да",1,0)</x:f>
      </x:c>
      <x:c r="E551" s="699">
        <x:f>IF('КУПН'!$T45="Да",1,0)</x:f>
      </x:c>
      <x:c r="F551" s="700">
        <x:f>IF('КУПН'!$Z45="Да",1,0)</x:f>
      </x:c>
      <x:c r="G551" s="701">
        <x:f>IF('КУПН'!$AF45="Да",1,0)</x:f>
      </x:c>
      <x:c r="H551" s="702">
        <x:f>IF('КУПН'!$AL45="Да",1,0)</x:f>
      </x:c>
      <x:c r="I551" s="703">
        <x:f>IF('КУПН'!$AR45="Да",1,0)</x:f>
      </x:c>
      <x:c r="J551" s="704">
        <x:f>IF('КУПН'!$AX45="Да",1,0)</x:f>
      </x:c>
      <x:c r="K551" s="705">
        <x:f>IF('КУПН'!$BD45="Да",1,0)</x:f>
      </x:c>
      <x:c r="L551" s="706">
        <x:f>IF('КУПН'!$BJ45="Да",1,0)</x:f>
      </x:c>
      <x:c r="M551" s="707">
        <x:f>IF('КУПН'!$BP45="Да",1,0)</x:f>
      </x:c>
      <x:c r="N551" s="708">
        <x:f>IF('КУПН'!$BV45="Да",1,0)</x:f>
      </x:c>
      <x:c r="O551" s="375">
        <x:f>IFERROR(ROUND(SUM(C551:N551)/($S$509),1),"")</x:f>
      </x:c>
    </x:row>
    <x:row r="552" spans="1:25" ht="15" customHeight="1" x14ac:dyDescent="0.25">
      <x:c r="A552" s="710"/>
      <x:c r="B552" s="363" t="s">
        <x:v>318</x:v>
      </x:c>
      <x:c r="C552" s="697">
        <x:f>IF('КУПН'!$H46="Да",1,0)</x:f>
      </x:c>
      <x:c r="D552" s="698">
        <x:f>IF('КУПН'!$N46="Да",1,0)</x:f>
      </x:c>
      <x:c r="E552" s="699">
        <x:f>IF('КУПН'!$T46="Да",1,0)</x:f>
      </x:c>
      <x:c r="F552" s="700">
        <x:f>IF('КУПН'!$Z46="Да",1,0)</x:f>
      </x:c>
      <x:c r="G552" s="701">
        <x:f>IF('КУПН'!$AF46="Да",1,0)</x:f>
      </x:c>
      <x:c r="H552" s="702">
        <x:f>IF('КУПН'!$AL46="Да",1,0)</x:f>
      </x:c>
      <x:c r="I552" s="703">
        <x:f>IF('КУПН'!$AR46="Да",1,0)</x:f>
      </x:c>
      <x:c r="J552" s="704">
        <x:f>IF('КУПН'!$AX46="Да",1,0)</x:f>
      </x:c>
      <x:c r="K552" s="705">
        <x:f>IF('КУПН'!$BD46="Да",1,0)</x:f>
      </x:c>
      <x:c r="L552" s="706">
        <x:f>IF('КУПН'!$BJ46="Да",1,0)</x:f>
      </x:c>
      <x:c r="M552" s="707">
        <x:f>IF('КУПН'!$BP46="Да",1,0)</x:f>
      </x:c>
      <x:c r="N552" s="708">
        <x:f>IF('КУПН'!$BV46="Да",1,0)</x:f>
      </x:c>
      <x:c r="O552" s="375">
        <x:f>IFERROR(ROUND(SUM(C552:N552)/($S$509),1),"")</x:f>
      </x:c>
    </x:row>
    <x:row r="553" spans="1:25" ht="15" customHeight="1" x14ac:dyDescent="0.25">
      <x:c r="A553" s="710"/>
      <x:c r="B553" s="363" t="s">
        <x:v>341</x:v>
      </x:c>
      <x:c r="C553" s="697">
        <x:f>IF('КУПН'!$H47="Да",1,0)</x:f>
      </x:c>
      <x:c r="D553" s="698">
        <x:f>IF('КУПН'!$N47="Да",1,0)</x:f>
      </x:c>
      <x:c r="E553" s="699">
        <x:f>IF('КУПН'!$T47="Да",1,0)</x:f>
      </x:c>
      <x:c r="F553" s="700">
        <x:f>IF('КУПН'!$Z47="Да",1,0)</x:f>
      </x:c>
      <x:c r="G553" s="701">
        <x:f>IF('КУПН'!$AF47="Да",1,0)</x:f>
      </x:c>
      <x:c r="H553" s="702">
        <x:f>IF('КУПН'!$AL47="Да",1,0)</x:f>
      </x:c>
      <x:c r="I553" s="703">
        <x:f>IF('КУПН'!$AR47="Да",1,0)</x:f>
      </x:c>
      <x:c r="J553" s="704">
        <x:f>IF('КУПН'!$AX47="Да",1,0)</x:f>
      </x:c>
      <x:c r="K553" s="705">
        <x:f>IF('КУПН'!$BD47="Да",1,0)</x:f>
      </x:c>
      <x:c r="L553" s="706">
        <x:f>IF('КУПН'!$BJ47="Да",1,0)</x:f>
      </x:c>
      <x:c r="M553" s="707">
        <x:f>IF('КУПН'!$BP47="Да",1,0)</x:f>
      </x:c>
      <x:c r="N553" s="708">
        <x:f>IF('КУПН'!$BV47="Да",1,0)</x:f>
      </x:c>
      <x:c r="O553" s="375">
        <x:f>IFERROR(ROUND(SUM(C553:N553)/($S$509),1),"")</x:f>
      </x:c>
    </x:row>
    <x:row r="554" spans="1:25" ht="15" customHeight="1" x14ac:dyDescent="0.25">
      <x:c r="A554" s="710"/>
      <x:c r="B554" s="363" t="s">
        <x:v>323</x:v>
      </x:c>
      <x:c r="C554" s="697">
        <x:f>IF('КУПН'!$H48="Да",1,0)</x:f>
      </x:c>
      <x:c r="D554" s="698">
        <x:f>IF('КУПН'!$N48="Да",1,0)</x:f>
      </x:c>
      <x:c r="E554" s="699">
        <x:f>IF('КУПН'!$T48="Да",1,0)</x:f>
      </x:c>
      <x:c r="F554" s="700">
        <x:f>IF('КУПН'!$Z48="Да",1,0)</x:f>
      </x:c>
      <x:c r="G554" s="701">
        <x:f>IF('КУПН'!$AF48="Да",1,0)</x:f>
      </x:c>
      <x:c r="H554" s="702">
        <x:f>IF('КУПН'!$AL48="Да",1,0)</x:f>
      </x:c>
      <x:c r="I554" s="703">
        <x:f>IF('КУПН'!$AR48="Да",1,0)</x:f>
      </x:c>
      <x:c r="J554" s="704">
        <x:f>IF('КУПН'!$AX48="Да",1,0)</x:f>
      </x:c>
      <x:c r="K554" s="705">
        <x:f>IF('КУПН'!$BD48="Да",1,0)</x:f>
      </x:c>
      <x:c r="L554" s="706">
        <x:f>IF('КУПН'!$BJ48="Да",1,0)</x:f>
      </x:c>
      <x:c r="M554" s="707">
        <x:f>IF('КУПН'!$BP48="Да",1,0)</x:f>
      </x:c>
      <x:c r="N554" s="708">
        <x:f>IF('КУПН'!$BV48="Да",1,0)</x:f>
      </x:c>
      <x:c r="O554" s="375">
        <x:f>IFERROR(ROUND(SUM(C554:N554)/($S$509),1),"")</x:f>
      </x:c>
    </x:row>
    <x:row r="555" spans="1:25" ht="15" customHeight="1" x14ac:dyDescent="0.25">
      <x:c r="A555" s="710"/>
      <x:c r="B555" s="363" t="s">
        <x:v>336</x:v>
      </x:c>
      <x:c r="C555" s="697">
        <x:f>IF('КУПН'!$H49="Да",1,0)</x:f>
      </x:c>
      <x:c r="D555" s="698">
        <x:f>IF('КУПН'!$N49="Да",1,0)</x:f>
      </x:c>
      <x:c r="E555" s="699">
        <x:f>IF('КУПН'!$T49="Да",1,0)</x:f>
      </x:c>
      <x:c r="F555" s="700">
        <x:f>IF('КУПН'!$Z49="Да",1,0)</x:f>
      </x:c>
      <x:c r="G555" s="701">
        <x:f>IF('КУПН'!$AF49="Да",1,0)</x:f>
      </x:c>
      <x:c r="H555" s="702">
        <x:f>IF('КУПН'!$AL49="Да",1,0)</x:f>
      </x:c>
      <x:c r="I555" s="703">
        <x:f>IF('КУПН'!$AR49="Да",1,0)</x:f>
      </x:c>
      <x:c r="J555" s="704">
        <x:f>IF('КУПН'!$AX49="Да",1,0)</x:f>
      </x:c>
      <x:c r="K555" s="705">
        <x:f>IF('КУПН'!$BD49="Да",1,0)</x:f>
      </x:c>
      <x:c r="L555" s="706">
        <x:f>IF('КУПН'!$BJ49="Да",1,0)</x:f>
      </x:c>
      <x:c r="M555" s="707">
        <x:f>IF('КУПН'!$BP49="Да",1,0)</x:f>
      </x:c>
      <x:c r="N555" s="708">
        <x:f>IF('КУПН'!$BV49="Да",1,0)</x:f>
      </x:c>
      <x:c r="O555" s="375">
        <x:f>IFERROR(ROUND(SUM(C555:N555)/($S$509),1),"")</x:f>
      </x:c>
    </x:row>
    <x:row r="556" spans="1:25" ht="15" customHeight="1" x14ac:dyDescent="0.25">
      <x:c r="A556" s="710"/>
      <x:c r="B556" s="363" t="s">
        <x:v>383</x:v>
      </x:c>
      <x:c r="C556" s="697">
        <x:f>IF('КУПН'!$H50="Да",1,0)</x:f>
      </x:c>
      <x:c r="D556" s="698">
        <x:f>IF('КУПН'!$N50="Да",1,0)</x:f>
      </x:c>
      <x:c r="E556" s="699">
        <x:f>IF('КУПН'!$T50="Да",1,0)</x:f>
      </x:c>
      <x:c r="F556" s="700">
        <x:f>IF('КУПН'!$Z50="Да",1,0)</x:f>
      </x:c>
      <x:c r="G556" s="701">
        <x:f>IF('КУПН'!$AF50="Да",1,0)</x:f>
      </x:c>
      <x:c r="H556" s="702">
        <x:f>IF('КУПН'!$AL50="Да",1,0)</x:f>
      </x:c>
      <x:c r="I556" s="703">
        <x:f>IF('КУПН'!$AR50="Да",1,0)</x:f>
      </x:c>
      <x:c r="J556" s="704">
        <x:f>IF('КУПН'!$AX50="Да",1,0)</x:f>
      </x:c>
      <x:c r="K556" s="705">
        <x:f>IF('КУПН'!$BD50="Да",1,0)</x:f>
      </x:c>
      <x:c r="L556" s="706">
        <x:f>IF('КУПН'!$BJ50="Да",1,0)</x:f>
      </x:c>
      <x:c r="M556" s="707">
        <x:f>IF('КУПН'!$BP50="Да",1,0)</x:f>
      </x:c>
      <x:c r="N556" s="708">
        <x:f>IF('КУПН'!$BV50="Да",1,0)</x:f>
      </x:c>
      <x:c r="O556" s="375">
        <x:f>IFERROR(ROUND(SUM(C556:N556)/($S$509),1),"")</x:f>
      </x:c>
    </x:row>
    <x:row r="557" spans="1:25" ht="15" customHeight="1" x14ac:dyDescent="0.25">
      <x:c r="A557" s="710"/>
      <x:c r="B557" s="363" t="s">
        <x:v>362</x:v>
      </x:c>
      <x:c r="C557" s="697">
        <x:f>IF('КУПН'!$H51="Да",1,0)</x:f>
      </x:c>
      <x:c r="D557" s="698">
        <x:f>IF('КУПН'!$N51="Да",1,0)</x:f>
      </x:c>
      <x:c r="E557" s="699">
        <x:f>IF('КУПН'!$T51="Да",1,0)</x:f>
      </x:c>
      <x:c r="F557" s="700">
        <x:f>IF('КУПН'!$Z51="Да",1,0)</x:f>
      </x:c>
      <x:c r="G557" s="701">
        <x:f>IF('КУПН'!$AF51="Да",1,0)</x:f>
      </x:c>
      <x:c r="H557" s="702">
        <x:f>IF('КУПН'!$AL51="Да",1,0)</x:f>
      </x:c>
      <x:c r="I557" s="703">
        <x:f>IF('КУПН'!$AR51="Да",1,0)</x:f>
      </x:c>
      <x:c r="J557" s="704">
        <x:f>IF('КУПН'!$AX51="Да",1,0)</x:f>
      </x:c>
      <x:c r="K557" s="705">
        <x:f>IF('КУПН'!$BD51="Да",1,0)</x:f>
      </x:c>
      <x:c r="L557" s="706">
        <x:f>IF('КУПН'!$BJ51="Да",1,0)</x:f>
      </x:c>
      <x:c r="M557" s="707">
        <x:f>IF('КУПН'!$BP51="Да",1,0)</x:f>
      </x:c>
      <x:c r="N557" s="708">
        <x:f>IF('КУПН'!$BV51="Да",1,0)</x:f>
      </x:c>
      <x:c r="O557" s="375">
        <x:f>IFERROR(ROUND(SUM(C557:N557)/($S$509),1),"")</x:f>
      </x:c>
    </x:row>
    <x:row r="558" spans="1:25" ht="15" customHeight="1" x14ac:dyDescent="0.25">
      <x:c r="A558" s="710"/>
      <x:c r="B558" s="363" t="s">
        <x:v>296</x:v>
      </x:c>
      <x:c r="C558" s="697">
        <x:f>IF('КУПН'!$H52="Да",1,0)</x:f>
      </x:c>
      <x:c r="D558" s="698">
        <x:f>IF('КУПН'!$N52="Да",1,0)</x:f>
      </x:c>
      <x:c r="E558" s="699">
        <x:f>IF('КУПН'!$T52="Да",1,0)</x:f>
      </x:c>
      <x:c r="F558" s="700">
        <x:f>IF('КУПН'!$Z52="Да",1,0)</x:f>
      </x:c>
      <x:c r="G558" s="701">
        <x:f>IF('КУПН'!$AF52="Да",1,0)</x:f>
      </x:c>
      <x:c r="H558" s="702">
        <x:f>IF('КУПН'!$AL52="Да",1,0)</x:f>
      </x:c>
      <x:c r="I558" s="703">
        <x:f>IF('КУПН'!$AR52="Да",1,0)</x:f>
      </x:c>
      <x:c r="J558" s="704">
        <x:f>IF('КУПН'!$AX52="Да",1,0)</x:f>
      </x:c>
      <x:c r="K558" s="705">
        <x:f>IF('КУПН'!$BD52="Да",1,0)</x:f>
      </x:c>
      <x:c r="L558" s="706">
        <x:f>IF('КУПН'!$BJ52="Да",1,0)</x:f>
      </x:c>
      <x:c r="M558" s="707">
        <x:f>IF('КУПН'!$BP52="Да",1,0)</x:f>
      </x:c>
      <x:c r="N558" s="708">
        <x:f>IF('КУПН'!$BV52="Да",1,0)</x:f>
      </x:c>
      <x:c r="O558" s="375">
        <x:f>IFERROR(ROUND(SUM(C558:N558)/($S$509),1),"")</x:f>
      </x:c>
    </x:row>
    <x:row r="559" spans="1:25" ht="15" customHeight="1" x14ac:dyDescent="0.25">
      <x:c r="A559" s="710"/>
      <x:c r="B559" s="363" t="s">
        <x:v>311</x:v>
      </x:c>
      <x:c r="C559" s="697">
        <x:f>IF('КУПН'!$H53="Да",1,0)</x:f>
      </x:c>
      <x:c r="D559" s="698">
        <x:f>IF('КУПН'!$N53="Да",1,0)</x:f>
      </x:c>
      <x:c r="E559" s="699">
        <x:f>IF('КУПН'!$T53="Да",1,0)</x:f>
      </x:c>
      <x:c r="F559" s="700">
        <x:f>IF('КУПН'!$Z53="Да",1,0)</x:f>
      </x:c>
      <x:c r="G559" s="701">
        <x:f>IF('КУПН'!$AF53="Да",1,0)</x:f>
      </x:c>
      <x:c r="H559" s="702">
        <x:f>IF('КУПН'!$AL53="Да",1,0)</x:f>
      </x:c>
      <x:c r="I559" s="703">
        <x:f>IF('КУПН'!$AR53="Да",1,0)</x:f>
      </x:c>
      <x:c r="J559" s="704">
        <x:f>IF('КУПН'!$AX53="Да",1,0)</x:f>
      </x:c>
      <x:c r="K559" s="705">
        <x:f>IF('КУПН'!$BD53="Да",1,0)</x:f>
      </x:c>
      <x:c r="L559" s="706">
        <x:f>IF('КУПН'!$BJ53="Да",1,0)</x:f>
      </x:c>
      <x:c r="M559" s="707">
        <x:f>IF('КУПН'!$BP53="Да",1,0)</x:f>
      </x:c>
      <x:c r="N559" s="708">
        <x:f>IF('КУПН'!$BV53="Да",1,0)</x:f>
      </x:c>
      <x:c r="O559" s="375">
        <x:f>IFERROR(ROUND(SUM(C559:N559)/($S$509),1),"")</x:f>
      </x:c>
    </x:row>
    <x:row r="560" spans="1:25" ht="15" customHeight="1" x14ac:dyDescent="0.25">
      <x:c r="A560" s="710"/>
      <x:c r="B560" s="363" t="s">
        <x:v>392</x:v>
      </x:c>
      <x:c r="C560" s="697">
        <x:f>IF('КУПН'!$H54="Да",1,0)</x:f>
      </x:c>
      <x:c r="D560" s="698">
        <x:f>IF('КУПН'!$N54="Да",1,0)</x:f>
      </x:c>
      <x:c r="E560" s="699">
        <x:f>IF('КУПН'!$T54="Да",1,0)</x:f>
      </x:c>
      <x:c r="F560" s="700">
        <x:f>IF('КУПН'!$Z54="Да",1,0)</x:f>
      </x:c>
      <x:c r="G560" s="701">
        <x:f>IF('КУПН'!$AF54="Да",1,0)</x:f>
      </x:c>
      <x:c r="H560" s="702">
        <x:f>IF('КУПН'!$AL54="Да",1,0)</x:f>
      </x:c>
      <x:c r="I560" s="703">
        <x:f>IF('КУПН'!$AR54="Да",1,0)</x:f>
      </x:c>
      <x:c r="J560" s="704">
        <x:f>IF('КУПН'!$AX54="Да",1,0)</x:f>
      </x:c>
      <x:c r="K560" s="705">
        <x:f>IF('КУПН'!$BD54="Да",1,0)</x:f>
      </x:c>
      <x:c r="L560" s="706">
        <x:f>IF('КУПН'!$BJ54="Да",1,0)</x:f>
      </x:c>
      <x:c r="M560" s="707">
        <x:f>IF('КУПН'!$BP54="Да",1,0)</x:f>
      </x:c>
      <x:c r="N560" s="708">
        <x:f>IF('КУПН'!$BV54="Да",1,0)</x:f>
      </x:c>
      <x:c r="O560" s="375">
        <x:f>IFERROR(ROUND(SUM(C560:N560)/($S$509),1),"")</x:f>
      </x:c>
    </x:row>
    <x:row r="561" spans="1:25" ht="15" customHeight="1" x14ac:dyDescent="0.25">
      <x:c r="A561" s="710"/>
      <x:c r="B561" s="363" t="s">
        <x:v>324</x:v>
      </x:c>
      <x:c r="C561" s="697">
        <x:f>IF('КУПН'!$H55="Да",1,0)</x:f>
      </x:c>
      <x:c r="D561" s="698">
        <x:f>IF('КУПН'!$N55="Да",1,0)</x:f>
      </x:c>
      <x:c r="E561" s="699">
        <x:f>IF('КУПН'!$T55="Да",1,0)</x:f>
      </x:c>
      <x:c r="F561" s="700">
        <x:f>IF('КУПН'!$Z55="Да",1,0)</x:f>
      </x:c>
      <x:c r="G561" s="701">
        <x:f>IF('КУПН'!$AF55="Да",1,0)</x:f>
      </x:c>
      <x:c r="H561" s="702">
        <x:f>IF('КУПН'!$AL55="Да",1,0)</x:f>
      </x:c>
      <x:c r="I561" s="703">
        <x:f>IF('КУПН'!$AR55="Да",1,0)</x:f>
      </x:c>
      <x:c r="J561" s="704">
        <x:f>IF('КУПН'!$AX55="Да",1,0)</x:f>
      </x:c>
      <x:c r="K561" s="705">
        <x:f>IF('КУПН'!$BD55="Да",1,0)</x:f>
      </x:c>
      <x:c r="L561" s="706">
        <x:f>IF('КУПН'!$BJ55="Да",1,0)</x:f>
      </x:c>
      <x:c r="M561" s="707">
        <x:f>IF('КУПН'!$BP55="Да",1,0)</x:f>
      </x:c>
      <x:c r="N561" s="708">
        <x:f>IF('КУПН'!$BV55="Да",1,0)</x:f>
      </x:c>
      <x:c r="O561" s="375">
        <x:f>IFERROR(ROUND(SUM(C561:N561)/($S$509),1),"")</x:f>
      </x:c>
    </x:row>
    <x:row r="562" spans="1:25" ht="15" customHeight="1" x14ac:dyDescent="0.25">
      <x:c r="A562" s="710"/>
      <x:c r="B562" s="363" t="s">
        <x:v>385</x:v>
      </x:c>
      <x:c r="C562" s="697">
        <x:f>IF('КУПН'!$H56="Да",1,0)</x:f>
      </x:c>
      <x:c r="D562" s="698">
        <x:f>IF('КУПН'!$N56="Да",1,0)</x:f>
      </x:c>
      <x:c r="E562" s="699">
        <x:f>IF('КУПН'!$T56="Да",1,0)</x:f>
      </x:c>
      <x:c r="F562" s="700">
        <x:f>IF('КУПН'!$Z56="Да",1,0)</x:f>
      </x:c>
      <x:c r="G562" s="701">
        <x:f>IF('КУПН'!$AF56="Да",1,0)</x:f>
      </x:c>
      <x:c r="H562" s="702">
        <x:f>IF('КУПН'!$AL56="Да",1,0)</x:f>
      </x:c>
      <x:c r="I562" s="703">
        <x:f>IF('КУПН'!$AR56="Да",1,0)</x:f>
      </x:c>
      <x:c r="J562" s="704">
        <x:f>IF('КУПН'!$AX56="Да",1,0)</x:f>
      </x:c>
      <x:c r="K562" s="705">
        <x:f>IF('КУПН'!$BD56="Да",1,0)</x:f>
      </x:c>
      <x:c r="L562" s="706">
        <x:f>IF('КУПН'!$BJ56="Да",1,0)</x:f>
      </x:c>
      <x:c r="M562" s="707">
        <x:f>IF('КУПН'!$BP56="Да",1,0)</x:f>
      </x:c>
      <x:c r="N562" s="708">
        <x:f>IF('КУПН'!$BV56="Да",1,0)</x:f>
      </x:c>
      <x:c r="O562" s="375">
        <x:f>IFERROR(ROUND(SUM(C562:N562)/($S$509),1),"")</x:f>
      </x:c>
    </x:row>
    <x:row r="563" spans="1:25" ht="15" customHeight="1" x14ac:dyDescent="0.25">
      <x:c r="A563" s="710"/>
      <x:c r="B563" s="363" t="s">
        <x:v>355</x:v>
      </x:c>
      <x:c r="C563" s="697">
        <x:f>IF('КУПН'!$H57="Да",1,0)</x:f>
      </x:c>
      <x:c r="D563" s="698">
        <x:f>IF('КУПН'!$N57="Да",1,0)</x:f>
      </x:c>
      <x:c r="E563" s="699">
        <x:f>IF('КУПН'!$T57="Да",1,0)</x:f>
      </x:c>
      <x:c r="F563" s="700">
        <x:f>IF('КУПН'!$Z57="Да",1,0)</x:f>
      </x:c>
      <x:c r="G563" s="701">
        <x:f>IF('КУПН'!$AF57="Да",1,0)</x:f>
      </x:c>
      <x:c r="H563" s="702">
        <x:f>IF('КУПН'!$AL57="Да",1,0)</x:f>
      </x:c>
      <x:c r="I563" s="703">
        <x:f>IF('КУПН'!$AR57="Да",1,0)</x:f>
      </x:c>
      <x:c r="J563" s="704">
        <x:f>IF('КУПН'!$AX57="Да",1,0)</x:f>
      </x:c>
      <x:c r="K563" s="705">
        <x:f>IF('КУПН'!$BD57="Да",1,0)</x:f>
      </x:c>
      <x:c r="L563" s="706">
        <x:f>IF('КУПН'!$BJ57="Да",1,0)</x:f>
      </x:c>
      <x:c r="M563" s="707">
        <x:f>IF('КУПН'!$BP57="Да",1,0)</x:f>
      </x:c>
      <x:c r="N563" s="708">
        <x:f>IF('КУПН'!$BV57="Да",1,0)</x:f>
      </x:c>
      <x:c r="O563" s="375">
        <x:f>IFERROR(ROUND(SUM(C563:N563)/($S$509),1),"")</x:f>
      </x:c>
    </x:row>
    <x:row r="564" spans="1:25" ht="15" customHeight="1" x14ac:dyDescent="0.25">
      <x:c r="A564" s="710"/>
      <x:c r="B564" s="363" t="s">
        <x:v>366</x:v>
      </x:c>
      <x:c r="C564" s="697">
        <x:f>IF('КУПН'!$H58="Да",1,0)</x:f>
      </x:c>
      <x:c r="D564" s="698">
        <x:f>IF('КУПН'!$N58="Да",1,0)</x:f>
      </x:c>
      <x:c r="E564" s="699">
        <x:f>IF('КУПН'!$T58="Да",1,0)</x:f>
      </x:c>
      <x:c r="F564" s="700">
        <x:f>IF('КУПН'!$Z58="Да",1,0)</x:f>
      </x:c>
      <x:c r="G564" s="701">
        <x:f>IF('КУПН'!$AF58="Да",1,0)</x:f>
      </x:c>
      <x:c r="H564" s="702">
        <x:f>IF('КУПН'!$AL58="Да",1,0)</x:f>
      </x:c>
      <x:c r="I564" s="703">
        <x:f>IF('КУПН'!$AR58="Да",1,0)</x:f>
      </x:c>
      <x:c r="J564" s="704">
        <x:f>IF('КУПН'!$AX58="Да",1,0)</x:f>
      </x:c>
      <x:c r="K564" s="705">
        <x:f>IF('КУПН'!$BD58="Да",1,0)</x:f>
      </x:c>
      <x:c r="L564" s="706">
        <x:f>IF('КУПН'!$BJ58="Да",1,0)</x:f>
      </x:c>
      <x:c r="M564" s="707">
        <x:f>IF('КУПН'!$BP58="Да",1,0)</x:f>
      </x:c>
      <x:c r="N564" s="708">
        <x:f>IF('КУПН'!$BV58="Да",1,0)</x:f>
      </x:c>
      <x:c r="O564" s="375">
        <x:f>IFERROR(ROUND(SUM(C564:N564)/($S$509),1),"")</x:f>
      </x:c>
    </x:row>
    <x:row r="565" spans="1:25" ht="15" customHeight="1" x14ac:dyDescent="0.25">
      <x:c r="A565" s="710"/>
      <x:c r="B565" s="363" t="s">
        <x:v>320</x:v>
      </x:c>
      <x:c r="C565" s="697">
        <x:f>IF('КУПН'!$H59="Да",1,0)</x:f>
      </x:c>
      <x:c r="D565" s="698">
        <x:f>IF('КУПН'!$N59="Да",1,0)</x:f>
      </x:c>
      <x:c r="E565" s="699">
        <x:f>IF('КУПН'!$T59="Да",1,0)</x:f>
      </x:c>
      <x:c r="F565" s="700">
        <x:f>IF('КУПН'!$Z59="Да",1,0)</x:f>
      </x:c>
      <x:c r="G565" s="701">
        <x:f>IF('КУПН'!$AF59="Да",1,0)</x:f>
      </x:c>
      <x:c r="H565" s="702">
        <x:f>IF('КУПН'!$AL59="Да",1,0)</x:f>
      </x:c>
      <x:c r="I565" s="703">
        <x:f>IF('КУПН'!$AR59="Да",1,0)</x:f>
      </x:c>
      <x:c r="J565" s="704">
        <x:f>IF('КУПН'!$AX59="Да",1,0)</x:f>
      </x:c>
      <x:c r="K565" s="705">
        <x:f>IF('КУПН'!$BD59="Да",1,0)</x:f>
      </x:c>
      <x:c r="L565" s="706">
        <x:f>IF('КУПН'!$BJ59="Да",1,0)</x:f>
      </x:c>
      <x:c r="M565" s="707">
        <x:f>IF('КУПН'!$BP59="Да",1,0)</x:f>
      </x:c>
      <x:c r="N565" s="708">
        <x:f>IF('КУПН'!$BV59="Да",1,0)</x:f>
      </x:c>
      <x:c r="O565" s="375">
        <x:f>IFERROR(ROUND(SUM(C565:N565)/($S$509),1),"")</x:f>
      </x:c>
    </x:row>
    <x:row r="566" spans="1:25" ht="15" customHeight="1" x14ac:dyDescent="0.25">
      <x:c r="A566" s="710"/>
      <x:c r="B566" s="363" t="s">
        <x:v>375</x:v>
      </x:c>
      <x:c r="C566" s="697">
        <x:f>IF('КУПН'!$H60="Да",1,0)</x:f>
      </x:c>
      <x:c r="D566" s="698">
        <x:f>IF('КУПН'!$N60="Да",1,0)</x:f>
      </x:c>
      <x:c r="E566" s="699">
        <x:f>IF('КУПН'!$T60="Да",1,0)</x:f>
      </x:c>
      <x:c r="F566" s="700">
        <x:f>IF('КУПН'!$Z60="Да",1,0)</x:f>
      </x:c>
      <x:c r="G566" s="701">
        <x:f>IF('КУПН'!$AF60="Да",1,0)</x:f>
      </x:c>
      <x:c r="H566" s="702">
        <x:f>IF('КУПН'!$AL60="Да",1,0)</x:f>
      </x:c>
      <x:c r="I566" s="703">
        <x:f>IF('КУПН'!$AR60="Да",1,0)</x:f>
      </x:c>
      <x:c r="J566" s="704">
        <x:f>IF('КУПН'!$AX60="Да",1,0)</x:f>
      </x:c>
      <x:c r="K566" s="705">
        <x:f>IF('КУПН'!$BD60="Да",1,0)</x:f>
      </x:c>
      <x:c r="L566" s="706">
        <x:f>IF('КУПН'!$BJ60="Да",1,0)</x:f>
      </x:c>
      <x:c r="M566" s="707">
        <x:f>IF('КУПН'!$BP60="Да",1,0)</x:f>
      </x:c>
      <x:c r="N566" s="708">
        <x:f>IF('КУПН'!$BV60="Да",1,0)</x:f>
      </x:c>
      <x:c r="O566" s="375">
        <x:f>IFERROR(ROUND(SUM(C566:N566)/($S$509),1),"")</x:f>
      </x:c>
    </x:row>
    <x:row r="567" spans="1:25" ht="15" customHeight="1" x14ac:dyDescent="0.25">
      <x:c r="A567" s="710"/>
      <x:c r="B567" s="363" t="s">
        <x:v>347</x:v>
      </x:c>
      <x:c r="C567" s="697">
        <x:f>IF('КУПН'!$H61="Да",1,0)</x:f>
      </x:c>
      <x:c r="D567" s="698">
        <x:f>IF('КУПН'!$N61="Да",1,0)</x:f>
      </x:c>
      <x:c r="E567" s="699">
        <x:f>IF('КУПН'!$T61="Да",1,0)</x:f>
      </x:c>
      <x:c r="F567" s="700">
        <x:f>IF('КУПН'!$Z61="Да",1,0)</x:f>
      </x:c>
      <x:c r="G567" s="701">
        <x:f>IF('КУПН'!$AF61="Да",1,0)</x:f>
      </x:c>
      <x:c r="H567" s="702">
        <x:f>IF('КУПН'!$AL61="Да",1,0)</x:f>
      </x:c>
      <x:c r="I567" s="703">
        <x:f>IF('КУПН'!$AR61="Да",1,0)</x:f>
      </x:c>
      <x:c r="J567" s="704">
        <x:f>IF('КУПН'!$AX61="Да",1,0)</x:f>
      </x:c>
      <x:c r="K567" s="705">
        <x:f>IF('КУПН'!$BD61="Да",1,0)</x:f>
      </x:c>
      <x:c r="L567" s="706">
        <x:f>IF('КУПН'!$BJ61="Да",1,0)</x:f>
      </x:c>
      <x:c r="M567" s="707">
        <x:f>IF('КУПН'!$BP61="Да",1,0)</x:f>
      </x:c>
      <x:c r="N567" s="708">
        <x:f>IF('КУПН'!$BV61="Да",1,0)</x:f>
      </x:c>
      <x:c r="O567" s="375">
        <x:f>IFERROR(ROUND(SUM(C567:N567)/($S$509),1),"")</x:f>
      </x:c>
    </x:row>
    <x:row r="568" spans="1:25" ht="15" customHeight="1" x14ac:dyDescent="0.25">
      <x:c r="A568" s="710"/>
      <x:c r="B568" s="363" t="s">
        <x:v>309</x:v>
      </x:c>
      <x:c r="C568" s="697">
        <x:f>IF('КУПН'!$H62="Да",1,0)</x:f>
      </x:c>
      <x:c r="D568" s="698">
        <x:f>IF('КУПН'!$N62="Да",1,0)</x:f>
      </x:c>
      <x:c r="E568" s="699">
        <x:f>IF('КУПН'!$T62="Да",1,0)</x:f>
      </x:c>
      <x:c r="F568" s="700">
        <x:f>IF('КУПН'!$Z62="Да",1,0)</x:f>
      </x:c>
      <x:c r="G568" s="701">
        <x:f>IF('КУПН'!$AF62="Да",1,0)</x:f>
      </x:c>
      <x:c r="H568" s="702">
        <x:f>IF('КУПН'!$AL62="Да",1,0)</x:f>
      </x:c>
      <x:c r="I568" s="703">
        <x:f>IF('КУПН'!$AR62="Да",1,0)</x:f>
      </x:c>
      <x:c r="J568" s="704">
        <x:f>IF('КУПН'!$AX62="Да",1,0)</x:f>
      </x:c>
      <x:c r="K568" s="705">
        <x:f>IF('КУПН'!$BD62="Да",1,0)</x:f>
      </x:c>
      <x:c r="L568" s="706">
        <x:f>IF('КУПН'!$BJ62="Да",1,0)</x:f>
      </x:c>
      <x:c r="M568" s="707">
        <x:f>IF('КУПН'!$BP62="Да",1,0)</x:f>
      </x:c>
      <x:c r="N568" s="708">
        <x:f>IF('КУПН'!$BV62="Да",1,0)</x:f>
      </x:c>
      <x:c r="O568" s="375">
        <x:f>IFERROR(ROUND(SUM(C568:N568)/($S$509),1),"")</x:f>
      </x:c>
    </x:row>
    <x:row r="569" spans="1:25" ht="15" customHeight="1" x14ac:dyDescent="0.25">
      <x:c r="A569" s="710"/>
      <x:c r="B569" s="363" t="s">
        <x:v>322</x:v>
      </x:c>
      <x:c r="C569" s="697">
        <x:f>IF('КУПН'!$H63="Да",1,0)</x:f>
      </x:c>
      <x:c r="D569" s="698">
        <x:f>IF('КУПН'!$N63="Да",1,0)</x:f>
      </x:c>
      <x:c r="E569" s="699">
        <x:f>IF('КУПН'!$T63="Да",1,0)</x:f>
      </x:c>
      <x:c r="F569" s="700">
        <x:f>IF('КУПН'!$Z63="Да",1,0)</x:f>
      </x:c>
      <x:c r="G569" s="701">
        <x:f>IF('КУПН'!$AF63="Да",1,0)</x:f>
      </x:c>
      <x:c r="H569" s="702">
        <x:f>IF('КУПН'!$AL63="Да",1,0)</x:f>
      </x:c>
      <x:c r="I569" s="703">
        <x:f>IF('КУПН'!$AR63="Да",1,0)</x:f>
      </x:c>
      <x:c r="J569" s="704">
        <x:f>IF('КУПН'!$AX63="Да",1,0)</x:f>
      </x:c>
      <x:c r="K569" s="705">
        <x:f>IF('КУПН'!$BD63="Да",1,0)</x:f>
      </x:c>
      <x:c r="L569" s="706">
        <x:f>IF('КУПН'!$BJ63="Да",1,0)</x:f>
      </x:c>
      <x:c r="M569" s="707">
        <x:f>IF('КУПН'!$BP63="Да",1,0)</x:f>
      </x:c>
      <x:c r="N569" s="708">
        <x:f>IF('КУПН'!$BV63="Да",1,0)</x:f>
      </x:c>
      <x:c r="O569" s="375">
        <x:f>IFERROR(ROUND(SUM(C569:N569)/($S$509),1),"")</x:f>
      </x:c>
    </x:row>
    <x:row r="570" spans="1:25" ht="15" customHeight="1" x14ac:dyDescent="0.25">
      <x:c r="A570" s="710"/>
      <x:c r="B570" s="363" t="s">
        <x:v>1133</x:v>
      </x:c>
      <x:c r="C570" s="697">
        <x:f>IF('КУПН'!$H64="Да",1,0)</x:f>
      </x:c>
      <x:c r="D570" s="698">
        <x:f>IF('КУПН'!$N64="Да",1,0)</x:f>
      </x:c>
      <x:c r="E570" s="699">
        <x:f>IF('КУПН'!$T64="Да",1,0)</x:f>
      </x:c>
      <x:c r="F570" s="700">
        <x:f>IF('КУПН'!$Z64="Да",1,0)</x:f>
      </x:c>
      <x:c r="G570" s="701">
        <x:f>IF('КУПН'!$AF64="Да",1,0)</x:f>
      </x:c>
      <x:c r="H570" s="702">
        <x:f>IF('КУПН'!$AL64="Да",1,0)</x:f>
      </x:c>
      <x:c r="I570" s="703">
        <x:f>IF('КУПН'!$AR64="Да",1,0)</x:f>
      </x:c>
      <x:c r="J570" s="704">
        <x:f>IF('КУПН'!$AX64="Да",1,0)</x:f>
      </x:c>
      <x:c r="K570" s="705">
        <x:f>IF('КУПН'!$BD64="Да",1,0)</x:f>
      </x:c>
      <x:c r="L570" s="706">
        <x:f>IF('КУПН'!$BJ64="Да",1,0)</x:f>
      </x:c>
      <x:c r="M570" s="707">
        <x:f>IF('КУПН'!$BP64="Да",1,0)</x:f>
      </x:c>
      <x:c r="N570" s="708">
        <x:f>IF('КУПН'!$BV64="Да",1,0)</x:f>
      </x:c>
      <x:c r="O570" s="375">
        <x:f>IFERROR(ROUND(SUM(C570:N570)/($S$509),1),"")</x:f>
      </x:c>
    </x:row>
    <x:row r="571" spans="1:25" ht="15" customHeight="1" x14ac:dyDescent="0.25">
      <x:c r="A571" s="710"/>
      <x:c r="B571" s="363" t="s">
        <x:v>1134</x:v>
      </x:c>
      <x:c r="C571" s="697">
        <x:f>IF('КУПН'!$H65="Да",1,0)</x:f>
      </x:c>
      <x:c r="D571" s="698">
        <x:f>IF('КУПН'!$N65="Да",1,0)</x:f>
      </x:c>
      <x:c r="E571" s="699">
        <x:f>IF('КУПН'!$T65="Да",1,0)</x:f>
      </x:c>
      <x:c r="F571" s="700">
        <x:f>IF('КУПН'!$Z65="Да",1,0)</x:f>
      </x:c>
      <x:c r="G571" s="701">
        <x:f>IF('КУПН'!$AF65="Да",1,0)</x:f>
      </x:c>
      <x:c r="H571" s="702">
        <x:f>IF('КУПН'!$AL65="Да",1,0)</x:f>
      </x:c>
      <x:c r="I571" s="703">
        <x:f>IF('КУПН'!$AR65="Да",1,0)</x:f>
      </x:c>
      <x:c r="J571" s="704">
        <x:f>IF('КУПН'!$AX65="Да",1,0)</x:f>
      </x:c>
      <x:c r="K571" s="705">
        <x:f>IF('КУПН'!$BD65="Да",1,0)</x:f>
      </x:c>
      <x:c r="L571" s="706">
        <x:f>IF('КУПН'!$BJ65="Да",1,0)</x:f>
      </x:c>
      <x:c r="M571" s="707">
        <x:f>IF('КУПН'!$BP65="Да",1,0)</x:f>
      </x:c>
      <x:c r="N571" s="708">
        <x:f>IF('КУПН'!$BV65="Да",1,0)</x:f>
      </x:c>
      <x:c r="O571" s="375">
        <x:f>IFERROR(ROUND(SUM(C571:N571)/($S$509),1),"")</x:f>
      </x:c>
    </x:row>
    <x:row r="572" spans="1:25" ht="15" customHeight="1" x14ac:dyDescent="0.25">
      <x:c r="A572" s="710"/>
      <x:c r="B572" s="363" t="s">
        <x:v>330</x:v>
      </x:c>
      <x:c r="C572" s="697">
        <x:f>IF('КУПН'!$H66="Да",1,0)</x:f>
      </x:c>
      <x:c r="D572" s="698">
        <x:f>IF('КУПН'!$N66="Да",1,0)</x:f>
      </x:c>
      <x:c r="E572" s="699">
        <x:f>IF('КУПН'!$T66="Да",1,0)</x:f>
      </x:c>
      <x:c r="F572" s="700">
        <x:f>IF('КУПН'!$Z66="Да",1,0)</x:f>
      </x:c>
      <x:c r="G572" s="701">
        <x:f>IF('КУПН'!$AF66="Да",1,0)</x:f>
      </x:c>
      <x:c r="H572" s="702">
        <x:f>IF('КУПН'!$AL66="Да",1,0)</x:f>
      </x:c>
      <x:c r="I572" s="703">
        <x:f>IF('КУПН'!$AR66="Да",1,0)</x:f>
      </x:c>
      <x:c r="J572" s="704">
        <x:f>IF('КУПН'!$AX66="Да",1,0)</x:f>
      </x:c>
      <x:c r="K572" s="705">
        <x:f>IF('КУПН'!$BD66="Да",1,0)</x:f>
      </x:c>
      <x:c r="L572" s="706">
        <x:f>IF('КУПН'!$BJ66="Да",1,0)</x:f>
      </x:c>
      <x:c r="M572" s="707">
        <x:f>IF('КУПН'!$BP66="Да",1,0)</x:f>
      </x:c>
      <x:c r="N572" s="708">
        <x:f>IF('КУПН'!$BV66="Да",1,0)</x:f>
      </x:c>
      <x:c r="O572" s="375">
        <x:f>IFERROR(ROUND(SUM(C572:N572)/($S$509),1),"")</x:f>
      </x:c>
    </x:row>
    <x:row r="573" spans="1:25" ht="15" customHeight="1" x14ac:dyDescent="0.25">
      <x:c r="A573" s="710"/>
      <x:c r="B573" s="363" t="s">
        <x:v>300</x:v>
      </x:c>
      <x:c r="C573" s="697">
        <x:f>IF('КУПН'!$H67="Да",1,0)</x:f>
      </x:c>
      <x:c r="D573" s="698">
        <x:f>IF('КУПН'!$N67="Да",1,0)</x:f>
      </x:c>
      <x:c r="E573" s="699">
        <x:f>IF('КУПН'!$T67="Да",1,0)</x:f>
      </x:c>
      <x:c r="F573" s="700">
        <x:f>IF('КУПН'!$Z67="Да",1,0)</x:f>
      </x:c>
      <x:c r="G573" s="701">
        <x:f>IF('КУПН'!$AF67="Да",1,0)</x:f>
      </x:c>
      <x:c r="H573" s="702">
        <x:f>IF('КУПН'!$AL67="Да",1,0)</x:f>
      </x:c>
      <x:c r="I573" s="703">
        <x:f>IF('КУПН'!$AR67="Да",1,0)</x:f>
      </x:c>
      <x:c r="J573" s="704">
        <x:f>IF('КУПН'!$AX67="Да",1,0)</x:f>
      </x:c>
      <x:c r="K573" s="705">
        <x:f>IF('КУПН'!$BD67="Да",1,0)</x:f>
      </x:c>
      <x:c r="L573" s="706">
        <x:f>IF('КУПН'!$BJ67="Да",1,0)</x:f>
      </x:c>
      <x:c r="M573" s="707">
        <x:f>IF('КУПН'!$BP67="Да",1,0)</x:f>
      </x:c>
      <x:c r="N573" s="708">
        <x:f>IF('КУПН'!$BV67="Да",1,0)</x:f>
      </x:c>
      <x:c r="O573" s="375">
        <x:f>IFERROR(ROUND(SUM(C573:N573)/($S$509),1),"")</x:f>
      </x:c>
    </x:row>
    <x:row r="574" spans="1:25" ht="15" customHeight="1" x14ac:dyDescent="0.25">
      <x:c r="A574" s="710"/>
      <x:c r="B574" s="363" t="s">
        <x:v>368</x:v>
      </x:c>
      <x:c r="C574" s="697">
        <x:f>IF('КУПН'!$H68="Да",1,0)</x:f>
      </x:c>
      <x:c r="D574" s="698">
        <x:f>IF('КУПН'!$N68="Да",1,0)</x:f>
      </x:c>
      <x:c r="E574" s="699">
        <x:f>IF('КУПН'!$T68="Да",1,0)</x:f>
      </x:c>
      <x:c r="F574" s="700">
        <x:f>IF('КУПН'!$Z68="Да",1,0)</x:f>
      </x:c>
      <x:c r="G574" s="701">
        <x:f>IF('КУПН'!$AF68="Да",1,0)</x:f>
      </x:c>
      <x:c r="H574" s="702">
        <x:f>IF('КУПН'!$AL68="Да",1,0)</x:f>
      </x:c>
      <x:c r="I574" s="703">
        <x:f>IF('КУПН'!$AR68="Да",1,0)</x:f>
      </x:c>
      <x:c r="J574" s="704">
        <x:f>IF('КУПН'!$AX68="Да",1,0)</x:f>
      </x:c>
      <x:c r="K574" s="705">
        <x:f>IF('КУПН'!$BD68="Да",1,0)</x:f>
      </x:c>
      <x:c r="L574" s="706">
        <x:f>IF('КУПН'!$BJ68="Да",1,0)</x:f>
      </x:c>
      <x:c r="M574" s="707">
        <x:f>IF('КУПН'!$BP68="Да",1,0)</x:f>
      </x:c>
      <x:c r="N574" s="708">
        <x:f>IF('КУПН'!$BV68="Да",1,0)</x:f>
      </x:c>
      <x:c r="O574" s="375">
        <x:f>IFERROR(ROUND(SUM(C574:N574)/($S$509),1),"")</x:f>
      </x:c>
    </x:row>
    <x:row r="575" spans="1:25" ht="15" customHeight="1" x14ac:dyDescent="0.25">
      <x:c r="A575" s="710"/>
      <x:c r="B575" s="363" t="s">
        <x:v>379</x:v>
      </x:c>
      <x:c r="C575" s="697">
        <x:f>IF('КУПН'!$H69="Да",1,0)</x:f>
      </x:c>
      <x:c r="D575" s="698">
        <x:f>IF('КУПН'!$N69="Да",1,0)</x:f>
      </x:c>
      <x:c r="E575" s="699">
        <x:f>IF('КУПН'!$T69="Да",1,0)</x:f>
      </x:c>
      <x:c r="F575" s="700">
        <x:f>IF('КУПН'!$Z69="Да",1,0)</x:f>
      </x:c>
      <x:c r="G575" s="701">
        <x:f>IF('КУПН'!$AF69="Да",1,0)</x:f>
      </x:c>
      <x:c r="H575" s="702">
        <x:f>IF('КУПН'!$AL69="Да",1,0)</x:f>
      </x:c>
      <x:c r="I575" s="703">
        <x:f>IF('КУПН'!$AR69="Да",1,0)</x:f>
      </x:c>
      <x:c r="J575" s="704">
        <x:f>IF('КУПН'!$AX69="Да",1,0)</x:f>
      </x:c>
      <x:c r="K575" s="705">
        <x:f>IF('КУПН'!$BD69="Да",1,0)</x:f>
      </x:c>
      <x:c r="L575" s="706">
        <x:f>IF('КУПН'!$BJ69="Да",1,0)</x:f>
      </x:c>
      <x:c r="M575" s="707">
        <x:f>IF('КУПН'!$BP69="Да",1,0)</x:f>
      </x:c>
      <x:c r="N575" s="708">
        <x:f>IF('КУПН'!$BV69="Да",1,0)</x:f>
      </x:c>
      <x:c r="O575" s="375">
        <x:f>IFERROR(ROUND(SUM(C575:N575)/($S$509),1),"")</x:f>
      </x:c>
    </x:row>
    <x:row r="576" spans="1:25" ht="15" customHeight="1" x14ac:dyDescent="0.25">
      <x:c r="A576" s="710"/>
      <x:c r="B576" s="363" t="s">
        <x:v>304</x:v>
      </x:c>
      <x:c r="C576" s="697">
        <x:f>IF('КУПН'!$H70="Да",1,0)</x:f>
      </x:c>
      <x:c r="D576" s="698">
        <x:f>IF('КУПН'!$N70="Да",1,0)</x:f>
      </x:c>
      <x:c r="E576" s="699">
        <x:f>IF('КУПН'!$T70="Да",1,0)</x:f>
      </x:c>
      <x:c r="F576" s="700">
        <x:f>IF('КУПН'!$Z70="Да",1,0)</x:f>
      </x:c>
      <x:c r="G576" s="701">
        <x:f>IF('КУПН'!$AF70="Да",1,0)</x:f>
      </x:c>
      <x:c r="H576" s="702">
        <x:f>IF('КУПН'!$AL70="Да",1,0)</x:f>
      </x:c>
      <x:c r="I576" s="703">
        <x:f>IF('КУПН'!$AR70="Да",1,0)</x:f>
      </x:c>
      <x:c r="J576" s="704">
        <x:f>IF('КУПН'!$AX70="Да",1,0)</x:f>
      </x:c>
      <x:c r="K576" s="705">
        <x:f>IF('КУПН'!$BD70="Да",1,0)</x:f>
      </x:c>
      <x:c r="L576" s="706">
        <x:f>IF('КУПН'!$BJ70="Да",1,0)</x:f>
      </x:c>
      <x:c r="M576" s="707">
        <x:f>IF('КУПН'!$BP70="Да",1,0)</x:f>
      </x:c>
      <x:c r="N576" s="708">
        <x:f>IF('КУПН'!$BV70="Да",1,0)</x:f>
      </x:c>
      <x:c r="O576" s="375">
        <x:f>IFERROR(ROUND(SUM(C576:N576)/($S$509),1),"")</x:f>
      </x:c>
    </x:row>
    <x:row r="577" spans="1:25" ht="15" customHeight="1" x14ac:dyDescent="0.25">
      <x:c r="A577" s="710"/>
      <x:c r="B577" s="363" t="s">
        <x:v>332</x:v>
      </x:c>
      <x:c r="C577" s="697">
        <x:f>IF('КУПН'!$H71="Да",1,0)</x:f>
      </x:c>
      <x:c r="D577" s="698">
        <x:f>IF('КУПН'!$N71="Да",1,0)</x:f>
      </x:c>
      <x:c r="E577" s="699">
        <x:f>IF('КУПН'!$T71="Да",1,0)</x:f>
      </x:c>
      <x:c r="F577" s="700">
        <x:f>IF('КУПН'!$Z71="Да",1,0)</x:f>
      </x:c>
      <x:c r="G577" s="701">
        <x:f>IF('КУПН'!$AF71="Да",1,0)</x:f>
      </x:c>
      <x:c r="H577" s="702">
        <x:f>IF('КУПН'!$AL71="Да",1,0)</x:f>
      </x:c>
      <x:c r="I577" s="703">
        <x:f>IF('КУПН'!$AR71="Да",1,0)</x:f>
      </x:c>
      <x:c r="J577" s="704">
        <x:f>IF('КУПН'!$AX71="Да",1,0)</x:f>
      </x:c>
      <x:c r="K577" s="705">
        <x:f>IF('КУПН'!$BD71="Да",1,0)</x:f>
      </x:c>
      <x:c r="L577" s="706">
        <x:f>IF('КУПН'!$BJ71="Да",1,0)</x:f>
      </x:c>
      <x:c r="M577" s="707">
        <x:f>IF('КУПН'!$BP71="Да",1,0)</x:f>
      </x:c>
      <x:c r="N577" s="708">
        <x:f>IF('КУПН'!$BV71="Да",1,0)</x:f>
      </x:c>
      <x:c r="O577" s="375">
        <x:f>IFERROR(ROUND(SUM(C577:N577)/($S$509),1),"")</x:f>
      </x:c>
    </x:row>
    <x:row r="578" spans="1:25" ht="15" customHeight="1" x14ac:dyDescent="0.25">
      <x:c r="A578" s="710"/>
      <x:c r="B578" s="363" t="s">
        <x:v>365</x:v>
      </x:c>
      <x:c r="C578" s="697">
        <x:f>IF('КУПН'!$H72="Да",1,0)</x:f>
      </x:c>
      <x:c r="D578" s="698">
        <x:f>IF('КУПН'!$N72="Да",1,0)</x:f>
      </x:c>
      <x:c r="E578" s="699">
        <x:f>IF('КУПН'!$T72="Да",1,0)</x:f>
      </x:c>
      <x:c r="F578" s="700">
        <x:f>IF('КУПН'!$Z72="Да",1,0)</x:f>
      </x:c>
      <x:c r="G578" s="701">
        <x:f>IF('КУПН'!$AF72="Да",1,0)</x:f>
      </x:c>
      <x:c r="H578" s="702">
        <x:f>IF('КУПН'!$AL72="Да",1,0)</x:f>
      </x:c>
      <x:c r="I578" s="703">
        <x:f>IF('КУПН'!$AR72="Да",1,0)</x:f>
      </x:c>
      <x:c r="J578" s="704">
        <x:f>IF('КУПН'!$AX72="Да",1,0)</x:f>
      </x:c>
      <x:c r="K578" s="705">
        <x:f>IF('КУПН'!$BD72="Да",1,0)</x:f>
      </x:c>
      <x:c r="L578" s="706">
        <x:f>IF('КУПН'!$BJ72="Да",1,0)</x:f>
      </x:c>
      <x:c r="M578" s="707">
        <x:f>IF('КУПН'!$BP72="Да",1,0)</x:f>
      </x:c>
      <x:c r="N578" s="708">
        <x:f>IF('КУПН'!$BV72="Да",1,0)</x:f>
      </x:c>
      <x:c r="O578" s="375">
        <x:f>IFERROR(ROUND(SUM(C578:N578)/($S$509),1),"")</x:f>
      </x:c>
    </x:row>
    <x:row r="579" spans="1:25" ht="15" customHeight="1" x14ac:dyDescent="0.25">
      <x:c r="A579" s="710"/>
      <x:c r="B579" s="363" t="s">
        <x:v>349</x:v>
      </x:c>
      <x:c r="C579" s="697">
        <x:f>IF('КУПН'!$H73="Да",1,0)</x:f>
      </x:c>
      <x:c r="D579" s="698">
        <x:f>IF('КУПН'!$N73="Да",1,0)</x:f>
      </x:c>
      <x:c r="E579" s="699">
        <x:f>IF('КУПН'!$T73="Да",1,0)</x:f>
      </x:c>
      <x:c r="F579" s="700">
        <x:f>IF('КУПН'!$Z73="Да",1,0)</x:f>
      </x:c>
      <x:c r="G579" s="701">
        <x:f>IF('КУПН'!$AF73="Да",1,0)</x:f>
      </x:c>
      <x:c r="H579" s="702">
        <x:f>IF('КУПН'!$AL73="Да",1,0)</x:f>
      </x:c>
      <x:c r="I579" s="703">
        <x:f>IF('КУПН'!$AR73="Да",1,0)</x:f>
      </x:c>
      <x:c r="J579" s="704">
        <x:f>IF('КУПН'!$AX73="Да",1,0)</x:f>
      </x:c>
      <x:c r="K579" s="705">
        <x:f>IF('КУПН'!$BD73="Да",1,0)</x:f>
      </x:c>
      <x:c r="L579" s="706">
        <x:f>IF('КУПН'!$BJ73="Да",1,0)</x:f>
      </x:c>
      <x:c r="M579" s="707">
        <x:f>IF('КУПН'!$BP73="Да",1,0)</x:f>
      </x:c>
      <x:c r="N579" s="708">
        <x:f>IF('КУПН'!$BV73="Да",1,0)</x:f>
      </x:c>
      <x:c r="O579" s="375">
        <x:f>IFERROR(ROUND(SUM(C579:N579)/($S$509),1),"")</x:f>
      </x:c>
    </x:row>
    <x:row r="580" spans="1:25" ht="15" customHeight="1" x14ac:dyDescent="0.25">
      <x:c r="A580" s="710"/>
      <x:c r="B580" s="363" t="s">
        <x:v>352</x:v>
      </x:c>
      <x:c r="C580" s="697">
        <x:f>IF('КУПН'!$H74="Да",1,0)</x:f>
      </x:c>
      <x:c r="D580" s="698">
        <x:f>IF('КУПН'!$N74="Да",1,0)</x:f>
      </x:c>
      <x:c r="E580" s="699">
        <x:f>IF('КУПН'!$T74="Да",1,0)</x:f>
      </x:c>
      <x:c r="F580" s="700">
        <x:f>IF('КУПН'!$Z74="Да",1,0)</x:f>
      </x:c>
      <x:c r="G580" s="701">
        <x:f>IF('КУПН'!$AF74="Да",1,0)</x:f>
      </x:c>
      <x:c r="H580" s="702">
        <x:f>IF('КУПН'!$AL74="Да",1,0)</x:f>
      </x:c>
      <x:c r="I580" s="703">
        <x:f>IF('КУПН'!$AR74="Да",1,0)</x:f>
      </x:c>
      <x:c r="J580" s="704">
        <x:f>IF('КУПН'!$AX74="Да",1,0)</x:f>
      </x:c>
      <x:c r="K580" s="705">
        <x:f>IF('КУПН'!$BD74="Да",1,0)</x:f>
      </x:c>
      <x:c r="L580" s="706">
        <x:f>IF('КУПН'!$BJ74="Да",1,0)</x:f>
      </x:c>
      <x:c r="M580" s="707">
        <x:f>IF('КУПН'!$BP74="Да",1,0)</x:f>
      </x:c>
      <x:c r="N580" s="708">
        <x:f>IF('КУПН'!$BV74="Да",1,0)</x:f>
      </x:c>
      <x:c r="O580" s="375">
        <x:f>IFERROR(ROUND(SUM(C580:N580)/($S$509),1),"")</x:f>
      </x:c>
    </x:row>
    <x:row r="581" spans="1:25" ht="15" customHeight="1" x14ac:dyDescent="0.25">
      <x:c r="A581" s="710"/>
      <x:c r="B581" s="363" t="s">
        <x:v>337</x:v>
      </x:c>
      <x:c r="C581" s="697">
        <x:f>IF('КУПН'!$H75="Да",1,0)</x:f>
      </x:c>
      <x:c r="D581" s="698">
        <x:f>IF('КУПН'!$N75="Да",1,0)</x:f>
      </x:c>
      <x:c r="E581" s="699">
        <x:f>IF('КУПН'!$T75="Да",1,0)</x:f>
      </x:c>
      <x:c r="F581" s="700">
        <x:f>IF('КУПН'!$Z75="Да",1,0)</x:f>
      </x:c>
      <x:c r="G581" s="701">
        <x:f>IF('КУПН'!$AF75="Да",1,0)</x:f>
      </x:c>
      <x:c r="H581" s="702">
        <x:f>IF('КУПН'!$AL75="Да",1,0)</x:f>
      </x:c>
      <x:c r="I581" s="703">
        <x:f>IF('КУПН'!$AR75="Да",1,0)</x:f>
      </x:c>
      <x:c r="J581" s="704">
        <x:f>IF('КУПН'!$AX75="Да",1,0)</x:f>
      </x:c>
      <x:c r="K581" s="705">
        <x:f>IF('КУПН'!$BD75="Да",1,0)</x:f>
      </x:c>
      <x:c r="L581" s="706">
        <x:f>IF('КУПН'!$BJ75="Да",1,0)</x:f>
      </x:c>
      <x:c r="M581" s="707">
        <x:f>IF('КУПН'!$BP75="Да",1,0)</x:f>
      </x:c>
      <x:c r="N581" s="708">
        <x:f>IF('КУПН'!$BV75="Да",1,0)</x:f>
      </x:c>
      <x:c r="O581" s="375">
        <x:f>IFERROR(ROUND(SUM(C581:N581)/($S$509),1),"")</x:f>
      </x:c>
    </x:row>
    <x:row r="582" spans="1:25" ht="15" customHeight="1" x14ac:dyDescent="0.25">
      <x:c r="A582" s="710"/>
      <x:c r="B582" s="363" t="s">
        <x:v>310</x:v>
      </x:c>
      <x:c r="C582" s="697">
        <x:f>IF('КУПН'!$H76="Да",1,0)</x:f>
      </x:c>
      <x:c r="D582" s="698">
        <x:f>IF('КУПН'!$N76="Да",1,0)</x:f>
      </x:c>
      <x:c r="E582" s="699">
        <x:f>IF('КУПН'!$T76="Да",1,0)</x:f>
      </x:c>
      <x:c r="F582" s="700">
        <x:f>IF('КУПН'!$Z76="Да",1,0)</x:f>
      </x:c>
      <x:c r="G582" s="701">
        <x:f>IF('КУПН'!$AF76="Да",1,0)</x:f>
      </x:c>
      <x:c r="H582" s="702">
        <x:f>IF('КУПН'!$AL76="Да",1,0)</x:f>
      </x:c>
      <x:c r="I582" s="703">
        <x:f>IF('КУПН'!$AR76="Да",1,0)</x:f>
      </x:c>
      <x:c r="J582" s="704">
        <x:f>IF('КУПН'!$AX76="Да",1,0)</x:f>
      </x:c>
      <x:c r="K582" s="705">
        <x:f>IF('КУПН'!$BD76="Да",1,0)</x:f>
      </x:c>
      <x:c r="L582" s="706">
        <x:f>IF('КУПН'!$BJ76="Да",1,0)</x:f>
      </x:c>
      <x:c r="M582" s="707">
        <x:f>IF('КУПН'!$BP76="Да",1,0)</x:f>
      </x:c>
      <x:c r="N582" s="708">
        <x:f>IF('КУПН'!$BV76="Да",1,0)</x:f>
      </x:c>
      <x:c r="O582" s="375">
        <x:f>IFERROR(ROUND(SUM(C582:N582)/($S$509),1),"")</x:f>
      </x:c>
    </x:row>
    <x:row r="583" spans="1:25" ht="15" customHeight="1" x14ac:dyDescent="0.25">
      <x:c r="A583" s="710"/>
      <x:c r="B583" s="363" t="s">
        <x:v>371</x:v>
      </x:c>
      <x:c r="C583" s="697">
        <x:f>IF('КУПН'!$H77="Да",1,0)</x:f>
      </x:c>
      <x:c r="D583" s="698">
        <x:f>IF('КУПН'!$N77="Да",1,0)</x:f>
      </x:c>
      <x:c r="E583" s="699">
        <x:f>IF('КУПН'!$T77="Да",1,0)</x:f>
      </x:c>
      <x:c r="F583" s="700">
        <x:f>IF('КУПН'!$Z77="Да",1,0)</x:f>
      </x:c>
      <x:c r="G583" s="701">
        <x:f>IF('КУПН'!$AF77="Да",1,0)</x:f>
      </x:c>
      <x:c r="H583" s="702">
        <x:f>IF('КУПН'!$AL77="Да",1,0)</x:f>
      </x:c>
      <x:c r="I583" s="703">
        <x:f>IF('КУПН'!$AR77="Да",1,0)</x:f>
      </x:c>
      <x:c r="J583" s="704">
        <x:f>IF('КУПН'!$AX77="Да",1,0)</x:f>
      </x:c>
      <x:c r="K583" s="705">
        <x:f>IF('КУПН'!$BD77="Да",1,0)</x:f>
      </x:c>
      <x:c r="L583" s="706">
        <x:f>IF('КУПН'!$BJ77="Да",1,0)</x:f>
      </x:c>
      <x:c r="M583" s="707">
        <x:f>IF('КУПН'!$BP77="Да",1,0)</x:f>
      </x:c>
      <x:c r="N583" s="708">
        <x:f>IF('КУПН'!$BV77="Да",1,0)</x:f>
      </x:c>
      <x:c r="O583" s="375">
        <x:f>IFERROR(ROUND(SUM(C583:N583)/($S$509),1),"")</x:f>
      </x:c>
    </x:row>
    <x:row r="584" spans="1:25" ht="15" customHeight="1" x14ac:dyDescent="0.25">
      <x:c r="A584" s="710"/>
      <x:c r="B584" s="363" t="s">
        <x:v>389</x:v>
      </x:c>
      <x:c r="C584" s="697">
        <x:f>IF('КУПН'!$H78="Да",1,0)</x:f>
      </x:c>
      <x:c r="D584" s="698">
        <x:f>IF('КУПН'!$N78="Да",1,0)</x:f>
      </x:c>
      <x:c r="E584" s="699">
        <x:f>IF('КУПН'!$T78="Да",1,0)</x:f>
      </x:c>
      <x:c r="F584" s="700">
        <x:f>IF('КУПН'!$Z78="Да",1,0)</x:f>
      </x:c>
      <x:c r="G584" s="701">
        <x:f>IF('КУПН'!$AF78="Да",1,0)</x:f>
      </x:c>
      <x:c r="H584" s="702">
        <x:f>IF('КУПН'!$AL78="Да",1,0)</x:f>
      </x:c>
      <x:c r="I584" s="703">
        <x:f>IF('КУПН'!$AR78="Да",1,0)</x:f>
      </x:c>
      <x:c r="J584" s="704">
        <x:f>IF('КУПН'!$AX78="Да",1,0)</x:f>
      </x:c>
      <x:c r="K584" s="705">
        <x:f>IF('КУПН'!$BD78="Да",1,0)</x:f>
      </x:c>
      <x:c r="L584" s="706">
        <x:f>IF('КУПН'!$BJ78="Да",1,0)</x:f>
      </x:c>
      <x:c r="M584" s="707">
        <x:f>IF('КУПН'!$BP78="Да",1,0)</x:f>
      </x:c>
      <x:c r="N584" s="708">
        <x:f>IF('КУПН'!$BV78="Да",1,0)</x:f>
      </x:c>
      <x:c r="O584" s="375">
        <x:f>IFERROR(ROUND(SUM(C584:N584)/($S$509),1),"")</x:f>
      </x:c>
    </x:row>
    <x:row r="585" spans="1:25" ht="15" customHeight="1" x14ac:dyDescent="0.25">
      <x:c r="A585" s="710"/>
      <x:c r="B585" s="363" t="s">
        <x:v>302</x:v>
      </x:c>
      <x:c r="C585" s="697">
        <x:f>IF('КУПН'!$H79="Да",1,0)</x:f>
      </x:c>
      <x:c r="D585" s="698">
        <x:f>IF('КУПН'!$N79="Да",1,0)</x:f>
      </x:c>
      <x:c r="E585" s="699">
        <x:f>IF('КУПН'!$T79="Да",1,0)</x:f>
      </x:c>
      <x:c r="F585" s="700">
        <x:f>IF('КУПН'!$Z79="Да",1,0)</x:f>
      </x:c>
      <x:c r="G585" s="701">
        <x:f>IF('КУПН'!$AF79="Да",1,0)</x:f>
      </x:c>
      <x:c r="H585" s="702">
        <x:f>IF('КУПН'!$AL79="Да",1,0)</x:f>
      </x:c>
      <x:c r="I585" s="703">
        <x:f>IF('КУПН'!$AR79="Да",1,0)</x:f>
      </x:c>
      <x:c r="J585" s="704">
        <x:f>IF('КУПН'!$AX79="Да",1,0)</x:f>
      </x:c>
      <x:c r="K585" s="705">
        <x:f>IF('КУПН'!$BD79="Да",1,0)</x:f>
      </x:c>
      <x:c r="L585" s="706">
        <x:f>IF('КУПН'!$BJ79="Да",1,0)</x:f>
      </x:c>
      <x:c r="M585" s="707">
        <x:f>IF('КУПН'!$BP79="Да",1,0)</x:f>
      </x:c>
      <x:c r="N585" s="708">
        <x:f>IF('КУПН'!$BV79="Да",1,0)</x:f>
      </x:c>
      <x:c r="O585" s="375">
        <x:f>IFERROR(ROUND(SUM(C585:N585)/($S$509),1),"")</x:f>
      </x:c>
    </x:row>
    <x:row r="586" spans="1:25" ht="15" customHeight="1" x14ac:dyDescent="0.3">
      <x:c r="A586" s="710"/>
      <x:c r="B586" s="363" t="s">
        <x:v>391</x:v>
      </x:c>
      <x:c r="C586" s="697">
        <x:f>IF('КУПН'!$H80="Да",1,0)</x:f>
      </x:c>
      <x:c r="D586" s="698">
        <x:f>IF('КУПН'!$N80="Да",1,0)</x:f>
      </x:c>
      <x:c r="E586" s="699">
        <x:f>IF('КУПН'!$T80="Да",1,0)</x:f>
      </x:c>
      <x:c r="F586" s="700">
        <x:f>IF('КУПН'!$Z80="Да",1,0)</x:f>
      </x:c>
      <x:c r="G586" s="701">
        <x:f>IF('КУПН'!$AF80="Да",1,0)</x:f>
      </x:c>
      <x:c r="H586" s="702">
        <x:f>IF('КУПН'!$AL80="Да",1,0)</x:f>
      </x:c>
      <x:c r="I586" s="703">
        <x:f>IF('КУПН'!$AR80="Да",1,0)</x:f>
      </x:c>
      <x:c r="J586" s="704">
        <x:f>IF('КУПН'!$AX80="Да",1,0)</x:f>
      </x:c>
      <x:c r="K586" s="705">
        <x:f>IF('КУПН'!$BD80="Да",1,0)</x:f>
      </x:c>
      <x:c r="L586" s="706">
        <x:f>IF('КУПН'!$BJ80="Да",1,0)</x:f>
      </x:c>
      <x:c r="M586" s="707">
        <x:f>IF('КУПН'!$BP80="Да",1,0)</x:f>
      </x:c>
      <x:c r="N586" s="708">
        <x:f>IF('КУПН'!$BV80="Да",1,0)</x:f>
      </x:c>
      <x:c r="O586" s="375">
        <x:f>IFERROR(ROUND(SUM(C586:N586)/($S$509),1),"")</x:f>
      </x:c>
    </x:row>
    <x:row r="587" spans="1:25" ht="15" customHeight="1" x14ac:dyDescent="0.25">
      <x:c r="A587" s="710"/>
      <x:c r="B587" s="363" t="s">
        <x:v>364</x:v>
      </x:c>
      <x:c r="C587" s="697">
        <x:f>IF('КУПН'!$H81="Да",1,0)</x:f>
      </x:c>
      <x:c r="D587" s="698">
        <x:f>IF('КУПН'!$N81="Да",1,0)</x:f>
      </x:c>
      <x:c r="E587" s="699">
        <x:f>IF('КУПН'!$T81="Да",1,0)</x:f>
      </x:c>
      <x:c r="F587" s="700">
        <x:f>IF('КУПН'!$Z81="Да",1,0)</x:f>
      </x:c>
      <x:c r="G587" s="701">
        <x:f>IF('КУПН'!$AF81="Да",1,0)</x:f>
      </x:c>
      <x:c r="H587" s="702">
        <x:f>IF('КУПН'!$AL81="Да",1,0)</x:f>
      </x:c>
      <x:c r="I587" s="703">
        <x:f>IF('КУПН'!$AR81="Да",1,0)</x:f>
      </x:c>
      <x:c r="J587" s="704">
        <x:f>IF('КУПН'!$AX81="Да",1,0)</x:f>
      </x:c>
      <x:c r="K587" s="705">
        <x:f>IF('КУПН'!$BD81="Да",1,0)</x:f>
      </x:c>
      <x:c r="L587" s="706">
        <x:f>IF('КУПН'!$BJ81="Да",1,0)</x:f>
      </x:c>
      <x:c r="M587" s="707">
        <x:f>IF('КУПН'!$BP81="Да",1,0)</x:f>
      </x:c>
      <x:c r="N587" s="708">
        <x:f>IF('КУПН'!$BV81="Да",1,0)</x:f>
      </x:c>
      <x:c r="O587" s="375">
        <x:f>IFERROR(ROUND(SUM(C587:N587)/($S$509),1),"")</x:f>
      </x:c>
    </x:row>
    <x:row r="588" spans="1:25" ht="15" customHeight="1" x14ac:dyDescent="0.25">
      <x:c r="A588" s="710"/>
      <x:c r="B588" s="363" t="s">
        <x:v>325</x:v>
      </x:c>
      <x:c r="C588" s="697">
        <x:f>IF('КУПН'!$H82="Да",1,0)</x:f>
      </x:c>
      <x:c r="D588" s="698">
        <x:f>IF('КУПН'!$N82="Да",1,0)</x:f>
      </x:c>
      <x:c r="E588" s="699">
        <x:f>IF('КУПН'!$T82="Да",1,0)</x:f>
      </x:c>
      <x:c r="F588" s="700">
        <x:f>IF('КУПН'!$Z82="Да",1,0)</x:f>
      </x:c>
      <x:c r="G588" s="701">
        <x:f>IF('КУПН'!$AF82="Да",1,0)</x:f>
      </x:c>
      <x:c r="H588" s="702">
        <x:f>IF('КУПН'!$AL82="Да",1,0)</x:f>
      </x:c>
      <x:c r="I588" s="703">
        <x:f>IF('КУПН'!$AR82="Да",1,0)</x:f>
      </x:c>
      <x:c r="J588" s="704">
        <x:f>IF('КУПН'!$AX82="Да",1,0)</x:f>
      </x:c>
      <x:c r="K588" s="705">
        <x:f>IF('КУПН'!$BD82="Да",1,0)</x:f>
      </x:c>
      <x:c r="L588" s="706">
        <x:f>IF('КУПН'!$BJ82="Да",1,0)</x:f>
      </x:c>
      <x:c r="M588" s="707">
        <x:f>IF('КУПН'!$BP82="Да",1,0)</x:f>
      </x:c>
      <x:c r="N588" s="708">
        <x:f>IF('КУПН'!$BV82="Да",1,0)</x:f>
      </x:c>
      <x:c r="O588" s="375">
        <x:f>IFERROR(ROUND(SUM(C588:N588)/($S$509),1),"")</x:f>
      </x:c>
    </x:row>
    <x:row r="589" spans="1:25" ht="15" customHeight="1" x14ac:dyDescent="0.25">
      <x:c r="A589" s="710"/>
      <x:c r="B589" s="363" t="s">
        <x:v>353</x:v>
      </x:c>
      <x:c r="C589" s="697">
        <x:f>IF('КУПН'!$H83="Да",1,0)</x:f>
      </x:c>
      <x:c r="D589" s="698">
        <x:f>IF('КУПН'!$N83="Да",1,0)</x:f>
      </x:c>
      <x:c r="E589" s="699">
        <x:f>IF('КУПН'!$T83="Да",1,0)</x:f>
      </x:c>
      <x:c r="F589" s="700">
        <x:f>IF('КУПН'!$Z83="Да",1,0)</x:f>
      </x:c>
      <x:c r="G589" s="701">
        <x:f>IF('КУПН'!$AF83="Да",1,0)</x:f>
      </x:c>
      <x:c r="H589" s="702">
        <x:f>IF('КУПН'!$AL83="Да",1,0)</x:f>
      </x:c>
      <x:c r="I589" s="703">
        <x:f>IF('КУПН'!$AR83="Да",1,0)</x:f>
      </x:c>
      <x:c r="J589" s="704">
        <x:f>IF('КУПН'!$AX83="Да",1,0)</x:f>
      </x:c>
      <x:c r="K589" s="705">
        <x:f>IF('КУПН'!$BD83="Да",1,0)</x:f>
      </x:c>
      <x:c r="L589" s="706">
        <x:f>IF('КУПН'!$BJ83="Да",1,0)</x:f>
      </x:c>
      <x:c r="M589" s="707">
        <x:f>IF('КУПН'!$BP83="Да",1,0)</x:f>
      </x:c>
      <x:c r="N589" s="708">
        <x:f>IF('КУПН'!$BV83="Да",1,0)</x:f>
      </x:c>
      <x:c r="O589" s="375">
        <x:f>IFERROR(ROUND(SUM(C589:N589)/($S$509),1),"")</x:f>
      </x:c>
    </x:row>
    <x:row r="590" spans="1:25" ht="15" customHeight="1" x14ac:dyDescent="0.25">
      <x:c r="A590" s="710"/>
      <x:c r="B590" s="363" t="s">
        <x:v>293</x:v>
      </x:c>
      <x:c r="C590" s="697">
        <x:f>IF('КУПН'!$H84="Да",1,0)</x:f>
      </x:c>
      <x:c r="D590" s="698">
        <x:f>IF('КУПН'!$N84="Да",1,0)</x:f>
      </x:c>
      <x:c r="E590" s="699">
        <x:f>IF('КУПН'!$T84="Да",1,0)</x:f>
      </x:c>
      <x:c r="F590" s="700">
        <x:f>IF('КУПН'!$Z84="Да",1,0)</x:f>
      </x:c>
      <x:c r="G590" s="701">
        <x:f>IF('КУПН'!$AF84="Да",1,0)</x:f>
      </x:c>
      <x:c r="H590" s="702">
        <x:f>IF('КУПН'!$AL84="Да",1,0)</x:f>
      </x:c>
      <x:c r="I590" s="703">
        <x:f>IF('КУПН'!$AR84="Да",1,0)</x:f>
      </x:c>
      <x:c r="J590" s="704">
        <x:f>IF('КУПН'!$AX84="Да",1,0)</x:f>
      </x:c>
      <x:c r="K590" s="705">
        <x:f>IF('КУПН'!$BD84="Да",1,0)</x:f>
      </x:c>
      <x:c r="L590" s="706">
        <x:f>IF('КУПН'!$BJ84="Да",1,0)</x:f>
      </x:c>
      <x:c r="M590" s="707">
        <x:f>IF('КУПН'!$BP84="Да",1,0)</x:f>
      </x:c>
      <x:c r="N590" s="708">
        <x:f>IF('КУПН'!$BV84="Да",1,0)</x:f>
      </x:c>
      <x:c r="O590" s="375">
        <x:f>IFERROR(ROUND(SUM(C590:N590)/($S$509),1),"")</x:f>
      </x:c>
    </x:row>
    <x:row r="591" spans="1:25" ht="15" customHeight="1" x14ac:dyDescent="0.25">
      <x:c r="A591" s="710"/>
      <x:c r="B591" s="363" t="s">
        <x:v>394</x:v>
      </x:c>
      <x:c r="C591" s="697">
        <x:f>IF('КУПН'!$H85="Да",1,0)</x:f>
      </x:c>
      <x:c r="D591" s="698">
        <x:f>IF('КУПН'!$N85="Да",1,0)</x:f>
      </x:c>
      <x:c r="E591" s="699">
        <x:f>IF('КУПН'!$T85="Да",1,0)</x:f>
      </x:c>
      <x:c r="F591" s="700">
        <x:f>IF('КУПН'!$Z85="Да",1,0)</x:f>
      </x:c>
      <x:c r="G591" s="701">
        <x:f>IF('КУПН'!$AF85="Да",1,0)</x:f>
      </x:c>
      <x:c r="H591" s="702">
        <x:f>IF('КУПН'!$AL85="Да",1,0)</x:f>
      </x:c>
      <x:c r="I591" s="703">
        <x:f>IF('КУПН'!$AR85="Да",1,0)</x:f>
      </x:c>
      <x:c r="J591" s="704">
        <x:f>IF('КУПН'!$AX85="Да",1,0)</x:f>
      </x:c>
      <x:c r="K591" s="705">
        <x:f>IF('КУПН'!$BD85="Да",1,0)</x:f>
      </x:c>
      <x:c r="L591" s="706">
        <x:f>IF('КУПН'!$BJ85="Да",1,0)</x:f>
      </x:c>
      <x:c r="M591" s="707">
        <x:f>IF('КУПН'!$BP85="Да",1,0)</x:f>
      </x:c>
      <x:c r="N591" s="708">
        <x:f>IF('КУПН'!$BV85="Да",1,0)</x:f>
      </x:c>
      <x:c r="O591" s="375">
        <x:f>IFERROR(ROUND(SUM(C591:N591)/($S$509),1),"")</x:f>
      </x:c>
    </x:row>
    <x:row r="592" spans="1:25" ht="15" customHeight="1" x14ac:dyDescent="0.25">
      <x:c r="A592" s="710"/>
      <x:c r="B592" s="363" t="s">
        <x:v>361</x:v>
      </x:c>
      <x:c r="C592" s="697">
        <x:f>IF('КУПН'!$H86="Да",1,0)</x:f>
      </x:c>
      <x:c r="D592" s="698">
        <x:f>IF('КУПН'!$N86="Да",1,0)</x:f>
      </x:c>
      <x:c r="E592" s="699">
        <x:f>IF('КУПН'!$T86="Да",1,0)</x:f>
      </x:c>
      <x:c r="F592" s="700">
        <x:f>IF('КУПН'!$Z86="Да",1,0)</x:f>
      </x:c>
      <x:c r="G592" s="701">
        <x:f>IF('КУПН'!$AF86="Да",1,0)</x:f>
      </x:c>
      <x:c r="H592" s="702">
        <x:f>IF('КУПН'!$AL86="Да",1,0)</x:f>
      </x:c>
      <x:c r="I592" s="703">
        <x:f>IF('КУПН'!$AR86="Да",1,0)</x:f>
      </x:c>
      <x:c r="J592" s="704">
        <x:f>IF('КУПН'!$AX86="Да",1,0)</x:f>
      </x:c>
      <x:c r="K592" s="705">
        <x:f>IF('КУПН'!$BD86="Да",1,0)</x:f>
      </x:c>
      <x:c r="L592" s="706">
        <x:f>IF('КУПН'!$BJ86="Да",1,0)</x:f>
      </x:c>
      <x:c r="M592" s="707">
        <x:f>IF('КУПН'!$BP86="Да",1,0)</x:f>
      </x:c>
      <x:c r="N592" s="708">
        <x:f>IF('КУПН'!$BV86="Да",1,0)</x:f>
      </x:c>
      <x:c r="O592" s="375">
        <x:f>IFERROR(ROUND(SUM(C592:N592)/($S$509),1),"")</x:f>
      </x:c>
    </x:row>
    <x:row r="593" spans="1:25" ht="15" customHeight="1" x14ac:dyDescent="0.25">
      <x:c r="A593" s="710"/>
      <x:c r="B593" s="363" t="s">
        <x:v>339</x:v>
      </x:c>
      <x:c r="C593" s="697">
        <x:f>IF('КУПН'!$H87="Да",1,0)</x:f>
      </x:c>
      <x:c r="D593" s="698">
        <x:f>IF('КУПН'!$N87="Да",1,0)</x:f>
      </x:c>
      <x:c r="E593" s="699">
        <x:f>IF('КУПН'!$T87="Да",1,0)</x:f>
      </x:c>
      <x:c r="F593" s="700">
        <x:f>IF('КУПН'!$Z87="Да",1,0)</x:f>
      </x:c>
      <x:c r="G593" s="701">
        <x:f>IF('КУПН'!$AF87="Да",1,0)</x:f>
      </x:c>
      <x:c r="H593" s="702">
        <x:f>IF('КУПН'!$AL87="Да",1,0)</x:f>
      </x:c>
      <x:c r="I593" s="703">
        <x:f>IF('КУПН'!$AR87="Да",1,0)</x:f>
      </x:c>
      <x:c r="J593" s="704">
        <x:f>IF('КУПН'!$AX87="Да",1,0)</x:f>
      </x:c>
      <x:c r="K593" s="705">
        <x:f>IF('КУПН'!$BD87="Да",1,0)</x:f>
      </x:c>
      <x:c r="L593" s="706">
        <x:f>IF('КУПН'!$BJ87="Да",1,0)</x:f>
      </x:c>
      <x:c r="M593" s="707">
        <x:f>IF('КУПН'!$BP87="Да",1,0)</x:f>
      </x:c>
      <x:c r="N593" s="708">
        <x:f>IF('КУПН'!$BV87="Да",1,0)</x:f>
      </x:c>
      <x:c r="O593" s="375">
        <x:f>IFERROR(ROUND(SUM(C593:N593)/($S$509),1),"")</x:f>
      </x:c>
    </x:row>
    <x:row r="594" spans="1:25" ht="15" customHeight="1" x14ac:dyDescent="0.25">
      <x:c r="A594" s="710"/>
      <x:c r="B594" s="363" t="s">
        <x:v>377</x:v>
      </x:c>
      <x:c r="C594" s="697">
        <x:f>IF('КУПН'!$H88="Да",1,0)</x:f>
      </x:c>
      <x:c r="D594" s="698">
        <x:f>IF('КУПН'!$N88="Да",1,0)</x:f>
      </x:c>
      <x:c r="E594" s="699">
        <x:f>IF('КУПН'!$T88="Да",1,0)</x:f>
      </x:c>
      <x:c r="F594" s="700">
        <x:f>IF('КУПН'!$Z88="Да",1,0)</x:f>
      </x:c>
      <x:c r="G594" s="701">
        <x:f>IF('КУПН'!$AF88="Да",1,0)</x:f>
      </x:c>
      <x:c r="H594" s="702">
        <x:f>IF('КУПН'!$AL88="Да",1,0)</x:f>
      </x:c>
      <x:c r="I594" s="703">
        <x:f>IF('КУПН'!$AR88="Да",1,0)</x:f>
      </x:c>
      <x:c r="J594" s="704">
        <x:f>IF('КУПН'!$AX88="Да",1,0)</x:f>
      </x:c>
      <x:c r="K594" s="705">
        <x:f>IF('КУПН'!$BD88="Да",1,0)</x:f>
      </x:c>
      <x:c r="L594" s="706">
        <x:f>IF('КУПН'!$BJ88="Да",1,0)</x:f>
      </x:c>
      <x:c r="M594" s="707">
        <x:f>IF('КУПН'!$BP88="Да",1,0)</x:f>
      </x:c>
      <x:c r="N594" s="708">
        <x:f>IF('КУПН'!$BV88="Да",1,0)</x:f>
      </x:c>
      <x:c r="O594" s="375">
        <x:f>IFERROR(ROUND(SUM(C594:N594)/($S$509),1),"")</x:f>
      </x:c>
    </x:row>
    <x:row r="595" spans="1:25" ht="15" customHeight="1" x14ac:dyDescent="0.25">
      <x:c r="A595" s="710"/>
      <x:c r="B595" s="363" t="s">
        <x:v>314</x:v>
      </x:c>
      <x:c r="C595" s="697">
        <x:f>IF('КУПН'!$H89="Да",1,0)</x:f>
      </x:c>
      <x:c r="D595" s="698">
        <x:f>IF('КУПН'!$N89="Да",1,0)</x:f>
      </x:c>
      <x:c r="E595" s="699">
        <x:f>IF('КУПН'!$T89="Да",1,0)</x:f>
      </x:c>
      <x:c r="F595" s="700">
        <x:f>IF('КУПН'!$Z89="Да",1,0)</x:f>
      </x:c>
      <x:c r="G595" s="701">
        <x:f>IF('КУПН'!$AF89="Да",1,0)</x:f>
      </x:c>
      <x:c r="H595" s="702">
        <x:f>IF('КУПН'!$AL89="Да",1,0)</x:f>
      </x:c>
      <x:c r="I595" s="703">
        <x:f>IF('КУПН'!$AR89="Да",1,0)</x:f>
      </x:c>
      <x:c r="J595" s="704">
        <x:f>IF('КУПН'!$AX89="Да",1,0)</x:f>
      </x:c>
      <x:c r="K595" s="705">
        <x:f>IF('КУПН'!$BD89="Да",1,0)</x:f>
      </x:c>
      <x:c r="L595" s="706">
        <x:f>IF('КУПН'!$BJ89="Да",1,0)</x:f>
      </x:c>
      <x:c r="M595" s="707">
        <x:f>IF('КУПН'!$BP89="Да",1,0)</x:f>
      </x:c>
      <x:c r="N595" s="708">
        <x:f>IF('КУПН'!$BV89="Да",1,0)</x:f>
      </x:c>
      <x:c r="O595" s="375">
        <x:f>IFERROR(ROUND(SUM(C595:N595)/($S$509),1),"")</x:f>
      </x:c>
    </x:row>
    <x:row r="596" spans="1:25" ht="15" customHeight="1" x14ac:dyDescent="0.25">
      <x:c r="A596" s="710"/>
      <x:c r="B596" s="363" t="s">
        <x:v>306</x:v>
      </x:c>
      <x:c r="C596" s="697">
        <x:f>IF('КУПН'!$H90="Да",1,0)</x:f>
      </x:c>
      <x:c r="D596" s="698">
        <x:f>IF('КУПН'!$N90="Да",1,0)</x:f>
      </x:c>
      <x:c r="E596" s="699">
        <x:f>IF('КУПН'!$T90="Да",1,0)</x:f>
      </x:c>
      <x:c r="F596" s="700">
        <x:f>IF('КУПН'!$Z90="Да",1,0)</x:f>
      </x:c>
      <x:c r="G596" s="701">
        <x:f>IF('КУПН'!$AF90="Да",1,0)</x:f>
      </x:c>
      <x:c r="H596" s="702">
        <x:f>IF('КУПН'!$AL90="Да",1,0)</x:f>
      </x:c>
      <x:c r="I596" s="703">
        <x:f>IF('КУПН'!$AR90="Да",1,0)</x:f>
      </x:c>
      <x:c r="J596" s="704">
        <x:f>IF('КУПН'!$AX90="Да",1,0)</x:f>
      </x:c>
      <x:c r="K596" s="705">
        <x:f>IF('КУПН'!$BD90="Да",1,0)</x:f>
      </x:c>
      <x:c r="L596" s="706">
        <x:f>IF('КУПН'!$BJ90="Да",1,0)</x:f>
      </x:c>
      <x:c r="M596" s="707">
        <x:f>IF('КУПН'!$BP90="Да",1,0)</x:f>
      </x:c>
      <x:c r="N596" s="708">
        <x:f>IF('КУПН'!$BV90="Да",1,0)</x:f>
      </x:c>
      <x:c r="O596" s="375">
        <x:f>IFERROR(ROUND(SUM(C596:N596)/($S$509),1),"")</x:f>
      </x:c>
    </x:row>
    <x:row r="597" spans="1:25" ht="15" customHeight="1" x14ac:dyDescent="0.3">
      <x:c r="A597" s="710"/>
      <x:c r="B597" s="363" t="s">
        <x:v>390</x:v>
      </x:c>
      <x:c r="C597" s="697">
        <x:f>IF('КУПН'!$H91="Да",1,0)</x:f>
      </x:c>
      <x:c r="D597" s="698">
        <x:f>IF('КУПН'!$N91="Да",1,0)</x:f>
      </x:c>
      <x:c r="E597" s="699">
        <x:f>IF('КУПН'!$T91="Да",1,0)</x:f>
      </x:c>
      <x:c r="F597" s="700">
        <x:f>IF('КУПН'!$Z91="Да",1,0)</x:f>
      </x:c>
      <x:c r="G597" s="701">
        <x:f>IF('КУПН'!$AF91="Да",1,0)</x:f>
      </x:c>
      <x:c r="H597" s="702">
        <x:f>IF('КУПН'!$AL91="Да",1,0)</x:f>
      </x:c>
      <x:c r="I597" s="703">
        <x:f>IF('КУПН'!$AR91="Да",1,0)</x:f>
      </x:c>
      <x:c r="J597" s="704">
        <x:f>IF('КУПН'!$AX91="Да",1,0)</x:f>
      </x:c>
      <x:c r="K597" s="705">
        <x:f>IF('КУПН'!$BD91="Да",1,0)</x:f>
      </x:c>
      <x:c r="L597" s="706">
        <x:f>IF('КУПН'!$BJ91="Да",1,0)</x:f>
      </x:c>
      <x:c r="M597" s="707">
        <x:f>IF('КУПН'!$BP91="Да",1,0)</x:f>
      </x:c>
      <x:c r="N597" s="708">
        <x:f>IF('КУПН'!$BV91="Да",1,0)</x:f>
      </x:c>
      <x:c r="O597" s="375">
        <x:f>IFERROR(ROUND(SUM(C597:N597)/($S$509),1),"")</x:f>
      </x:c>
    </x:row>
    <x:row r="598" spans="1:25" ht="15" customHeight="1" x14ac:dyDescent="0.25">
      <x:c r="A598" s="710"/>
      <x:c r="B598" s="363" t="s">
        <x:v>344</x:v>
      </x:c>
      <x:c r="C598" s="697">
        <x:f>IF('КУПН'!$H92="Да",1,0)</x:f>
      </x:c>
      <x:c r="D598" s="698">
        <x:f>IF('КУПН'!$N92="Да",1,0)</x:f>
      </x:c>
      <x:c r="E598" s="699">
        <x:f>IF('КУПН'!$T92="Да",1,0)</x:f>
      </x:c>
      <x:c r="F598" s="700">
        <x:f>IF('КУПН'!$Z92="Да",1,0)</x:f>
      </x:c>
      <x:c r="G598" s="701">
        <x:f>IF('КУПН'!$AF92="Да",1,0)</x:f>
      </x:c>
      <x:c r="H598" s="702">
        <x:f>IF('КУПН'!$AL92="Да",1,0)</x:f>
      </x:c>
      <x:c r="I598" s="703">
        <x:f>IF('КУПН'!$AR92="Да",1,0)</x:f>
      </x:c>
      <x:c r="J598" s="704">
        <x:f>IF('КУПН'!$AX92="Да",1,0)</x:f>
      </x:c>
      <x:c r="K598" s="705">
        <x:f>IF('КУПН'!$BD92="Да",1,0)</x:f>
      </x:c>
      <x:c r="L598" s="706">
        <x:f>IF('КУПН'!$BJ92="Да",1,0)</x:f>
      </x:c>
      <x:c r="M598" s="707">
        <x:f>IF('КУПН'!$BP92="Да",1,0)</x:f>
      </x:c>
      <x:c r="N598" s="708">
        <x:f>IF('КУПН'!$BV92="Да",1,0)</x:f>
      </x:c>
      <x:c r="O598" s="375">
        <x:f>IFERROR(ROUND(SUM(C598:N598)/($S$509),1),"")</x:f>
      </x:c>
    </x:row>
    <x:row r="599" spans="1:25" ht="15" customHeight="1" x14ac:dyDescent="0.25">
      <x:c r="A599" s="710"/>
      <x:c r="B599" s="363" t="s">
        <x:v>373</x:v>
      </x:c>
      <x:c r="C599" s="697">
        <x:f>IF('КУПН'!$H93="Да",1,0)</x:f>
      </x:c>
      <x:c r="D599" s="698">
        <x:f>IF('КУПН'!$N93="Да",1,0)</x:f>
      </x:c>
      <x:c r="E599" s="699">
        <x:f>IF('КУПН'!$T93="Да",1,0)</x:f>
      </x:c>
      <x:c r="F599" s="700">
        <x:f>IF('КУПН'!$Z93="Да",1,0)</x:f>
      </x:c>
      <x:c r="G599" s="701">
        <x:f>IF('КУПН'!$AF93="Да",1,0)</x:f>
      </x:c>
      <x:c r="H599" s="702">
        <x:f>IF('КУПН'!$AL93="Да",1,0)</x:f>
      </x:c>
      <x:c r="I599" s="703">
        <x:f>IF('КУПН'!$AR93="Да",1,0)</x:f>
      </x:c>
      <x:c r="J599" s="704">
        <x:f>IF('КУПН'!$AX93="Да",1,0)</x:f>
      </x:c>
      <x:c r="K599" s="705">
        <x:f>IF('КУПН'!$BD93="Да",1,0)</x:f>
      </x:c>
      <x:c r="L599" s="706">
        <x:f>IF('КУПН'!$BJ93="Да",1,0)</x:f>
      </x:c>
      <x:c r="M599" s="707">
        <x:f>IF('КУПН'!$BP93="Да",1,0)</x:f>
      </x:c>
      <x:c r="N599" s="708">
        <x:f>IF('КУПН'!$BV93="Да",1,0)</x:f>
      </x:c>
      <x:c r="O599" s="375">
        <x:f>IFERROR(ROUND(SUM(C599:N599)/($S$509),1),"")</x:f>
      </x:c>
    </x:row>
    <x:row r="600" spans="1:25" ht="15" customHeight="1" x14ac:dyDescent="0.25">
      <x:c r="A600" s="710"/>
      <x:c r="B600" s="363" t="s">
        <x:v>298</x:v>
      </x:c>
      <x:c r="C600" s="697">
        <x:f>IF('КУПН'!$H94="Да",1,0)</x:f>
      </x:c>
      <x:c r="D600" s="698">
        <x:f>IF('КУПН'!$N94="Да",1,0)</x:f>
      </x:c>
      <x:c r="E600" s="699">
        <x:f>IF('КУПН'!$T94="Да",1,0)</x:f>
      </x:c>
      <x:c r="F600" s="700">
        <x:f>IF('КУПН'!$Z94="Да",1,0)</x:f>
      </x:c>
      <x:c r="G600" s="701">
        <x:f>IF('КУПН'!$AF94="Да",1,0)</x:f>
      </x:c>
      <x:c r="H600" s="702">
        <x:f>IF('КУПН'!$AL94="Да",1,0)</x:f>
      </x:c>
      <x:c r="I600" s="703">
        <x:f>IF('КУПН'!$AR94="Да",1,0)</x:f>
      </x:c>
      <x:c r="J600" s="704">
        <x:f>IF('КУПН'!$AX94="Да",1,0)</x:f>
      </x:c>
      <x:c r="K600" s="705">
        <x:f>IF('КУПН'!$BD94="Да",1,0)</x:f>
      </x:c>
      <x:c r="L600" s="706">
        <x:f>IF('КУПН'!$BJ94="Да",1,0)</x:f>
      </x:c>
      <x:c r="M600" s="707">
        <x:f>IF('КУПН'!$BP94="Да",1,0)</x:f>
      </x:c>
      <x:c r="N600" s="708">
        <x:f>IF('КУПН'!$BV94="Да",1,0)</x:f>
      </x:c>
      <x:c r="O600" s="375">
        <x:f>IFERROR(ROUND(SUM(C600:N600)/($S$509),1),"")</x:f>
      </x:c>
    </x:row>
    <x:row r="601" spans="1:25" ht="15" customHeight="1" x14ac:dyDescent="0.25">
      <x:c r="A601" s="710"/>
      <x:c r="B601" s="363" t="s">
        <x:v>356</x:v>
      </x:c>
      <x:c r="C601" s="697">
        <x:f>IF('КУПН'!$H95="Да",1,0)</x:f>
      </x:c>
      <x:c r="D601" s="698">
        <x:f>IF('КУПН'!$N95="Да",1,0)</x:f>
      </x:c>
      <x:c r="E601" s="699">
        <x:f>IF('КУПН'!$T95="Да",1,0)</x:f>
      </x:c>
      <x:c r="F601" s="700">
        <x:f>IF('КУПН'!$Z95="Да",1,0)</x:f>
      </x:c>
      <x:c r="G601" s="701">
        <x:f>IF('КУПН'!$AF95="Да",1,0)</x:f>
      </x:c>
      <x:c r="H601" s="702">
        <x:f>IF('КУПН'!$AL95="Да",1,0)</x:f>
      </x:c>
      <x:c r="I601" s="703">
        <x:f>IF('КУПН'!$AR95="Да",1,0)</x:f>
      </x:c>
      <x:c r="J601" s="704">
        <x:f>IF('КУПН'!$AX95="Да",1,0)</x:f>
      </x:c>
      <x:c r="K601" s="705">
        <x:f>IF('КУПН'!$BD95="Да",1,0)</x:f>
      </x:c>
      <x:c r="L601" s="706">
        <x:f>IF('КУПН'!$BJ95="Да",1,0)</x:f>
      </x:c>
      <x:c r="M601" s="707">
        <x:f>IF('КУПН'!$BP95="Да",1,0)</x:f>
      </x:c>
      <x:c r="N601" s="708">
        <x:f>IF('КУПН'!$BV95="Да",1,0)</x:f>
      </x:c>
      <x:c r="O601" s="375">
        <x:f>IFERROR(ROUND(SUM(C601:N601)/($S$509),1),"")</x:f>
      </x:c>
    </x:row>
    <x:row r="602" spans="1:25" ht="15" customHeight="1" x14ac:dyDescent="0.25">
      <x:c r="A602" s="710"/>
      <x:c r="B602" s="363" t="s">
        <x:v>741</x:v>
      </x:c>
      <x:c r="C602" s="697">
        <x:f>IF('КУПН'!$H96="Да",1,0)</x:f>
      </x:c>
      <x:c r="D602" s="698">
        <x:f>IF('КУПН'!$N96="Да",1,0)</x:f>
      </x:c>
      <x:c r="E602" s="699">
        <x:f>IF('КУПН'!$T96="Да",1,0)</x:f>
      </x:c>
      <x:c r="F602" s="700">
        <x:f>IF('КУПН'!$Z96="Да",1,0)</x:f>
      </x:c>
      <x:c r="G602" s="701">
        <x:f>IF('КУПН'!$AF96="Да",1,0)</x:f>
      </x:c>
      <x:c r="H602" s="702">
        <x:f>IF('КУПН'!$AL96="Да",1,0)</x:f>
      </x:c>
      <x:c r="I602" s="703">
        <x:f>IF('КУПН'!$AR96="Да",1,0)</x:f>
      </x:c>
      <x:c r="J602" s="704">
        <x:f>IF('КУПН'!$AX96="Да",1,0)</x:f>
      </x:c>
      <x:c r="K602" s="705">
        <x:f>IF('КУПН'!$BD96="Да",1,0)</x:f>
      </x:c>
      <x:c r="L602" s="706">
        <x:f>IF('КУПН'!$BJ96="Да",1,0)</x:f>
      </x:c>
      <x:c r="M602" s="707">
        <x:f>IF('КУПН'!$BP96="Да",1,0)</x:f>
      </x:c>
      <x:c r="N602" s="708">
        <x:f>IF('КУПН'!$BV96="Да",1,0)</x:f>
      </x:c>
      <x:c r="O602" s="375">
        <x:f>IFERROR(ROUND(SUM(C602:N602)/($S$509),1),"")</x:f>
      </x:c>
    </x:row>
    <x:row r="603" spans="1:25" ht="15" customHeight="1" x14ac:dyDescent="0.25">
      <x:c r="A603" s="710"/>
      <x:c r="B603" s="363" t="s">
        <x:v>1135</x:v>
      </x:c>
      <x:c r="C603" s="697">
        <x:f>IF('КУПН'!$H97="Да",1,0)</x:f>
      </x:c>
      <x:c r="D603" s="698">
        <x:f>IF('КУПН'!$N97="Да",1,0)</x:f>
      </x:c>
      <x:c r="E603" s="699">
        <x:f>IF('КУПН'!$T97="Да",1,0)</x:f>
      </x:c>
      <x:c r="F603" s="700">
        <x:f>IF('КУПН'!$Z97="Да",1,0)</x:f>
      </x:c>
      <x:c r="G603" s="701">
        <x:f>IF('КУПН'!$AF97="Да",1,0)</x:f>
      </x:c>
      <x:c r="H603" s="702">
        <x:f>IF('КУПН'!$AL97="Да",1,0)</x:f>
      </x:c>
      <x:c r="I603" s="703">
        <x:f>IF('КУПН'!$AR97="Да",1,0)</x:f>
      </x:c>
      <x:c r="J603" s="704">
        <x:f>IF('КУПН'!$AX97="Да",1,0)</x:f>
      </x:c>
      <x:c r="K603" s="705">
        <x:f>IF('КУПН'!$BD97="Да",1,0)</x:f>
      </x:c>
      <x:c r="L603" s="706">
        <x:f>IF('КУПН'!$BJ97="Да",1,0)</x:f>
      </x:c>
      <x:c r="M603" s="707">
        <x:f>IF('КУПН'!$BP97="Да",1,0)</x:f>
      </x:c>
      <x:c r="N603" s="708">
        <x:f>IF('КУПН'!$BV97="Да",1,0)</x:f>
      </x:c>
      <x:c r="O603" s="375">
        <x:f>IFERROR(ROUND(SUM(C603:N603)/($S$509),1),"")</x:f>
      </x:c>
    </x:row>
    <x:row r="604" spans="1:25" ht="15" customHeight="1" x14ac:dyDescent="0.25">
      <x:c r="A604" s="710"/>
      <x:c r="B604" s="363" t="s">
        <x:v>357</x:v>
      </x:c>
      <x:c r="C604" s="697">
        <x:f>IF('КУПН'!$H98="Да",1,0)</x:f>
      </x:c>
      <x:c r="D604" s="698">
        <x:f>IF('КУПН'!$N98="Да",1,0)</x:f>
      </x:c>
      <x:c r="E604" s="699">
        <x:f>IF('КУПН'!$T98="Да",1,0)</x:f>
      </x:c>
      <x:c r="F604" s="700">
        <x:f>IF('КУПН'!$Z98="Да",1,0)</x:f>
      </x:c>
      <x:c r="G604" s="701">
        <x:f>IF('КУПН'!$AF98="Да",1,0)</x:f>
      </x:c>
      <x:c r="H604" s="702">
        <x:f>IF('КУПН'!$AL98="Да",1,0)</x:f>
      </x:c>
      <x:c r="I604" s="703">
        <x:f>IF('КУПН'!$AR98="Да",1,0)</x:f>
      </x:c>
      <x:c r="J604" s="704">
        <x:f>IF('КУПН'!$AX98="Да",1,0)</x:f>
      </x:c>
      <x:c r="K604" s="705">
        <x:f>IF('КУПН'!$BD98="Да",1,0)</x:f>
      </x:c>
      <x:c r="L604" s="706">
        <x:f>IF('КУПН'!$BJ98="Да",1,0)</x:f>
      </x:c>
      <x:c r="M604" s="707">
        <x:f>IF('КУПН'!$BP98="Да",1,0)</x:f>
      </x:c>
      <x:c r="N604" s="708">
        <x:f>IF('КУПН'!$BV98="Да",1,0)</x:f>
      </x:c>
      <x:c r="O604" s="375">
        <x:f>IFERROR(ROUND(SUM(C604:N604)/($S$509),1),"")</x:f>
      </x:c>
    </x:row>
    <x:row r="605" spans="1:25" ht="15" customHeight="1" x14ac:dyDescent="0.25">
      <x:c r="A605" s="710"/>
      <x:c r="B605" s="363" t="s">
        <x:v>351</x:v>
      </x:c>
      <x:c r="C605" s="697">
        <x:f>IF('КУПН'!$H99="Да",1,0)</x:f>
      </x:c>
      <x:c r="D605" s="698">
        <x:f>IF('КУПН'!$N99="Да",1,0)</x:f>
      </x:c>
      <x:c r="E605" s="699">
        <x:f>IF('КУПН'!$T99="Да",1,0)</x:f>
      </x:c>
      <x:c r="F605" s="700">
        <x:f>IF('КУПН'!$Z99="Да",1,0)</x:f>
      </x:c>
      <x:c r="G605" s="701">
        <x:f>IF('КУПН'!$AF99="Да",1,0)</x:f>
      </x:c>
      <x:c r="H605" s="702">
        <x:f>IF('КУПН'!$AL99="Да",1,0)</x:f>
      </x:c>
      <x:c r="I605" s="703">
        <x:f>IF('КУПН'!$AR99="Да",1,0)</x:f>
      </x:c>
      <x:c r="J605" s="704">
        <x:f>IF('КУПН'!$AX99="Да",1,0)</x:f>
      </x:c>
      <x:c r="K605" s="705">
        <x:f>IF('КУПН'!$BD99="Да",1,0)</x:f>
      </x:c>
      <x:c r="L605" s="706">
        <x:f>IF('КУПН'!$BJ99="Да",1,0)</x:f>
      </x:c>
      <x:c r="M605" s="707">
        <x:f>IF('КУПН'!$BP99="Да",1,0)</x:f>
      </x:c>
      <x:c r="N605" s="708">
        <x:f>IF('КУПН'!$BV99="Да",1,0)</x:f>
      </x:c>
      <x:c r="O605" s="375">
        <x:f>IFERROR(ROUND(SUM(C605:N605)/($S$509),1),"")</x:f>
      </x:c>
    </x:row>
    <x:row r="606" spans="1:25" ht="15" customHeight="1" x14ac:dyDescent="0.25">
      <x:c r="A606" s="710"/>
      <x:c r="B606" s="363" t="s">
        <x:v>374</x:v>
      </x:c>
      <x:c r="C606" s="697">
        <x:f>IF('КУПН'!$H100="Да",1,0)</x:f>
      </x:c>
      <x:c r="D606" s="698">
        <x:f>IF('КУПН'!$N100="Да",1,0)</x:f>
      </x:c>
      <x:c r="E606" s="699">
        <x:f>IF('КУПН'!$T100="Да",1,0)</x:f>
      </x:c>
      <x:c r="F606" s="700">
        <x:f>IF('КУПН'!$Z100="Да",1,0)</x:f>
      </x:c>
      <x:c r="G606" s="701">
        <x:f>IF('КУПН'!$AF100="Да",1,0)</x:f>
      </x:c>
      <x:c r="H606" s="702">
        <x:f>IF('КУПН'!$AL100="Да",1,0)</x:f>
      </x:c>
      <x:c r="I606" s="703">
        <x:f>IF('КУПН'!$AR100="Да",1,0)</x:f>
      </x:c>
      <x:c r="J606" s="704">
        <x:f>IF('КУПН'!$AX100="Да",1,0)</x:f>
      </x:c>
      <x:c r="K606" s="705">
        <x:f>IF('КУПН'!$BD100="Да",1,0)</x:f>
      </x:c>
      <x:c r="L606" s="706">
        <x:f>IF('КУПН'!$BJ100="Да",1,0)</x:f>
      </x:c>
      <x:c r="M606" s="707">
        <x:f>IF('КУПН'!$BP100="Да",1,0)</x:f>
      </x:c>
      <x:c r="N606" s="708">
        <x:f>IF('КУПН'!$BV100="Да",1,0)</x:f>
      </x:c>
      <x:c r="O606" s="375">
        <x:f>IFERROR(ROUND(SUM(C606:N606)/($S$509),1),"")</x:f>
      </x:c>
    </x:row>
    <x:row r="607" spans="1:25" ht="15" customHeight="1" x14ac:dyDescent="0.25">
      <x:c r="A607" s="710"/>
      <x:c r="B607" s="363" t="s">
        <x:v>358</x:v>
      </x:c>
      <x:c r="C607" s="697">
        <x:f>IF('КУПН'!$H101="Да",1,0)</x:f>
      </x:c>
      <x:c r="D607" s="698">
        <x:f>IF('КУПН'!$N101="Да",1,0)</x:f>
      </x:c>
      <x:c r="E607" s="699">
        <x:f>IF('КУПН'!$T101="Да",1,0)</x:f>
      </x:c>
      <x:c r="F607" s="700">
        <x:f>IF('КУПН'!$Z101="Да",1,0)</x:f>
      </x:c>
      <x:c r="G607" s="701">
        <x:f>IF('КУПН'!$AF101="Да",1,0)</x:f>
      </x:c>
      <x:c r="H607" s="702">
        <x:f>IF('КУПН'!$AL101="Да",1,0)</x:f>
      </x:c>
      <x:c r="I607" s="703">
        <x:f>IF('КУПН'!$AR101="Да",1,0)</x:f>
      </x:c>
      <x:c r="J607" s="704">
        <x:f>IF('КУПН'!$AX101="Да",1,0)</x:f>
      </x:c>
      <x:c r="K607" s="705">
        <x:f>IF('КУПН'!$BD101="Да",1,0)</x:f>
      </x:c>
      <x:c r="L607" s="706">
        <x:f>IF('КУПН'!$BJ101="Да",1,0)</x:f>
      </x:c>
      <x:c r="M607" s="707">
        <x:f>IF('КУПН'!$BP101="Да",1,0)</x:f>
      </x:c>
      <x:c r="N607" s="708">
        <x:f>IF('КУПН'!$BV101="Да",1,0)</x:f>
      </x:c>
      <x:c r="O607" s="375">
        <x:f>IFERROR(ROUND(SUM(C607:N607)/($S$509),1),"")</x:f>
      </x:c>
    </x:row>
    <x:row r="608" spans="1:25" ht="15" customHeight="1" x14ac:dyDescent="0.25">
      <x:c r="A608" s="710"/>
      <x:c r="B608" s="363" t="s">
        <x:v>382</x:v>
      </x:c>
      <x:c r="C608" s="697">
        <x:f>IF('КУПН'!$H102="Да",1,0)</x:f>
      </x:c>
      <x:c r="D608" s="698">
        <x:f>IF('КУПН'!$N102="Да",1,0)</x:f>
      </x:c>
      <x:c r="E608" s="699">
        <x:f>IF('КУПН'!$T102="Да",1,0)</x:f>
      </x:c>
      <x:c r="F608" s="700">
        <x:f>IF('КУПН'!$Z102="Да",1,0)</x:f>
      </x:c>
      <x:c r="G608" s="701">
        <x:f>IF('КУПН'!$AF102="Да",1,0)</x:f>
      </x:c>
      <x:c r="H608" s="702">
        <x:f>IF('КУПН'!$AL102="Да",1,0)</x:f>
      </x:c>
      <x:c r="I608" s="703">
        <x:f>IF('КУПН'!$AR102="Да",1,0)</x:f>
      </x:c>
      <x:c r="J608" s="704">
        <x:f>IF('КУПН'!$AX102="Да",1,0)</x:f>
      </x:c>
      <x:c r="K608" s="705">
        <x:f>IF('КУПН'!$BD102="Да",1,0)</x:f>
      </x:c>
      <x:c r="L608" s="706">
        <x:f>IF('КУПН'!$BJ102="Да",1,0)</x:f>
      </x:c>
      <x:c r="M608" s="707">
        <x:f>IF('КУПН'!$BP102="Да",1,0)</x:f>
      </x:c>
      <x:c r="N608" s="708">
        <x:f>IF('КУПН'!$BV102="Да",1,0)</x:f>
      </x:c>
      <x:c r="O608" s="375">
        <x:f>IFERROR(ROUND(SUM(C608:N608)/($S$509),1),"")</x:f>
      </x:c>
    </x:row>
    <x:row r="609" spans="1:25" ht="15" customHeight="1" x14ac:dyDescent="0.25">
      <x:c r="A609" s="710"/>
      <x:c r="B609" s="363" t="s">
        <x:v>393</x:v>
      </x:c>
      <x:c r="C609" s="697">
        <x:f>IF('КУПН'!$H103="Да",1,0)</x:f>
      </x:c>
      <x:c r="D609" s="698">
        <x:f>IF('КУПН'!$N103="Да",1,0)</x:f>
      </x:c>
      <x:c r="E609" s="699">
        <x:f>IF('КУПН'!$T103="Да",1,0)</x:f>
      </x:c>
      <x:c r="F609" s="700">
        <x:f>IF('КУПН'!$Z103="Да",1,0)</x:f>
      </x:c>
      <x:c r="G609" s="701">
        <x:f>IF('КУПН'!$AF103="Да",1,0)</x:f>
      </x:c>
      <x:c r="H609" s="702">
        <x:f>IF('КУПН'!$AL103="Да",1,0)</x:f>
      </x:c>
      <x:c r="I609" s="703">
        <x:f>IF('КУПН'!$AR103="Да",1,0)</x:f>
      </x:c>
      <x:c r="J609" s="704">
        <x:f>IF('КУПН'!$AX103="Да",1,0)</x:f>
      </x:c>
      <x:c r="K609" s="705">
        <x:f>IF('КУПН'!$BD103="Да",1,0)</x:f>
      </x:c>
      <x:c r="L609" s="706">
        <x:f>IF('КУПН'!$BJ103="Да",1,0)</x:f>
      </x:c>
      <x:c r="M609" s="707">
        <x:f>IF('КУПН'!$BP103="Да",1,0)</x:f>
      </x:c>
      <x:c r="N609" s="708">
        <x:f>IF('КУПН'!$BV103="Да",1,0)</x:f>
      </x:c>
      <x:c r="O609" s="375">
        <x:f>IFERROR(ROUND(SUM(C609:N609)/($S$509),1),"")</x:f>
      </x:c>
    </x:row>
    <x:row r="610" spans="1:25" ht="15" customHeight="1" x14ac:dyDescent="0.25">
      <x:c r="A610" s="710"/>
      <x:c r="B610" s="363" t="s">
        <x:v>331</x:v>
      </x:c>
      <x:c r="C610" s="697">
        <x:f>IF('КУПН'!$H104="Да",1,0)</x:f>
      </x:c>
      <x:c r="D610" s="698">
        <x:f>IF('КУПН'!$N104="Да",1,0)</x:f>
      </x:c>
      <x:c r="E610" s="699">
        <x:f>IF('КУПН'!$T104="Да",1,0)</x:f>
      </x:c>
      <x:c r="F610" s="700">
        <x:f>IF('КУПН'!$Z104="Да",1,0)</x:f>
      </x:c>
      <x:c r="G610" s="701">
        <x:f>IF('КУПН'!$AF104="Да",1,0)</x:f>
      </x:c>
      <x:c r="H610" s="702">
        <x:f>IF('КУПН'!$AL104="Да",1,0)</x:f>
      </x:c>
      <x:c r="I610" s="703">
        <x:f>IF('КУПН'!$AR104="Да",1,0)</x:f>
      </x:c>
      <x:c r="J610" s="704">
        <x:f>IF('КУПН'!$AX104="Да",1,0)</x:f>
      </x:c>
      <x:c r="K610" s="705">
        <x:f>IF('КУПН'!$BD104="Да",1,0)</x:f>
      </x:c>
      <x:c r="L610" s="706">
        <x:f>IF('КУПН'!$BJ104="Да",1,0)</x:f>
      </x:c>
      <x:c r="M610" s="707">
        <x:f>IF('КУПН'!$BP104="Да",1,0)</x:f>
      </x:c>
      <x:c r="N610" s="708">
        <x:f>IF('КУПН'!$BV104="Да",1,0)</x:f>
      </x:c>
      <x:c r="O610" s="375">
        <x:f>IFERROR(ROUND(SUM(C610:N610)/($S$509),1),"")</x:f>
      </x:c>
    </x:row>
    <x:row r="611" spans="1:25" ht="15" customHeight="1" x14ac:dyDescent="0.25">
      <x:c r="A611" s="710"/>
      <x:c r="B611" s="363" t="s">
        <x:v>305</x:v>
      </x:c>
      <x:c r="C611" s="697">
        <x:f>IF('КУПН'!$H105="Да",1,0)</x:f>
      </x:c>
      <x:c r="D611" s="698">
        <x:f>IF('КУПН'!$N105="Да",1,0)</x:f>
      </x:c>
      <x:c r="E611" s="699">
        <x:f>IF('КУПН'!$T105="Да",1,0)</x:f>
      </x:c>
      <x:c r="F611" s="700">
        <x:f>IF('КУПН'!$Z105="Да",1,0)</x:f>
      </x:c>
      <x:c r="G611" s="701">
        <x:f>IF('КУПН'!$AF105="Да",1,0)</x:f>
      </x:c>
      <x:c r="H611" s="702">
        <x:f>IF('КУПН'!$AL105="Да",1,0)</x:f>
      </x:c>
      <x:c r="I611" s="703">
        <x:f>IF('КУПН'!$AR105="Да",1,0)</x:f>
      </x:c>
      <x:c r="J611" s="704">
        <x:f>IF('КУПН'!$AX105="Да",1,0)</x:f>
      </x:c>
      <x:c r="K611" s="705">
        <x:f>IF('КУПН'!$BD105="Да",1,0)</x:f>
      </x:c>
      <x:c r="L611" s="706">
        <x:f>IF('КУПН'!$BJ105="Да",1,0)</x:f>
      </x:c>
      <x:c r="M611" s="707">
        <x:f>IF('КУПН'!$BP105="Да",1,0)</x:f>
      </x:c>
      <x:c r="N611" s="708">
        <x:f>IF('КУПН'!$BV105="Да",1,0)</x:f>
      </x:c>
      <x:c r="O611" s="375">
        <x:f>IFERROR(ROUND(SUM(C611:N611)/($S$509),1),"")</x:f>
      </x:c>
    </x:row>
    <x:row r="612" spans="1:25" ht="15" customHeight="1" x14ac:dyDescent="0.25">
      <x:c r="A612" s="710"/>
      <x:c r="B612" s="363" t="s">
        <x:v>343</x:v>
      </x:c>
      <x:c r="C612" s="697">
        <x:f>IF('КУПН'!$H106="Да",1,0)</x:f>
      </x:c>
      <x:c r="D612" s="698">
        <x:f>IF('КУПН'!$N106="Да",1,0)</x:f>
      </x:c>
      <x:c r="E612" s="699">
        <x:f>IF('КУПН'!$T106="Да",1,0)</x:f>
      </x:c>
      <x:c r="F612" s="700">
        <x:f>IF('КУПН'!$Z106="Да",1,0)</x:f>
      </x:c>
      <x:c r="G612" s="701">
        <x:f>IF('КУПН'!$AF106="Да",1,0)</x:f>
      </x:c>
      <x:c r="H612" s="702">
        <x:f>IF('КУПН'!$AL106="Да",1,0)</x:f>
      </x:c>
      <x:c r="I612" s="703">
        <x:f>IF('КУПН'!$AR106="Да",1,0)</x:f>
      </x:c>
      <x:c r="J612" s="704">
        <x:f>IF('КУПН'!$AX106="Да",1,0)</x:f>
      </x:c>
      <x:c r="K612" s="705">
        <x:f>IF('КУПН'!$BD106="Да",1,0)</x:f>
      </x:c>
      <x:c r="L612" s="706">
        <x:f>IF('КУПН'!$BJ106="Да",1,0)</x:f>
      </x:c>
      <x:c r="M612" s="707">
        <x:f>IF('КУПН'!$BP106="Да",1,0)</x:f>
      </x:c>
      <x:c r="N612" s="708">
        <x:f>IF('КУПН'!$BV106="Да",1,0)</x:f>
      </x:c>
      <x:c r="O612" s="375">
        <x:f>IFERROR(ROUND(SUM(C612:N612)/($S$509),1),"")</x:f>
      </x:c>
    </x:row>
    <x:row r="613" spans="1:25" ht="15" customHeight="1" x14ac:dyDescent="0.25">
      <x:c r="A613" s="710"/>
      <x:c r="B613" s="363" t="s">
        <x:v>303</x:v>
      </x:c>
      <x:c r="C613" s="697">
        <x:f>IF('КУПН'!$H107="Да",1,0)</x:f>
      </x:c>
      <x:c r="D613" s="698">
        <x:f>IF('КУПН'!$N107="Да",1,0)</x:f>
      </x:c>
      <x:c r="E613" s="699">
        <x:f>IF('КУПН'!$T107="Да",1,0)</x:f>
      </x:c>
      <x:c r="F613" s="700">
        <x:f>IF('КУПН'!$Z107="Да",1,0)</x:f>
      </x:c>
      <x:c r="G613" s="701">
        <x:f>IF('КУПН'!$AF107="Да",1,0)</x:f>
      </x:c>
      <x:c r="H613" s="702">
        <x:f>IF('КУПН'!$AL107="Да",1,0)</x:f>
      </x:c>
      <x:c r="I613" s="703">
        <x:f>IF('КУПН'!$AR107="Да",1,0)</x:f>
      </x:c>
      <x:c r="J613" s="704">
        <x:f>IF('КУПН'!$AX107="Да",1,0)</x:f>
      </x:c>
      <x:c r="K613" s="705">
        <x:f>IF('КУПН'!$BD107="Да",1,0)</x:f>
      </x:c>
      <x:c r="L613" s="706">
        <x:f>IF('КУПН'!$BJ107="Да",1,0)</x:f>
      </x:c>
      <x:c r="M613" s="707">
        <x:f>IF('КУПН'!$BP107="Да",1,0)</x:f>
      </x:c>
      <x:c r="N613" s="708">
        <x:f>IF('КУПН'!$BV107="Да",1,0)</x:f>
      </x:c>
      <x:c r="O613" s="375">
        <x:f>IFERROR(ROUND(SUM(C613:N613)/($S$509),1),"")</x:f>
      </x:c>
    </x:row>
    <x:row r="614" spans="1:25" ht="15.75" customHeight="1" x14ac:dyDescent="0.25">
      <x:c r="A614" s="717"/>
      <x:c r="B614" s="379" t="s">
        <x:v>367</x:v>
      </x:c>
      <x:c r="C614" s="697">
        <x:f>IF('КУПН'!$H108="Да",1,0)</x:f>
      </x:c>
      <x:c r="D614" s="698">
        <x:f>IF('КУПН'!$N108="Да",1,0)</x:f>
      </x:c>
      <x:c r="E614" s="699">
        <x:f>IF('КУПН'!$T108="Да",1,0)</x:f>
      </x:c>
      <x:c r="F614" s="700">
        <x:f>IF('КУПН'!$Z108="Да",1,0)</x:f>
      </x:c>
      <x:c r="G614" s="701">
        <x:f>IF('КУПН'!$AF108="Да",1,0)</x:f>
      </x:c>
      <x:c r="H614" s="702">
        <x:f>IF('КУПН'!$AL108="Да",1,0)</x:f>
      </x:c>
      <x:c r="I614" s="703">
        <x:f>IF('КУПН'!$AR108="Да",1,0)</x:f>
      </x:c>
      <x:c r="J614" s="704">
        <x:f>IF('КУПН'!$AX108="Да",1,0)</x:f>
      </x:c>
      <x:c r="K614" s="705">
        <x:f>IF('КУПН'!$BD108="Да",1,0)</x:f>
      </x:c>
      <x:c r="L614" s="706">
        <x:f>IF('КУПН'!$BJ108="Да",1,0)</x:f>
      </x:c>
      <x:c r="M614" s="707">
        <x:f>IF('КУПН'!$BP108="Да",1,0)</x:f>
      </x:c>
      <x:c r="N614" s="708">
        <x:f>IF('КУПН'!$BV108="Да",1,0)</x:f>
      </x:c>
      <x:c r="O614" s="375">
        <x:f>IFERROR(ROUND(SUM(C614:N614)/($S$509),1),"")</x:f>
      </x:c>
    </x:row>
    <x:row r="615" spans="1:25" ht="15" customHeight="1" x14ac:dyDescent="0.3">
      <x:c r="A615" s="696" t="s">
        <x:v>1083</x:v>
      </x:c>
      <x:c r="B615" s="363" t="s">
        <x:v>958</x:v>
      </x:c>
      <x:c r="C615" s="697">
        <x:f>IF('УПА'!$H3="Да",1,0)</x:f>
      </x:c>
      <x:c r="D615" s="698">
        <x:f>IF('УПА'!$N3="Да",1,0)</x:f>
      </x:c>
      <x:c r="E615" s="699">
        <x:f>IF('УПА'!$T3="Да",1,0)</x:f>
      </x:c>
      <x:c r="F615" s="700">
        <x:f>IF('УПА'!$Z3="Да",1,0)</x:f>
      </x:c>
      <x:c r="G615" s="701">
        <x:f>IF('УПА'!$AF3="Да",1,0)</x:f>
      </x:c>
      <x:c r="H615" s="702">
        <x:f>IF('УПА'!$AL3="Да",1,0)</x:f>
      </x:c>
      <x:c r="I615" s="703">
        <x:f>IF('УПА'!$AR3="Да",1,0)</x:f>
      </x:c>
      <x:c r="J615" s="704">
        <x:f>IF('УПА'!$AX3="Да",1,0)</x:f>
      </x:c>
      <x:c r="K615" s="705">
        <x:f>IF('УПА'!$BD3="Да",1,0)</x:f>
      </x:c>
      <x:c r="L615" s="706">
        <x:f>IF('УПА'!$BJ3="Да",1,0)</x:f>
      </x:c>
      <x:c r="M615" s="707">
        <x:f>IF('УПА'!$BP3="Да",1,0)</x:f>
      </x:c>
      <x:c r="N615" s="708">
        <x:f>IF('УПА'!$BV3="Да",1,0)</x:f>
      </x:c>
      <x:c r="O615" s="375">
        <x:f>IFERROR(ROUND(SUM(C615:N615)/($S$615),1),"")</x:f>
      </x:c>
      <x:c r="Q615" s="709" t="s">
        <x:v>1151</x:v>
      </x:c>
      <x:c r="R615" s="596"/>
      <x:c r="S615" s="376">
        <x:f>SUM(IF(COUNTIF(C615:C625,"&gt;0")&gt;0,1,0),IF(COUNTIF(D615:D625,"&gt;0")&gt;0,1,0),IF(COUNTIF(E615:E625,"&gt;0")&gt;0,1,0),IF(COUNTIF(F615:F625,"&gt;0")&gt;0,1,0),IF(COUNTIF(G615:G625,"&gt;0")&gt;0,1,0),IF(COUNTIF(H615:H625,"&gt;0")&gt;0,1,0),IF(COUNTIF(I615:I625,"&gt;0")&gt;0,1,0),IF(COUNTIF(J615:J625,"&gt;0")&gt;0,1,0),IF(COUNTIF(K615:K625,"&gt;0")&gt;0,1,0),IF(COUNTIF(L615:L625,"&gt;0")&gt;0,1,0),IF(COUNTIF(M615:M625,"&gt;0")&gt;0,1,0),IF(COUNTIF(N615:N625,"&gt;0")&gt;0,1,0))</x:f>
      </x:c>
    </x:row>
    <x:row r="616" spans="1:25" ht="15" customHeight="1" x14ac:dyDescent="0.25">
      <x:c r="A616" s="710"/>
      <x:c r="B616" s="363" t="s">
        <x:v>1136</x:v>
      </x:c>
      <x:c r="C616" s="697">
        <x:f>IF('УПА'!$H4="Да",1,0)</x:f>
      </x:c>
      <x:c r="D616" s="698">
        <x:f>IF('УПА'!$N4="Да",1,0)</x:f>
      </x:c>
      <x:c r="E616" s="699">
        <x:f>IF('УПА'!$T4="Да",1,0)</x:f>
      </x:c>
      <x:c r="F616" s="700">
        <x:f>IF('УПА'!$Z4="Да",1,0)</x:f>
      </x:c>
      <x:c r="G616" s="701">
        <x:f>IF('УПА'!$AF4="Да",1,0)</x:f>
      </x:c>
      <x:c r="H616" s="702">
        <x:f>IF('УПА'!$AL4="Да",1,0)</x:f>
      </x:c>
      <x:c r="I616" s="703">
        <x:f>IF('УПА'!$AR4="Да",1,0)</x:f>
      </x:c>
      <x:c r="J616" s="704">
        <x:f>IF('УПА'!$AX4="Да",1,0)</x:f>
      </x:c>
      <x:c r="K616" s="705">
        <x:f>IF('УПА'!$BD4="Да",1,0)</x:f>
      </x:c>
      <x:c r="L616" s="706">
        <x:f>IF('УПА'!$BJ4="Да",1,0)</x:f>
      </x:c>
      <x:c r="M616" s="707">
        <x:f>IF('УПА'!$BP4="Да",1,0)</x:f>
      </x:c>
      <x:c r="N616" s="708">
        <x:f>IF('УПА'!$BV4="Да",1,0)</x:f>
      </x:c>
      <x:c r="O616" s="375">
        <x:f>IFERROR(ROUND(SUM(C616:N616)/($S$615),1),"")</x:f>
      </x:c>
      <x:c r="Q616" s="711"/>
      <x:c r="R616" s="712"/>
      <x:c r="S616" s="713"/>
    </x:row>
    <x:row r="617" spans="1:25" ht="15" customHeight="1" x14ac:dyDescent="0.25">
      <x:c r="A617" s="710"/>
      <x:c r="B617" s="363" t="s">
        <x:v>962</x:v>
      </x:c>
      <x:c r="C617" s="697">
        <x:f>IF('УПА'!$H5="Да",1,0)</x:f>
      </x:c>
      <x:c r="D617" s="698">
        <x:f>IF('УПА'!$N5="Да",1,0)</x:f>
      </x:c>
      <x:c r="E617" s="699">
        <x:f>IF('УПА'!$T5="Да",1,0)</x:f>
      </x:c>
      <x:c r="F617" s="700">
        <x:f>IF('УПА'!$Z5="Да",1,0)</x:f>
      </x:c>
      <x:c r="G617" s="701">
        <x:f>IF('УПА'!$AF5="Да",1,0)</x:f>
      </x:c>
      <x:c r="H617" s="702">
        <x:f>IF('УПА'!$AL5="Да",1,0)</x:f>
      </x:c>
      <x:c r="I617" s="703">
        <x:f>IF('УПА'!$AR5="Да",1,0)</x:f>
      </x:c>
      <x:c r="J617" s="704">
        <x:f>IF('УПА'!$AX5="Да",1,0)</x:f>
      </x:c>
      <x:c r="K617" s="705">
        <x:f>IF('УПА'!$BD5="Да",1,0)</x:f>
      </x:c>
      <x:c r="L617" s="706">
        <x:f>IF('УПА'!$BJ5="Да",1,0)</x:f>
      </x:c>
      <x:c r="M617" s="707">
        <x:f>IF('УПА'!$BP5="Да",1,0)</x:f>
      </x:c>
      <x:c r="N617" s="708">
        <x:f>IF('УПА'!$BV5="Да",1,0)</x:f>
      </x:c>
      <x:c r="O617" s="375">
        <x:f>IFERROR(ROUND(SUM(C617:N617)/($S$615),1),"")</x:f>
      </x:c>
      <x:c r="Q617" s="714"/>
      <x:c r="R617" s="715"/>
      <x:c r="S617" s="716"/>
    </x:row>
    <x:row r="618" spans="1:25" ht="15" customHeight="1" x14ac:dyDescent="0.25">
      <x:c r="A618" s="710"/>
      <x:c r="B618" s="363" t="s">
        <x:v>955</x:v>
      </x:c>
      <x:c r="C618" s="697">
        <x:f>IF('УПА'!$H6="Да",1,0)</x:f>
      </x:c>
      <x:c r="D618" s="698">
        <x:f>IF('УПА'!$N6="Да",1,0)</x:f>
      </x:c>
      <x:c r="E618" s="699">
        <x:f>IF('УПА'!$T6="Да",1,0)</x:f>
      </x:c>
      <x:c r="F618" s="700">
        <x:f>IF('УПА'!$Z6="Да",1,0)</x:f>
      </x:c>
      <x:c r="G618" s="701">
        <x:f>IF('УПА'!$AF6="Да",1,0)</x:f>
      </x:c>
      <x:c r="H618" s="702">
        <x:f>IF('УПА'!$AL6="Да",1,0)</x:f>
      </x:c>
      <x:c r="I618" s="703">
        <x:f>IF('УПА'!$AR6="Да",1,0)</x:f>
      </x:c>
      <x:c r="J618" s="704">
        <x:f>IF('УПА'!$AX6="Да",1,0)</x:f>
      </x:c>
      <x:c r="K618" s="705">
        <x:f>IF('УПА'!$BD6="Да",1,0)</x:f>
      </x:c>
      <x:c r="L618" s="706">
        <x:f>IF('УПА'!$BJ6="Да",1,0)</x:f>
      </x:c>
      <x:c r="M618" s="707">
        <x:f>IF('УПА'!$BP6="Да",1,0)</x:f>
      </x:c>
      <x:c r="N618" s="708">
        <x:f>IF('УПА'!$BV6="Да",1,0)</x:f>
      </x:c>
      <x:c r="O618" s="375">
        <x:f>IFERROR(ROUND(SUM(C618:N618)/($S$615),1),"")</x:f>
      </x:c>
    </x:row>
    <x:row r="619" spans="1:25" ht="15" customHeight="1" x14ac:dyDescent="0.25">
      <x:c r="A619" s="710"/>
      <x:c r="B619" s="363" t="s">
        <x:v>956</x:v>
      </x:c>
      <x:c r="C619" s="697">
        <x:f>IF('УПА'!$H7="Да",1,0)</x:f>
      </x:c>
      <x:c r="D619" s="698">
        <x:f>IF('УПА'!$N7="Да",1,0)</x:f>
      </x:c>
      <x:c r="E619" s="699">
        <x:f>IF('УПА'!$T7="Да",1,0)</x:f>
      </x:c>
      <x:c r="F619" s="700">
        <x:f>IF('УПА'!$Z7="Да",1,0)</x:f>
      </x:c>
      <x:c r="G619" s="701">
        <x:f>IF('УПА'!$AF7="Да",1,0)</x:f>
      </x:c>
      <x:c r="H619" s="702">
        <x:f>IF('УПА'!$AL7="Да",1,0)</x:f>
      </x:c>
      <x:c r="I619" s="703">
        <x:f>IF('УПА'!$AR7="Да",1,0)</x:f>
      </x:c>
      <x:c r="J619" s="704">
        <x:f>IF('УПА'!$AX7="Да",1,0)</x:f>
      </x:c>
      <x:c r="K619" s="705">
        <x:f>IF('УПА'!$BD7="Да",1,0)</x:f>
      </x:c>
      <x:c r="L619" s="706">
        <x:f>IF('УПА'!$BJ7="Да",1,0)</x:f>
      </x:c>
      <x:c r="M619" s="707">
        <x:f>IF('УПА'!$BP7="Да",1,0)</x:f>
      </x:c>
      <x:c r="N619" s="708">
        <x:f>IF('УПА'!$BV7="Да",1,0)</x:f>
      </x:c>
      <x:c r="O619" s="375">
        <x:f>IFERROR(ROUND(SUM(C619:N619)/($S$615),1),"")</x:f>
      </x:c>
    </x:row>
    <x:row r="620" spans="1:25" ht="15" customHeight="1" x14ac:dyDescent="0.25">
      <x:c r="A620" s="710"/>
      <x:c r="B620" s="363" t="s">
        <x:v>959</x:v>
      </x:c>
      <x:c r="C620" s="697">
        <x:f>IF('УПА'!$H8="Да",1,0)</x:f>
      </x:c>
      <x:c r="D620" s="698">
        <x:f>IF('УПА'!$N8="Да",1,0)</x:f>
      </x:c>
      <x:c r="E620" s="699">
        <x:f>IF('УПА'!$T8="Да",1,0)</x:f>
      </x:c>
      <x:c r="F620" s="700">
        <x:f>IF('УПА'!$Z8="Да",1,0)</x:f>
      </x:c>
      <x:c r="G620" s="701">
        <x:f>IF('УПА'!$AF8="Да",1,0)</x:f>
      </x:c>
      <x:c r="H620" s="702">
        <x:f>IF('УПА'!$AL8="Да",1,0)</x:f>
      </x:c>
      <x:c r="I620" s="703">
        <x:f>IF('УПА'!$AR8="Да",1,0)</x:f>
      </x:c>
      <x:c r="J620" s="704">
        <x:f>IF('УПА'!$AX8="Да",1,0)</x:f>
      </x:c>
      <x:c r="K620" s="705">
        <x:f>IF('УПА'!$BD8="Да",1,0)</x:f>
      </x:c>
      <x:c r="L620" s="706">
        <x:f>IF('УПА'!$BJ8="Да",1,0)</x:f>
      </x:c>
      <x:c r="M620" s="707">
        <x:f>IF('УПА'!$BP8="Да",1,0)</x:f>
      </x:c>
      <x:c r="N620" s="708">
        <x:f>IF('УПА'!$BV8="Да",1,0)</x:f>
      </x:c>
      <x:c r="O620" s="375">
        <x:f>IFERROR(ROUND(SUM(C620:N620)/($S$615),1),"")</x:f>
      </x:c>
    </x:row>
    <x:row r="621" spans="1:25" ht="15" customHeight="1" x14ac:dyDescent="0.25">
      <x:c r="A621" s="710"/>
      <x:c r="B621" s="363" t="s">
        <x:v>953</x:v>
      </x:c>
      <x:c r="C621" s="697">
        <x:f>IF('УПА'!$H9="Да",1,0)</x:f>
      </x:c>
      <x:c r="D621" s="698">
        <x:f>IF('УПА'!$N9="Да",1,0)</x:f>
      </x:c>
      <x:c r="E621" s="699">
        <x:f>IF('УПА'!$T9="Да",1,0)</x:f>
      </x:c>
      <x:c r="F621" s="700">
        <x:f>IF('УПА'!$Z9="Да",1,0)</x:f>
      </x:c>
      <x:c r="G621" s="701">
        <x:f>IF('УПА'!$AF9="Да",1,0)</x:f>
      </x:c>
      <x:c r="H621" s="702">
        <x:f>IF('УПА'!$AL9="Да",1,0)</x:f>
      </x:c>
      <x:c r="I621" s="703">
        <x:f>IF('УПА'!$AR9="Да",1,0)</x:f>
      </x:c>
      <x:c r="J621" s="704">
        <x:f>IF('УПА'!$AX9="Да",1,0)</x:f>
      </x:c>
      <x:c r="K621" s="705">
        <x:f>IF('УПА'!$BD9="Да",1,0)</x:f>
      </x:c>
      <x:c r="L621" s="706">
        <x:f>IF('УПА'!$BJ9="Да",1,0)</x:f>
      </x:c>
      <x:c r="M621" s="707">
        <x:f>IF('УПА'!$BP9="Да",1,0)</x:f>
      </x:c>
      <x:c r="N621" s="708">
        <x:f>IF('УПА'!$BV9="Да",1,0)</x:f>
      </x:c>
      <x:c r="O621" s="375">
        <x:f>IFERROR(ROUND(SUM(C621:N621)/($S$615),1),"")</x:f>
      </x:c>
    </x:row>
    <x:row r="622" spans="1:25" ht="15" customHeight="1" x14ac:dyDescent="0.25">
      <x:c r="A622" s="710"/>
      <x:c r="B622" s="363" t="s">
        <x:v>960</x:v>
      </x:c>
      <x:c r="C622" s="697">
        <x:f>IF('УПА'!$H10="Да",1,0)</x:f>
      </x:c>
      <x:c r="D622" s="698">
        <x:f>IF('УПА'!$N10="Да",1,0)</x:f>
      </x:c>
      <x:c r="E622" s="699">
        <x:f>IF('УПА'!$T10="Да",1,0)</x:f>
      </x:c>
      <x:c r="F622" s="700">
        <x:f>IF('УПА'!$Z10="Да",1,0)</x:f>
      </x:c>
      <x:c r="G622" s="701">
        <x:f>IF('УПА'!$AF10="Да",1,0)</x:f>
      </x:c>
      <x:c r="H622" s="702">
        <x:f>IF('УПА'!$AL10="Да",1,0)</x:f>
      </x:c>
      <x:c r="I622" s="703">
        <x:f>IF('УПА'!$AR10="Да",1,0)</x:f>
      </x:c>
      <x:c r="J622" s="704">
        <x:f>IF('УПА'!$AX10="Да",1,0)</x:f>
      </x:c>
      <x:c r="K622" s="705">
        <x:f>IF('УПА'!$BD10="Да",1,0)</x:f>
      </x:c>
      <x:c r="L622" s="706">
        <x:f>IF('УПА'!$BJ10="Да",1,0)</x:f>
      </x:c>
      <x:c r="M622" s="707">
        <x:f>IF('УПА'!$BP10="Да",1,0)</x:f>
      </x:c>
      <x:c r="N622" s="708">
        <x:f>IF('УПА'!$BV10="Да",1,0)</x:f>
      </x:c>
      <x:c r="O622" s="375">
        <x:f>IFERROR(ROUND(SUM(C622:N622)/($S$615),1),"")</x:f>
      </x:c>
    </x:row>
    <x:row r="623" spans="1:25" ht="15" customHeight="1" x14ac:dyDescent="0.25">
      <x:c r="A623" s="710"/>
      <x:c r="B623" s="363" t="s">
        <x:v>957</x:v>
      </x:c>
      <x:c r="C623" s="697">
        <x:f>IF('УПА'!$H11="Да",1,0)</x:f>
      </x:c>
      <x:c r="D623" s="698">
        <x:f>IF('УПА'!$N11="Да",1,0)</x:f>
      </x:c>
      <x:c r="E623" s="699">
        <x:f>IF('УПА'!$T11="Да",1,0)</x:f>
      </x:c>
      <x:c r="F623" s="700">
        <x:f>IF('УПА'!$Z11="Да",1,0)</x:f>
      </x:c>
      <x:c r="G623" s="701">
        <x:f>IF('УПА'!$AF11="Да",1,0)</x:f>
      </x:c>
      <x:c r="H623" s="702">
        <x:f>IF('УПА'!$AL11="Да",1,0)</x:f>
      </x:c>
      <x:c r="I623" s="703">
        <x:f>IF('УПА'!$AR11="Да",1,0)</x:f>
      </x:c>
      <x:c r="J623" s="704">
        <x:f>IF('УПА'!$AX11="Да",1,0)</x:f>
      </x:c>
      <x:c r="K623" s="705">
        <x:f>IF('УПА'!$BD11="Да",1,0)</x:f>
      </x:c>
      <x:c r="L623" s="706">
        <x:f>IF('УПА'!$BJ11="Да",1,0)</x:f>
      </x:c>
      <x:c r="M623" s="707">
        <x:f>IF('УПА'!$BP11="Да",1,0)</x:f>
      </x:c>
      <x:c r="N623" s="708">
        <x:f>IF('УПА'!$BV11="Да",1,0)</x:f>
      </x:c>
      <x:c r="O623" s="375">
        <x:f>IFERROR(ROUND(SUM(C623:N623)/($S$615),1),"")</x:f>
      </x:c>
    </x:row>
    <x:row r="624" spans="1:25" ht="15" customHeight="1" x14ac:dyDescent="0.25">
      <x:c r="A624" s="710"/>
      <x:c r="B624" s="363" t="s">
        <x:v>963</x:v>
      </x:c>
      <x:c r="C624" s="697">
        <x:f>IF('УПА'!$H12="Да",1,0)</x:f>
      </x:c>
      <x:c r="D624" s="698">
        <x:f>IF('УПА'!$N12="Да",1,0)</x:f>
      </x:c>
      <x:c r="E624" s="699">
        <x:f>IF('УПА'!$T12="Да",1,0)</x:f>
      </x:c>
      <x:c r="F624" s="700">
        <x:f>IF('УПА'!$Z12="Да",1,0)</x:f>
      </x:c>
      <x:c r="G624" s="701">
        <x:f>IF('УПА'!$AF12="Да",1,0)</x:f>
      </x:c>
      <x:c r="H624" s="702">
        <x:f>IF('УПА'!$AL12="Да",1,0)</x:f>
      </x:c>
      <x:c r="I624" s="703">
        <x:f>IF('УПА'!$AR12="Да",1,0)</x:f>
      </x:c>
      <x:c r="J624" s="704">
        <x:f>IF('УПА'!$AX12="Да",1,0)</x:f>
      </x:c>
      <x:c r="K624" s="705">
        <x:f>IF('УПА'!$BD12="Да",1,0)</x:f>
      </x:c>
      <x:c r="L624" s="706">
        <x:f>IF('УПА'!$BJ12="Да",1,0)</x:f>
      </x:c>
      <x:c r="M624" s="707">
        <x:f>IF('УПА'!$BP12="Да",1,0)</x:f>
      </x:c>
      <x:c r="N624" s="708">
        <x:f>IF('УПА'!$BV12="Да",1,0)</x:f>
      </x:c>
      <x:c r="O624" s="375">
        <x:f>IFERROR(ROUND(SUM(C624:N624)/($S$615),1),"")</x:f>
      </x:c>
    </x:row>
    <x:row r="625" spans="1:25" ht="15.75" customHeight="1" x14ac:dyDescent="0.25">
      <x:c r="A625" s="717"/>
      <x:c r="B625" s="379" t="s">
        <x:v>961</x:v>
      </x:c>
      <x:c r="C625" s="697">
        <x:f>IF('УПА'!$H13="Да",1,0)</x:f>
      </x:c>
      <x:c r="D625" s="698">
        <x:f>IF('УПА'!$N13="Да",1,0)</x:f>
      </x:c>
      <x:c r="E625" s="699">
        <x:f>IF('УПА'!$T13="Да",1,0)</x:f>
      </x:c>
      <x:c r="F625" s="700">
        <x:f>IF('УПА'!$Z13="Да",1,0)</x:f>
      </x:c>
      <x:c r="G625" s="701">
        <x:f>IF('УПА'!$AF13="Да",1,0)</x:f>
      </x:c>
      <x:c r="H625" s="702">
        <x:f>IF('УПА'!$AL13="Да",1,0)</x:f>
      </x:c>
      <x:c r="I625" s="703">
        <x:f>IF('УПА'!$AR13="Да",1,0)</x:f>
      </x:c>
      <x:c r="J625" s="704">
        <x:f>IF('УПА'!$AX13="Да",1,0)</x:f>
      </x:c>
      <x:c r="K625" s="705">
        <x:f>IF('УПА'!$BD13="Да",1,0)</x:f>
      </x:c>
      <x:c r="L625" s="706">
        <x:f>IF('УПА'!$BJ13="Да",1,0)</x:f>
      </x:c>
      <x:c r="M625" s="707">
        <x:f>IF('УПА'!$BP13="Да",1,0)</x:f>
      </x:c>
      <x:c r="N625" s="708">
        <x:f>IF('УПА'!$BV13="Да",1,0)</x:f>
      </x:c>
      <x:c r="O625" s="375">
        <x:f>IFERROR(ROUND(SUM(C625:N625)/($S$615),1),"")</x:f>
      </x:c>
    </x:row>
    <x:row r="626" spans="1:25" ht="15" customHeight="1" x14ac:dyDescent="0.3">
      <x:c r="A626" s="696" t="s">
        <x:v>1084</x:v>
      </x:c>
      <x:c r="B626" s="363" t="s">
        <x:v>948</x:v>
      </x:c>
      <x:c r="C626" s="697">
        <x:f>IF('Котельные'!$H3="Да",1,0)</x:f>
      </x:c>
      <x:c r="D626" s="698">
        <x:f>IF('Котельные'!$N3="Да",1,0)</x:f>
      </x:c>
      <x:c r="E626" s="699">
        <x:f>IF('Котельные'!$T3="Да",1,0)</x:f>
      </x:c>
      <x:c r="F626" s="700">
        <x:f>IF('Котельные'!$Z3="Да",1,0)</x:f>
      </x:c>
      <x:c r="G626" s="701">
        <x:f>IF('Котельные'!$AF3="Да",1,0)</x:f>
      </x:c>
      <x:c r="H626" s="702">
        <x:f>IF('Котельные'!$AL3="Да",1,0)</x:f>
      </x:c>
      <x:c r="I626" s="703">
        <x:f>IF('Котельные'!$AR3="Да",1,0)</x:f>
      </x:c>
      <x:c r="J626" s="704">
        <x:f>IF('Котельные'!$AX3="Да",1,0)</x:f>
      </x:c>
      <x:c r="K626" s="705">
        <x:f>IF('Котельные'!$BD3="Да",1,0)</x:f>
      </x:c>
      <x:c r="L626" s="706">
        <x:f>IF('Котельные'!$BJ3="Да",1,0)</x:f>
      </x:c>
      <x:c r="M626" s="707">
        <x:f>IF('Котельные'!$BP3="Да",1,0)</x:f>
      </x:c>
      <x:c r="N626" s="708">
        <x:f>IF('Котельные'!$BV3="Да",1,0)</x:f>
      </x:c>
      <x:c r="O626" s="375">
        <x:f>IFERROR(ROUND(SUM(C626:N626)/($S$626),1),"")</x:f>
      </x:c>
      <x:c r="Q626" s="709" t="s">
        <x:v>1151</x:v>
      </x:c>
      <x:c r="R626" s="596"/>
      <x:c r="S626" s="376">
        <x:f>SUM(IF(COUNTIF(C626:C652,"&gt;0")&gt;0,1,0),IF(COUNTIF(D626:D652,"&gt;0")&gt;0,1,0),IF(COUNTIF(E626:E652,"&gt;0")&gt;0,1,0),IF(COUNTIF(F626:F652,"&gt;0")&gt;0,1,0),IF(COUNTIF(G626:G652,"&gt;0")&gt;0,1,0),IF(COUNTIF(H626:H652,"&gt;0")&gt;0,1,0),IF(COUNTIF(I626:I652,"&gt;0")&gt;0,1,0),IF(COUNTIF(J626:J652,"&gt;0")&gt;0,1,0),IF(COUNTIF(K626:K652,"&gt;0")&gt;0,1,0),IF(COUNTIF(L626:L652,"&gt;0")&gt;0,1,0),IF(COUNTIF(M626:M652,"&gt;0")&gt;0,1,0),IF(COUNTIF(N626:N652,"&gt;0")&gt;0,1,0))</x:f>
      </x:c>
    </x:row>
    <x:row r="627" spans="1:25" ht="15" customHeight="1" x14ac:dyDescent="0.25">
      <x:c r="A627" s="710"/>
      <x:c r="B627" s="363" t="s">
        <x:v>941</x:v>
      </x:c>
      <x:c r="C627" s="697">
        <x:f>IF('Котельные'!$H4="Да",1,0)</x:f>
      </x:c>
      <x:c r="D627" s="698">
        <x:f>IF('Котельные'!$N4="Да",1,0)</x:f>
      </x:c>
      <x:c r="E627" s="699">
        <x:f>IF('Котельные'!$T4="Да",1,0)</x:f>
      </x:c>
      <x:c r="F627" s="700">
        <x:f>IF('Котельные'!$Z4="Да",1,0)</x:f>
      </x:c>
      <x:c r="G627" s="701">
        <x:f>IF('Котельные'!$AF4="Да",1,0)</x:f>
      </x:c>
      <x:c r="H627" s="702">
        <x:f>IF('Котельные'!$AL4="Да",1,0)</x:f>
      </x:c>
      <x:c r="I627" s="703">
        <x:f>IF('Котельные'!$AR4="Да",1,0)</x:f>
      </x:c>
      <x:c r="J627" s="704">
        <x:f>IF('Котельные'!$AX4="Да",1,0)</x:f>
      </x:c>
      <x:c r="K627" s="705">
        <x:f>IF('Котельные'!$BD4="Да",1,0)</x:f>
      </x:c>
      <x:c r="L627" s="706">
        <x:f>IF('Котельные'!$BJ4="Да",1,0)</x:f>
      </x:c>
      <x:c r="M627" s="707">
        <x:f>IF('Котельные'!$BP4="Да",1,0)</x:f>
      </x:c>
      <x:c r="N627" s="708">
        <x:f>IF('Котельные'!$BV4="Да",1,0)</x:f>
      </x:c>
      <x:c r="O627" s="375">
        <x:f>IFERROR(ROUND(SUM(C627:N627)/($S$626),1),"")</x:f>
      </x:c>
      <x:c r="Q627" s="711"/>
      <x:c r="R627" s="712"/>
      <x:c r="S627" s="713"/>
    </x:row>
    <x:row r="628" spans="1:25" ht="15" customHeight="1" x14ac:dyDescent="0.25">
      <x:c r="A628" s="710"/>
      <x:c r="B628" s="363" t="s">
        <x:v>944</x:v>
      </x:c>
      <x:c r="C628" s="697">
        <x:f>IF('Котельные'!$H5="Да",1,0)</x:f>
      </x:c>
      <x:c r="D628" s="698">
        <x:f>IF('Котельные'!$N5="Да",1,0)</x:f>
      </x:c>
      <x:c r="E628" s="699">
        <x:f>IF('Котельные'!$T5="Да",1,0)</x:f>
      </x:c>
      <x:c r="F628" s="700">
        <x:f>IF('Котельные'!$Z5="Да",1,0)</x:f>
      </x:c>
      <x:c r="G628" s="701">
        <x:f>IF('Котельные'!$AF5="Да",1,0)</x:f>
      </x:c>
      <x:c r="H628" s="702">
        <x:f>IF('Котельные'!$AL5="Да",1,0)</x:f>
      </x:c>
      <x:c r="I628" s="703">
        <x:f>IF('Котельные'!$AR5="Да",1,0)</x:f>
      </x:c>
      <x:c r="J628" s="704">
        <x:f>IF('Котельные'!$AX5="Да",1,0)</x:f>
      </x:c>
      <x:c r="K628" s="705">
        <x:f>IF('Котельные'!$BD5="Да",1,0)</x:f>
      </x:c>
      <x:c r="L628" s="706">
        <x:f>IF('Котельные'!$BJ5="Да",1,0)</x:f>
      </x:c>
      <x:c r="M628" s="707">
        <x:f>IF('Котельные'!$BP5="Да",1,0)</x:f>
      </x:c>
      <x:c r="N628" s="708">
        <x:f>IF('Котельные'!$BV5="Да",1,0)</x:f>
      </x:c>
      <x:c r="O628" s="375">
        <x:f>IFERROR(ROUND(SUM(C628:N628)/($S$626),1),"")</x:f>
      </x:c>
      <x:c r="Q628" s="714"/>
      <x:c r="R628" s="715"/>
      <x:c r="S628" s="716"/>
    </x:row>
    <x:row r="629" spans="1:25" ht="15" customHeight="1" x14ac:dyDescent="0.25">
      <x:c r="A629" s="710"/>
      <x:c r="B629" s="363" t="s">
        <x:v>926</x:v>
      </x:c>
      <x:c r="C629" s="697">
        <x:f>IF('Котельные'!$H6="Да",1,0)</x:f>
      </x:c>
      <x:c r="D629" s="698">
        <x:f>IF('Котельные'!$N6="Да",1,0)</x:f>
      </x:c>
      <x:c r="E629" s="699">
        <x:f>IF('Котельные'!$T6="Да",1,0)</x:f>
      </x:c>
      <x:c r="F629" s="700">
        <x:f>IF('Котельные'!$Z6="Да",1,0)</x:f>
      </x:c>
      <x:c r="G629" s="701">
        <x:f>IF('Котельные'!$AF6="Да",1,0)</x:f>
      </x:c>
      <x:c r="H629" s="702">
        <x:f>IF('Котельные'!$AL6="Да",1,0)</x:f>
      </x:c>
      <x:c r="I629" s="703">
        <x:f>IF('Котельные'!$AR6="Да",1,0)</x:f>
      </x:c>
      <x:c r="J629" s="704">
        <x:f>IF('Котельные'!$AX6="Да",1,0)</x:f>
      </x:c>
      <x:c r="K629" s="705">
        <x:f>IF('Котельные'!$BD6="Да",1,0)</x:f>
      </x:c>
      <x:c r="L629" s="706">
        <x:f>IF('Котельные'!$BJ6="Да",1,0)</x:f>
      </x:c>
      <x:c r="M629" s="707">
        <x:f>IF('Котельные'!$BP6="Да",1,0)</x:f>
      </x:c>
      <x:c r="N629" s="708">
        <x:f>IF('Котельные'!$BV6="Да",1,0)</x:f>
      </x:c>
      <x:c r="O629" s="375">
        <x:f>IFERROR(ROUND(SUM(C629:N629)/($S$626),1),"")</x:f>
      </x:c>
    </x:row>
    <x:row r="630" spans="1:25" ht="15" customHeight="1" x14ac:dyDescent="0.25">
      <x:c r="A630" s="710"/>
      <x:c r="B630" s="363" t="s">
        <x:v>937</x:v>
      </x:c>
      <x:c r="C630" s="697">
        <x:f>IF('Котельные'!$H7="Да",1,0)</x:f>
      </x:c>
      <x:c r="D630" s="698">
        <x:f>IF('Котельные'!$N7="Да",1,0)</x:f>
      </x:c>
      <x:c r="E630" s="699">
        <x:f>IF('Котельные'!$T7="Да",1,0)</x:f>
      </x:c>
      <x:c r="F630" s="700">
        <x:f>IF('Котельные'!$Z7="Да",1,0)</x:f>
      </x:c>
      <x:c r="G630" s="701">
        <x:f>IF('Котельные'!$AF7="Да",1,0)</x:f>
      </x:c>
      <x:c r="H630" s="702">
        <x:f>IF('Котельные'!$AL7="Да",1,0)</x:f>
      </x:c>
      <x:c r="I630" s="703">
        <x:f>IF('Котельные'!$AR7="Да",1,0)</x:f>
      </x:c>
      <x:c r="J630" s="704">
        <x:f>IF('Котельные'!$AX7="Да",1,0)</x:f>
      </x:c>
      <x:c r="K630" s="705">
        <x:f>IF('Котельные'!$BD7="Да",1,0)</x:f>
      </x:c>
      <x:c r="L630" s="706">
        <x:f>IF('Котельные'!$BJ7="Да",1,0)</x:f>
      </x:c>
      <x:c r="M630" s="707">
        <x:f>IF('Котельные'!$BP7="Да",1,0)</x:f>
      </x:c>
      <x:c r="N630" s="708">
        <x:f>IF('Котельные'!$BV7="Да",1,0)</x:f>
      </x:c>
      <x:c r="O630" s="375">
        <x:f>IFERROR(ROUND(SUM(C630:N630)/($S$626),1),"")</x:f>
      </x:c>
    </x:row>
    <x:row r="631" spans="1:25" ht="15" customHeight="1" x14ac:dyDescent="0.25">
      <x:c r="A631" s="710"/>
      <x:c r="B631" s="363" t="s">
        <x:v>914</x:v>
      </x:c>
      <x:c r="C631" s="697">
        <x:f>IF('Котельные'!$H8="Да",1,0)</x:f>
      </x:c>
      <x:c r="D631" s="698">
        <x:f>IF('Котельные'!$N8="Да",1,0)</x:f>
      </x:c>
      <x:c r="E631" s="699">
        <x:f>IF('Котельные'!$T8="Да",1,0)</x:f>
      </x:c>
      <x:c r="F631" s="700">
        <x:f>IF('Котельные'!$Z8="Да",1,0)</x:f>
      </x:c>
      <x:c r="G631" s="701">
        <x:f>IF('Котельные'!$AF8="Да",1,0)</x:f>
      </x:c>
      <x:c r="H631" s="702">
        <x:f>IF('Котельные'!$AL8="Да",1,0)</x:f>
      </x:c>
      <x:c r="I631" s="703">
        <x:f>IF('Котельные'!$AR8="Да",1,0)</x:f>
      </x:c>
      <x:c r="J631" s="704">
        <x:f>IF('Котельные'!$AX8="Да",1,0)</x:f>
      </x:c>
      <x:c r="K631" s="705">
        <x:f>IF('Котельные'!$BD8="Да",1,0)</x:f>
      </x:c>
      <x:c r="L631" s="706">
        <x:f>IF('Котельные'!$BJ8="Да",1,0)</x:f>
      </x:c>
      <x:c r="M631" s="707">
        <x:f>IF('Котельные'!$BP8="Да",1,0)</x:f>
      </x:c>
      <x:c r="N631" s="708">
        <x:f>IF('Котельные'!$BV8="Да",1,0)</x:f>
      </x:c>
      <x:c r="O631" s="375">
        <x:f>IFERROR(ROUND(SUM(C631:N631)/($S$626),1),"")</x:f>
      </x:c>
    </x:row>
    <x:row r="632" spans="1:25" ht="15" customHeight="1" x14ac:dyDescent="0.25">
      <x:c r="A632" s="710"/>
      <x:c r="B632" s="363" t="s">
        <x:v>949</x:v>
      </x:c>
      <x:c r="C632" s="697">
        <x:f>IF('Котельные'!$H9="Да",1,0)</x:f>
      </x:c>
      <x:c r="D632" s="698">
        <x:f>IF('Котельные'!$N9="Да",1,0)</x:f>
      </x:c>
      <x:c r="E632" s="699">
        <x:f>IF('Котельные'!$T9="Да",1,0)</x:f>
      </x:c>
      <x:c r="F632" s="700">
        <x:f>IF('Котельные'!$Z9="Да",1,0)</x:f>
      </x:c>
      <x:c r="G632" s="701">
        <x:f>IF('Котельные'!$AF9="Да",1,0)</x:f>
      </x:c>
      <x:c r="H632" s="702">
        <x:f>IF('Котельные'!$AL9="Да",1,0)</x:f>
      </x:c>
      <x:c r="I632" s="703">
        <x:f>IF('Котельные'!$AR9="Да",1,0)</x:f>
      </x:c>
      <x:c r="J632" s="704">
        <x:f>IF('Котельные'!$AX9="Да",1,0)</x:f>
      </x:c>
      <x:c r="K632" s="705">
        <x:f>IF('Котельные'!$BD9="Да",1,0)</x:f>
      </x:c>
      <x:c r="L632" s="706">
        <x:f>IF('Котельные'!$BJ9="Да",1,0)</x:f>
      </x:c>
      <x:c r="M632" s="707">
        <x:f>IF('Котельные'!$BP9="Да",1,0)</x:f>
      </x:c>
      <x:c r="N632" s="708">
        <x:f>IF('Котельные'!$BV9="Да",1,0)</x:f>
      </x:c>
      <x:c r="O632" s="375">
        <x:f>IFERROR(ROUND(SUM(C632:N632)/($S$626),1),"")</x:f>
      </x:c>
    </x:row>
    <x:row r="633" spans="1:25" ht="15" customHeight="1" x14ac:dyDescent="0.25">
      <x:c r="A633" s="710"/>
      <x:c r="B633" s="363" t="s">
        <x:v>946</x:v>
      </x:c>
      <x:c r="C633" s="697">
        <x:f>IF('Котельные'!$H10="Да",1,0)</x:f>
      </x:c>
      <x:c r="D633" s="698">
        <x:f>IF('Котельные'!$N10="Да",1,0)</x:f>
      </x:c>
      <x:c r="E633" s="699">
        <x:f>IF('Котельные'!$T10="Да",1,0)</x:f>
      </x:c>
      <x:c r="F633" s="700">
        <x:f>IF('Котельные'!$Z10="Да",1,0)</x:f>
      </x:c>
      <x:c r="G633" s="701">
        <x:f>IF('Котельные'!$AF10="Да",1,0)</x:f>
      </x:c>
      <x:c r="H633" s="702">
        <x:f>IF('Котельные'!$AL10="Да",1,0)</x:f>
      </x:c>
      <x:c r="I633" s="703">
        <x:f>IF('Котельные'!$AR10="Да",1,0)</x:f>
      </x:c>
      <x:c r="J633" s="704">
        <x:f>IF('Котельные'!$AX10="Да",1,0)</x:f>
      </x:c>
      <x:c r="K633" s="705">
        <x:f>IF('Котельные'!$BD10="Да",1,0)</x:f>
      </x:c>
      <x:c r="L633" s="706">
        <x:f>IF('Котельные'!$BJ10="Да",1,0)</x:f>
      </x:c>
      <x:c r="M633" s="707">
        <x:f>IF('Котельные'!$BP10="Да",1,0)</x:f>
      </x:c>
      <x:c r="N633" s="708">
        <x:f>IF('Котельные'!$BV10="Да",1,0)</x:f>
      </x:c>
      <x:c r="O633" s="375">
        <x:f>IFERROR(ROUND(SUM(C633:N633)/($S$626),1),"")</x:f>
      </x:c>
    </x:row>
    <x:row r="634" spans="1:25" ht="15" customHeight="1" x14ac:dyDescent="0.25">
      <x:c r="A634" s="710"/>
      <x:c r="B634" s="363" t="s">
        <x:v>942</x:v>
      </x:c>
      <x:c r="C634" s="697">
        <x:f>IF('Котельные'!$H11="Да",1,0)</x:f>
      </x:c>
      <x:c r="D634" s="698">
        <x:f>IF('Котельные'!$N11="Да",1,0)</x:f>
      </x:c>
      <x:c r="E634" s="699">
        <x:f>IF('Котельные'!$T11="Да",1,0)</x:f>
      </x:c>
      <x:c r="F634" s="700">
        <x:f>IF('Котельные'!$Z11="Да",1,0)</x:f>
      </x:c>
      <x:c r="G634" s="701">
        <x:f>IF('Котельные'!$AF11="Да",1,0)</x:f>
      </x:c>
      <x:c r="H634" s="702">
        <x:f>IF('Котельные'!$AL11="Да",1,0)</x:f>
      </x:c>
      <x:c r="I634" s="703">
        <x:f>IF('Котельные'!$AR11="Да",1,0)</x:f>
      </x:c>
      <x:c r="J634" s="704">
        <x:f>IF('Котельные'!$AX11="Да",1,0)</x:f>
      </x:c>
      <x:c r="K634" s="705">
        <x:f>IF('Котельные'!$BD11="Да",1,0)</x:f>
      </x:c>
      <x:c r="L634" s="706">
        <x:f>IF('Котельные'!$BJ11="Да",1,0)</x:f>
      </x:c>
      <x:c r="M634" s="707">
        <x:f>IF('Котельные'!$BP11="Да",1,0)</x:f>
      </x:c>
      <x:c r="N634" s="708">
        <x:f>IF('Котельные'!$BV11="Да",1,0)</x:f>
      </x:c>
      <x:c r="O634" s="375">
        <x:f>IFERROR(ROUND(SUM(C634:N634)/($S$626),1),"")</x:f>
      </x:c>
    </x:row>
    <x:row r="635" spans="1:25" ht="15" customHeight="1" x14ac:dyDescent="0.25">
      <x:c r="A635" s="710"/>
      <x:c r="B635" s="363" t="s">
        <x:v>939</x:v>
      </x:c>
      <x:c r="C635" s="697">
        <x:f>IF('Котельные'!$H12="Да",1,0)</x:f>
      </x:c>
      <x:c r="D635" s="698">
        <x:f>IF('Котельные'!$N12="Да",1,0)</x:f>
      </x:c>
      <x:c r="E635" s="699">
        <x:f>IF('Котельные'!$T12="Да",1,0)</x:f>
      </x:c>
      <x:c r="F635" s="700">
        <x:f>IF('Котельные'!$Z12="Да",1,0)</x:f>
      </x:c>
      <x:c r="G635" s="701">
        <x:f>IF('Котельные'!$AF12="Да",1,0)</x:f>
      </x:c>
      <x:c r="H635" s="702">
        <x:f>IF('Котельные'!$AL12="Да",1,0)</x:f>
      </x:c>
      <x:c r="I635" s="703">
        <x:f>IF('Котельные'!$AR12="Да",1,0)</x:f>
      </x:c>
      <x:c r="J635" s="704">
        <x:f>IF('Котельные'!$AX12="Да",1,0)</x:f>
      </x:c>
      <x:c r="K635" s="705">
        <x:f>IF('Котельные'!$BD12="Да",1,0)</x:f>
      </x:c>
      <x:c r="L635" s="706">
        <x:f>IF('Котельные'!$BJ12="Да",1,0)</x:f>
      </x:c>
      <x:c r="M635" s="707">
        <x:f>IF('Котельные'!$BP12="Да",1,0)</x:f>
      </x:c>
      <x:c r="N635" s="708">
        <x:f>IF('Котельные'!$BV12="Да",1,0)</x:f>
      </x:c>
      <x:c r="O635" s="375">
        <x:f>IFERROR(ROUND(SUM(C635:N635)/($S$626),1),"")</x:f>
      </x:c>
    </x:row>
    <x:row r="636" spans="1:25" ht="15" customHeight="1" x14ac:dyDescent="0.25">
      <x:c r="A636" s="710"/>
      <x:c r="B636" s="363" t="s">
        <x:v>950</x:v>
      </x:c>
      <x:c r="C636" s="697">
        <x:f>IF('Котельные'!$H13="Да",1,0)</x:f>
      </x:c>
      <x:c r="D636" s="698">
        <x:f>IF('Котельные'!$N13="Да",1,0)</x:f>
      </x:c>
      <x:c r="E636" s="699">
        <x:f>IF('Котельные'!$T13="Да",1,0)</x:f>
      </x:c>
      <x:c r="F636" s="700">
        <x:f>IF('Котельные'!$Z13="Да",1,0)</x:f>
      </x:c>
      <x:c r="G636" s="701">
        <x:f>IF('Котельные'!$AF13="Да",1,0)</x:f>
      </x:c>
      <x:c r="H636" s="702">
        <x:f>IF('Котельные'!$AL13="Да",1,0)</x:f>
      </x:c>
      <x:c r="I636" s="703">
        <x:f>IF('Котельные'!$AR13="Да",1,0)</x:f>
      </x:c>
      <x:c r="J636" s="704">
        <x:f>IF('Котельные'!$AX13="Да",1,0)</x:f>
      </x:c>
      <x:c r="K636" s="705">
        <x:f>IF('Котельные'!$BD13="Да",1,0)</x:f>
      </x:c>
      <x:c r="L636" s="706">
        <x:f>IF('Котельные'!$BJ13="Да",1,0)</x:f>
      </x:c>
      <x:c r="M636" s="707">
        <x:f>IF('Котельные'!$BP13="Да",1,0)</x:f>
      </x:c>
      <x:c r="N636" s="708">
        <x:f>IF('Котельные'!$BV13="Да",1,0)</x:f>
      </x:c>
      <x:c r="O636" s="375">
        <x:f>IFERROR(ROUND(SUM(C636:N636)/($S$626),1),"")</x:f>
      </x:c>
    </x:row>
    <x:row r="637" spans="1:25" ht="15" customHeight="1" x14ac:dyDescent="0.25">
      <x:c r="A637" s="710"/>
      <x:c r="B637" s="363" t="s">
        <x:v>935</x:v>
      </x:c>
      <x:c r="C637" s="697">
        <x:f>IF('Котельные'!$H14="Да",1,0)</x:f>
      </x:c>
      <x:c r="D637" s="698">
        <x:f>IF('Котельные'!$N14="Да",1,0)</x:f>
      </x:c>
      <x:c r="E637" s="699">
        <x:f>IF('Котельные'!$T14="Да",1,0)</x:f>
      </x:c>
      <x:c r="F637" s="700">
        <x:f>IF('Котельные'!$Z14="Да",1,0)</x:f>
      </x:c>
      <x:c r="G637" s="701">
        <x:f>IF('Котельные'!$AF14="Да",1,0)</x:f>
      </x:c>
      <x:c r="H637" s="702">
        <x:f>IF('Котельные'!$AL14="Да",1,0)</x:f>
      </x:c>
      <x:c r="I637" s="703">
        <x:f>IF('Котельные'!$AR14="Да",1,0)</x:f>
      </x:c>
      <x:c r="J637" s="704">
        <x:f>IF('Котельные'!$AX14="Да",1,0)</x:f>
      </x:c>
      <x:c r="K637" s="705">
        <x:f>IF('Котельные'!$BD14="Да",1,0)</x:f>
      </x:c>
      <x:c r="L637" s="706">
        <x:f>IF('Котельные'!$BJ14="Да",1,0)</x:f>
      </x:c>
      <x:c r="M637" s="707">
        <x:f>IF('Котельные'!$BP14="Да",1,0)</x:f>
      </x:c>
      <x:c r="N637" s="708">
        <x:f>IF('Котельные'!$BV14="Да",1,0)</x:f>
      </x:c>
      <x:c r="O637" s="375">
        <x:f>IFERROR(ROUND(SUM(C637:N637)/($S$626),1),"")</x:f>
      </x:c>
    </x:row>
    <x:row r="638" spans="1:25" ht="15" customHeight="1" x14ac:dyDescent="0.3">
      <x:c r="A638" s="710"/>
      <x:c r="B638" s="363" t="s">
        <x:v>928</x:v>
      </x:c>
      <x:c r="C638" s="697">
        <x:f>IF('Котельные'!$H15="Да",1,0)</x:f>
      </x:c>
      <x:c r="D638" s="698">
        <x:f>IF('Котельные'!$N15="Да",1,0)</x:f>
      </x:c>
      <x:c r="E638" s="699">
        <x:f>IF('Котельные'!$T15="Да",1,0)</x:f>
      </x:c>
      <x:c r="F638" s="700">
        <x:f>IF('Котельные'!$Z15="Да",1,0)</x:f>
      </x:c>
      <x:c r="G638" s="701">
        <x:f>IF('Котельные'!$AF15="Да",1,0)</x:f>
      </x:c>
      <x:c r="H638" s="702">
        <x:f>IF('Котельные'!$AL15="Да",1,0)</x:f>
      </x:c>
      <x:c r="I638" s="703">
        <x:f>IF('Котельные'!$AR15="Да",1,0)</x:f>
      </x:c>
      <x:c r="J638" s="704">
        <x:f>IF('Котельные'!$AX15="Да",1,0)</x:f>
      </x:c>
      <x:c r="K638" s="705">
        <x:f>IF('Котельные'!$BD15="Да",1,0)</x:f>
      </x:c>
      <x:c r="L638" s="706">
        <x:f>IF('Котельные'!$BJ15="Да",1,0)</x:f>
      </x:c>
      <x:c r="M638" s="707">
        <x:f>IF('Котельные'!$BP15="Да",1,0)</x:f>
      </x:c>
      <x:c r="N638" s="708">
        <x:f>IF('Котельные'!$BV15="Да",1,0)</x:f>
      </x:c>
      <x:c r="O638" s="375">
        <x:f>IFERROR(ROUND(SUM(C638:N638)/($S$626),1),"")</x:f>
      </x:c>
    </x:row>
    <x:row r="639" spans="1:25" ht="15" customHeight="1" x14ac:dyDescent="0.25">
      <x:c r="A639" s="710"/>
      <x:c r="B639" s="363" t="s">
        <x:v>927</x:v>
      </x:c>
      <x:c r="C639" s="697">
        <x:f>IF('Котельные'!$H16="Да",1,0)</x:f>
      </x:c>
      <x:c r="D639" s="698">
        <x:f>IF('Котельные'!$N16="Да",1,0)</x:f>
      </x:c>
      <x:c r="E639" s="699">
        <x:f>IF('Котельные'!$T16="Да",1,0)</x:f>
      </x:c>
      <x:c r="F639" s="700">
        <x:f>IF('Котельные'!$Z16="Да",1,0)</x:f>
      </x:c>
      <x:c r="G639" s="701">
        <x:f>IF('Котельные'!$AF16="Да",1,0)</x:f>
      </x:c>
      <x:c r="H639" s="702">
        <x:f>IF('Котельные'!$AL16="Да",1,0)</x:f>
      </x:c>
      <x:c r="I639" s="703">
        <x:f>IF('Котельные'!$AR16="Да",1,0)</x:f>
      </x:c>
      <x:c r="J639" s="704">
        <x:f>IF('Котельные'!$AX16="Да",1,0)</x:f>
      </x:c>
      <x:c r="K639" s="705">
        <x:f>IF('Котельные'!$BD16="Да",1,0)</x:f>
      </x:c>
      <x:c r="L639" s="706">
        <x:f>IF('Котельные'!$BJ16="Да",1,0)</x:f>
      </x:c>
      <x:c r="M639" s="707">
        <x:f>IF('Котельные'!$BP16="Да",1,0)</x:f>
      </x:c>
      <x:c r="N639" s="708">
        <x:f>IF('Котельные'!$BV16="Да",1,0)</x:f>
      </x:c>
      <x:c r="O639" s="375">
        <x:f>IFERROR(ROUND(SUM(C639:N639)/($S$626),1),"")</x:f>
      </x:c>
    </x:row>
    <x:row r="640" spans="1:25" ht="15" customHeight="1" x14ac:dyDescent="0.25">
      <x:c r="A640" s="710"/>
      <x:c r="B640" s="363" t="s">
        <x:v>932</x:v>
      </x:c>
      <x:c r="C640" s="697">
        <x:f>IF('Котельные'!$H17="Да",1,0)</x:f>
      </x:c>
      <x:c r="D640" s="698">
        <x:f>IF('Котельные'!$N17="Да",1,0)</x:f>
      </x:c>
      <x:c r="E640" s="699">
        <x:f>IF('Котельные'!$T17="Да",1,0)</x:f>
      </x:c>
      <x:c r="F640" s="700">
        <x:f>IF('Котельные'!$Z17="Да",1,0)</x:f>
      </x:c>
      <x:c r="G640" s="701">
        <x:f>IF('Котельные'!$AF17="Да",1,0)</x:f>
      </x:c>
      <x:c r="H640" s="702">
        <x:f>IF('Котельные'!$AL17="Да",1,0)</x:f>
      </x:c>
      <x:c r="I640" s="703">
        <x:f>IF('Котельные'!$AR17="Да",1,0)</x:f>
      </x:c>
      <x:c r="J640" s="704">
        <x:f>IF('Котельные'!$AX17="Да",1,0)</x:f>
      </x:c>
      <x:c r="K640" s="705">
        <x:f>IF('Котельные'!$BD17="Да",1,0)</x:f>
      </x:c>
      <x:c r="L640" s="706">
        <x:f>IF('Котельные'!$BJ17="Да",1,0)</x:f>
      </x:c>
      <x:c r="M640" s="707">
        <x:f>IF('Котельные'!$BP17="Да",1,0)</x:f>
      </x:c>
      <x:c r="N640" s="708">
        <x:f>IF('Котельные'!$BV17="Да",1,0)</x:f>
      </x:c>
      <x:c r="O640" s="375">
        <x:f>IFERROR(ROUND(SUM(C640:N640)/($S$626),1),"")</x:f>
      </x:c>
    </x:row>
    <x:row r="641" spans="1:25" ht="15" customHeight="1" x14ac:dyDescent="0.25">
      <x:c r="A641" s="710"/>
      <x:c r="B641" s="363" t="s">
        <x:v>922</x:v>
      </x:c>
      <x:c r="C641" s="697">
        <x:f>IF('Котельные'!$H18="Да",1,0)</x:f>
      </x:c>
      <x:c r="D641" s="698">
        <x:f>IF('Котельные'!$N18="Да",1,0)</x:f>
      </x:c>
      <x:c r="E641" s="699">
        <x:f>IF('Котельные'!$T18="Да",1,0)</x:f>
      </x:c>
      <x:c r="F641" s="700">
        <x:f>IF('Котельные'!$Z18="Да",1,0)</x:f>
      </x:c>
      <x:c r="G641" s="701">
        <x:f>IF('Котельные'!$AF18="Да",1,0)</x:f>
      </x:c>
      <x:c r="H641" s="702">
        <x:f>IF('Котельные'!$AL18="Да",1,0)</x:f>
      </x:c>
      <x:c r="I641" s="703">
        <x:f>IF('Котельные'!$AR18="Да",1,0)</x:f>
      </x:c>
      <x:c r="J641" s="704">
        <x:f>IF('Котельные'!$AX18="Да",1,0)</x:f>
      </x:c>
      <x:c r="K641" s="705">
        <x:f>IF('Котельные'!$BD18="Да",1,0)</x:f>
      </x:c>
      <x:c r="L641" s="706">
        <x:f>IF('Котельные'!$BJ18="Да",1,0)</x:f>
      </x:c>
      <x:c r="M641" s="707">
        <x:f>IF('Котельные'!$BP18="Да",1,0)</x:f>
      </x:c>
      <x:c r="N641" s="708">
        <x:f>IF('Котельные'!$BV18="Да",1,0)</x:f>
      </x:c>
      <x:c r="O641" s="375">
        <x:f>IFERROR(ROUND(SUM(C641:N641)/($S$626),1),"")</x:f>
      </x:c>
    </x:row>
    <x:row r="642" spans="1:25" ht="15" customHeight="1" x14ac:dyDescent="0.25">
      <x:c r="A642" s="710"/>
      <x:c r="B642" s="363" t="s">
        <x:v>952</x:v>
      </x:c>
      <x:c r="C642" s="697">
        <x:f>IF('Котельные'!$H19="Да",1,0)</x:f>
      </x:c>
      <x:c r="D642" s="698">
        <x:f>IF('Котельные'!$N19="Да",1,0)</x:f>
      </x:c>
      <x:c r="E642" s="699">
        <x:f>IF('Котельные'!$T19="Да",1,0)</x:f>
      </x:c>
      <x:c r="F642" s="700">
        <x:f>IF('Котельные'!$Z19="Да",1,0)</x:f>
      </x:c>
      <x:c r="G642" s="701">
        <x:f>IF('Котельные'!$AF19="Да",1,0)</x:f>
      </x:c>
      <x:c r="H642" s="702">
        <x:f>IF('Котельные'!$AL19="Да",1,0)</x:f>
      </x:c>
      <x:c r="I642" s="703">
        <x:f>IF('Котельные'!$AR19="Да",1,0)</x:f>
      </x:c>
      <x:c r="J642" s="704">
        <x:f>IF('Котельные'!$AX19="Да",1,0)</x:f>
      </x:c>
      <x:c r="K642" s="705">
        <x:f>IF('Котельные'!$BD19="Да",1,0)</x:f>
      </x:c>
      <x:c r="L642" s="706">
        <x:f>IF('Котельные'!$BJ19="Да",1,0)</x:f>
      </x:c>
      <x:c r="M642" s="707">
        <x:f>IF('Котельные'!$BP19="Да",1,0)</x:f>
      </x:c>
      <x:c r="N642" s="708">
        <x:f>IF('Котельные'!$BV19="Да",1,0)</x:f>
      </x:c>
      <x:c r="O642" s="375">
        <x:f>IFERROR(ROUND(SUM(C642:N642)/($S$626),1),"")</x:f>
      </x:c>
    </x:row>
    <x:row r="643" spans="1:25" ht="15" customHeight="1" x14ac:dyDescent="0.25">
      <x:c r="A643" s="710"/>
      <x:c r="B643" s="363" t="s">
        <x:v>931</x:v>
      </x:c>
      <x:c r="C643" s="697">
        <x:f>IF('Котельные'!$H20="Да",1,0)</x:f>
      </x:c>
      <x:c r="D643" s="698">
        <x:f>IF('Котельные'!$N20="Да",1,0)</x:f>
      </x:c>
      <x:c r="E643" s="699">
        <x:f>IF('Котельные'!$T20="Да",1,0)</x:f>
      </x:c>
      <x:c r="F643" s="700">
        <x:f>IF('Котельные'!$Z20="Да",1,0)</x:f>
      </x:c>
      <x:c r="G643" s="701">
        <x:f>IF('Котельные'!$AF20="Да",1,0)</x:f>
      </x:c>
      <x:c r="H643" s="702">
        <x:f>IF('Котельные'!$AL20="Да",1,0)</x:f>
      </x:c>
      <x:c r="I643" s="703">
        <x:f>IF('Котельные'!$AR20="Да",1,0)</x:f>
      </x:c>
      <x:c r="J643" s="704">
        <x:f>IF('Котельные'!$AX20="Да",1,0)</x:f>
      </x:c>
      <x:c r="K643" s="705">
        <x:f>IF('Котельные'!$BD20="Да",1,0)</x:f>
      </x:c>
      <x:c r="L643" s="706">
        <x:f>IF('Котельные'!$BJ20="Да",1,0)</x:f>
      </x:c>
      <x:c r="M643" s="707">
        <x:f>IF('Котельные'!$BP20="Да",1,0)</x:f>
      </x:c>
      <x:c r="N643" s="708">
        <x:f>IF('Котельные'!$BV20="Да",1,0)</x:f>
      </x:c>
      <x:c r="O643" s="375">
        <x:f>IFERROR(ROUND(SUM(C643:N643)/($S$626),1),"")</x:f>
      </x:c>
    </x:row>
    <x:row r="644" spans="1:25" ht="15" customHeight="1" x14ac:dyDescent="0.25">
      <x:c r="A644" s="710"/>
      <x:c r="B644" s="363" t="s">
        <x:v>933</x:v>
      </x:c>
      <x:c r="C644" s="697">
        <x:f>IF('Котельные'!$H21="Да",1,0)</x:f>
      </x:c>
      <x:c r="D644" s="698">
        <x:f>IF('Котельные'!$N21="Да",1,0)</x:f>
      </x:c>
      <x:c r="E644" s="699">
        <x:f>IF('Котельные'!$T21="Да",1,0)</x:f>
      </x:c>
      <x:c r="F644" s="700">
        <x:f>IF('Котельные'!$Z21="Да",1,0)</x:f>
      </x:c>
      <x:c r="G644" s="701">
        <x:f>IF('Котельные'!$AF21="Да",1,0)</x:f>
      </x:c>
      <x:c r="H644" s="702">
        <x:f>IF('Котельные'!$AL21="Да",1,0)</x:f>
      </x:c>
      <x:c r="I644" s="703">
        <x:f>IF('Котельные'!$AR21="Да",1,0)</x:f>
      </x:c>
      <x:c r="J644" s="704">
        <x:f>IF('Котельные'!$AX21="Да",1,0)</x:f>
      </x:c>
      <x:c r="K644" s="705">
        <x:f>IF('Котельные'!$BD21="Да",1,0)</x:f>
      </x:c>
      <x:c r="L644" s="706">
        <x:f>IF('Котельные'!$BJ21="Да",1,0)</x:f>
      </x:c>
      <x:c r="M644" s="707">
        <x:f>IF('Котельные'!$BP21="Да",1,0)</x:f>
      </x:c>
      <x:c r="N644" s="708">
        <x:f>IF('Котельные'!$BV21="Да",1,0)</x:f>
      </x:c>
      <x:c r="O644" s="375">
        <x:f>IFERROR(ROUND(SUM(C644:N644)/($S$626),1),"")</x:f>
      </x:c>
    </x:row>
    <x:row r="645" spans="1:25" ht="15" customHeight="1" x14ac:dyDescent="0.25">
      <x:c r="A645" s="710"/>
      <x:c r="B645" s="363" t="s">
        <x:v>1138</x:v>
      </x:c>
      <x:c r="C645" s="697">
        <x:f>IF('Котельные'!$H22="Да",1,0)</x:f>
      </x:c>
      <x:c r="D645" s="698">
        <x:f>IF('Котельные'!$N22="Да",1,0)</x:f>
      </x:c>
      <x:c r="E645" s="699">
        <x:f>IF('Котельные'!$T22="Да",1,0)</x:f>
      </x:c>
      <x:c r="F645" s="700">
        <x:f>IF('Котельные'!$Z22="Да",1,0)</x:f>
      </x:c>
      <x:c r="G645" s="701">
        <x:f>IF('Котельные'!$AF22="Да",1,0)</x:f>
      </x:c>
      <x:c r="H645" s="702">
        <x:f>IF('Котельные'!$AL22="Да",1,0)</x:f>
      </x:c>
      <x:c r="I645" s="703">
        <x:f>IF('Котельные'!$AR22="Да",1,0)</x:f>
      </x:c>
      <x:c r="J645" s="704">
        <x:f>IF('Котельные'!$AX22="Да",1,0)</x:f>
      </x:c>
      <x:c r="K645" s="705">
        <x:f>IF('Котельные'!$BD22="Да",1,0)</x:f>
      </x:c>
      <x:c r="L645" s="706">
        <x:f>IF('Котельные'!$BJ22="Да",1,0)</x:f>
      </x:c>
      <x:c r="M645" s="707">
        <x:f>IF('Котельные'!$BP22="Да",1,0)</x:f>
      </x:c>
      <x:c r="N645" s="708">
        <x:f>IF('Котельные'!$BV22="Да",1,0)</x:f>
      </x:c>
      <x:c r="O645" s="375">
        <x:f>IFERROR(ROUND(SUM(C645:N645)/($S$626),1),"")</x:f>
      </x:c>
    </x:row>
    <x:row r="646" spans="1:25" ht="15" customHeight="1" x14ac:dyDescent="0.25">
      <x:c r="A646" s="710"/>
      <x:c r="B646" s="363" t="s">
        <x:v>940</x:v>
      </x:c>
      <x:c r="C646" s="697">
        <x:f>IF('Котельные'!$H23="Да",1,0)</x:f>
      </x:c>
      <x:c r="D646" s="698">
        <x:f>IF('Котельные'!$N23="Да",1,0)</x:f>
      </x:c>
      <x:c r="E646" s="699">
        <x:f>IF('Котельные'!$T23="Да",1,0)</x:f>
      </x:c>
      <x:c r="F646" s="700">
        <x:f>IF('Котельные'!$Z23="Да",1,0)</x:f>
      </x:c>
      <x:c r="G646" s="701">
        <x:f>IF('Котельные'!$AF23="Да",1,0)</x:f>
      </x:c>
      <x:c r="H646" s="702">
        <x:f>IF('Котельные'!$AL23="Да",1,0)</x:f>
      </x:c>
      <x:c r="I646" s="703">
        <x:f>IF('Котельные'!$AR23="Да",1,0)</x:f>
      </x:c>
      <x:c r="J646" s="704">
        <x:f>IF('Котельные'!$AX23="Да",1,0)</x:f>
      </x:c>
      <x:c r="K646" s="705">
        <x:f>IF('Котельные'!$BD23="Да",1,0)</x:f>
      </x:c>
      <x:c r="L646" s="706">
        <x:f>IF('Котельные'!$BJ23="Да",1,0)</x:f>
      </x:c>
      <x:c r="M646" s="707">
        <x:f>IF('Котельные'!$BP23="Да",1,0)</x:f>
      </x:c>
      <x:c r="N646" s="708">
        <x:f>IF('Котельные'!$BV23="Да",1,0)</x:f>
      </x:c>
      <x:c r="O646" s="375">
        <x:f>IFERROR(ROUND(SUM(C646:N646)/($S$626),1),"")</x:f>
      </x:c>
    </x:row>
    <x:row r="647" spans="1:25" ht="15" customHeight="1" x14ac:dyDescent="0.25">
      <x:c r="A647" s="710"/>
      <x:c r="B647" s="363" t="s">
        <x:v>947</x:v>
      </x:c>
      <x:c r="C647" s="697">
        <x:f>IF('Котельные'!$H24="Да",1,0)</x:f>
      </x:c>
      <x:c r="D647" s="698">
        <x:f>IF('Котельные'!$N24="Да",1,0)</x:f>
      </x:c>
      <x:c r="E647" s="699">
        <x:f>IF('Котельные'!$T24="Да",1,0)</x:f>
      </x:c>
      <x:c r="F647" s="700">
        <x:f>IF('Котельные'!$Z24="Да",1,0)</x:f>
      </x:c>
      <x:c r="G647" s="701">
        <x:f>IF('Котельные'!$AF24="Да",1,0)</x:f>
      </x:c>
      <x:c r="H647" s="702">
        <x:f>IF('Котельные'!$AL24="Да",1,0)</x:f>
      </x:c>
      <x:c r="I647" s="703">
        <x:f>IF('Котельные'!$AR24="Да",1,0)</x:f>
      </x:c>
      <x:c r="J647" s="704">
        <x:f>IF('Котельные'!$AX24="Да",1,0)</x:f>
      </x:c>
      <x:c r="K647" s="705">
        <x:f>IF('Котельные'!$BD24="Да",1,0)</x:f>
      </x:c>
      <x:c r="L647" s="706">
        <x:f>IF('Котельные'!$BJ24="Да",1,0)</x:f>
      </x:c>
      <x:c r="M647" s="707">
        <x:f>IF('Котельные'!$BP24="Да",1,0)</x:f>
      </x:c>
      <x:c r="N647" s="708">
        <x:f>IF('Котельные'!$BV24="Да",1,0)</x:f>
      </x:c>
      <x:c r="O647" s="375">
        <x:f>IFERROR(ROUND(SUM(C647:N647)/($S$626),1),"")</x:f>
      </x:c>
    </x:row>
    <x:row r="648" spans="1:25" ht="15" customHeight="1" x14ac:dyDescent="0.25">
      <x:c r="A648" s="710"/>
      <x:c r="B648" s="363" t="s">
        <x:v>951</x:v>
      </x:c>
      <x:c r="C648" s="697">
        <x:f>IF('Котельные'!$H25="Да",1,0)</x:f>
      </x:c>
      <x:c r="D648" s="698">
        <x:f>IF('Котельные'!$N25="Да",1,0)</x:f>
      </x:c>
      <x:c r="E648" s="699">
        <x:f>IF('Котельные'!$T25="Да",1,0)</x:f>
      </x:c>
      <x:c r="F648" s="700">
        <x:f>IF('Котельные'!$Z25="Да",1,0)</x:f>
      </x:c>
      <x:c r="G648" s="701">
        <x:f>IF('Котельные'!$AF25="Да",1,0)</x:f>
      </x:c>
      <x:c r="H648" s="702">
        <x:f>IF('Котельные'!$AL25="Да",1,0)</x:f>
      </x:c>
      <x:c r="I648" s="703">
        <x:f>IF('Котельные'!$AR25="Да",1,0)</x:f>
      </x:c>
      <x:c r="J648" s="704">
        <x:f>IF('Котельные'!$AX25="Да",1,0)</x:f>
      </x:c>
      <x:c r="K648" s="705">
        <x:f>IF('Котельные'!$BD25="Да",1,0)</x:f>
      </x:c>
      <x:c r="L648" s="706">
        <x:f>IF('Котельные'!$BJ25="Да",1,0)</x:f>
      </x:c>
      <x:c r="M648" s="707">
        <x:f>IF('Котельные'!$BP25="Да",1,0)</x:f>
      </x:c>
      <x:c r="N648" s="708">
        <x:f>IF('Котельные'!$BV25="Да",1,0)</x:f>
      </x:c>
      <x:c r="O648" s="375">
        <x:f>IFERROR(ROUND(SUM(C648:N648)/($S$626),1),"")</x:f>
      </x:c>
    </x:row>
    <x:row r="649" spans="1:25" ht="15" customHeight="1" x14ac:dyDescent="0.25">
      <x:c r="A649" s="710"/>
      <x:c r="B649" s="363" t="s">
        <x:v>925</x:v>
      </x:c>
      <x:c r="C649" s="697">
        <x:f>IF('Котельные'!$H26="Да",1,0)</x:f>
      </x:c>
      <x:c r="D649" s="698">
        <x:f>IF('Котельные'!$N26="Да",1,0)</x:f>
      </x:c>
      <x:c r="E649" s="699">
        <x:f>IF('Котельные'!$T26="Да",1,0)</x:f>
      </x:c>
      <x:c r="F649" s="700">
        <x:f>IF('Котельные'!$Z26="Да",1,0)</x:f>
      </x:c>
      <x:c r="G649" s="701">
        <x:f>IF('Котельные'!$AF26="Да",1,0)</x:f>
      </x:c>
      <x:c r="H649" s="702">
        <x:f>IF('Котельные'!$AL26="Да",1,0)</x:f>
      </x:c>
      <x:c r="I649" s="703">
        <x:f>IF('Котельные'!$AR26="Да",1,0)</x:f>
      </x:c>
      <x:c r="J649" s="704">
        <x:f>IF('Котельные'!$AX26="Да",1,0)</x:f>
      </x:c>
      <x:c r="K649" s="705">
        <x:f>IF('Котельные'!$BD26="Да",1,0)</x:f>
      </x:c>
      <x:c r="L649" s="706">
        <x:f>IF('Котельные'!$BJ26="Да",1,0)</x:f>
      </x:c>
      <x:c r="M649" s="707">
        <x:f>IF('Котельные'!$BP26="Да",1,0)</x:f>
      </x:c>
      <x:c r="N649" s="708">
        <x:f>IF('Котельные'!$BV26="Да",1,0)</x:f>
      </x:c>
      <x:c r="O649" s="375">
        <x:f>IFERROR(ROUND(SUM(C649:N649)/($S$626),1),"")</x:f>
      </x:c>
    </x:row>
    <x:row r="650" spans="1:25" ht="15" customHeight="1" x14ac:dyDescent="0.25">
      <x:c r="A650" s="710"/>
      <x:c r="B650" s="363" t="s">
        <x:v>930</x:v>
      </x:c>
      <x:c r="C650" s="697">
        <x:f>IF('Котельные'!$H27="Да",1,0)</x:f>
      </x:c>
      <x:c r="D650" s="698">
        <x:f>IF('Котельные'!$N27="Да",1,0)</x:f>
      </x:c>
      <x:c r="E650" s="699">
        <x:f>IF('Котельные'!$T27="Да",1,0)</x:f>
      </x:c>
      <x:c r="F650" s="700">
        <x:f>IF('Котельные'!$Z27="Да",1,0)</x:f>
      </x:c>
      <x:c r="G650" s="701">
        <x:f>IF('Котельные'!$AF27="Да",1,0)</x:f>
      </x:c>
      <x:c r="H650" s="702">
        <x:f>IF('Котельные'!$AL27="Да",1,0)</x:f>
      </x:c>
      <x:c r="I650" s="703">
        <x:f>IF('Котельные'!$AR27="Да",1,0)</x:f>
      </x:c>
      <x:c r="J650" s="704">
        <x:f>IF('Котельные'!$AX27="Да",1,0)</x:f>
      </x:c>
      <x:c r="K650" s="705">
        <x:f>IF('Котельные'!$BD27="Да",1,0)</x:f>
      </x:c>
      <x:c r="L650" s="706">
        <x:f>IF('Котельные'!$BJ27="Да",1,0)</x:f>
      </x:c>
      <x:c r="M650" s="707">
        <x:f>IF('Котельные'!$BP27="Да",1,0)</x:f>
      </x:c>
      <x:c r="N650" s="708">
        <x:f>IF('Котельные'!$BV27="Да",1,0)</x:f>
      </x:c>
      <x:c r="O650" s="375">
        <x:f>IFERROR(ROUND(SUM(C650:N650)/($S$626),1),"")</x:f>
      </x:c>
    </x:row>
    <x:row r="651" spans="1:25" ht="15" customHeight="1" x14ac:dyDescent="0.25">
      <x:c r="A651" s="710"/>
      <x:c r="B651" s="363" t="s">
        <x:v>945</x:v>
      </x:c>
      <x:c r="C651" s="697">
        <x:f>IF('Котельные'!$H28="Да",1,0)</x:f>
      </x:c>
      <x:c r="D651" s="698">
        <x:f>IF('Котельные'!$N28="Да",1,0)</x:f>
      </x:c>
      <x:c r="E651" s="699">
        <x:f>IF('Котельные'!$T28="Да",1,0)</x:f>
      </x:c>
      <x:c r="F651" s="700">
        <x:f>IF('Котельные'!$Z28="Да",1,0)</x:f>
      </x:c>
      <x:c r="G651" s="701">
        <x:f>IF('Котельные'!$AF28="Да",1,0)</x:f>
      </x:c>
      <x:c r="H651" s="702">
        <x:f>IF('Котельные'!$AL28="Да",1,0)</x:f>
      </x:c>
      <x:c r="I651" s="703">
        <x:f>IF('Котельные'!$AR28="Да",1,0)</x:f>
      </x:c>
      <x:c r="J651" s="704">
        <x:f>IF('Котельные'!$AX28="Да",1,0)</x:f>
      </x:c>
      <x:c r="K651" s="705">
        <x:f>IF('Котельные'!$BD28="Да",1,0)</x:f>
      </x:c>
      <x:c r="L651" s="706">
        <x:f>IF('Котельные'!$BJ28="Да",1,0)</x:f>
      </x:c>
      <x:c r="M651" s="707">
        <x:f>IF('Котельные'!$BP28="Да",1,0)</x:f>
      </x:c>
      <x:c r="N651" s="708">
        <x:f>IF('Котельные'!$BV28="Да",1,0)</x:f>
      </x:c>
      <x:c r="O651" s="375">
        <x:f>IFERROR(ROUND(SUM(C651:N651)/($S$626),1),"")</x:f>
      </x:c>
    </x:row>
    <x:row r="652" spans="1:25" ht="15.75" customHeight="1" x14ac:dyDescent="0.25">
      <x:c r="A652" s="717"/>
      <x:c r="B652" s="379" t="s">
        <x:v>943</x:v>
      </x:c>
      <x:c r="C652" s="697">
        <x:f>IF('Котельные'!$H29="Да",1,0)</x:f>
      </x:c>
      <x:c r="D652" s="698">
        <x:f>IF('Котельные'!$N29="Да",1,0)</x:f>
      </x:c>
      <x:c r="E652" s="699">
        <x:f>IF('Котельные'!$T29="Да",1,0)</x:f>
      </x:c>
      <x:c r="F652" s="700">
        <x:f>IF('Котельные'!$Z29="Да",1,0)</x:f>
      </x:c>
      <x:c r="G652" s="701">
        <x:f>IF('Котельные'!$AF29="Да",1,0)</x:f>
      </x:c>
      <x:c r="H652" s="702">
        <x:f>IF('Котельные'!$AL29="Да",1,0)</x:f>
      </x:c>
      <x:c r="I652" s="703">
        <x:f>IF('Котельные'!$AR29="Да",1,0)</x:f>
      </x:c>
      <x:c r="J652" s="704">
        <x:f>IF('Котельные'!$AX29="Да",1,0)</x:f>
      </x:c>
      <x:c r="K652" s="705">
        <x:f>IF('Котельные'!$BD29="Да",1,0)</x:f>
      </x:c>
      <x:c r="L652" s="706">
        <x:f>IF('Котельные'!$BJ29="Да",1,0)</x:f>
      </x:c>
      <x:c r="M652" s="707">
        <x:f>IF('Котельные'!$BP29="Да",1,0)</x:f>
      </x:c>
      <x:c r="N652" s="708">
        <x:f>IF('Котельные'!$BV29="Да",1,0)</x:f>
      </x:c>
      <x:c r="O652" s="375">
        <x:f>IFERROR(ROUND(SUM(C652:N652)/($S$626),1),"")</x:f>
      </x:c>
    </x:row>
    <x:row r="653" spans="1:25" ht="15" customHeight="1" x14ac:dyDescent="0.25">
      <x:c r="A653" s="696" t="s">
        <x:v>1085</x:v>
      </x:c>
      <x:c r="B653" s="363" t="s">
        <x:v>970</x:v>
      </x:c>
      <x:c r="C653" s="697">
        <x:f>IF('ЦВК'!$H3="Да",1,0)</x:f>
      </x:c>
      <x:c r="D653" s="698">
        <x:f>IF('ЦВК'!$N3="Да",1,0)</x:f>
      </x:c>
      <x:c r="E653" s="699">
        <x:f>IF('ЦВК'!$T3="Да",1,0)</x:f>
      </x:c>
      <x:c r="F653" s="700">
        <x:f>IF('ЦВК'!$Z3="Да",1,0)</x:f>
      </x:c>
      <x:c r="G653" s="701">
        <x:f>IF('ЦВК'!$AF3="Да",1,0)</x:f>
      </x:c>
      <x:c r="H653" s="702">
        <x:f>IF('ЦВК'!$AL3="Да",1,0)</x:f>
      </x:c>
      <x:c r="I653" s="703">
        <x:f>IF('ЦВК'!$AR3="Да",1,0)</x:f>
      </x:c>
      <x:c r="J653" s="704">
        <x:f>IF('ЦВК'!$AX3="Да",1,0)</x:f>
      </x:c>
      <x:c r="K653" s="705">
        <x:f>IF('ЦВК'!$BD3="Да",1,0)</x:f>
      </x:c>
      <x:c r="L653" s="706">
        <x:f>IF('ЦВК'!$BJ3="Да",1,0)</x:f>
      </x:c>
      <x:c r="M653" s="707">
        <x:f>IF('ЦВК'!$BP3="Да",1,0)</x:f>
      </x:c>
      <x:c r="N653" s="708">
        <x:f>IF('ЦВК'!$BV3="Да",1,0)</x:f>
      </x:c>
      <x:c r="O653" s="375">
        <x:f>IFERROR(ROUND(SUM(C653:N653)/($S$653),1),"")</x:f>
      </x:c>
      <x:c r="Q653" s="709" t="s">
        <x:v>1151</x:v>
      </x:c>
      <x:c r="R653" s="596"/>
      <x:c r="S653" s="376">
        <x:f>SUM(IF(COUNTIF(C653:C662,"&gt;0")&gt;0,1,0),IF(COUNTIF(D653:D662,"&gt;0")&gt;0,1,0),IF(COUNTIF(E653:E662,"&gt;0")&gt;0,1,0),IF(COUNTIF(F653:F662,"&gt;0")&gt;0,1,0),IF(COUNTIF(G653:G662,"&gt;0")&gt;0,1,0),IF(COUNTIF(H653:H662,"&gt;0")&gt;0,1,0),IF(COUNTIF(I653:I662,"&gt;0")&gt;0,1,0),IF(COUNTIF(J653:J662,"&gt;0")&gt;0,1,0),IF(COUNTIF(K653:K662,"&gt;0")&gt;0,1,0),IF(COUNTIF(L653:L662,"&gt;0")&gt;0,1,0),IF(COUNTIF(M653:M662,"&gt;0")&gt;0,1,0),IF(COUNTIF(N653:N662,"&gt;0")&gt;0,1,0))</x:f>
      </x:c>
    </x:row>
    <x:row r="654" spans="1:25" ht="15" customHeight="1" x14ac:dyDescent="0.25">
      <x:c r="A654" s="710"/>
      <x:c r="B654" s="363" t="s">
        <x:v>1136</x:v>
      </x:c>
      <x:c r="C654" s="697">
        <x:f>IF('ЦВК'!$H4="Да",1,0)</x:f>
      </x:c>
      <x:c r="D654" s="698">
        <x:f>IF('ЦВК'!$N4="Да",1,0)</x:f>
      </x:c>
      <x:c r="E654" s="699">
        <x:f>IF('ЦВК'!$T4="Да",1,0)</x:f>
      </x:c>
      <x:c r="F654" s="700">
        <x:f>IF('ЦВК'!$Z4="Да",1,0)</x:f>
      </x:c>
      <x:c r="G654" s="701">
        <x:f>IF('ЦВК'!$AF4="Да",1,0)</x:f>
      </x:c>
      <x:c r="H654" s="702">
        <x:f>IF('ЦВК'!$AL4="Да",1,0)</x:f>
      </x:c>
      <x:c r="I654" s="703">
        <x:f>IF('ЦВК'!$AR4="Да",1,0)</x:f>
      </x:c>
      <x:c r="J654" s="704">
        <x:f>IF('ЦВК'!$AX4="Да",1,0)</x:f>
      </x:c>
      <x:c r="K654" s="705">
        <x:f>IF('ЦВК'!$BD4="Да",1,0)</x:f>
      </x:c>
      <x:c r="L654" s="706">
        <x:f>IF('ЦВК'!$BJ4="Да",1,0)</x:f>
      </x:c>
      <x:c r="M654" s="707">
        <x:f>IF('ЦВК'!$BP4="Да",1,0)</x:f>
      </x:c>
      <x:c r="N654" s="708">
        <x:f>IF('ЦВК'!$BV4="Да",1,0)</x:f>
      </x:c>
      <x:c r="O654" s="375">
        <x:f>IFERROR(ROUND(SUM(C654:N654)/($S$653),1),"")</x:f>
      </x:c>
      <x:c r="Q654" s="711"/>
      <x:c r="R654" s="712"/>
      <x:c r="S654" s="713"/>
    </x:row>
    <x:row r="655" spans="1:25" ht="15" customHeight="1" x14ac:dyDescent="0.25">
      <x:c r="A655" s="710"/>
      <x:c r="B655" s="363" t="s">
        <x:v>969</x:v>
      </x:c>
      <x:c r="C655" s="697">
        <x:f>IF('ЦВК'!$H5="Да",1,0)</x:f>
      </x:c>
      <x:c r="D655" s="698">
        <x:f>IF('ЦВК'!$N5="Да",1,0)</x:f>
      </x:c>
      <x:c r="E655" s="699">
        <x:f>IF('ЦВК'!$T5="Да",1,0)</x:f>
      </x:c>
      <x:c r="F655" s="700">
        <x:f>IF('ЦВК'!$Z5="Да",1,0)</x:f>
      </x:c>
      <x:c r="G655" s="701">
        <x:f>IF('ЦВК'!$AF5="Да",1,0)</x:f>
      </x:c>
      <x:c r="H655" s="702">
        <x:f>IF('ЦВК'!$AL5="Да",1,0)</x:f>
      </x:c>
      <x:c r="I655" s="703">
        <x:f>IF('ЦВК'!$AR5="Да",1,0)</x:f>
      </x:c>
      <x:c r="J655" s="704">
        <x:f>IF('ЦВК'!$AX5="Да",1,0)</x:f>
      </x:c>
      <x:c r="K655" s="705">
        <x:f>IF('ЦВК'!$BD5="Да",1,0)</x:f>
      </x:c>
      <x:c r="L655" s="706">
        <x:f>IF('ЦВК'!$BJ5="Да",1,0)</x:f>
      </x:c>
      <x:c r="M655" s="707">
        <x:f>IF('ЦВК'!$BP5="Да",1,0)</x:f>
      </x:c>
      <x:c r="N655" s="708">
        <x:f>IF('ЦВК'!$BV5="Да",1,0)</x:f>
      </x:c>
      <x:c r="O655" s="375">
        <x:f>IFERROR(ROUND(SUM(C655:N655)/($S$653),1),"")</x:f>
      </x:c>
      <x:c r="Q655" s="714"/>
      <x:c r="R655" s="715"/>
      <x:c r="S655" s="716"/>
    </x:row>
    <x:row r="656" spans="1:25" ht="15" customHeight="1" x14ac:dyDescent="0.25">
      <x:c r="A656" s="710"/>
      <x:c r="B656" s="363" t="s">
        <x:v>964</x:v>
      </x:c>
      <x:c r="C656" s="697">
        <x:f>IF('ЦВК'!$H6="Да",1,0)</x:f>
      </x:c>
      <x:c r="D656" s="698">
        <x:f>IF('ЦВК'!$N6="Да",1,0)</x:f>
      </x:c>
      <x:c r="E656" s="699">
        <x:f>IF('ЦВК'!$T6="Да",1,0)</x:f>
      </x:c>
      <x:c r="F656" s="700">
        <x:f>IF('ЦВК'!$Z6="Да",1,0)</x:f>
      </x:c>
      <x:c r="G656" s="701">
        <x:f>IF('ЦВК'!$AF6="Да",1,0)</x:f>
      </x:c>
      <x:c r="H656" s="702">
        <x:f>IF('ЦВК'!$AL6="Да",1,0)</x:f>
      </x:c>
      <x:c r="I656" s="703">
        <x:f>IF('ЦВК'!$AR6="Да",1,0)</x:f>
      </x:c>
      <x:c r="J656" s="704">
        <x:f>IF('ЦВК'!$AX6="Да",1,0)</x:f>
      </x:c>
      <x:c r="K656" s="705">
        <x:f>IF('ЦВК'!$BD6="Да",1,0)</x:f>
      </x:c>
      <x:c r="L656" s="706">
        <x:f>IF('ЦВК'!$BJ6="Да",1,0)</x:f>
      </x:c>
      <x:c r="M656" s="707">
        <x:f>IF('ЦВК'!$BP6="Да",1,0)</x:f>
      </x:c>
      <x:c r="N656" s="708">
        <x:f>IF('ЦВК'!$BV6="Да",1,0)</x:f>
      </x:c>
      <x:c r="O656" s="375">
        <x:f>IFERROR(ROUND(SUM(C656:N656)/($S$653),1),"")</x:f>
      </x:c>
    </x:row>
    <x:row r="657" spans="1:25" ht="15" customHeight="1" x14ac:dyDescent="0.25">
      <x:c r="A657" s="710"/>
      <x:c r="B657" s="363" t="s">
        <x:v>972</x:v>
      </x:c>
      <x:c r="C657" s="697">
        <x:f>IF('ЦВК'!$H7="Да",1,0)</x:f>
      </x:c>
      <x:c r="D657" s="698">
        <x:f>IF('ЦВК'!$N7="Да",1,0)</x:f>
      </x:c>
      <x:c r="E657" s="699">
        <x:f>IF('ЦВК'!$T7="Да",1,0)</x:f>
      </x:c>
      <x:c r="F657" s="700">
        <x:f>IF('ЦВК'!$Z7="Да",1,0)</x:f>
      </x:c>
      <x:c r="G657" s="701">
        <x:f>IF('ЦВК'!$AF7="Да",1,0)</x:f>
      </x:c>
      <x:c r="H657" s="702">
        <x:f>IF('ЦВК'!$AL7="Да",1,0)</x:f>
      </x:c>
      <x:c r="I657" s="703">
        <x:f>IF('ЦВК'!$AR7="Да",1,0)</x:f>
      </x:c>
      <x:c r="J657" s="704">
        <x:f>IF('ЦВК'!$AX7="Да",1,0)</x:f>
      </x:c>
      <x:c r="K657" s="705">
        <x:f>IF('ЦВК'!$BD7="Да",1,0)</x:f>
      </x:c>
      <x:c r="L657" s="706">
        <x:f>IF('ЦВК'!$BJ7="Да",1,0)</x:f>
      </x:c>
      <x:c r="M657" s="707">
        <x:f>IF('ЦВК'!$BP7="Да",1,0)</x:f>
      </x:c>
      <x:c r="N657" s="708">
        <x:f>IF('ЦВК'!$BV7="Да",1,0)</x:f>
      </x:c>
      <x:c r="O657" s="375">
        <x:f>IFERROR(ROUND(SUM(C657:N657)/($S$653),1),"")</x:f>
      </x:c>
    </x:row>
    <x:row r="658" spans="1:25" ht="15" customHeight="1" x14ac:dyDescent="0.25">
      <x:c r="A658" s="710"/>
      <x:c r="B658" s="363" t="s">
        <x:v>971</x:v>
      </x:c>
      <x:c r="C658" s="697">
        <x:f>IF('ЦВК'!$H8="Да",1,0)</x:f>
      </x:c>
      <x:c r="D658" s="698">
        <x:f>IF('ЦВК'!$N8="Да",1,0)</x:f>
      </x:c>
      <x:c r="E658" s="699">
        <x:f>IF('ЦВК'!$T8="Да",1,0)</x:f>
      </x:c>
      <x:c r="F658" s="700">
        <x:f>IF('ЦВК'!$Z8="Да",1,0)</x:f>
      </x:c>
      <x:c r="G658" s="701">
        <x:f>IF('ЦВК'!$AF8="Да",1,0)</x:f>
      </x:c>
      <x:c r="H658" s="702">
        <x:f>IF('ЦВК'!$AL8="Да",1,0)</x:f>
      </x:c>
      <x:c r="I658" s="703">
        <x:f>IF('ЦВК'!$AR8="Да",1,0)</x:f>
      </x:c>
      <x:c r="J658" s="704">
        <x:f>IF('ЦВК'!$AX8="Да",1,0)</x:f>
      </x:c>
      <x:c r="K658" s="705">
        <x:f>IF('ЦВК'!$BD8="Да",1,0)</x:f>
      </x:c>
      <x:c r="L658" s="706">
        <x:f>IF('ЦВК'!$BJ8="Да",1,0)</x:f>
      </x:c>
      <x:c r="M658" s="707">
        <x:f>IF('ЦВК'!$BP8="Да",1,0)</x:f>
      </x:c>
      <x:c r="N658" s="708">
        <x:f>IF('ЦВК'!$BV8="Да",1,0)</x:f>
      </x:c>
      <x:c r="O658" s="375">
        <x:f>IFERROR(ROUND(SUM(C658:N658)/($S$653),1),"")</x:f>
      </x:c>
    </x:row>
    <x:row r="659" spans="1:25" ht="15" customHeight="1" x14ac:dyDescent="0.25">
      <x:c r="A659" s="710"/>
      <x:c r="B659" s="363" t="s">
        <x:v>973</x:v>
      </x:c>
      <x:c r="C659" s="697">
        <x:f>IF('ЦВК'!$H9="Да",1,0)</x:f>
      </x:c>
      <x:c r="D659" s="698">
        <x:f>IF('ЦВК'!$N9="Да",1,0)</x:f>
      </x:c>
      <x:c r="E659" s="699">
        <x:f>IF('ЦВК'!$T9="Да",1,0)</x:f>
      </x:c>
      <x:c r="F659" s="700">
        <x:f>IF('ЦВК'!$Z9="Да",1,0)</x:f>
      </x:c>
      <x:c r="G659" s="701">
        <x:f>IF('ЦВК'!$AF9="Да",1,0)</x:f>
      </x:c>
      <x:c r="H659" s="702">
        <x:f>IF('ЦВК'!$AL9="Да",1,0)</x:f>
      </x:c>
      <x:c r="I659" s="703">
        <x:f>IF('ЦВК'!$AR9="Да",1,0)</x:f>
      </x:c>
      <x:c r="J659" s="704">
        <x:f>IF('ЦВК'!$AX9="Да",1,0)</x:f>
      </x:c>
      <x:c r="K659" s="705">
        <x:f>IF('ЦВК'!$BD9="Да",1,0)</x:f>
      </x:c>
      <x:c r="L659" s="706">
        <x:f>IF('ЦВК'!$BJ9="Да",1,0)</x:f>
      </x:c>
      <x:c r="M659" s="707">
        <x:f>IF('ЦВК'!$BP9="Да",1,0)</x:f>
      </x:c>
      <x:c r="N659" s="708">
        <x:f>IF('ЦВК'!$BV9="Да",1,0)</x:f>
      </x:c>
      <x:c r="O659" s="375">
        <x:f>IFERROR(ROUND(SUM(C659:N659)/($S$653),1),"")</x:f>
      </x:c>
    </x:row>
    <x:row r="660" spans="1:25" ht="15" customHeight="1" x14ac:dyDescent="0.25">
      <x:c r="A660" s="710"/>
      <x:c r="B660" s="363" t="s">
        <x:v>975</x:v>
      </x:c>
      <x:c r="C660" s="697">
        <x:f>IF('ЦВК'!$H10="Да",1,0)</x:f>
      </x:c>
      <x:c r="D660" s="698">
        <x:f>IF('ЦВК'!$N10="Да",1,0)</x:f>
      </x:c>
      <x:c r="E660" s="699">
        <x:f>IF('ЦВК'!$T10="Да",1,0)</x:f>
      </x:c>
      <x:c r="F660" s="700">
        <x:f>IF('ЦВК'!$Z10="Да",1,0)</x:f>
      </x:c>
      <x:c r="G660" s="701">
        <x:f>IF('ЦВК'!$AF10="Да",1,0)</x:f>
      </x:c>
      <x:c r="H660" s="702">
        <x:f>IF('ЦВК'!$AL10="Да",1,0)</x:f>
      </x:c>
      <x:c r="I660" s="703">
        <x:f>IF('ЦВК'!$AR10="Да",1,0)</x:f>
      </x:c>
      <x:c r="J660" s="704">
        <x:f>IF('ЦВК'!$AX10="Да",1,0)</x:f>
      </x:c>
      <x:c r="K660" s="705">
        <x:f>IF('ЦВК'!$BD10="Да",1,0)</x:f>
      </x:c>
      <x:c r="L660" s="706">
        <x:f>IF('ЦВК'!$BJ10="Да",1,0)</x:f>
      </x:c>
      <x:c r="M660" s="707">
        <x:f>IF('ЦВК'!$BP10="Да",1,0)</x:f>
      </x:c>
      <x:c r="N660" s="708">
        <x:f>IF('ЦВК'!$BV10="Да",1,0)</x:f>
      </x:c>
      <x:c r="O660" s="375">
        <x:f>IFERROR(ROUND(SUM(C660:N660)/($S$653),1),"")</x:f>
      </x:c>
    </x:row>
    <x:row r="661" spans="1:25" ht="15" customHeight="1" x14ac:dyDescent="0.3">
      <x:c r="A661" s="710"/>
      <x:c r="B661" s="363" t="s">
        <x:v>974</x:v>
      </x:c>
      <x:c r="C661" s="697">
        <x:f>IF('ЦВК'!$H11="Да",1,0)</x:f>
      </x:c>
      <x:c r="D661" s="698">
        <x:f>IF('ЦВК'!$N11="Да",1,0)</x:f>
      </x:c>
      <x:c r="E661" s="699">
        <x:f>IF('ЦВК'!$T11="Да",1,0)</x:f>
      </x:c>
      <x:c r="F661" s="700">
        <x:f>IF('ЦВК'!$Z11="Да",1,0)</x:f>
      </x:c>
      <x:c r="G661" s="701">
        <x:f>IF('ЦВК'!$AF11="Да",1,0)</x:f>
      </x:c>
      <x:c r="H661" s="702">
        <x:f>IF('ЦВК'!$AL11="Да",1,0)</x:f>
      </x:c>
      <x:c r="I661" s="703">
        <x:f>IF('ЦВК'!$AR11="Да",1,0)</x:f>
      </x:c>
      <x:c r="J661" s="704">
        <x:f>IF('ЦВК'!$AX11="Да",1,0)</x:f>
      </x:c>
      <x:c r="K661" s="705">
        <x:f>IF('ЦВК'!$BD11="Да",1,0)</x:f>
      </x:c>
      <x:c r="L661" s="706">
        <x:f>IF('ЦВК'!$BJ11="Да",1,0)</x:f>
      </x:c>
      <x:c r="M661" s="707">
        <x:f>IF('ЦВК'!$BP11="Да",1,0)</x:f>
      </x:c>
      <x:c r="N661" s="708">
        <x:f>IF('ЦВК'!$BV11="Да",1,0)</x:f>
      </x:c>
      <x:c r="O661" s="375">
        <x:f>IFERROR(ROUND(SUM(C661:N661)/($S$653),1),"")</x:f>
      </x:c>
    </x:row>
    <x:row r="662" spans="1:25" ht="15.75" customHeight="1" x14ac:dyDescent="0.25">
      <x:c r="A662" s="717"/>
      <x:c r="B662" s="379" t="s">
        <x:v>967</x:v>
      </x:c>
      <x:c r="C662" s="697">
        <x:f>IF('ЦВК'!$H12="Да",1,0)</x:f>
      </x:c>
      <x:c r="D662" s="698">
        <x:f>IF('ЦВК'!$N12="Да",1,0)</x:f>
      </x:c>
      <x:c r="E662" s="699">
        <x:f>IF('ЦВК'!$T12="Да",1,0)</x:f>
      </x:c>
      <x:c r="F662" s="700">
        <x:f>IF('ЦВК'!$Z12="Да",1,0)</x:f>
      </x:c>
      <x:c r="G662" s="701">
        <x:f>IF('ЦВК'!$AF12="Да",1,0)</x:f>
      </x:c>
      <x:c r="H662" s="702">
        <x:f>IF('ЦВК'!$AL12="Да",1,0)</x:f>
      </x:c>
      <x:c r="I662" s="703">
        <x:f>IF('ЦВК'!$AR12="Да",1,0)</x:f>
      </x:c>
      <x:c r="J662" s="704">
        <x:f>IF('ЦВК'!$AX12="Да",1,0)</x:f>
      </x:c>
      <x:c r="K662" s="705">
        <x:f>IF('ЦВК'!$BD12="Да",1,0)</x:f>
      </x:c>
      <x:c r="L662" s="706">
        <x:f>IF('ЦВК'!$BJ12="Да",1,0)</x:f>
      </x:c>
      <x:c r="M662" s="707">
        <x:f>IF('ЦВК'!$BP12="Да",1,0)</x:f>
      </x:c>
      <x:c r="N662" s="708">
        <x:f>IF('ЦВК'!$BV12="Да",1,0)</x:f>
      </x:c>
      <x:c r="O662" s="375">
        <x:f>IFERROR(ROUND(SUM(C662:N662)/($S$653),1),"")</x:f>
      </x:c>
    </x:row>
    <x:row r="663" spans="1:25" ht="15" customHeight="1" x14ac:dyDescent="0.25">
      <x:c r="A663" s="696" t="s">
        <x:v>1086</x:v>
      </x:c>
      <x:c r="B663" s="363" t="s">
        <x:v>1003</x:v>
      </x:c>
      <x:c r="C663" s="697">
        <x:f>IF('ХВП'!$H3="Да",1,0)</x:f>
      </x:c>
      <x:c r="D663" s="698">
        <x:f>IF('ХВП'!$N3="Да",1,0)</x:f>
      </x:c>
      <x:c r="E663" s="699">
        <x:f>IF('ХВП'!$T3="Да",1,0)</x:f>
      </x:c>
      <x:c r="F663" s="700">
        <x:f>IF('ХВП'!$Z3="Да",1,0)</x:f>
      </x:c>
      <x:c r="G663" s="701">
        <x:f>IF('ХВП'!$AF3="Да",1,0)</x:f>
      </x:c>
      <x:c r="H663" s="702">
        <x:f>IF('ХВП'!$AL3="Да",1,0)</x:f>
      </x:c>
      <x:c r="I663" s="703">
        <x:f>IF('ХВП'!$AR3="Да",1,0)</x:f>
      </x:c>
      <x:c r="J663" s="704">
        <x:f>IF('ХВП'!$AX3="Да",1,0)</x:f>
      </x:c>
      <x:c r="K663" s="705">
        <x:f>IF('ХВП'!$BD3="Да",1,0)</x:f>
      </x:c>
      <x:c r="L663" s="706">
        <x:f>IF('ХВП'!$BJ3="Да",1,0)</x:f>
      </x:c>
      <x:c r="M663" s="707">
        <x:f>IF('ХВП'!$BP3="Да",1,0)</x:f>
      </x:c>
      <x:c r="N663" s="708">
        <x:f>IF('ХВП'!$BV3="Да",1,0)</x:f>
      </x:c>
      <x:c r="O663" s="375">
        <x:f>IFERROR(ROUND(SUM(C663:N663)/($S$663),1),"")</x:f>
      </x:c>
      <x:c r="Q663" s="709" t="s">
        <x:v>1151</x:v>
      </x:c>
      <x:c r="R663" s="596"/>
      <x:c r="S663" s="376">
        <x:f>SUM(IF(COUNTIF(C663:C683,"&gt;0")&gt;0,1,0),IF(COUNTIF(D663:D683,"&gt;0")&gt;0,1,0),IF(COUNTIF(E663:E683,"&gt;0")&gt;0,1,0),IF(COUNTIF(F663:F683,"&gt;0")&gt;0,1,0),IF(COUNTIF(G663:G683,"&gt;0")&gt;0,1,0),IF(COUNTIF(H663:H683,"&gt;0")&gt;0,1,0),IF(COUNTIF(I663:I683,"&gt;0")&gt;0,1,0),IF(COUNTIF(J663:J683,"&gt;0")&gt;0,1,0),IF(COUNTIF(K663:K683,"&gt;0")&gt;0,1,0),IF(COUNTIF(L663:L683,"&gt;0")&gt;0,1,0),IF(COUNTIF(M663:M683,"&gt;0")&gt;0,1,0),IF(COUNTIF(N663:N683,"&gt;0")&gt;0,1,0))</x:f>
      </x:c>
    </x:row>
    <x:row r="664" spans="1:25" ht="15" customHeight="1" x14ac:dyDescent="0.25">
      <x:c r="A664" s="710"/>
      <x:c r="B664" s="363" t="s">
        <x:v>1002</x:v>
      </x:c>
      <x:c r="C664" s="697">
        <x:f>IF('ХВП'!$H4="Да",1,0)</x:f>
      </x:c>
      <x:c r="D664" s="698">
        <x:f>IF('ХВП'!$N4="Да",1,0)</x:f>
      </x:c>
      <x:c r="E664" s="699">
        <x:f>IF('ХВП'!$T4="Да",1,0)</x:f>
      </x:c>
      <x:c r="F664" s="700">
        <x:f>IF('ХВП'!$Z4="Да",1,0)</x:f>
      </x:c>
      <x:c r="G664" s="701">
        <x:f>IF('ХВП'!$AF4="Да",1,0)</x:f>
      </x:c>
      <x:c r="H664" s="702">
        <x:f>IF('ХВП'!$AL4="Да",1,0)</x:f>
      </x:c>
      <x:c r="I664" s="703">
        <x:f>IF('ХВП'!$AR4="Да",1,0)</x:f>
      </x:c>
      <x:c r="J664" s="704">
        <x:f>IF('ХВП'!$AX4="Да",1,0)</x:f>
      </x:c>
      <x:c r="K664" s="705">
        <x:f>IF('ХВП'!$BD4="Да",1,0)</x:f>
      </x:c>
      <x:c r="L664" s="706">
        <x:f>IF('ХВП'!$BJ4="Да",1,0)</x:f>
      </x:c>
      <x:c r="M664" s="707">
        <x:f>IF('ХВП'!$BP4="Да",1,0)</x:f>
      </x:c>
      <x:c r="N664" s="708">
        <x:f>IF('ХВП'!$BV4="Да",1,0)</x:f>
      </x:c>
      <x:c r="O664" s="375">
        <x:f>IFERROR(ROUND(SUM(C664:N664)/($S$663),1),"")</x:f>
      </x:c>
      <x:c r="Q664" s="711"/>
      <x:c r="R664" s="712"/>
      <x:c r="S664" s="713"/>
    </x:row>
    <x:row r="665" spans="1:25" ht="15" customHeight="1" x14ac:dyDescent="0.25">
      <x:c r="A665" s="710"/>
      <x:c r="B665" s="363" t="s">
        <x:v>1008</x:v>
      </x:c>
      <x:c r="C665" s="697">
        <x:f>IF('ХВП'!$H5="Да",1,0)</x:f>
      </x:c>
      <x:c r="D665" s="698">
        <x:f>IF('ХВП'!$N5="Да",1,0)</x:f>
      </x:c>
      <x:c r="E665" s="699">
        <x:f>IF('ХВП'!$T5="Да",1,0)</x:f>
      </x:c>
      <x:c r="F665" s="700">
        <x:f>IF('ХВП'!$Z5="Да",1,0)</x:f>
      </x:c>
      <x:c r="G665" s="701">
        <x:f>IF('ХВП'!$AF5="Да",1,0)</x:f>
      </x:c>
      <x:c r="H665" s="702">
        <x:f>IF('ХВП'!$AL5="Да",1,0)</x:f>
      </x:c>
      <x:c r="I665" s="703">
        <x:f>IF('ХВП'!$AR5="Да",1,0)</x:f>
      </x:c>
      <x:c r="J665" s="704">
        <x:f>IF('ХВП'!$AX5="Да",1,0)</x:f>
      </x:c>
      <x:c r="K665" s="705">
        <x:f>IF('ХВП'!$BD5="Да",1,0)</x:f>
      </x:c>
      <x:c r="L665" s="706">
        <x:f>IF('ХВП'!$BJ5="Да",1,0)</x:f>
      </x:c>
      <x:c r="M665" s="707">
        <x:f>IF('ХВП'!$BP5="Да",1,0)</x:f>
      </x:c>
      <x:c r="N665" s="708">
        <x:f>IF('ХВП'!$BV5="Да",1,0)</x:f>
      </x:c>
      <x:c r="O665" s="375">
        <x:f>IFERROR(ROUND(SUM(C665:N665)/($S$663),1),"")</x:f>
      </x:c>
      <x:c r="Q665" s="714"/>
      <x:c r="R665" s="715"/>
      <x:c r="S665" s="716"/>
    </x:row>
    <x:row r="666" spans="1:25" ht="15" customHeight="1" x14ac:dyDescent="0.25">
      <x:c r="A666" s="710"/>
      <x:c r="B666" s="363" t="s">
        <x:v>1013</x:v>
      </x:c>
      <x:c r="C666" s="697">
        <x:f>IF('ХВП'!$H6="Да",1,0)</x:f>
      </x:c>
      <x:c r="D666" s="698">
        <x:f>IF('ХВП'!$N6="Да",1,0)</x:f>
      </x:c>
      <x:c r="E666" s="699">
        <x:f>IF('ХВП'!$T6="Да",1,0)</x:f>
      </x:c>
      <x:c r="F666" s="700">
        <x:f>IF('ХВП'!$Z6="Да",1,0)</x:f>
      </x:c>
      <x:c r="G666" s="701">
        <x:f>IF('ХВП'!$AF6="Да",1,0)</x:f>
      </x:c>
      <x:c r="H666" s="702">
        <x:f>IF('ХВП'!$AL6="Да",1,0)</x:f>
      </x:c>
      <x:c r="I666" s="703">
        <x:f>IF('ХВП'!$AR6="Да",1,0)</x:f>
      </x:c>
      <x:c r="J666" s="704">
        <x:f>IF('ХВП'!$AX6="Да",1,0)</x:f>
      </x:c>
      <x:c r="K666" s="705">
        <x:f>IF('ХВП'!$BD6="Да",1,0)</x:f>
      </x:c>
      <x:c r="L666" s="706">
        <x:f>IF('ХВП'!$BJ6="Да",1,0)</x:f>
      </x:c>
      <x:c r="M666" s="707">
        <x:f>IF('ХВП'!$BP6="Да",1,0)</x:f>
      </x:c>
      <x:c r="N666" s="708">
        <x:f>IF('ХВП'!$BV6="Да",1,0)</x:f>
      </x:c>
      <x:c r="O666" s="375">
        <x:f>IFERROR(ROUND(SUM(C666:N666)/($S$663),1),"")</x:f>
      </x:c>
    </x:row>
    <x:row r="667" spans="1:25" ht="15" customHeight="1" x14ac:dyDescent="0.25">
      <x:c r="A667" s="710"/>
      <x:c r="B667" s="363" t="s">
        <x:v>1014</x:v>
      </x:c>
      <x:c r="C667" s="697">
        <x:f>IF('ХВП'!$H7="Да",1,0)</x:f>
      </x:c>
      <x:c r="D667" s="698">
        <x:f>IF('ХВП'!$N7="Да",1,0)</x:f>
      </x:c>
      <x:c r="E667" s="699">
        <x:f>IF('ХВП'!$T7="Да",1,0)</x:f>
      </x:c>
      <x:c r="F667" s="700">
        <x:f>IF('ХВП'!$Z7="Да",1,0)</x:f>
      </x:c>
      <x:c r="G667" s="701">
        <x:f>IF('ХВП'!$AF7="Да",1,0)</x:f>
      </x:c>
      <x:c r="H667" s="702">
        <x:f>IF('ХВП'!$AL7="Да",1,0)</x:f>
      </x:c>
      <x:c r="I667" s="703">
        <x:f>IF('ХВП'!$AR7="Да",1,0)</x:f>
      </x:c>
      <x:c r="J667" s="704">
        <x:f>IF('ХВП'!$AX7="Да",1,0)</x:f>
      </x:c>
      <x:c r="K667" s="705">
        <x:f>IF('ХВП'!$BD7="Да",1,0)</x:f>
      </x:c>
      <x:c r="L667" s="706">
        <x:f>IF('ХВП'!$BJ7="Да",1,0)</x:f>
      </x:c>
      <x:c r="M667" s="707">
        <x:f>IF('ХВП'!$BP7="Да",1,0)</x:f>
      </x:c>
      <x:c r="N667" s="708">
        <x:f>IF('ХВП'!$BV7="Да",1,0)</x:f>
      </x:c>
      <x:c r="O667" s="375">
        <x:f>IFERROR(ROUND(SUM(C667:N667)/($S$663),1),"")</x:f>
      </x:c>
    </x:row>
    <x:row r="668" spans="1:25" ht="15" customHeight="1" x14ac:dyDescent="0.25">
      <x:c r="A668" s="710"/>
      <x:c r="B668" s="363" t="s">
        <x:v>1010</x:v>
      </x:c>
      <x:c r="C668" s="697">
        <x:f>IF('ХВП'!$H8="Да",1,0)</x:f>
      </x:c>
      <x:c r="D668" s="698">
        <x:f>IF('ХВП'!$N8="Да",1,0)</x:f>
      </x:c>
      <x:c r="E668" s="699">
        <x:f>IF('ХВП'!$T8="Да",1,0)</x:f>
      </x:c>
      <x:c r="F668" s="700">
        <x:f>IF('ХВП'!$Z8="Да",1,0)</x:f>
      </x:c>
      <x:c r="G668" s="701">
        <x:f>IF('ХВП'!$AF8="Да",1,0)</x:f>
      </x:c>
      <x:c r="H668" s="702">
        <x:f>IF('ХВП'!$AL8="Да",1,0)</x:f>
      </x:c>
      <x:c r="I668" s="703">
        <x:f>IF('ХВП'!$AR8="Да",1,0)</x:f>
      </x:c>
      <x:c r="J668" s="704">
        <x:f>IF('ХВП'!$AX8="Да",1,0)</x:f>
      </x:c>
      <x:c r="K668" s="705">
        <x:f>IF('ХВП'!$BD8="Да",1,0)</x:f>
      </x:c>
      <x:c r="L668" s="706">
        <x:f>IF('ХВП'!$BJ8="Да",1,0)</x:f>
      </x:c>
      <x:c r="M668" s="707">
        <x:f>IF('ХВП'!$BP8="Да",1,0)</x:f>
      </x:c>
      <x:c r="N668" s="708">
        <x:f>IF('ХВП'!$BV8="Да",1,0)</x:f>
      </x:c>
      <x:c r="O668" s="375">
        <x:f>IFERROR(ROUND(SUM(C668:N668)/($S$663),1),"")</x:f>
      </x:c>
    </x:row>
    <x:row r="669" spans="1:25" ht="15" customHeight="1" x14ac:dyDescent="0.25">
      <x:c r="A669" s="710"/>
      <x:c r="B669" s="363" t="s">
        <x:v>920</x:v>
      </x:c>
      <x:c r="C669" s="697">
        <x:f>IF('ХВП'!$H9="Да",1,0)</x:f>
      </x:c>
      <x:c r="D669" s="698">
        <x:f>IF('ХВП'!$N9="Да",1,0)</x:f>
      </x:c>
      <x:c r="E669" s="699">
        <x:f>IF('ХВП'!$T9="Да",1,0)</x:f>
      </x:c>
      <x:c r="F669" s="700">
        <x:f>IF('ХВП'!$Z9="Да",1,0)</x:f>
      </x:c>
      <x:c r="G669" s="701">
        <x:f>IF('ХВП'!$AF9="Да",1,0)</x:f>
      </x:c>
      <x:c r="H669" s="702">
        <x:f>IF('ХВП'!$AL9="Да",1,0)</x:f>
      </x:c>
      <x:c r="I669" s="703">
        <x:f>IF('ХВП'!$AR9="Да",1,0)</x:f>
      </x:c>
      <x:c r="J669" s="704">
        <x:f>IF('ХВП'!$AX9="Да",1,0)</x:f>
      </x:c>
      <x:c r="K669" s="705">
        <x:f>IF('ХВП'!$BD9="Да",1,0)</x:f>
      </x:c>
      <x:c r="L669" s="706">
        <x:f>IF('ХВП'!$BJ9="Да",1,0)</x:f>
      </x:c>
      <x:c r="M669" s="707">
        <x:f>IF('ХВП'!$BP9="Да",1,0)</x:f>
      </x:c>
      <x:c r="N669" s="708">
        <x:f>IF('ХВП'!$BV9="Да",1,0)</x:f>
      </x:c>
      <x:c r="O669" s="375">
        <x:f>IFERROR(ROUND(SUM(C669:N669)/($S$663),1),"")</x:f>
      </x:c>
    </x:row>
    <x:row r="670" spans="1:25" ht="15" customHeight="1" x14ac:dyDescent="0.25">
      <x:c r="A670" s="710"/>
      <x:c r="B670" s="363" t="s">
        <x:v>1006</x:v>
      </x:c>
      <x:c r="C670" s="697">
        <x:f>IF('ХВП'!$H10="Да",1,0)</x:f>
      </x:c>
      <x:c r="D670" s="698">
        <x:f>IF('ХВП'!$N10="Да",1,0)</x:f>
      </x:c>
      <x:c r="E670" s="699">
        <x:f>IF('ХВП'!$T10="Да",1,0)</x:f>
      </x:c>
      <x:c r="F670" s="700">
        <x:f>IF('ХВП'!$Z10="Да",1,0)</x:f>
      </x:c>
      <x:c r="G670" s="701">
        <x:f>IF('ХВП'!$AF10="Да",1,0)</x:f>
      </x:c>
      <x:c r="H670" s="702">
        <x:f>IF('ХВП'!$AL10="Да",1,0)</x:f>
      </x:c>
      <x:c r="I670" s="703">
        <x:f>IF('ХВП'!$AR10="Да",1,0)</x:f>
      </x:c>
      <x:c r="J670" s="704">
        <x:f>IF('ХВП'!$AX10="Да",1,0)</x:f>
      </x:c>
      <x:c r="K670" s="705">
        <x:f>IF('ХВП'!$BD10="Да",1,0)</x:f>
      </x:c>
      <x:c r="L670" s="706">
        <x:f>IF('ХВП'!$BJ10="Да",1,0)</x:f>
      </x:c>
      <x:c r="M670" s="707">
        <x:f>IF('ХВП'!$BP10="Да",1,0)</x:f>
      </x:c>
      <x:c r="N670" s="708">
        <x:f>IF('ХВП'!$BV10="Да",1,0)</x:f>
      </x:c>
      <x:c r="O670" s="375">
        <x:f>IFERROR(ROUND(SUM(C670:N670)/($S$663),1),"")</x:f>
      </x:c>
    </x:row>
    <x:row r="671" spans="1:25" ht="15" customHeight="1" x14ac:dyDescent="0.25">
      <x:c r="A671" s="710"/>
      <x:c r="B671" s="363" t="s">
        <x:v>1009</x:v>
      </x:c>
      <x:c r="C671" s="697">
        <x:f>IF('ХВП'!$H11="Да",1,0)</x:f>
      </x:c>
      <x:c r="D671" s="698">
        <x:f>IF('ХВП'!$N11="Да",1,0)</x:f>
      </x:c>
      <x:c r="E671" s="699">
        <x:f>IF('ХВП'!$T11="Да",1,0)</x:f>
      </x:c>
      <x:c r="F671" s="700">
        <x:f>IF('ХВП'!$Z11="Да",1,0)</x:f>
      </x:c>
      <x:c r="G671" s="701">
        <x:f>IF('ХВП'!$AF11="Да",1,0)</x:f>
      </x:c>
      <x:c r="H671" s="702">
        <x:f>IF('ХВП'!$AL11="Да",1,0)</x:f>
      </x:c>
      <x:c r="I671" s="703">
        <x:f>IF('ХВП'!$AR11="Да",1,0)</x:f>
      </x:c>
      <x:c r="J671" s="704">
        <x:f>IF('ХВП'!$AX11="Да",1,0)</x:f>
      </x:c>
      <x:c r="K671" s="705">
        <x:f>IF('ХВП'!$BD11="Да",1,0)</x:f>
      </x:c>
      <x:c r="L671" s="706">
        <x:f>IF('ХВП'!$BJ11="Да",1,0)</x:f>
      </x:c>
      <x:c r="M671" s="707">
        <x:f>IF('ХВП'!$BP11="Да",1,0)</x:f>
      </x:c>
      <x:c r="N671" s="708">
        <x:f>IF('ХВП'!$BV11="Да",1,0)</x:f>
      </x:c>
      <x:c r="O671" s="375">
        <x:f>IFERROR(ROUND(SUM(C671:N671)/($S$663),1),"")</x:f>
      </x:c>
    </x:row>
    <x:row r="672" spans="1:25" ht="15" customHeight="1" x14ac:dyDescent="0.25">
      <x:c r="A672" s="710"/>
      <x:c r="B672" s="363" t="s">
        <x:v>1012</x:v>
      </x:c>
      <x:c r="C672" s="697">
        <x:f>IF('ХВП'!$H12="Да",1,0)</x:f>
      </x:c>
      <x:c r="D672" s="698">
        <x:f>IF('ХВП'!$N12="Да",1,0)</x:f>
      </x:c>
      <x:c r="E672" s="699">
        <x:f>IF('ХВП'!$T12="Да",1,0)</x:f>
      </x:c>
      <x:c r="F672" s="700">
        <x:f>IF('ХВП'!$Z12="Да",1,0)</x:f>
      </x:c>
      <x:c r="G672" s="701">
        <x:f>IF('ХВП'!$AF12="Да",1,0)</x:f>
      </x:c>
      <x:c r="H672" s="702">
        <x:f>IF('ХВП'!$AL12="Да",1,0)</x:f>
      </x:c>
      <x:c r="I672" s="703">
        <x:f>IF('ХВП'!$AR12="Да",1,0)</x:f>
      </x:c>
      <x:c r="J672" s="704">
        <x:f>IF('ХВП'!$AX12="Да",1,0)</x:f>
      </x:c>
      <x:c r="K672" s="705">
        <x:f>IF('ХВП'!$BD12="Да",1,0)</x:f>
      </x:c>
      <x:c r="L672" s="706">
        <x:f>IF('ХВП'!$BJ12="Да",1,0)</x:f>
      </x:c>
      <x:c r="M672" s="707">
        <x:f>IF('ХВП'!$BP12="Да",1,0)</x:f>
      </x:c>
      <x:c r="N672" s="708">
        <x:f>IF('ХВП'!$BV12="Да",1,0)</x:f>
      </x:c>
      <x:c r="O672" s="375">
        <x:f>IFERROR(ROUND(SUM(C672:N672)/($S$663),1),"")</x:f>
      </x:c>
    </x:row>
    <x:row r="673" spans="1:25" ht="15" customHeight="1" x14ac:dyDescent="0.25">
      <x:c r="A673" s="710"/>
      <x:c r="B673" s="363" t="s">
        <x:v>1004</x:v>
      </x:c>
      <x:c r="C673" s="697">
        <x:f>IF('ХВП'!$H13="Да",1,0)</x:f>
      </x:c>
      <x:c r="D673" s="698">
        <x:f>IF('ХВП'!$N13="Да",1,0)</x:f>
      </x:c>
      <x:c r="E673" s="699">
        <x:f>IF('ХВП'!$T13="Да",1,0)</x:f>
      </x:c>
      <x:c r="F673" s="700">
        <x:f>IF('ХВП'!$Z13="Да",1,0)</x:f>
      </x:c>
      <x:c r="G673" s="701">
        <x:f>IF('ХВП'!$AF13="Да",1,0)</x:f>
      </x:c>
      <x:c r="H673" s="702">
        <x:f>IF('ХВП'!$AL13="Да",1,0)</x:f>
      </x:c>
      <x:c r="I673" s="703">
        <x:f>IF('ХВП'!$AR13="Да",1,0)</x:f>
      </x:c>
      <x:c r="J673" s="704">
        <x:f>IF('ХВП'!$AX13="Да",1,0)</x:f>
      </x:c>
      <x:c r="K673" s="705">
        <x:f>IF('ХВП'!$BD13="Да",1,0)</x:f>
      </x:c>
      <x:c r="L673" s="706">
        <x:f>IF('ХВП'!$BJ13="Да",1,0)</x:f>
      </x:c>
      <x:c r="M673" s="707">
        <x:f>IF('ХВП'!$BP13="Да",1,0)</x:f>
      </x:c>
      <x:c r="N673" s="708">
        <x:f>IF('ХВП'!$BV13="Да",1,0)</x:f>
      </x:c>
      <x:c r="O673" s="375">
        <x:f>IFERROR(ROUND(SUM(C673:N673)/($S$663),1),"")</x:f>
      </x:c>
    </x:row>
    <x:row r="674" spans="1:25" ht="15" customHeight="1" x14ac:dyDescent="0.25">
      <x:c r="A674" s="710"/>
      <x:c r="B674" s="363" t="s">
        <x:v>1000</x:v>
      </x:c>
      <x:c r="C674" s="697">
        <x:f>IF('ХВП'!$H14="Да",1,0)</x:f>
      </x:c>
      <x:c r="D674" s="698">
        <x:f>IF('ХВП'!$N14="Да",1,0)</x:f>
      </x:c>
      <x:c r="E674" s="699">
        <x:f>IF('ХВП'!$T14="Да",1,0)</x:f>
      </x:c>
      <x:c r="F674" s="700">
        <x:f>IF('ХВП'!$Z14="Да",1,0)</x:f>
      </x:c>
      <x:c r="G674" s="701">
        <x:f>IF('ХВП'!$AF14="Да",1,0)</x:f>
      </x:c>
      <x:c r="H674" s="702">
        <x:f>IF('ХВП'!$AL14="Да",1,0)</x:f>
      </x:c>
      <x:c r="I674" s="703">
        <x:f>IF('ХВП'!$AR14="Да",1,0)</x:f>
      </x:c>
      <x:c r="J674" s="704">
        <x:f>IF('ХВП'!$AX14="Да",1,0)</x:f>
      </x:c>
      <x:c r="K674" s="705">
        <x:f>IF('ХВП'!$BD14="Да",1,0)</x:f>
      </x:c>
      <x:c r="L674" s="706">
        <x:f>IF('ХВП'!$BJ14="Да",1,0)</x:f>
      </x:c>
      <x:c r="M674" s="707">
        <x:f>IF('ХВП'!$BP14="Да",1,0)</x:f>
      </x:c>
      <x:c r="N674" s="708">
        <x:f>IF('ХВП'!$BV14="Да",1,0)</x:f>
      </x:c>
      <x:c r="O674" s="375">
        <x:f>IFERROR(ROUND(SUM(C674:N674)/($S$663),1),"")</x:f>
      </x:c>
    </x:row>
    <x:row r="675" spans="1:25" ht="15" customHeight="1" x14ac:dyDescent="0.25">
      <x:c r="A675" s="710"/>
      <x:c r="B675" s="363" t="s">
        <x:v>1011</x:v>
      </x:c>
      <x:c r="C675" s="697">
        <x:f>IF('ХВП'!$H15="Да",1,0)</x:f>
      </x:c>
      <x:c r="D675" s="698">
        <x:f>IF('ХВП'!$N15="Да",1,0)</x:f>
      </x:c>
      <x:c r="E675" s="699">
        <x:f>IF('ХВП'!$T15="Да",1,0)</x:f>
      </x:c>
      <x:c r="F675" s="700">
        <x:f>IF('ХВП'!$Z15="Да",1,0)</x:f>
      </x:c>
      <x:c r="G675" s="701">
        <x:f>IF('ХВП'!$AF15="Да",1,0)</x:f>
      </x:c>
      <x:c r="H675" s="702">
        <x:f>IF('ХВП'!$AL15="Да",1,0)</x:f>
      </x:c>
      <x:c r="I675" s="703">
        <x:f>IF('ХВП'!$AR15="Да",1,0)</x:f>
      </x:c>
      <x:c r="J675" s="704">
        <x:f>IF('ХВП'!$AX15="Да",1,0)</x:f>
      </x:c>
      <x:c r="K675" s="705">
        <x:f>IF('ХВП'!$BD15="Да",1,0)</x:f>
      </x:c>
      <x:c r="L675" s="706">
        <x:f>IF('ХВП'!$BJ15="Да",1,0)</x:f>
      </x:c>
      <x:c r="M675" s="707">
        <x:f>IF('ХВП'!$BP15="Да",1,0)</x:f>
      </x:c>
      <x:c r="N675" s="708">
        <x:f>IF('ХВП'!$BV15="Да",1,0)</x:f>
      </x:c>
      <x:c r="O675" s="375">
        <x:f>IFERROR(ROUND(SUM(C675:N675)/($S$663),1),"")</x:f>
      </x:c>
    </x:row>
    <x:row r="676" spans="1:25" ht="15" customHeight="1" x14ac:dyDescent="0.25">
      <x:c r="A676" s="710"/>
      <x:c r="B676" s="363" t="s">
        <x:v>999</x:v>
      </x:c>
      <x:c r="C676" s="697">
        <x:f>IF('ХВП'!$H16="Да",1,0)</x:f>
      </x:c>
      <x:c r="D676" s="698">
        <x:f>IF('ХВП'!$N16="Да",1,0)</x:f>
      </x:c>
      <x:c r="E676" s="699">
        <x:f>IF('ХВП'!$T16="Да",1,0)</x:f>
      </x:c>
      <x:c r="F676" s="700">
        <x:f>IF('ХВП'!$Z16="Да",1,0)</x:f>
      </x:c>
      <x:c r="G676" s="701">
        <x:f>IF('ХВП'!$AF16="Да",1,0)</x:f>
      </x:c>
      <x:c r="H676" s="702">
        <x:f>IF('ХВП'!$AL16="Да",1,0)</x:f>
      </x:c>
      <x:c r="I676" s="703">
        <x:f>IF('ХВП'!$AR16="Да",1,0)</x:f>
      </x:c>
      <x:c r="J676" s="704">
        <x:f>IF('ХВП'!$AX16="Да",1,0)</x:f>
      </x:c>
      <x:c r="K676" s="705">
        <x:f>IF('ХВП'!$BD16="Да",1,0)</x:f>
      </x:c>
      <x:c r="L676" s="706">
        <x:f>IF('ХВП'!$BJ16="Да",1,0)</x:f>
      </x:c>
      <x:c r="M676" s="707">
        <x:f>IF('ХВП'!$BP16="Да",1,0)</x:f>
      </x:c>
      <x:c r="N676" s="708">
        <x:f>IF('ХВП'!$BV16="Да",1,0)</x:f>
      </x:c>
      <x:c r="O676" s="375">
        <x:f>IFERROR(ROUND(SUM(C676:N676)/($S$663),1),"")</x:f>
      </x:c>
    </x:row>
    <x:row r="677" spans="1:25" ht="15" customHeight="1" x14ac:dyDescent="0.25">
      <x:c r="A677" s="710"/>
      <x:c r="B677" s="363" t="s">
        <x:v>1016</x:v>
      </x:c>
      <x:c r="C677" s="697">
        <x:f>IF('ХВП'!$H17="Да",1,0)</x:f>
      </x:c>
      <x:c r="D677" s="698">
        <x:f>IF('ХВП'!$N17="Да",1,0)</x:f>
      </x:c>
      <x:c r="E677" s="699">
        <x:f>IF('ХВП'!$T17="Да",1,0)</x:f>
      </x:c>
      <x:c r="F677" s="700">
        <x:f>IF('ХВП'!$Z17="Да",1,0)</x:f>
      </x:c>
      <x:c r="G677" s="701">
        <x:f>IF('ХВП'!$AF17="Да",1,0)</x:f>
      </x:c>
      <x:c r="H677" s="702">
        <x:f>IF('ХВП'!$AL17="Да",1,0)</x:f>
      </x:c>
      <x:c r="I677" s="703">
        <x:f>IF('ХВП'!$AR17="Да",1,0)</x:f>
      </x:c>
      <x:c r="J677" s="704">
        <x:f>IF('ХВП'!$AX17="Да",1,0)</x:f>
      </x:c>
      <x:c r="K677" s="705">
        <x:f>IF('ХВП'!$BD17="Да",1,0)</x:f>
      </x:c>
      <x:c r="L677" s="706">
        <x:f>IF('ХВП'!$BJ17="Да",1,0)</x:f>
      </x:c>
      <x:c r="M677" s="707">
        <x:f>IF('ХВП'!$BP17="Да",1,0)</x:f>
      </x:c>
      <x:c r="N677" s="708">
        <x:f>IF('ХВП'!$BV17="Да",1,0)</x:f>
      </x:c>
      <x:c r="O677" s="375">
        <x:f>IFERROR(ROUND(SUM(C677:N677)/($S$663),1),"")</x:f>
      </x:c>
    </x:row>
    <x:row r="678" spans="1:25" ht="15" customHeight="1" x14ac:dyDescent="0.25">
      <x:c r="A678" s="710"/>
      <x:c r="B678" s="363" t="s">
        <x:v>998</x:v>
      </x:c>
      <x:c r="C678" s="697">
        <x:f>IF('ХВП'!$H18="Да",1,0)</x:f>
      </x:c>
      <x:c r="D678" s="698">
        <x:f>IF('ХВП'!$N18="Да",1,0)</x:f>
      </x:c>
      <x:c r="E678" s="699">
        <x:f>IF('ХВП'!$T18="Да",1,0)</x:f>
      </x:c>
      <x:c r="F678" s="700">
        <x:f>IF('ХВП'!$Z18="Да",1,0)</x:f>
      </x:c>
      <x:c r="G678" s="701">
        <x:f>IF('ХВП'!$AF18="Да",1,0)</x:f>
      </x:c>
      <x:c r="H678" s="702">
        <x:f>IF('ХВП'!$AL18="Да",1,0)</x:f>
      </x:c>
      <x:c r="I678" s="703">
        <x:f>IF('ХВП'!$AR18="Да",1,0)</x:f>
      </x:c>
      <x:c r="J678" s="704">
        <x:f>IF('ХВП'!$AX18="Да",1,0)</x:f>
      </x:c>
      <x:c r="K678" s="705">
        <x:f>IF('ХВП'!$BD18="Да",1,0)</x:f>
      </x:c>
      <x:c r="L678" s="706">
        <x:f>IF('ХВП'!$BJ18="Да",1,0)</x:f>
      </x:c>
      <x:c r="M678" s="707">
        <x:f>IF('ХВП'!$BP18="Да",1,0)</x:f>
      </x:c>
      <x:c r="N678" s="708">
        <x:f>IF('ХВП'!$BV18="Да",1,0)</x:f>
      </x:c>
      <x:c r="O678" s="375">
        <x:f>IFERROR(ROUND(SUM(C678:N678)/($S$663),1),"")</x:f>
      </x:c>
    </x:row>
    <x:row r="679" spans="1:25" ht="15" customHeight="1" x14ac:dyDescent="0.25">
      <x:c r="A679" s="710"/>
      <x:c r="B679" s="363" t="s">
        <x:v>1005</x:v>
      </x:c>
      <x:c r="C679" s="697">
        <x:f>IF('ХВП'!$H19="Да",1,0)</x:f>
      </x:c>
      <x:c r="D679" s="698">
        <x:f>IF('ХВП'!$N19="Да",1,0)</x:f>
      </x:c>
      <x:c r="E679" s="699">
        <x:f>IF('ХВП'!$T19="Да",1,0)</x:f>
      </x:c>
      <x:c r="F679" s="700">
        <x:f>IF('ХВП'!$Z19="Да",1,0)</x:f>
      </x:c>
      <x:c r="G679" s="701">
        <x:f>IF('ХВП'!$AF19="Да",1,0)</x:f>
      </x:c>
      <x:c r="H679" s="702">
        <x:f>IF('ХВП'!$AL19="Да",1,0)</x:f>
      </x:c>
      <x:c r="I679" s="703">
        <x:f>IF('ХВП'!$AR19="Да",1,0)</x:f>
      </x:c>
      <x:c r="J679" s="704">
        <x:f>IF('ХВП'!$AX19="Да",1,0)</x:f>
      </x:c>
      <x:c r="K679" s="705">
        <x:f>IF('ХВП'!$BD19="Да",1,0)</x:f>
      </x:c>
      <x:c r="L679" s="706">
        <x:f>IF('ХВП'!$BJ19="Да",1,0)</x:f>
      </x:c>
      <x:c r="M679" s="707">
        <x:f>IF('ХВП'!$BP19="Да",1,0)</x:f>
      </x:c>
      <x:c r="N679" s="708">
        <x:f>IF('ХВП'!$BV19="Да",1,0)</x:f>
      </x:c>
      <x:c r="O679" s="375">
        <x:f>IFERROR(ROUND(SUM(C679:N679)/($S$663),1),"")</x:f>
      </x:c>
    </x:row>
    <x:row r="680" spans="1:25" ht="15" customHeight="1" x14ac:dyDescent="0.25">
      <x:c r="A680" s="710"/>
      <x:c r="B680" s="363" t="s">
        <x:v>1007</x:v>
      </x:c>
      <x:c r="C680" s="697">
        <x:f>IF('ХВП'!$H20="Да",1,0)</x:f>
      </x:c>
      <x:c r="D680" s="698">
        <x:f>IF('ХВП'!$N20="Да",1,0)</x:f>
      </x:c>
      <x:c r="E680" s="699">
        <x:f>IF('ХВП'!$T20="Да",1,0)</x:f>
      </x:c>
      <x:c r="F680" s="700">
        <x:f>IF('ХВП'!$Z20="Да",1,0)</x:f>
      </x:c>
      <x:c r="G680" s="701">
        <x:f>IF('ХВП'!$AF20="Да",1,0)</x:f>
      </x:c>
      <x:c r="H680" s="702">
        <x:f>IF('ХВП'!$AL20="Да",1,0)</x:f>
      </x:c>
      <x:c r="I680" s="703">
        <x:f>IF('ХВП'!$AR20="Да",1,0)</x:f>
      </x:c>
      <x:c r="J680" s="704">
        <x:f>IF('ХВП'!$AX20="Да",1,0)</x:f>
      </x:c>
      <x:c r="K680" s="705">
        <x:f>IF('ХВП'!$BD20="Да",1,0)</x:f>
      </x:c>
      <x:c r="L680" s="706">
        <x:f>IF('ХВП'!$BJ20="Да",1,0)</x:f>
      </x:c>
      <x:c r="M680" s="707">
        <x:f>IF('ХВП'!$BP20="Да",1,0)</x:f>
      </x:c>
      <x:c r="N680" s="708">
        <x:f>IF('ХВП'!$BV20="Да",1,0)</x:f>
      </x:c>
      <x:c r="O680" s="375">
        <x:f>IFERROR(ROUND(SUM(C680:N680)/($S$663),1),"")</x:f>
      </x:c>
    </x:row>
    <x:row r="681" spans="1:25" ht="15" customHeight="1" x14ac:dyDescent="0.25">
      <x:c r="A681" s="710"/>
      <x:c r="B681" s="363" t="s">
        <x:v>1015</x:v>
      </x:c>
      <x:c r="C681" s="697">
        <x:f>IF('ХВП'!$H21="Да",1,0)</x:f>
      </x:c>
      <x:c r="D681" s="698">
        <x:f>IF('ХВП'!$N21="Да",1,0)</x:f>
      </x:c>
      <x:c r="E681" s="699">
        <x:f>IF('ХВП'!$T21="Да",1,0)</x:f>
      </x:c>
      <x:c r="F681" s="700">
        <x:f>IF('ХВП'!$Z21="Да",1,0)</x:f>
      </x:c>
      <x:c r="G681" s="701">
        <x:f>IF('ХВП'!$AF21="Да",1,0)</x:f>
      </x:c>
      <x:c r="H681" s="702">
        <x:f>IF('ХВП'!$AL21="Да",1,0)</x:f>
      </x:c>
      <x:c r="I681" s="703">
        <x:f>IF('ХВП'!$AR21="Да",1,0)</x:f>
      </x:c>
      <x:c r="J681" s="704">
        <x:f>IF('ХВП'!$AX21="Да",1,0)</x:f>
      </x:c>
      <x:c r="K681" s="705">
        <x:f>IF('ХВП'!$BD21="Да",1,0)</x:f>
      </x:c>
      <x:c r="L681" s="706">
        <x:f>IF('ХВП'!$BJ21="Да",1,0)</x:f>
      </x:c>
      <x:c r="M681" s="707">
        <x:f>IF('ХВП'!$BP21="Да",1,0)</x:f>
      </x:c>
      <x:c r="N681" s="708">
        <x:f>IF('ХВП'!$BV21="Да",1,0)</x:f>
      </x:c>
      <x:c r="O681" s="375">
        <x:f>IFERROR(ROUND(SUM(C681:N681)/($S$663),1),"")</x:f>
      </x:c>
    </x:row>
    <x:row r="682" spans="1:25" ht="15" customHeight="1" x14ac:dyDescent="0.3">
      <x:c r="A682" s="710"/>
      <x:c r="B682" s="363" t="s">
        <x:v>997</x:v>
      </x:c>
      <x:c r="C682" s="697">
        <x:f>IF('ХВП'!$H22="Да",1,0)</x:f>
      </x:c>
      <x:c r="D682" s="698">
        <x:f>IF('ХВП'!$N22="Да",1,0)</x:f>
      </x:c>
      <x:c r="E682" s="699">
        <x:f>IF('ХВП'!$T22="Да",1,0)</x:f>
      </x:c>
      <x:c r="F682" s="700">
        <x:f>IF('ХВП'!$Z22="Да",1,0)</x:f>
      </x:c>
      <x:c r="G682" s="701">
        <x:f>IF('ХВП'!$AF22="Да",1,0)</x:f>
      </x:c>
      <x:c r="H682" s="702">
        <x:f>IF('ХВП'!$AL22="Да",1,0)</x:f>
      </x:c>
      <x:c r="I682" s="703">
        <x:f>IF('ХВП'!$AR22="Да",1,0)</x:f>
      </x:c>
      <x:c r="J682" s="704">
        <x:f>IF('ХВП'!$AX22="Да",1,0)</x:f>
      </x:c>
      <x:c r="K682" s="705">
        <x:f>IF('ХВП'!$BD22="Да",1,0)</x:f>
      </x:c>
      <x:c r="L682" s="706">
        <x:f>IF('ХВП'!$BJ22="Да",1,0)</x:f>
      </x:c>
      <x:c r="M682" s="707">
        <x:f>IF('ХВП'!$BP22="Да",1,0)</x:f>
      </x:c>
      <x:c r="N682" s="708">
        <x:f>IF('ХВП'!$BV22="Да",1,0)</x:f>
      </x:c>
      <x:c r="O682" s="375">
        <x:f>IFERROR(ROUND(SUM(C682:N682)/($S$663),1),"")</x:f>
      </x:c>
    </x:row>
    <x:row r="683" spans="1:25" ht="15.75" customHeight="1" x14ac:dyDescent="0.25">
      <x:c r="A683" s="717"/>
      <x:c r="B683" s="379" t="s">
        <x:v>1001</x:v>
      </x:c>
      <x:c r="C683" s="697">
        <x:f>IF('ХВП'!$H23="Да",1,0)</x:f>
      </x:c>
      <x:c r="D683" s="698">
        <x:f>IF('ХВП'!$N23="Да",1,0)</x:f>
      </x:c>
      <x:c r="E683" s="699">
        <x:f>IF('ХВП'!$T23="Да",1,0)</x:f>
      </x:c>
      <x:c r="F683" s="700">
        <x:f>IF('ХВП'!$Z23="Да",1,0)</x:f>
      </x:c>
      <x:c r="G683" s="701">
        <x:f>IF('ХВП'!$AF23="Да",1,0)</x:f>
      </x:c>
      <x:c r="H683" s="702">
        <x:f>IF('ХВП'!$AL23="Да",1,0)</x:f>
      </x:c>
      <x:c r="I683" s="703">
        <x:f>IF('ХВП'!$AR23="Да",1,0)</x:f>
      </x:c>
      <x:c r="J683" s="704">
        <x:f>IF('ХВП'!$AX23="Да",1,0)</x:f>
      </x:c>
      <x:c r="K683" s="705">
        <x:f>IF('ХВП'!$BD23="Да",1,0)</x:f>
      </x:c>
      <x:c r="L683" s="706">
        <x:f>IF('ХВП'!$BJ23="Да",1,0)</x:f>
      </x:c>
      <x:c r="M683" s="707">
        <x:f>IF('ХВП'!$BP23="Да",1,0)</x:f>
      </x:c>
      <x:c r="N683" s="708">
        <x:f>IF('ХВП'!$BV23="Да",1,0)</x:f>
      </x:c>
      <x:c r="O683" s="375">
        <x:f>IFERROR(ROUND(SUM(C683:N683)/($S$663),1),"")</x:f>
      </x:c>
    </x:row>
    <x:row r="684" spans="1:25" ht="15" customHeight="1" x14ac:dyDescent="0.25">
      <x:c r="A684" s="696" t="s">
        <x:v>1087</x:v>
      </x:c>
      <x:c r="B684" s="363" t="s">
        <x:v>769</x:v>
      </x:c>
      <x:c r="C684" s="697">
        <x:f>IF('ГРС'!$H3="Да",1,0)</x:f>
      </x:c>
      <x:c r="D684" s="698">
        <x:f>IF('ГРС'!$N3="Да",1,0)</x:f>
      </x:c>
      <x:c r="E684" s="699">
        <x:f>IF('ГРС'!$T3="Да",1,0)</x:f>
      </x:c>
      <x:c r="F684" s="700">
        <x:f>IF('ГРС'!$Z3="Да",1,0)</x:f>
      </x:c>
      <x:c r="G684" s="701">
        <x:f>IF('ГРС'!$AF3="Да",1,0)</x:f>
      </x:c>
      <x:c r="H684" s="702">
        <x:f>IF('ГРС'!$AL3="Да",1,0)</x:f>
      </x:c>
      <x:c r="I684" s="703">
        <x:f>IF('ГРС'!$AR3="Да",1,0)</x:f>
      </x:c>
      <x:c r="J684" s="704">
        <x:f>IF('ГРС'!$AX3="Да",1,0)</x:f>
      </x:c>
      <x:c r="K684" s="705">
        <x:f>IF('ГРС'!$BD3="Да",1,0)</x:f>
      </x:c>
      <x:c r="L684" s="706">
        <x:f>IF('ГРС'!$BJ3="Да",1,0)</x:f>
      </x:c>
      <x:c r="M684" s="707">
        <x:f>IF('ГРС'!$BP3="Да",1,0)</x:f>
      </x:c>
      <x:c r="N684" s="708">
        <x:f>IF('ГРС'!$BV3="Да",1,0)</x:f>
      </x:c>
      <x:c r="O684" s="375">
        <x:f>IFERROR(ROUND(SUM(C684:N684)/($S$684),1),"")</x:f>
      </x:c>
      <x:c r="Q684" s="709" t="s">
        <x:v>1151</x:v>
      </x:c>
      <x:c r="R684" s="596"/>
      <x:c r="S684" s="376">
        <x:f>SUM(IF(COUNTIF(C684:C704,"&gt;0")&gt;0,1,0),IF(COUNTIF(D684:D704,"&gt;0")&gt;0,1,0),IF(COUNTIF(E684:E704,"&gt;0")&gt;0,1,0),IF(COUNTIF(F684:F704,"&gt;0")&gt;0,1,0),IF(COUNTIF(G684:G704,"&gt;0")&gt;0,1,0),IF(COUNTIF(H684:H704,"&gt;0")&gt;0,1,0),IF(COUNTIF(I684:I704,"&gt;0")&gt;0,1,0),IF(COUNTIF(J684:J704,"&gt;0")&gt;0,1,0),IF(COUNTIF(K684:K704,"&gt;0")&gt;0,1,0),IF(COUNTIF(L684:L704,"&gt;0")&gt;0,1,0),IF(COUNTIF(M684:M704,"&gt;0")&gt;0,1,0),IF(COUNTIF(N684:N704,"&gt;0")&gt;0,1,0))</x:f>
      </x:c>
    </x:row>
    <x:row r="685" spans="1:25" ht="15" customHeight="1" x14ac:dyDescent="0.25">
      <x:c r="A685" s="710"/>
      <x:c r="B685" s="363" t="s">
        <x:v>778</x:v>
      </x:c>
      <x:c r="C685" s="697">
        <x:f>IF('ГРС'!$H4="Да",1,0)</x:f>
      </x:c>
      <x:c r="D685" s="698">
        <x:f>IF('ГРС'!$N4="Да",1,0)</x:f>
      </x:c>
      <x:c r="E685" s="699">
        <x:f>IF('ГРС'!$T4="Да",1,0)</x:f>
      </x:c>
      <x:c r="F685" s="700">
        <x:f>IF('ГРС'!$Z4="Да",1,0)</x:f>
      </x:c>
      <x:c r="G685" s="701">
        <x:f>IF('ГРС'!$AF4="Да",1,0)</x:f>
      </x:c>
      <x:c r="H685" s="702">
        <x:f>IF('ГРС'!$AL4="Да",1,0)</x:f>
      </x:c>
      <x:c r="I685" s="703">
        <x:f>IF('ГРС'!$AR4="Да",1,0)</x:f>
      </x:c>
      <x:c r="J685" s="704">
        <x:f>IF('ГРС'!$AX4="Да",1,0)</x:f>
      </x:c>
      <x:c r="K685" s="705">
        <x:f>IF('ГРС'!$BD4="Да",1,0)</x:f>
      </x:c>
      <x:c r="L685" s="706">
        <x:f>IF('ГРС'!$BJ4="Да",1,0)</x:f>
      </x:c>
      <x:c r="M685" s="707">
        <x:f>IF('ГРС'!$BP4="Да",1,0)</x:f>
      </x:c>
      <x:c r="N685" s="708">
        <x:f>IF('ГРС'!$BV4="Да",1,0)</x:f>
      </x:c>
      <x:c r="O685" s="375">
        <x:f>IFERROR(ROUND(SUM(C685:N685)/($S$684),1),"")</x:f>
      </x:c>
      <x:c r="Q685" s="711"/>
      <x:c r="R685" s="712"/>
      <x:c r="S685" s="713"/>
    </x:row>
    <x:row r="686" spans="1:25" ht="15" customHeight="1" x14ac:dyDescent="0.25">
      <x:c r="A686" s="710"/>
      <x:c r="B686" s="363" t="s">
        <x:v>780</x:v>
      </x:c>
      <x:c r="C686" s="697">
        <x:f>IF('ГРС'!$H5="Да",1,0)</x:f>
      </x:c>
      <x:c r="D686" s="698">
        <x:f>IF('ГРС'!$N5="Да",1,0)</x:f>
      </x:c>
      <x:c r="E686" s="699">
        <x:f>IF('ГРС'!$T5="Да",1,0)</x:f>
      </x:c>
      <x:c r="F686" s="700">
        <x:f>IF('ГРС'!$Z5="Да",1,0)</x:f>
      </x:c>
      <x:c r="G686" s="701">
        <x:f>IF('ГРС'!$AF5="Да",1,0)</x:f>
      </x:c>
      <x:c r="H686" s="702">
        <x:f>IF('ГРС'!$AL5="Да",1,0)</x:f>
      </x:c>
      <x:c r="I686" s="703">
        <x:f>IF('ГРС'!$AR5="Да",1,0)</x:f>
      </x:c>
      <x:c r="J686" s="704">
        <x:f>IF('ГРС'!$AX5="Да",1,0)</x:f>
      </x:c>
      <x:c r="K686" s="705">
        <x:f>IF('ГРС'!$BD5="Да",1,0)</x:f>
      </x:c>
      <x:c r="L686" s="706">
        <x:f>IF('ГРС'!$BJ5="Да",1,0)</x:f>
      </x:c>
      <x:c r="M686" s="707">
        <x:f>IF('ГРС'!$BP5="Да",1,0)</x:f>
      </x:c>
      <x:c r="N686" s="708">
        <x:f>IF('ГРС'!$BV5="Да",1,0)</x:f>
      </x:c>
      <x:c r="O686" s="375">
        <x:f>IFERROR(ROUND(SUM(C686:N686)/($S$684),1),"")</x:f>
      </x:c>
      <x:c r="Q686" s="714"/>
      <x:c r="R686" s="715"/>
      <x:c r="S686" s="716"/>
    </x:row>
    <x:row r="687" spans="1:25" ht="15" customHeight="1" x14ac:dyDescent="0.25">
      <x:c r="A687" s="710"/>
      <x:c r="B687" s="363" t="s">
        <x:v>762</x:v>
      </x:c>
      <x:c r="C687" s="697">
        <x:f>IF('ГРС'!$H6="Да",1,0)</x:f>
      </x:c>
      <x:c r="D687" s="698">
        <x:f>IF('ГРС'!$N6="Да",1,0)</x:f>
      </x:c>
      <x:c r="E687" s="699">
        <x:f>IF('ГРС'!$T6="Да",1,0)</x:f>
      </x:c>
      <x:c r="F687" s="700">
        <x:f>IF('ГРС'!$Z6="Да",1,0)</x:f>
      </x:c>
      <x:c r="G687" s="701">
        <x:f>IF('ГРС'!$AF6="Да",1,0)</x:f>
      </x:c>
      <x:c r="H687" s="702">
        <x:f>IF('ГРС'!$AL6="Да",1,0)</x:f>
      </x:c>
      <x:c r="I687" s="703">
        <x:f>IF('ГРС'!$AR6="Да",1,0)</x:f>
      </x:c>
      <x:c r="J687" s="704">
        <x:f>IF('ГРС'!$AX6="Да",1,0)</x:f>
      </x:c>
      <x:c r="K687" s="705">
        <x:f>IF('ГРС'!$BD6="Да",1,0)</x:f>
      </x:c>
      <x:c r="L687" s="706">
        <x:f>IF('ГРС'!$BJ6="Да",1,0)</x:f>
      </x:c>
      <x:c r="M687" s="707">
        <x:f>IF('ГРС'!$BP6="Да",1,0)</x:f>
      </x:c>
      <x:c r="N687" s="708">
        <x:f>IF('ГРС'!$BV6="Да",1,0)</x:f>
      </x:c>
      <x:c r="O687" s="375">
        <x:f>IFERROR(ROUND(SUM(C687:N687)/($S$684),1),"")</x:f>
      </x:c>
    </x:row>
    <x:row r="688" spans="1:25" ht="15" customHeight="1" x14ac:dyDescent="0.25">
      <x:c r="A688" s="710"/>
      <x:c r="B688" s="363" t="s">
        <x:v>761</x:v>
      </x:c>
      <x:c r="C688" s="697">
        <x:f>IF('ГРС'!$H7="Да",1,0)</x:f>
      </x:c>
      <x:c r="D688" s="698">
        <x:f>IF('ГРС'!$N7="Да",1,0)</x:f>
      </x:c>
      <x:c r="E688" s="699">
        <x:f>IF('ГРС'!$T7="Да",1,0)</x:f>
      </x:c>
      <x:c r="F688" s="700">
        <x:f>IF('ГРС'!$Z7="Да",1,0)</x:f>
      </x:c>
      <x:c r="G688" s="701">
        <x:f>IF('ГРС'!$AF7="Да",1,0)</x:f>
      </x:c>
      <x:c r="H688" s="702">
        <x:f>IF('ГРС'!$AL7="Да",1,0)</x:f>
      </x:c>
      <x:c r="I688" s="703">
        <x:f>IF('ГРС'!$AR7="Да",1,0)</x:f>
      </x:c>
      <x:c r="J688" s="704">
        <x:f>IF('ГРС'!$AX7="Да",1,0)</x:f>
      </x:c>
      <x:c r="K688" s="705">
        <x:f>IF('ГРС'!$BD7="Да",1,0)</x:f>
      </x:c>
      <x:c r="L688" s="706">
        <x:f>IF('ГРС'!$BJ7="Да",1,0)</x:f>
      </x:c>
      <x:c r="M688" s="707">
        <x:f>IF('ГРС'!$BP7="Да",1,0)</x:f>
      </x:c>
      <x:c r="N688" s="708">
        <x:f>IF('ГРС'!$BV7="Да",1,0)</x:f>
      </x:c>
      <x:c r="O688" s="375">
        <x:f>IFERROR(ROUND(SUM(C688:N688)/($S$684),1),"")</x:f>
      </x:c>
    </x:row>
    <x:row r="689" spans="1:25" ht="15" customHeight="1" x14ac:dyDescent="0.25">
      <x:c r="A689" s="710"/>
      <x:c r="B689" s="363" t="s">
        <x:v>777</x:v>
      </x:c>
      <x:c r="C689" s="697">
        <x:f>IF('ГРС'!$H8="Да",1,0)</x:f>
      </x:c>
      <x:c r="D689" s="698">
        <x:f>IF('ГРС'!$N8="Да",1,0)</x:f>
      </x:c>
      <x:c r="E689" s="699">
        <x:f>IF('ГРС'!$T8="Да",1,0)</x:f>
      </x:c>
      <x:c r="F689" s="700">
        <x:f>IF('ГРС'!$Z8="Да",1,0)</x:f>
      </x:c>
      <x:c r="G689" s="701">
        <x:f>IF('ГРС'!$AF8="Да",1,0)</x:f>
      </x:c>
      <x:c r="H689" s="702">
        <x:f>IF('ГРС'!$AL8="Да",1,0)</x:f>
      </x:c>
      <x:c r="I689" s="703">
        <x:f>IF('ГРС'!$AR8="Да",1,0)</x:f>
      </x:c>
      <x:c r="J689" s="704">
        <x:f>IF('ГРС'!$AX8="Да",1,0)</x:f>
      </x:c>
      <x:c r="K689" s="705">
        <x:f>IF('ГРС'!$BD8="Да",1,0)</x:f>
      </x:c>
      <x:c r="L689" s="706">
        <x:f>IF('ГРС'!$BJ8="Да",1,0)</x:f>
      </x:c>
      <x:c r="M689" s="707">
        <x:f>IF('ГРС'!$BP8="Да",1,0)</x:f>
      </x:c>
      <x:c r="N689" s="708">
        <x:f>IF('ГРС'!$BV8="Да",1,0)</x:f>
      </x:c>
      <x:c r="O689" s="375">
        <x:f>IFERROR(ROUND(SUM(C689:N689)/($S$684),1),"")</x:f>
      </x:c>
    </x:row>
    <x:row r="690" spans="1:25" ht="15" customHeight="1" x14ac:dyDescent="0.25">
      <x:c r="A690" s="710"/>
      <x:c r="B690" s="363" t="s">
        <x:v>779</x:v>
      </x:c>
      <x:c r="C690" s="697">
        <x:f>IF('ГРС'!$H9="Да",1,0)</x:f>
      </x:c>
      <x:c r="D690" s="698">
        <x:f>IF('ГРС'!$N9="Да",1,0)</x:f>
      </x:c>
      <x:c r="E690" s="699">
        <x:f>IF('ГРС'!$T9="Да",1,0)</x:f>
      </x:c>
      <x:c r="F690" s="700">
        <x:f>IF('ГРС'!$Z9="Да",1,0)</x:f>
      </x:c>
      <x:c r="G690" s="701">
        <x:f>IF('ГРС'!$AF9="Да",1,0)</x:f>
      </x:c>
      <x:c r="H690" s="702">
        <x:f>IF('ГРС'!$AL9="Да",1,0)</x:f>
      </x:c>
      <x:c r="I690" s="703">
        <x:f>IF('ГРС'!$AR9="Да",1,0)</x:f>
      </x:c>
      <x:c r="J690" s="704">
        <x:f>IF('ГРС'!$AX9="Да",1,0)</x:f>
      </x:c>
      <x:c r="K690" s="705">
        <x:f>IF('ГРС'!$BD9="Да",1,0)</x:f>
      </x:c>
      <x:c r="L690" s="706">
        <x:f>IF('ГРС'!$BJ9="Да",1,0)</x:f>
      </x:c>
      <x:c r="M690" s="707">
        <x:f>IF('ГРС'!$BP9="Да",1,0)</x:f>
      </x:c>
      <x:c r="N690" s="708">
        <x:f>IF('ГРС'!$BV9="Да",1,0)</x:f>
      </x:c>
      <x:c r="O690" s="375">
        <x:f>IFERROR(ROUND(SUM(C690:N690)/($S$684),1),"")</x:f>
      </x:c>
    </x:row>
    <x:row r="691" spans="1:25" ht="15" customHeight="1" x14ac:dyDescent="0.25">
      <x:c r="A691" s="710"/>
      <x:c r="B691" s="363" t="s">
        <x:v>758</x:v>
      </x:c>
      <x:c r="C691" s="697">
        <x:f>IF('ГРС'!$H10="Да",1,0)</x:f>
      </x:c>
      <x:c r="D691" s="698">
        <x:f>IF('ГРС'!$N10="Да",1,0)</x:f>
      </x:c>
      <x:c r="E691" s="699">
        <x:f>IF('ГРС'!$T10="Да",1,0)</x:f>
      </x:c>
      <x:c r="F691" s="700">
        <x:f>IF('ГРС'!$Z10="Да",1,0)</x:f>
      </x:c>
      <x:c r="G691" s="701">
        <x:f>IF('ГРС'!$AF10="Да",1,0)</x:f>
      </x:c>
      <x:c r="H691" s="702">
        <x:f>IF('ГРС'!$AL10="Да",1,0)</x:f>
      </x:c>
      <x:c r="I691" s="703">
        <x:f>IF('ГРС'!$AR10="Да",1,0)</x:f>
      </x:c>
      <x:c r="J691" s="704">
        <x:f>IF('ГРС'!$AX10="Да",1,0)</x:f>
      </x:c>
      <x:c r="K691" s="705">
        <x:f>IF('ГРС'!$BD10="Да",1,0)</x:f>
      </x:c>
      <x:c r="L691" s="706">
        <x:f>IF('ГРС'!$BJ10="Да",1,0)</x:f>
      </x:c>
      <x:c r="M691" s="707">
        <x:f>IF('ГРС'!$BP10="Да",1,0)</x:f>
      </x:c>
      <x:c r="N691" s="708">
        <x:f>IF('ГРС'!$BV10="Да",1,0)</x:f>
      </x:c>
      <x:c r="O691" s="375">
        <x:f>IFERROR(ROUND(SUM(C691:N691)/($S$684),1),"")</x:f>
      </x:c>
    </x:row>
    <x:row r="692" spans="1:25" ht="15" customHeight="1" x14ac:dyDescent="0.25">
      <x:c r="A692" s="710"/>
      <x:c r="B692" s="363" t="s">
        <x:v>764</x:v>
      </x:c>
      <x:c r="C692" s="697">
        <x:f>IF('ГРС'!$H11="Да",1,0)</x:f>
      </x:c>
      <x:c r="D692" s="698">
        <x:f>IF('ГРС'!$N11="Да",1,0)</x:f>
      </x:c>
      <x:c r="E692" s="699">
        <x:f>IF('ГРС'!$T11="Да",1,0)</x:f>
      </x:c>
      <x:c r="F692" s="700">
        <x:f>IF('ГРС'!$Z11="Да",1,0)</x:f>
      </x:c>
      <x:c r="G692" s="701">
        <x:f>IF('ГРС'!$AF11="Да",1,0)</x:f>
      </x:c>
      <x:c r="H692" s="702">
        <x:f>IF('ГРС'!$AL11="Да",1,0)</x:f>
      </x:c>
      <x:c r="I692" s="703">
        <x:f>IF('ГРС'!$AR11="Да",1,0)</x:f>
      </x:c>
      <x:c r="J692" s="704">
        <x:f>IF('ГРС'!$AX11="Да",1,0)</x:f>
      </x:c>
      <x:c r="K692" s="705">
        <x:f>IF('ГРС'!$BD11="Да",1,0)</x:f>
      </x:c>
      <x:c r="L692" s="706">
        <x:f>IF('ГРС'!$BJ11="Да",1,0)</x:f>
      </x:c>
      <x:c r="M692" s="707">
        <x:f>IF('ГРС'!$BP11="Да",1,0)</x:f>
      </x:c>
      <x:c r="N692" s="708">
        <x:f>IF('ГРС'!$BV11="Да",1,0)</x:f>
      </x:c>
      <x:c r="O692" s="375">
        <x:f>IFERROR(ROUND(SUM(C692:N692)/($S$684),1),"")</x:f>
      </x:c>
    </x:row>
    <x:row r="693" spans="1:25" ht="15" customHeight="1" x14ac:dyDescent="0.25">
      <x:c r="A693" s="710"/>
      <x:c r="B693" s="363" t="s">
        <x:v>770</x:v>
      </x:c>
      <x:c r="C693" s="697">
        <x:f>IF('ГРС'!$H12="Да",1,0)</x:f>
      </x:c>
      <x:c r="D693" s="698">
        <x:f>IF('ГРС'!$N12="Да",1,0)</x:f>
      </x:c>
      <x:c r="E693" s="699">
        <x:f>IF('ГРС'!$T12="Да",1,0)</x:f>
      </x:c>
      <x:c r="F693" s="700">
        <x:f>IF('ГРС'!$Z12="Да",1,0)</x:f>
      </x:c>
      <x:c r="G693" s="701">
        <x:f>IF('ГРС'!$AF12="Да",1,0)</x:f>
      </x:c>
      <x:c r="H693" s="702">
        <x:f>IF('ГРС'!$AL12="Да",1,0)</x:f>
      </x:c>
      <x:c r="I693" s="703">
        <x:f>IF('ГРС'!$AR12="Да",1,0)</x:f>
      </x:c>
      <x:c r="J693" s="704">
        <x:f>IF('ГРС'!$AX12="Да",1,0)</x:f>
      </x:c>
      <x:c r="K693" s="705">
        <x:f>IF('ГРС'!$BD12="Да",1,0)</x:f>
      </x:c>
      <x:c r="L693" s="706">
        <x:f>IF('ГРС'!$BJ12="Да",1,0)</x:f>
      </x:c>
      <x:c r="M693" s="707">
        <x:f>IF('ГРС'!$BP12="Да",1,0)</x:f>
      </x:c>
      <x:c r="N693" s="708">
        <x:f>IF('ГРС'!$BV12="Да",1,0)</x:f>
      </x:c>
      <x:c r="O693" s="375">
        <x:f>IFERROR(ROUND(SUM(C693:N693)/($S$684),1),"")</x:f>
      </x:c>
    </x:row>
    <x:row r="694" spans="1:25" ht="15" customHeight="1" x14ac:dyDescent="0.25">
      <x:c r="A694" s="710"/>
      <x:c r="B694" s="363" t="s">
        <x:v>775</x:v>
      </x:c>
      <x:c r="C694" s="697">
        <x:f>IF('ГРС'!$H13="Да",1,0)</x:f>
      </x:c>
      <x:c r="D694" s="698">
        <x:f>IF('ГРС'!$N13="Да",1,0)</x:f>
      </x:c>
      <x:c r="E694" s="699">
        <x:f>IF('ГРС'!$T13="Да",1,0)</x:f>
      </x:c>
      <x:c r="F694" s="700">
        <x:f>IF('ГРС'!$Z13="Да",1,0)</x:f>
      </x:c>
      <x:c r="G694" s="701">
        <x:f>IF('ГРС'!$AF13="Да",1,0)</x:f>
      </x:c>
      <x:c r="H694" s="702">
        <x:f>IF('ГРС'!$AL13="Да",1,0)</x:f>
      </x:c>
      <x:c r="I694" s="703">
        <x:f>IF('ГРС'!$AR13="Да",1,0)</x:f>
      </x:c>
      <x:c r="J694" s="704">
        <x:f>IF('ГРС'!$AX13="Да",1,0)</x:f>
      </x:c>
      <x:c r="K694" s="705">
        <x:f>IF('ГРС'!$BD13="Да",1,0)</x:f>
      </x:c>
      <x:c r="L694" s="706">
        <x:f>IF('ГРС'!$BJ13="Да",1,0)</x:f>
      </x:c>
      <x:c r="M694" s="707">
        <x:f>IF('ГРС'!$BP13="Да",1,0)</x:f>
      </x:c>
      <x:c r="N694" s="708">
        <x:f>IF('ГРС'!$BV13="Да",1,0)</x:f>
      </x:c>
      <x:c r="O694" s="375">
        <x:f>IFERROR(ROUND(SUM(C694:N694)/($S$684),1),"")</x:f>
      </x:c>
    </x:row>
    <x:row r="695" spans="1:25" ht="15" customHeight="1" x14ac:dyDescent="0.25">
      <x:c r="A695" s="710"/>
      <x:c r="B695" s="363" t="s">
        <x:v>767</x:v>
      </x:c>
      <x:c r="C695" s="697">
        <x:f>IF('ГРС'!$H14="Да",1,0)</x:f>
      </x:c>
      <x:c r="D695" s="698">
        <x:f>IF('ГРС'!$N14="Да",1,0)</x:f>
      </x:c>
      <x:c r="E695" s="699">
        <x:f>IF('ГРС'!$T14="Да",1,0)</x:f>
      </x:c>
      <x:c r="F695" s="700">
        <x:f>IF('ГРС'!$Z14="Да",1,0)</x:f>
      </x:c>
      <x:c r="G695" s="701">
        <x:f>IF('ГРС'!$AF14="Да",1,0)</x:f>
      </x:c>
      <x:c r="H695" s="702">
        <x:f>IF('ГРС'!$AL14="Да",1,0)</x:f>
      </x:c>
      <x:c r="I695" s="703">
        <x:f>IF('ГРС'!$AR14="Да",1,0)</x:f>
      </x:c>
      <x:c r="J695" s="704">
        <x:f>IF('ГРС'!$AX14="Да",1,0)</x:f>
      </x:c>
      <x:c r="K695" s="705">
        <x:f>IF('ГРС'!$BD14="Да",1,0)</x:f>
      </x:c>
      <x:c r="L695" s="706">
        <x:f>IF('ГРС'!$BJ14="Да",1,0)</x:f>
      </x:c>
      <x:c r="M695" s="707">
        <x:f>IF('ГРС'!$BP14="Да",1,0)</x:f>
      </x:c>
      <x:c r="N695" s="708">
        <x:f>IF('ГРС'!$BV14="Да",1,0)</x:f>
      </x:c>
      <x:c r="O695" s="375">
        <x:f>IFERROR(ROUND(SUM(C695:N695)/($S$684),1),"")</x:f>
      </x:c>
    </x:row>
    <x:row r="696" spans="1:25" ht="15" customHeight="1" x14ac:dyDescent="0.25">
      <x:c r="A696" s="710"/>
      <x:c r="B696" s="363" t="s">
        <x:v>773</x:v>
      </x:c>
      <x:c r="C696" s="697">
        <x:f>IF('ГРС'!$H15="Да",1,0)</x:f>
      </x:c>
      <x:c r="D696" s="698">
        <x:f>IF('ГРС'!$N15="Да",1,0)</x:f>
      </x:c>
      <x:c r="E696" s="699">
        <x:f>IF('ГРС'!$T15="Да",1,0)</x:f>
      </x:c>
      <x:c r="F696" s="700">
        <x:f>IF('ГРС'!$Z15="Да",1,0)</x:f>
      </x:c>
      <x:c r="G696" s="701">
        <x:f>IF('ГРС'!$AF15="Да",1,0)</x:f>
      </x:c>
      <x:c r="H696" s="702">
        <x:f>IF('ГРС'!$AL15="Да",1,0)</x:f>
      </x:c>
      <x:c r="I696" s="703">
        <x:f>IF('ГРС'!$AR15="Да",1,0)</x:f>
      </x:c>
      <x:c r="J696" s="704">
        <x:f>IF('ГРС'!$AX15="Да",1,0)</x:f>
      </x:c>
      <x:c r="K696" s="705">
        <x:f>IF('ГРС'!$BD15="Да",1,0)</x:f>
      </x:c>
      <x:c r="L696" s="706">
        <x:f>IF('ГРС'!$BJ15="Да",1,0)</x:f>
      </x:c>
      <x:c r="M696" s="707">
        <x:f>IF('ГРС'!$BP15="Да",1,0)</x:f>
      </x:c>
      <x:c r="N696" s="708">
        <x:f>IF('ГРС'!$BV15="Да",1,0)</x:f>
      </x:c>
      <x:c r="O696" s="375">
        <x:f>IFERROR(ROUND(SUM(C696:N696)/($S$684),1),"")</x:f>
      </x:c>
    </x:row>
    <x:row r="697" spans="1:25" ht="15" customHeight="1" x14ac:dyDescent="0.25">
      <x:c r="A697" s="710"/>
      <x:c r="B697" s="363" t="s">
        <x:v>771</x:v>
      </x:c>
      <x:c r="C697" s="697">
        <x:f>IF('ГРС'!$H16="Да",1,0)</x:f>
      </x:c>
      <x:c r="D697" s="698">
        <x:f>IF('ГРС'!$N16="Да",1,0)</x:f>
      </x:c>
      <x:c r="E697" s="699">
        <x:f>IF('ГРС'!$T16="Да",1,0)</x:f>
      </x:c>
      <x:c r="F697" s="700">
        <x:f>IF('ГРС'!$Z16="Да",1,0)</x:f>
      </x:c>
      <x:c r="G697" s="701">
        <x:f>IF('ГРС'!$AF16="Да",1,0)</x:f>
      </x:c>
      <x:c r="H697" s="702">
        <x:f>IF('ГРС'!$AL16="Да",1,0)</x:f>
      </x:c>
      <x:c r="I697" s="703">
        <x:f>IF('ГРС'!$AR16="Да",1,0)</x:f>
      </x:c>
      <x:c r="J697" s="704">
        <x:f>IF('ГРС'!$AX16="Да",1,0)</x:f>
      </x:c>
      <x:c r="K697" s="705">
        <x:f>IF('ГРС'!$BD16="Да",1,0)</x:f>
      </x:c>
      <x:c r="L697" s="706">
        <x:f>IF('ГРС'!$BJ16="Да",1,0)</x:f>
      </x:c>
      <x:c r="M697" s="707">
        <x:f>IF('ГРС'!$BP16="Да",1,0)</x:f>
      </x:c>
      <x:c r="N697" s="708">
        <x:f>IF('ГРС'!$BV16="Да",1,0)</x:f>
      </x:c>
      <x:c r="O697" s="375">
        <x:f>IFERROR(ROUND(SUM(C697:N697)/($S$684),1),"")</x:f>
      </x:c>
    </x:row>
    <x:row r="698" spans="1:25" ht="15" customHeight="1" x14ac:dyDescent="0.25">
      <x:c r="A698" s="710"/>
      <x:c r="B698" s="363" t="s">
        <x:v>763</x:v>
      </x:c>
      <x:c r="C698" s="697">
        <x:f>IF('ГРС'!$H17="Да",1,0)</x:f>
      </x:c>
      <x:c r="D698" s="698">
        <x:f>IF('ГРС'!$N17="Да",1,0)</x:f>
      </x:c>
      <x:c r="E698" s="699">
        <x:f>IF('ГРС'!$T17="Да",1,0)</x:f>
      </x:c>
      <x:c r="F698" s="700">
        <x:f>IF('ГРС'!$Z17="Да",1,0)</x:f>
      </x:c>
      <x:c r="G698" s="701">
        <x:f>IF('ГРС'!$AF17="Да",1,0)</x:f>
      </x:c>
      <x:c r="H698" s="702">
        <x:f>IF('ГРС'!$AL17="Да",1,0)</x:f>
      </x:c>
      <x:c r="I698" s="703">
        <x:f>IF('ГРС'!$AR17="Да",1,0)</x:f>
      </x:c>
      <x:c r="J698" s="704">
        <x:f>IF('ГРС'!$AX17="Да",1,0)</x:f>
      </x:c>
      <x:c r="K698" s="705">
        <x:f>IF('ГРС'!$BD17="Да",1,0)</x:f>
      </x:c>
      <x:c r="L698" s="706">
        <x:f>IF('ГРС'!$BJ17="Да",1,0)</x:f>
      </x:c>
      <x:c r="M698" s="707">
        <x:f>IF('ГРС'!$BP17="Да",1,0)</x:f>
      </x:c>
      <x:c r="N698" s="708">
        <x:f>IF('ГРС'!$BV17="Да",1,0)</x:f>
      </x:c>
      <x:c r="O698" s="375">
        <x:f>IFERROR(ROUND(SUM(C698:N698)/($S$684),1),"")</x:f>
      </x:c>
    </x:row>
    <x:row r="699" spans="1:25" ht="15" customHeight="1" x14ac:dyDescent="0.25">
      <x:c r="A699" s="710"/>
      <x:c r="B699" s="363" t="s">
        <x:v>766</x:v>
      </x:c>
      <x:c r="C699" s="697">
        <x:f>IF('ГРС'!$H18="Да",1,0)</x:f>
      </x:c>
      <x:c r="D699" s="698">
        <x:f>IF('ГРС'!$N18="Да",1,0)</x:f>
      </x:c>
      <x:c r="E699" s="699">
        <x:f>IF('ГРС'!$T18="Да",1,0)</x:f>
      </x:c>
      <x:c r="F699" s="700">
        <x:f>IF('ГРС'!$Z18="Да",1,0)</x:f>
      </x:c>
      <x:c r="G699" s="701">
        <x:f>IF('ГРС'!$AF18="Да",1,0)</x:f>
      </x:c>
      <x:c r="H699" s="702">
        <x:f>IF('ГРС'!$AL18="Да",1,0)</x:f>
      </x:c>
      <x:c r="I699" s="703">
        <x:f>IF('ГРС'!$AR18="Да",1,0)</x:f>
      </x:c>
      <x:c r="J699" s="704">
        <x:f>IF('ГРС'!$AX18="Да",1,0)</x:f>
      </x:c>
      <x:c r="K699" s="705">
        <x:f>IF('ГРС'!$BD18="Да",1,0)</x:f>
      </x:c>
      <x:c r="L699" s="706">
        <x:f>IF('ГРС'!$BJ18="Да",1,0)</x:f>
      </x:c>
      <x:c r="M699" s="707">
        <x:f>IF('ГРС'!$BP18="Да",1,0)</x:f>
      </x:c>
      <x:c r="N699" s="708">
        <x:f>IF('ГРС'!$BV18="Да",1,0)</x:f>
      </x:c>
      <x:c r="O699" s="375">
        <x:f>IFERROR(ROUND(SUM(C699:N699)/($S$684),1),"")</x:f>
      </x:c>
    </x:row>
    <x:row r="700" spans="1:25" ht="15" customHeight="1" x14ac:dyDescent="0.25">
      <x:c r="A700" s="710"/>
      <x:c r="B700" s="363" t="s">
        <x:v>776</x:v>
      </x:c>
      <x:c r="C700" s="697">
        <x:f>IF('ГРС'!$H19="Да",1,0)</x:f>
      </x:c>
      <x:c r="D700" s="698">
        <x:f>IF('ГРС'!$N19="Да",1,0)</x:f>
      </x:c>
      <x:c r="E700" s="699">
        <x:f>IF('ГРС'!$T19="Да",1,0)</x:f>
      </x:c>
      <x:c r="F700" s="700">
        <x:f>IF('ГРС'!$Z19="Да",1,0)</x:f>
      </x:c>
      <x:c r="G700" s="701">
        <x:f>IF('ГРС'!$AF19="Да",1,0)</x:f>
      </x:c>
      <x:c r="H700" s="702">
        <x:f>IF('ГРС'!$AL19="Да",1,0)</x:f>
      </x:c>
      <x:c r="I700" s="703">
        <x:f>IF('ГРС'!$AR19="Да",1,0)</x:f>
      </x:c>
      <x:c r="J700" s="704">
        <x:f>IF('ГРС'!$AX19="Да",1,0)</x:f>
      </x:c>
      <x:c r="K700" s="705">
        <x:f>IF('ГРС'!$BD19="Да",1,0)</x:f>
      </x:c>
      <x:c r="L700" s="706">
        <x:f>IF('ГРС'!$BJ19="Да",1,0)</x:f>
      </x:c>
      <x:c r="M700" s="707">
        <x:f>IF('ГРС'!$BP19="Да",1,0)</x:f>
      </x:c>
      <x:c r="N700" s="708">
        <x:f>IF('ГРС'!$BV19="Да",1,0)</x:f>
      </x:c>
      <x:c r="O700" s="375">
        <x:f>IFERROR(ROUND(SUM(C700:N700)/($S$684),1),"")</x:f>
      </x:c>
    </x:row>
    <x:row r="701" spans="1:25" ht="15" customHeight="1" x14ac:dyDescent="0.25">
      <x:c r="A701" s="710"/>
      <x:c r="B701" s="363" t="s">
        <x:v>774</x:v>
      </x:c>
      <x:c r="C701" s="697">
        <x:f>IF('ГРС'!$H20="Да",1,0)</x:f>
      </x:c>
      <x:c r="D701" s="698">
        <x:f>IF('ГРС'!$N20="Да",1,0)</x:f>
      </x:c>
      <x:c r="E701" s="699">
        <x:f>IF('ГРС'!$T20="Да",1,0)</x:f>
      </x:c>
      <x:c r="F701" s="700">
        <x:f>IF('ГРС'!$Z20="Да",1,0)</x:f>
      </x:c>
      <x:c r="G701" s="701">
        <x:f>IF('ГРС'!$AF20="Да",1,0)</x:f>
      </x:c>
      <x:c r="H701" s="702">
        <x:f>IF('ГРС'!$AL20="Да",1,0)</x:f>
      </x:c>
      <x:c r="I701" s="703">
        <x:f>IF('ГРС'!$AR20="Да",1,0)</x:f>
      </x:c>
      <x:c r="J701" s="704">
        <x:f>IF('ГРС'!$AX20="Да",1,0)</x:f>
      </x:c>
      <x:c r="K701" s="705">
        <x:f>IF('ГРС'!$BD20="Да",1,0)</x:f>
      </x:c>
      <x:c r="L701" s="706">
        <x:f>IF('ГРС'!$BJ20="Да",1,0)</x:f>
      </x:c>
      <x:c r="M701" s="707">
        <x:f>IF('ГРС'!$BP20="Да",1,0)</x:f>
      </x:c>
      <x:c r="N701" s="708">
        <x:f>IF('ГРС'!$BV20="Да",1,0)</x:f>
      </x:c>
      <x:c r="O701" s="375">
        <x:f>IFERROR(ROUND(SUM(C701:N701)/($S$684),1),"")</x:f>
      </x:c>
    </x:row>
    <x:row r="702" spans="1:25" ht="15" customHeight="1" x14ac:dyDescent="0.25">
      <x:c r="A702" s="710"/>
      <x:c r="B702" s="363" t="s">
        <x:v>772</x:v>
      </x:c>
      <x:c r="C702" s="697">
        <x:f>IF('ГРС'!$H21="Да",1,0)</x:f>
      </x:c>
      <x:c r="D702" s="698">
        <x:f>IF('ГРС'!$N21="Да",1,0)</x:f>
      </x:c>
      <x:c r="E702" s="699">
        <x:f>IF('ГРС'!$T21="Да",1,0)</x:f>
      </x:c>
      <x:c r="F702" s="700">
        <x:f>IF('ГРС'!$Z21="Да",1,0)</x:f>
      </x:c>
      <x:c r="G702" s="701">
        <x:f>IF('ГРС'!$AF21="Да",1,0)</x:f>
      </x:c>
      <x:c r="H702" s="702">
        <x:f>IF('ГРС'!$AL21="Да",1,0)</x:f>
      </x:c>
      <x:c r="I702" s="703">
        <x:f>IF('ГРС'!$AR21="Да",1,0)</x:f>
      </x:c>
      <x:c r="J702" s="704">
        <x:f>IF('ГРС'!$AX21="Да",1,0)</x:f>
      </x:c>
      <x:c r="K702" s="705">
        <x:f>IF('ГРС'!$BD21="Да",1,0)</x:f>
      </x:c>
      <x:c r="L702" s="706">
        <x:f>IF('ГРС'!$BJ21="Да",1,0)</x:f>
      </x:c>
      <x:c r="M702" s="707">
        <x:f>IF('ГРС'!$BP21="Да",1,0)</x:f>
      </x:c>
      <x:c r="N702" s="708">
        <x:f>IF('ГРС'!$BV21="Да",1,0)</x:f>
      </x:c>
      <x:c r="O702" s="375">
        <x:f>IFERROR(ROUND(SUM(C702:N702)/($S$684),1),"")</x:f>
      </x:c>
    </x:row>
    <x:row r="703" spans="1:25" ht="15" customHeight="1" x14ac:dyDescent="0.25">
      <x:c r="A703" s="710"/>
      <x:c r="B703" s="363" t="s">
        <x:v>768</x:v>
      </x:c>
      <x:c r="C703" s="697">
        <x:f>IF('ГРС'!$H22="Да",1,0)</x:f>
      </x:c>
      <x:c r="D703" s="698">
        <x:f>IF('ГРС'!$N22="Да",1,0)</x:f>
      </x:c>
      <x:c r="E703" s="699">
        <x:f>IF('ГРС'!$T22="Да",1,0)</x:f>
      </x:c>
      <x:c r="F703" s="700">
        <x:f>IF('ГРС'!$Z22="Да",1,0)</x:f>
      </x:c>
      <x:c r="G703" s="701">
        <x:f>IF('ГРС'!$AF22="Да",1,0)</x:f>
      </x:c>
      <x:c r="H703" s="702">
        <x:f>IF('ГРС'!$AL22="Да",1,0)</x:f>
      </x:c>
      <x:c r="I703" s="703">
        <x:f>IF('ГРС'!$AR22="Да",1,0)</x:f>
      </x:c>
      <x:c r="J703" s="704">
        <x:f>IF('ГРС'!$AX22="Да",1,0)</x:f>
      </x:c>
      <x:c r="K703" s="705">
        <x:f>IF('ГРС'!$BD22="Да",1,0)</x:f>
      </x:c>
      <x:c r="L703" s="706">
        <x:f>IF('ГРС'!$BJ22="Да",1,0)</x:f>
      </x:c>
      <x:c r="M703" s="707">
        <x:f>IF('ГРС'!$BP22="Да",1,0)</x:f>
      </x:c>
      <x:c r="N703" s="708">
        <x:f>IF('ГРС'!$BV22="Да",1,0)</x:f>
      </x:c>
      <x:c r="O703" s="375">
        <x:f>IFERROR(ROUND(SUM(C703:N703)/($S$684),1),"")</x:f>
      </x:c>
    </x:row>
    <x:row r="704" spans="1:25" ht="15.75" customHeight="1" x14ac:dyDescent="0.25">
      <x:c r="A704" s="717"/>
      <x:c r="B704" s="379" t="s">
        <x:v>765</x:v>
      </x:c>
      <x:c r="C704" s="697">
        <x:f>IF('ГРС'!$H23="Да",1,0)</x:f>
      </x:c>
      <x:c r="D704" s="698">
        <x:f>IF('ГРС'!$N23="Да",1,0)</x:f>
      </x:c>
      <x:c r="E704" s="699">
        <x:f>IF('ГРС'!$T23="Да",1,0)</x:f>
      </x:c>
      <x:c r="F704" s="700">
        <x:f>IF('ГРС'!$Z23="Да",1,0)</x:f>
      </x:c>
      <x:c r="G704" s="701">
        <x:f>IF('ГРС'!$AF23="Да",1,0)</x:f>
      </x:c>
      <x:c r="H704" s="702">
        <x:f>IF('ГРС'!$AL23="Да",1,0)</x:f>
      </x:c>
      <x:c r="I704" s="703">
        <x:f>IF('ГРС'!$AR23="Да",1,0)</x:f>
      </x:c>
      <x:c r="J704" s="704">
        <x:f>IF('ГРС'!$AX23="Да",1,0)</x:f>
      </x:c>
      <x:c r="K704" s="705">
        <x:f>IF('ГРС'!$BD23="Да",1,0)</x:f>
      </x:c>
      <x:c r="L704" s="706">
        <x:f>IF('ГРС'!$BJ23="Да",1,0)</x:f>
      </x:c>
      <x:c r="M704" s="707">
        <x:f>IF('ГРС'!$BP23="Да",1,0)</x:f>
      </x:c>
      <x:c r="N704" s="708">
        <x:f>IF('ГРС'!$BV23="Да",1,0)</x:f>
      </x:c>
      <x:c r="O704" s="375">
        <x:f>IFERROR(ROUND(SUM(C704:N704)/($S$684),1),"")</x:f>
      </x:c>
    </x:row>
    <x:row r="705" spans="1:25" ht="15" customHeight="1" x14ac:dyDescent="0.25">
      <x:c r="A705" s="696" t="s">
        <x:v>1088</x:v>
      </x:c>
      <x:c r="B705" s="363" t="s">
        <x:v>784</x:v>
      </x:c>
      <x:c r="C705" s="697">
        <x:f>IF('АСБиКТ'!$H3="Да",1,0)</x:f>
      </x:c>
      <x:c r="D705" s="698">
        <x:f>IF('АСБиКТ'!$N3="Да",1,0)</x:f>
      </x:c>
      <x:c r="E705" s="699">
        <x:f>IF('АСБиКТ'!$T3="Да",1,0)</x:f>
      </x:c>
      <x:c r="F705" s="700">
        <x:f>IF('АСБиКТ'!$Z3="Да",1,0)</x:f>
      </x:c>
      <x:c r="G705" s="701">
        <x:f>IF('АСБиКТ'!$AF3="Да",1,0)</x:f>
      </x:c>
      <x:c r="H705" s="702">
        <x:f>IF('АСБиКТ'!$AL3="Да",1,0)</x:f>
      </x:c>
      <x:c r="I705" s="703">
        <x:f>IF('АСБиКТ'!$AR3="Да",1,0)</x:f>
      </x:c>
      <x:c r="J705" s="704">
        <x:f>IF('АСБиКТ'!$AX3="Да",1,0)</x:f>
      </x:c>
      <x:c r="K705" s="705">
        <x:f>IF('АСБиКТ'!$BD3="Да",1,0)</x:f>
      </x:c>
      <x:c r="L705" s="706">
        <x:f>IF('АСБиКТ'!$BJ3="Да",1,0)</x:f>
      </x:c>
      <x:c r="M705" s="707">
        <x:f>IF('АСБиКТ'!$BP3="Да",1,0)</x:f>
      </x:c>
      <x:c r="N705" s="708">
        <x:f>IF('АСБиКТ'!$BV3="Да",1,0)</x:f>
      </x:c>
      <x:c r="O705" s="375">
        <x:f>IFERROR(ROUND(SUM(C705:N705)/($S$705),1),"")</x:f>
      </x:c>
      <x:c r="Q705" s="709" t="s">
        <x:v>1151</x:v>
      </x:c>
      <x:c r="R705" s="596"/>
      <x:c r="S705" s="376">
        <x:f>SUM(IF(COUNTIF(C705:C719,"&gt;0")&gt;0,1,0),IF(COUNTIF(D705:D719,"&gt;0")&gt;0,1,0),IF(COUNTIF(E705:E719,"&gt;0")&gt;0,1,0),IF(COUNTIF(F705:F719,"&gt;0")&gt;0,1,0),IF(COUNTIF(G705:G719,"&gt;0")&gt;0,1,0),IF(COUNTIF(H705:H719,"&gt;0")&gt;0,1,0),IF(COUNTIF(I705:I719,"&gt;0")&gt;0,1,0),IF(COUNTIF(J705:J719,"&gt;0")&gt;0,1,0),IF(COUNTIF(K705:K719,"&gt;0")&gt;0,1,0),IF(COUNTIF(L705:L719,"&gt;0")&gt;0,1,0),IF(COUNTIF(M705:M719,"&gt;0")&gt;0,1,0),IF(COUNTIF(N705:N719,"&gt;0")&gt;0,1,0))</x:f>
      </x:c>
    </x:row>
    <x:row r="706" spans="1:25" ht="15" customHeight="1" x14ac:dyDescent="0.25">
      <x:c r="A706" s="710"/>
      <x:c r="B706" s="363" t="s">
        <x:v>791</x:v>
      </x:c>
      <x:c r="C706" s="697">
        <x:f>IF('АСБиКТ'!$H4="Да",1,0)</x:f>
      </x:c>
      <x:c r="D706" s="698">
        <x:f>IF('АСБиКТ'!$N4="Да",1,0)</x:f>
      </x:c>
      <x:c r="E706" s="699">
        <x:f>IF('АСБиКТ'!$T4="Да",1,0)</x:f>
      </x:c>
      <x:c r="F706" s="700">
        <x:f>IF('АСБиКТ'!$Z4="Да",1,0)</x:f>
      </x:c>
      <x:c r="G706" s="701">
        <x:f>IF('АСБиКТ'!$AF4="Да",1,0)</x:f>
      </x:c>
      <x:c r="H706" s="702">
        <x:f>IF('АСБиКТ'!$AL4="Да",1,0)</x:f>
      </x:c>
      <x:c r="I706" s="703">
        <x:f>IF('АСБиКТ'!$AR4="Да",1,0)</x:f>
      </x:c>
      <x:c r="J706" s="704">
        <x:f>IF('АСБиКТ'!$AX4="Да",1,0)</x:f>
      </x:c>
      <x:c r="K706" s="705">
        <x:f>IF('АСБиКТ'!$BD4="Да",1,0)</x:f>
      </x:c>
      <x:c r="L706" s="706">
        <x:f>IF('АСБиКТ'!$BJ4="Да",1,0)</x:f>
      </x:c>
      <x:c r="M706" s="707">
        <x:f>IF('АСБиКТ'!$BP4="Да",1,0)</x:f>
      </x:c>
      <x:c r="N706" s="708">
        <x:f>IF('АСБиКТ'!$BV4="Да",1,0)</x:f>
      </x:c>
      <x:c r="O706" s="375">
        <x:f>IFERROR(ROUND(SUM(C706:N706)/($S$705),1),"")</x:f>
      </x:c>
      <x:c r="Q706" s="711"/>
      <x:c r="R706" s="712"/>
      <x:c r="S706" s="713"/>
    </x:row>
    <x:row r="707" spans="1:25" ht="15" customHeight="1" x14ac:dyDescent="0.25">
      <x:c r="A707" s="710"/>
      <x:c r="B707" s="363" t="s">
        <x:v>788</x:v>
      </x:c>
      <x:c r="C707" s="697">
        <x:f>IF('АСБиКТ'!$H5="Да",1,0)</x:f>
      </x:c>
      <x:c r="D707" s="698">
        <x:f>IF('АСБиКТ'!$N5="Да",1,0)</x:f>
      </x:c>
      <x:c r="E707" s="699">
        <x:f>IF('АСБиКТ'!$T5="Да",1,0)</x:f>
      </x:c>
      <x:c r="F707" s="700">
        <x:f>IF('АСБиКТ'!$Z5="Да",1,0)</x:f>
      </x:c>
      <x:c r="G707" s="701">
        <x:f>IF('АСБиКТ'!$AF5="Да",1,0)</x:f>
      </x:c>
      <x:c r="H707" s="702">
        <x:f>IF('АСБиКТ'!$AL5="Да",1,0)</x:f>
      </x:c>
      <x:c r="I707" s="703">
        <x:f>IF('АСБиКТ'!$AR5="Да",1,0)</x:f>
      </x:c>
      <x:c r="J707" s="704">
        <x:f>IF('АСБиКТ'!$AX5="Да",1,0)</x:f>
      </x:c>
      <x:c r="K707" s="705">
        <x:f>IF('АСБиКТ'!$BD5="Да",1,0)</x:f>
      </x:c>
      <x:c r="L707" s="706">
        <x:f>IF('АСБиКТ'!$BJ5="Да",1,0)</x:f>
      </x:c>
      <x:c r="M707" s="707">
        <x:f>IF('АСБиКТ'!$BP5="Да",1,0)</x:f>
      </x:c>
      <x:c r="N707" s="708">
        <x:f>IF('АСБиКТ'!$BV5="Да",1,0)</x:f>
      </x:c>
      <x:c r="O707" s="375">
        <x:f>IFERROR(ROUND(SUM(C707:N707)/($S$705),1),"")</x:f>
      </x:c>
      <x:c r="Q707" s="714"/>
      <x:c r="R707" s="715"/>
      <x:c r="S707" s="716"/>
    </x:row>
    <x:row r="708" spans="1:25" ht="15" customHeight="1" x14ac:dyDescent="0.25">
      <x:c r="A708" s="710"/>
      <x:c r="B708" s="363" t="s">
        <x:v>783</x:v>
      </x:c>
      <x:c r="C708" s="697">
        <x:f>IF('АСБиКТ'!$H6="Да",1,0)</x:f>
      </x:c>
      <x:c r="D708" s="698">
        <x:f>IF('АСБиКТ'!$N6="Да",1,0)</x:f>
      </x:c>
      <x:c r="E708" s="699">
        <x:f>IF('АСБиКТ'!$T6="Да",1,0)</x:f>
      </x:c>
      <x:c r="F708" s="700">
        <x:f>IF('АСБиКТ'!$Z6="Да",1,0)</x:f>
      </x:c>
      <x:c r="G708" s="701">
        <x:f>IF('АСБиКТ'!$AF6="Да",1,0)</x:f>
      </x:c>
      <x:c r="H708" s="702">
        <x:f>IF('АСБиКТ'!$AL6="Да",1,0)</x:f>
      </x:c>
      <x:c r="I708" s="703">
        <x:f>IF('АСБиКТ'!$AR6="Да",1,0)</x:f>
      </x:c>
      <x:c r="J708" s="704">
        <x:f>IF('АСБиКТ'!$AX6="Да",1,0)</x:f>
      </x:c>
      <x:c r="K708" s="705">
        <x:f>IF('АСБиКТ'!$BD6="Да",1,0)</x:f>
      </x:c>
      <x:c r="L708" s="706">
        <x:f>IF('АСБиКТ'!$BJ6="Да",1,0)</x:f>
      </x:c>
      <x:c r="M708" s="707">
        <x:f>IF('АСБиКТ'!$BP6="Да",1,0)</x:f>
      </x:c>
      <x:c r="N708" s="708">
        <x:f>IF('АСБиКТ'!$BV6="Да",1,0)</x:f>
      </x:c>
      <x:c r="O708" s="375">
        <x:f>IFERROR(ROUND(SUM(C708:N708)/($S$705),1),"")</x:f>
      </x:c>
    </x:row>
    <x:row r="709" spans="1:25" ht="15" customHeight="1" x14ac:dyDescent="0.25">
      <x:c r="A709" s="710"/>
      <x:c r="B709" s="363" t="s">
        <x:v>792</x:v>
      </x:c>
      <x:c r="C709" s="697">
        <x:f>IF('АСБиКТ'!$H7="Да",1,0)</x:f>
      </x:c>
      <x:c r="D709" s="698">
        <x:f>IF('АСБиКТ'!$N7="Да",1,0)</x:f>
      </x:c>
      <x:c r="E709" s="699">
        <x:f>IF('АСБиКТ'!$T7="Да",1,0)</x:f>
      </x:c>
      <x:c r="F709" s="700">
        <x:f>IF('АСБиКТ'!$Z7="Да",1,0)</x:f>
      </x:c>
      <x:c r="G709" s="701">
        <x:f>IF('АСБиКТ'!$AF7="Да",1,0)</x:f>
      </x:c>
      <x:c r="H709" s="702">
        <x:f>IF('АСБиКТ'!$AL7="Да",1,0)</x:f>
      </x:c>
      <x:c r="I709" s="703">
        <x:f>IF('АСБиКТ'!$AR7="Да",1,0)</x:f>
      </x:c>
      <x:c r="J709" s="704">
        <x:f>IF('АСБиКТ'!$AX7="Да",1,0)</x:f>
      </x:c>
      <x:c r="K709" s="705">
        <x:f>IF('АСБиКТ'!$BD7="Да",1,0)</x:f>
      </x:c>
      <x:c r="L709" s="706">
        <x:f>IF('АСБиКТ'!$BJ7="Да",1,0)</x:f>
      </x:c>
      <x:c r="M709" s="707">
        <x:f>IF('АСБиКТ'!$BP7="Да",1,0)</x:f>
      </x:c>
      <x:c r="N709" s="708">
        <x:f>IF('АСБиКТ'!$BV7="Да",1,0)</x:f>
      </x:c>
      <x:c r="O709" s="375">
        <x:f>IFERROR(ROUND(SUM(C709:N709)/($S$705),1),"")</x:f>
      </x:c>
    </x:row>
    <x:row r="710" spans="1:25" ht="15" customHeight="1" x14ac:dyDescent="0.25">
      <x:c r="A710" s="710"/>
      <x:c r="B710" s="363" t="s">
        <x:v>781</x:v>
      </x:c>
      <x:c r="C710" s="697">
        <x:f>IF('АСБиКТ'!$H8="Да",1,0)</x:f>
      </x:c>
      <x:c r="D710" s="698">
        <x:f>IF('АСБиКТ'!$N8="Да",1,0)</x:f>
      </x:c>
      <x:c r="E710" s="699">
        <x:f>IF('АСБиКТ'!$T8="Да",1,0)</x:f>
      </x:c>
      <x:c r="F710" s="700">
        <x:f>IF('АСБиКТ'!$Z8="Да",1,0)</x:f>
      </x:c>
      <x:c r="G710" s="701">
        <x:f>IF('АСБиКТ'!$AF8="Да",1,0)</x:f>
      </x:c>
      <x:c r="H710" s="702">
        <x:f>IF('АСБиКТ'!$AL8="Да",1,0)</x:f>
      </x:c>
      <x:c r="I710" s="703">
        <x:f>IF('АСБиКТ'!$AR8="Да",1,0)</x:f>
      </x:c>
      <x:c r="J710" s="704">
        <x:f>IF('АСБиКТ'!$AX8="Да",1,0)</x:f>
      </x:c>
      <x:c r="K710" s="705">
        <x:f>IF('АСБиКТ'!$BD8="Да",1,0)</x:f>
      </x:c>
      <x:c r="L710" s="706">
        <x:f>IF('АСБиКТ'!$BJ8="Да",1,0)</x:f>
      </x:c>
      <x:c r="M710" s="707">
        <x:f>IF('АСБиКТ'!$BP8="Да",1,0)</x:f>
      </x:c>
      <x:c r="N710" s="708">
        <x:f>IF('АСБиКТ'!$BV8="Да",1,0)</x:f>
      </x:c>
      <x:c r="O710" s="375">
        <x:f>IFERROR(ROUND(SUM(C710:N710)/($S$705),1),"")</x:f>
      </x:c>
    </x:row>
    <x:row r="711" spans="1:25" ht="15" customHeight="1" x14ac:dyDescent="0.25">
      <x:c r="A711" s="710"/>
      <x:c r="B711" s="363" t="s">
        <x:v>789</x:v>
      </x:c>
      <x:c r="C711" s="697">
        <x:f>IF('АСБиКТ'!$H9="Да",1,0)</x:f>
      </x:c>
      <x:c r="D711" s="698">
        <x:f>IF('АСБиКТ'!$N9="Да",1,0)</x:f>
      </x:c>
      <x:c r="E711" s="699">
        <x:f>IF('АСБиКТ'!$T9="Да",1,0)</x:f>
      </x:c>
      <x:c r="F711" s="700">
        <x:f>IF('АСБиКТ'!$Z9="Да",1,0)</x:f>
      </x:c>
      <x:c r="G711" s="701">
        <x:f>IF('АСБиКТ'!$AF9="Да",1,0)</x:f>
      </x:c>
      <x:c r="H711" s="702">
        <x:f>IF('АСБиКТ'!$AL9="Да",1,0)</x:f>
      </x:c>
      <x:c r="I711" s="703">
        <x:f>IF('АСБиКТ'!$AR9="Да",1,0)</x:f>
      </x:c>
      <x:c r="J711" s="704">
        <x:f>IF('АСБиКТ'!$AX9="Да",1,0)</x:f>
      </x:c>
      <x:c r="K711" s="705">
        <x:f>IF('АСБиКТ'!$BD9="Да",1,0)</x:f>
      </x:c>
      <x:c r="L711" s="706">
        <x:f>IF('АСБиКТ'!$BJ9="Да",1,0)</x:f>
      </x:c>
      <x:c r="M711" s="707">
        <x:f>IF('АСБиКТ'!$BP9="Да",1,0)</x:f>
      </x:c>
      <x:c r="N711" s="708">
        <x:f>IF('АСБиКТ'!$BV9="Да",1,0)</x:f>
      </x:c>
      <x:c r="O711" s="375">
        <x:f>IFERROR(ROUND(SUM(C711:N711)/($S$705),1),"")</x:f>
      </x:c>
    </x:row>
    <x:row r="712" spans="1:25" ht="15" customHeight="1" x14ac:dyDescent="0.25">
      <x:c r="A712" s="710"/>
      <x:c r="B712" s="363" t="s">
        <x:v>793</x:v>
      </x:c>
      <x:c r="C712" s="697">
        <x:f>IF('АСБиКТ'!$H10="Да",1,0)</x:f>
      </x:c>
      <x:c r="D712" s="698">
        <x:f>IF('АСБиКТ'!$N10="Да",1,0)</x:f>
      </x:c>
      <x:c r="E712" s="699">
        <x:f>IF('АСБиКТ'!$T10="Да",1,0)</x:f>
      </x:c>
      <x:c r="F712" s="700">
        <x:f>IF('АСБиКТ'!$Z10="Да",1,0)</x:f>
      </x:c>
      <x:c r="G712" s="701">
        <x:f>IF('АСБиКТ'!$AF10="Да",1,0)</x:f>
      </x:c>
      <x:c r="H712" s="702">
        <x:f>IF('АСБиКТ'!$AL10="Да",1,0)</x:f>
      </x:c>
      <x:c r="I712" s="703">
        <x:f>IF('АСБиКТ'!$AR10="Да",1,0)</x:f>
      </x:c>
      <x:c r="J712" s="704">
        <x:f>IF('АСБиКТ'!$AX10="Да",1,0)</x:f>
      </x:c>
      <x:c r="K712" s="705">
        <x:f>IF('АСБиКТ'!$BD10="Да",1,0)</x:f>
      </x:c>
      <x:c r="L712" s="706">
        <x:f>IF('АСБиКТ'!$BJ10="Да",1,0)</x:f>
      </x:c>
      <x:c r="M712" s="707">
        <x:f>IF('АСБиКТ'!$BP10="Да",1,0)</x:f>
      </x:c>
      <x:c r="N712" s="708">
        <x:f>IF('АСБиКТ'!$BV10="Да",1,0)</x:f>
      </x:c>
      <x:c r="O712" s="375">
        <x:f>IFERROR(ROUND(SUM(C712:N712)/($S$705),1),"")</x:f>
      </x:c>
    </x:row>
    <x:row r="713" spans="1:25" ht="15" customHeight="1" x14ac:dyDescent="0.3">
      <x:c r="A713" s="710"/>
      <x:c r="B713" s="363" t="s">
        <x:v>794</x:v>
      </x:c>
      <x:c r="C713" s="697">
        <x:f>IF('АСБиКТ'!$H11="Да",1,0)</x:f>
      </x:c>
      <x:c r="D713" s="698">
        <x:f>IF('АСБиКТ'!$N11="Да",1,0)</x:f>
      </x:c>
      <x:c r="E713" s="699">
        <x:f>IF('АСБиКТ'!$T11="Да",1,0)</x:f>
      </x:c>
      <x:c r="F713" s="700">
        <x:f>IF('АСБиКТ'!$Z11="Да",1,0)</x:f>
      </x:c>
      <x:c r="G713" s="701">
        <x:f>IF('АСБиКТ'!$AF11="Да",1,0)</x:f>
      </x:c>
      <x:c r="H713" s="702">
        <x:f>IF('АСБиКТ'!$AL11="Да",1,0)</x:f>
      </x:c>
      <x:c r="I713" s="703">
        <x:f>IF('АСБиКТ'!$AR11="Да",1,0)</x:f>
      </x:c>
      <x:c r="J713" s="704">
        <x:f>IF('АСБиКТ'!$AX11="Да",1,0)</x:f>
      </x:c>
      <x:c r="K713" s="705">
        <x:f>IF('АСБиКТ'!$BD11="Да",1,0)</x:f>
      </x:c>
      <x:c r="L713" s="706">
        <x:f>IF('АСБиКТ'!$BJ11="Да",1,0)</x:f>
      </x:c>
      <x:c r="M713" s="707">
        <x:f>IF('АСБиКТ'!$BP11="Да",1,0)</x:f>
      </x:c>
      <x:c r="N713" s="708">
        <x:f>IF('АСБиКТ'!$BV11="Да",1,0)</x:f>
      </x:c>
      <x:c r="O713" s="375">
        <x:f>IFERROR(ROUND(SUM(C713:N713)/($S$705),1),"")</x:f>
      </x:c>
    </x:row>
    <x:row r="714" spans="1:25" ht="15" customHeight="1" x14ac:dyDescent="0.25">
      <x:c r="A714" s="710"/>
      <x:c r="B714" s="363" t="s">
        <x:v>795</x:v>
      </x:c>
      <x:c r="C714" s="697">
        <x:f>IF('АСБиКТ'!$H12="Да",1,0)</x:f>
      </x:c>
      <x:c r="D714" s="698">
        <x:f>IF('АСБиКТ'!$N12="Да",1,0)</x:f>
      </x:c>
      <x:c r="E714" s="699">
        <x:f>IF('АСБиКТ'!$T12="Да",1,0)</x:f>
      </x:c>
      <x:c r="F714" s="700">
        <x:f>IF('АСБиКТ'!$Z12="Да",1,0)</x:f>
      </x:c>
      <x:c r="G714" s="701">
        <x:f>IF('АСБиКТ'!$AF12="Да",1,0)</x:f>
      </x:c>
      <x:c r="H714" s="702">
        <x:f>IF('АСБиКТ'!$AL12="Да",1,0)</x:f>
      </x:c>
      <x:c r="I714" s="703">
        <x:f>IF('АСБиКТ'!$AR12="Да",1,0)</x:f>
      </x:c>
      <x:c r="J714" s="704">
        <x:f>IF('АСБиКТ'!$AX12="Да",1,0)</x:f>
      </x:c>
      <x:c r="K714" s="705">
        <x:f>IF('АСБиКТ'!$BD12="Да",1,0)</x:f>
      </x:c>
      <x:c r="L714" s="706">
        <x:f>IF('АСБиКТ'!$BJ12="Да",1,0)</x:f>
      </x:c>
      <x:c r="M714" s="707">
        <x:f>IF('АСБиКТ'!$BP12="Да",1,0)</x:f>
      </x:c>
      <x:c r="N714" s="708">
        <x:f>IF('АСБиКТ'!$BV12="Да",1,0)</x:f>
      </x:c>
      <x:c r="O714" s="375">
        <x:f>IFERROR(ROUND(SUM(C714:N714)/($S$705),1),"")</x:f>
      </x:c>
    </x:row>
    <x:row r="715" spans="1:25" ht="15" customHeight="1" x14ac:dyDescent="0.25">
      <x:c r="A715" s="710"/>
      <x:c r="B715" s="363" t="s">
        <x:v>785</x:v>
      </x:c>
      <x:c r="C715" s="697">
        <x:f>IF('АСБиКТ'!$H13="Да",1,0)</x:f>
      </x:c>
      <x:c r="D715" s="698">
        <x:f>IF('АСБиКТ'!$N13="Да",1,0)</x:f>
      </x:c>
      <x:c r="E715" s="699">
        <x:f>IF('АСБиКТ'!$T13="Да",1,0)</x:f>
      </x:c>
      <x:c r="F715" s="700">
        <x:f>IF('АСБиКТ'!$Z13="Да",1,0)</x:f>
      </x:c>
      <x:c r="G715" s="701">
        <x:f>IF('АСБиКТ'!$AF13="Да",1,0)</x:f>
      </x:c>
      <x:c r="H715" s="702">
        <x:f>IF('АСБиКТ'!$AL13="Да",1,0)</x:f>
      </x:c>
      <x:c r="I715" s="703">
        <x:f>IF('АСБиКТ'!$AR13="Да",1,0)</x:f>
      </x:c>
      <x:c r="J715" s="704">
        <x:f>IF('АСБиКТ'!$AX13="Да",1,0)</x:f>
      </x:c>
      <x:c r="K715" s="705">
        <x:f>IF('АСБиКТ'!$BD13="Да",1,0)</x:f>
      </x:c>
      <x:c r="L715" s="706">
        <x:f>IF('АСБиКТ'!$BJ13="Да",1,0)</x:f>
      </x:c>
      <x:c r="M715" s="707">
        <x:f>IF('АСБиКТ'!$BP13="Да",1,0)</x:f>
      </x:c>
      <x:c r="N715" s="708">
        <x:f>IF('АСБиКТ'!$BV13="Да",1,0)</x:f>
      </x:c>
      <x:c r="O715" s="375">
        <x:f>IFERROR(ROUND(SUM(C715:N715)/($S$705),1),"")</x:f>
      </x:c>
    </x:row>
    <x:row r="716" spans="1:25" ht="15" customHeight="1" x14ac:dyDescent="0.25">
      <x:c r="A716" s="710"/>
      <x:c r="B716" s="363" t="s">
        <x:v>787</x:v>
      </x:c>
      <x:c r="C716" s="697">
        <x:f>IF('АСБиКТ'!$H14="Да",1,0)</x:f>
      </x:c>
      <x:c r="D716" s="698">
        <x:f>IF('АСБиКТ'!$N14="Да",1,0)</x:f>
      </x:c>
      <x:c r="E716" s="699">
        <x:f>IF('АСБиКТ'!$T14="Да",1,0)</x:f>
      </x:c>
      <x:c r="F716" s="700">
        <x:f>IF('АСБиКТ'!$Z14="Да",1,0)</x:f>
      </x:c>
      <x:c r="G716" s="701">
        <x:f>IF('АСБиКТ'!$AF14="Да",1,0)</x:f>
      </x:c>
      <x:c r="H716" s="702">
        <x:f>IF('АСБиКТ'!$AL14="Да",1,0)</x:f>
      </x:c>
      <x:c r="I716" s="703">
        <x:f>IF('АСБиКТ'!$AR14="Да",1,0)</x:f>
      </x:c>
      <x:c r="J716" s="704">
        <x:f>IF('АСБиКТ'!$AX14="Да",1,0)</x:f>
      </x:c>
      <x:c r="K716" s="705">
        <x:f>IF('АСБиКТ'!$BD14="Да",1,0)</x:f>
      </x:c>
      <x:c r="L716" s="706">
        <x:f>IF('АСБиКТ'!$BJ14="Да",1,0)</x:f>
      </x:c>
      <x:c r="M716" s="707">
        <x:f>IF('АСБиКТ'!$BP14="Да",1,0)</x:f>
      </x:c>
      <x:c r="N716" s="708">
        <x:f>IF('АСБиКТ'!$BV14="Да",1,0)</x:f>
      </x:c>
      <x:c r="O716" s="375">
        <x:f>IFERROR(ROUND(SUM(C716:N716)/($S$705),1),"")</x:f>
      </x:c>
    </x:row>
    <x:row r="717" spans="1:25" ht="15" customHeight="1" x14ac:dyDescent="0.25">
      <x:c r="A717" s="710"/>
      <x:c r="B717" s="363" t="s">
        <x:v>786</x:v>
      </x:c>
      <x:c r="C717" s="697">
        <x:f>IF('АСБиКТ'!$H15="Да",1,0)</x:f>
      </x:c>
      <x:c r="D717" s="698">
        <x:f>IF('АСБиКТ'!$N15="Да",1,0)</x:f>
      </x:c>
      <x:c r="E717" s="699">
        <x:f>IF('АСБиКТ'!$T15="Да",1,0)</x:f>
      </x:c>
      <x:c r="F717" s="700">
        <x:f>IF('АСБиКТ'!$Z15="Да",1,0)</x:f>
      </x:c>
      <x:c r="G717" s="701">
        <x:f>IF('АСБиКТ'!$AF15="Да",1,0)</x:f>
      </x:c>
      <x:c r="H717" s="702">
        <x:f>IF('АСБиКТ'!$AL15="Да",1,0)</x:f>
      </x:c>
      <x:c r="I717" s="703">
        <x:f>IF('АСБиКТ'!$AR15="Да",1,0)</x:f>
      </x:c>
      <x:c r="J717" s="704">
        <x:f>IF('АСБиКТ'!$AX15="Да",1,0)</x:f>
      </x:c>
      <x:c r="K717" s="705">
        <x:f>IF('АСБиКТ'!$BD15="Да",1,0)</x:f>
      </x:c>
      <x:c r="L717" s="706">
        <x:f>IF('АСБиКТ'!$BJ15="Да",1,0)</x:f>
      </x:c>
      <x:c r="M717" s="707">
        <x:f>IF('АСБиКТ'!$BP15="Да",1,0)</x:f>
      </x:c>
      <x:c r="N717" s="708">
        <x:f>IF('АСБиКТ'!$BV15="Да",1,0)</x:f>
      </x:c>
      <x:c r="O717" s="375">
        <x:f>IFERROR(ROUND(SUM(C717:N717)/($S$705),1),"")</x:f>
      </x:c>
    </x:row>
    <x:row r="718" spans="1:25" ht="15" customHeight="1" x14ac:dyDescent="0.25">
      <x:c r="A718" s="710"/>
      <x:c r="B718" s="363" t="s">
        <x:v>796</x:v>
      </x:c>
      <x:c r="C718" s="697">
        <x:f>IF('АСБиКТ'!$H16="Да",1,0)</x:f>
      </x:c>
      <x:c r="D718" s="698">
        <x:f>IF('АСБиКТ'!$N16="Да",1,0)</x:f>
      </x:c>
      <x:c r="E718" s="699">
        <x:f>IF('АСБиКТ'!$T16="Да",1,0)</x:f>
      </x:c>
      <x:c r="F718" s="700">
        <x:f>IF('АСБиКТ'!$Z16="Да",1,0)</x:f>
      </x:c>
      <x:c r="G718" s="701">
        <x:f>IF('АСБиКТ'!$AF16="Да",1,0)</x:f>
      </x:c>
      <x:c r="H718" s="702">
        <x:f>IF('АСБиКТ'!$AL16="Да",1,0)</x:f>
      </x:c>
      <x:c r="I718" s="703">
        <x:f>IF('АСБиКТ'!$AR16="Да",1,0)</x:f>
      </x:c>
      <x:c r="J718" s="704">
        <x:f>IF('АСБиКТ'!$AX16="Да",1,0)</x:f>
      </x:c>
      <x:c r="K718" s="705">
        <x:f>IF('АСБиКТ'!$BD16="Да",1,0)</x:f>
      </x:c>
      <x:c r="L718" s="706">
        <x:f>IF('АСБиКТ'!$BJ16="Да",1,0)</x:f>
      </x:c>
      <x:c r="M718" s="707">
        <x:f>IF('АСБиКТ'!$BP16="Да",1,0)</x:f>
      </x:c>
      <x:c r="N718" s="708">
        <x:f>IF('АСБиКТ'!$BV16="Да",1,0)</x:f>
      </x:c>
      <x:c r="O718" s="375">
        <x:f>IFERROR(ROUND(SUM(C718:N718)/($S$705),1),"")</x:f>
      </x:c>
    </x:row>
    <x:row r="719" spans="1:25" ht="15.75" customHeight="1" x14ac:dyDescent="0.25">
      <x:c r="A719" s="717"/>
      <x:c r="B719" s="379" t="s">
        <x:v>790</x:v>
      </x:c>
      <x:c r="C719" s="697">
        <x:f>IF('АСБиКТ'!$H17="Да",1,0)</x:f>
      </x:c>
      <x:c r="D719" s="698">
        <x:f>IF('АСБиКТ'!$N17="Да",1,0)</x:f>
      </x:c>
      <x:c r="E719" s="699">
        <x:f>IF('АСБиКТ'!$T17="Да",1,0)</x:f>
      </x:c>
      <x:c r="F719" s="700">
        <x:f>IF('АСБиКТ'!$Z17="Да",1,0)</x:f>
      </x:c>
      <x:c r="G719" s="701">
        <x:f>IF('АСБиКТ'!$AF17="Да",1,0)</x:f>
      </x:c>
      <x:c r="H719" s="702">
        <x:f>IF('АСБиКТ'!$AL17="Да",1,0)</x:f>
      </x:c>
      <x:c r="I719" s="703">
        <x:f>IF('АСБиКТ'!$AR17="Да",1,0)</x:f>
      </x:c>
      <x:c r="J719" s="704">
        <x:f>IF('АСБиКТ'!$AX17="Да",1,0)</x:f>
      </x:c>
      <x:c r="K719" s="705">
        <x:f>IF('АСБиКТ'!$BD17="Да",1,0)</x:f>
      </x:c>
      <x:c r="L719" s="706">
        <x:f>IF('АСБиКТ'!$BJ17="Да",1,0)</x:f>
      </x:c>
      <x:c r="M719" s="707">
        <x:f>IF('АСБиКТ'!$BP17="Да",1,0)</x:f>
      </x:c>
      <x:c r="N719" s="708">
        <x:f>IF('АСБиКТ'!$BV17="Да",1,0)</x:f>
      </x:c>
      <x:c r="O719" s="375">
        <x:f>IFERROR(ROUND(SUM(C719:N719)/($S$705),1),"")</x:f>
      </x:c>
    </x:row>
    <x:row r="720" spans="1:25" ht="15" customHeight="1" x14ac:dyDescent="0.25">
      <x:c r="A720" s="696" t="s">
        <x:v>1089</x:v>
      </x:c>
      <x:c r="B720" s="363" t="s">
        <x:v>875</x:v>
      </x:c>
      <x:c r="C720" s="697">
        <x:f>IF('СНМиВГ'!$H3="Да",1,0)</x:f>
      </x:c>
      <x:c r="D720" s="698">
        <x:f>IF('СНМиВГ'!$N3="Да",1,0)</x:f>
      </x:c>
      <x:c r="E720" s="699">
        <x:f>IF('СНМиВГ'!$T3="Да",1,0)</x:f>
      </x:c>
      <x:c r="F720" s="700">
        <x:f>IF('СНМиВГ'!$Z3="Да",1,0)</x:f>
      </x:c>
      <x:c r="G720" s="701">
        <x:f>IF('СНМиВГ'!$AF3="Да",1,0)</x:f>
      </x:c>
      <x:c r="H720" s="702">
        <x:f>IF('СНМиВГ'!$AL3="Да",1,0)</x:f>
      </x:c>
      <x:c r="I720" s="703">
        <x:f>IF('СНМиВГ'!$AR3="Да",1,0)</x:f>
      </x:c>
      <x:c r="J720" s="704">
        <x:f>IF('СНМиВГ'!$AX3="Да",1,0)</x:f>
      </x:c>
      <x:c r="K720" s="705">
        <x:f>IF('СНМиВГ'!$BD3="Да",1,0)</x:f>
      </x:c>
      <x:c r="L720" s="706">
        <x:f>IF('СНМиВГ'!$BJ3="Да",1,0)</x:f>
      </x:c>
      <x:c r="M720" s="707">
        <x:f>IF('СНМиВГ'!$BP3="Да",1,0)</x:f>
      </x:c>
      <x:c r="N720" s="708">
        <x:f>IF('СНМиВГ'!$BV3="Да",1,0)</x:f>
      </x:c>
      <x:c r="O720" s="375">
        <x:f>IFERROR(ROUND(SUM(C720:N720)/($S$720),1),"")</x:f>
      </x:c>
      <x:c r="Q720" s="709" t="s">
        <x:v>1151</x:v>
      </x:c>
      <x:c r="R720" s="596"/>
      <x:c r="S720" s="376">
        <x:f>SUM(IF(COUNTIF(C720:C745,"&gt;0")&gt;0,1,0),IF(COUNTIF(D720:D745,"&gt;0")&gt;0,1,0),IF(COUNTIF(E720:E745,"&gt;0")&gt;0,1,0),IF(COUNTIF(F720:F745,"&gt;0")&gt;0,1,0),IF(COUNTIF(G720:G745,"&gt;0")&gt;0,1,0),IF(COUNTIF(H720:H745,"&gt;0")&gt;0,1,0),IF(COUNTIF(I720:I745,"&gt;0")&gt;0,1,0),IF(COUNTIF(J720:J745,"&gt;0")&gt;0,1,0),IF(COUNTIF(K720:K745,"&gt;0")&gt;0,1,0),IF(COUNTIF(L720:L745,"&gt;0")&gt;0,1,0),IF(COUNTIF(M720:M745,"&gt;0")&gt;0,1,0),IF(COUNTIF(N720:N745,"&gt;0")&gt;0,1,0))</x:f>
      </x:c>
    </x:row>
    <x:row r="721" spans="1:25" ht="15" customHeight="1" x14ac:dyDescent="0.25">
      <x:c r="A721" s="710"/>
      <x:c r="B721" s="363" t="s">
        <x:v>869</x:v>
      </x:c>
      <x:c r="C721" s="697">
        <x:f>IF('СНМиВГ'!$H4="Да",1,0)</x:f>
      </x:c>
      <x:c r="D721" s="698">
        <x:f>IF('СНМиВГ'!$N4="Да",1,0)</x:f>
      </x:c>
      <x:c r="E721" s="699">
        <x:f>IF('СНМиВГ'!$T4="Да",1,0)</x:f>
      </x:c>
      <x:c r="F721" s="700">
        <x:f>IF('СНМиВГ'!$Z4="Да",1,0)</x:f>
      </x:c>
      <x:c r="G721" s="701">
        <x:f>IF('СНМиВГ'!$AF4="Да",1,0)</x:f>
      </x:c>
      <x:c r="H721" s="702">
        <x:f>IF('СНМиВГ'!$AL4="Да",1,0)</x:f>
      </x:c>
      <x:c r="I721" s="703">
        <x:f>IF('СНМиВГ'!$AR4="Да",1,0)</x:f>
      </x:c>
      <x:c r="J721" s="704">
        <x:f>IF('СНМиВГ'!$AX4="Да",1,0)</x:f>
      </x:c>
      <x:c r="K721" s="705">
        <x:f>IF('СНМиВГ'!$BD4="Да",1,0)</x:f>
      </x:c>
      <x:c r="L721" s="706">
        <x:f>IF('СНМиВГ'!$BJ4="Да",1,0)</x:f>
      </x:c>
      <x:c r="M721" s="707">
        <x:f>IF('СНМиВГ'!$BP4="Да",1,0)</x:f>
      </x:c>
      <x:c r="N721" s="708">
        <x:f>IF('СНМиВГ'!$BV4="Да",1,0)</x:f>
      </x:c>
      <x:c r="O721" s="375">
        <x:f>IFERROR(ROUND(SUM(C721:N721)/($S$720),1),"")</x:f>
      </x:c>
      <x:c r="Q721" s="711"/>
      <x:c r="R721" s="712"/>
      <x:c r="S721" s="713"/>
    </x:row>
    <x:row r="722" spans="1:25" ht="15" customHeight="1" x14ac:dyDescent="0.25">
      <x:c r="A722" s="710"/>
      <x:c r="B722" s="363" t="s">
        <x:v>877</x:v>
      </x:c>
      <x:c r="C722" s="697">
        <x:f>IF('СНМиВГ'!$H5="Да",1,0)</x:f>
      </x:c>
      <x:c r="D722" s="698">
        <x:f>IF('СНМиВГ'!$N5="Да",1,0)</x:f>
      </x:c>
      <x:c r="E722" s="699">
        <x:f>IF('СНМиВГ'!$T5="Да",1,0)</x:f>
      </x:c>
      <x:c r="F722" s="700">
        <x:f>IF('СНМиВГ'!$Z5="Да",1,0)</x:f>
      </x:c>
      <x:c r="G722" s="701">
        <x:f>IF('СНМиВГ'!$AF5="Да",1,0)</x:f>
      </x:c>
      <x:c r="H722" s="702">
        <x:f>IF('СНМиВГ'!$AL5="Да",1,0)</x:f>
      </x:c>
      <x:c r="I722" s="703">
        <x:f>IF('СНМиВГ'!$AR5="Да",1,0)</x:f>
      </x:c>
      <x:c r="J722" s="704">
        <x:f>IF('СНМиВГ'!$AX5="Да",1,0)</x:f>
      </x:c>
      <x:c r="K722" s="705">
        <x:f>IF('СНМиВГ'!$BD5="Да",1,0)</x:f>
      </x:c>
      <x:c r="L722" s="706">
        <x:f>IF('СНМиВГ'!$BJ5="Да",1,0)</x:f>
      </x:c>
      <x:c r="M722" s="707">
        <x:f>IF('СНМиВГ'!$BP5="Да",1,0)</x:f>
      </x:c>
      <x:c r="N722" s="708">
        <x:f>IF('СНМиВГ'!$BV5="Да",1,0)</x:f>
      </x:c>
      <x:c r="O722" s="375">
        <x:f>IFERROR(ROUND(SUM(C722:N722)/($S$720),1),"")</x:f>
      </x:c>
      <x:c r="Q722" s="714"/>
      <x:c r="R722" s="715"/>
      <x:c r="S722" s="716"/>
    </x:row>
    <x:row r="723" spans="1:25" ht="15" customHeight="1" x14ac:dyDescent="0.25">
      <x:c r="A723" s="710"/>
      <x:c r="B723" s="363" t="s">
        <x:v>885</x:v>
      </x:c>
      <x:c r="C723" s="697">
        <x:f>IF('СНМиВГ'!$H6="Да",1,0)</x:f>
      </x:c>
      <x:c r="D723" s="698">
        <x:f>IF('СНМиВГ'!$N6="Да",1,0)</x:f>
      </x:c>
      <x:c r="E723" s="699">
        <x:f>IF('СНМиВГ'!$T6="Да",1,0)</x:f>
      </x:c>
      <x:c r="F723" s="700">
        <x:f>IF('СНМиВГ'!$Z6="Да",1,0)</x:f>
      </x:c>
      <x:c r="G723" s="701">
        <x:f>IF('СНМиВГ'!$AF6="Да",1,0)</x:f>
      </x:c>
      <x:c r="H723" s="702">
        <x:f>IF('СНМиВГ'!$AL6="Да",1,0)</x:f>
      </x:c>
      <x:c r="I723" s="703">
        <x:f>IF('СНМиВГ'!$AR6="Да",1,0)</x:f>
      </x:c>
      <x:c r="J723" s="704">
        <x:f>IF('СНМиВГ'!$AX6="Да",1,0)</x:f>
      </x:c>
      <x:c r="K723" s="705">
        <x:f>IF('СНМиВГ'!$BD6="Да",1,0)</x:f>
      </x:c>
      <x:c r="L723" s="706">
        <x:f>IF('СНМиВГ'!$BJ6="Да",1,0)</x:f>
      </x:c>
      <x:c r="M723" s="707">
        <x:f>IF('СНМиВГ'!$BP6="Да",1,0)</x:f>
      </x:c>
      <x:c r="N723" s="708">
        <x:f>IF('СНМиВГ'!$BV6="Да",1,0)</x:f>
      </x:c>
      <x:c r="O723" s="375">
        <x:f>IFERROR(ROUND(SUM(C723:N723)/($S$720),1),"")</x:f>
      </x:c>
    </x:row>
    <x:row r="724" spans="1:25" ht="15" customHeight="1" x14ac:dyDescent="0.25">
      <x:c r="A724" s="710"/>
      <x:c r="B724" s="363" t="s">
        <x:v>892</x:v>
      </x:c>
      <x:c r="C724" s="697">
        <x:f>IF('СНМиВГ'!$H7="Да",1,0)</x:f>
      </x:c>
      <x:c r="D724" s="698">
        <x:f>IF('СНМиВГ'!$N7="Да",1,0)</x:f>
      </x:c>
      <x:c r="E724" s="699">
        <x:f>IF('СНМиВГ'!$T7="Да",1,0)</x:f>
      </x:c>
      <x:c r="F724" s="700">
        <x:f>IF('СНМиВГ'!$Z7="Да",1,0)</x:f>
      </x:c>
      <x:c r="G724" s="701">
        <x:f>IF('СНМиВГ'!$AF7="Да",1,0)</x:f>
      </x:c>
      <x:c r="H724" s="702">
        <x:f>IF('СНМиВГ'!$AL7="Да",1,0)</x:f>
      </x:c>
      <x:c r="I724" s="703">
        <x:f>IF('СНМиВГ'!$AR7="Да",1,0)</x:f>
      </x:c>
      <x:c r="J724" s="704">
        <x:f>IF('СНМиВГ'!$AX7="Да",1,0)</x:f>
      </x:c>
      <x:c r="K724" s="705">
        <x:f>IF('СНМиВГ'!$BD7="Да",1,0)</x:f>
      </x:c>
      <x:c r="L724" s="706">
        <x:f>IF('СНМиВГ'!$BJ7="Да",1,0)</x:f>
      </x:c>
      <x:c r="M724" s="707">
        <x:f>IF('СНМиВГ'!$BP7="Да",1,0)</x:f>
      </x:c>
      <x:c r="N724" s="708">
        <x:f>IF('СНМиВГ'!$BV7="Да",1,0)</x:f>
      </x:c>
      <x:c r="O724" s="375">
        <x:f>IFERROR(ROUND(SUM(C724:N724)/($S$720),1),"")</x:f>
      </x:c>
    </x:row>
    <x:row r="725" spans="1:25" ht="15" customHeight="1" x14ac:dyDescent="0.25">
      <x:c r="A725" s="710"/>
      <x:c r="B725" s="363" t="s">
        <x:v>876</x:v>
      </x:c>
      <x:c r="C725" s="697">
        <x:f>IF('СНМиВГ'!$H8="Да",1,0)</x:f>
      </x:c>
      <x:c r="D725" s="698">
        <x:f>IF('СНМиВГ'!$N8="Да",1,0)</x:f>
      </x:c>
      <x:c r="E725" s="699">
        <x:f>IF('СНМиВГ'!$T8="Да",1,0)</x:f>
      </x:c>
      <x:c r="F725" s="700">
        <x:f>IF('СНМиВГ'!$Z8="Да",1,0)</x:f>
      </x:c>
      <x:c r="G725" s="701">
        <x:f>IF('СНМиВГ'!$AF8="Да",1,0)</x:f>
      </x:c>
      <x:c r="H725" s="702">
        <x:f>IF('СНМиВГ'!$AL8="Да",1,0)</x:f>
      </x:c>
      <x:c r="I725" s="703">
        <x:f>IF('СНМиВГ'!$AR8="Да",1,0)</x:f>
      </x:c>
      <x:c r="J725" s="704">
        <x:f>IF('СНМиВГ'!$AX8="Да",1,0)</x:f>
      </x:c>
      <x:c r="K725" s="705">
        <x:f>IF('СНМиВГ'!$BD8="Да",1,0)</x:f>
      </x:c>
      <x:c r="L725" s="706">
        <x:f>IF('СНМиВГ'!$BJ8="Да",1,0)</x:f>
      </x:c>
      <x:c r="M725" s="707">
        <x:f>IF('СНМиВГ'!$BP8="Да",1,0)</x:f>
      </x:c>
      <x:c r="N725" s="708">
        <x:f>IF('СНМиВГ'!$BV8="Да",1,0)</x:f>
      </x:c>
      <x:c r="O725" s="375">
        <x:f>IFERROR(ROUND(SUM(C725:N725)/($S$720),1),"")</x:f>
      </x:c>
    </x:row>
    <x:row r="726" spans="1:25" ht="15" customHeight="1" x14ac:dyDescent="0.25">
      <x:c r="A726" s="710"/>
      <x:c r="B726" s="363" t="s">
        <x:v>874</x:v>
      </x:c>
      <x:c r="C726" s="697">
        <x:f>IF('СНМиВГ'!$H9="Да",1,0)</x:f>
      </x:c>
      <x:c r="D726" s="698">
        <x:f>IF('СНМиВГ'!$N9="Да",1,0)</x:f>
      </x:c>
      <x:c r="E726" s="699">
        <x:f>IF('СНМиВГ'!$T9="Да",1,0)</x:f>
      </x:c>
      <x:c r="F726" s="700">
        <x:f>IF('СНМиВГ'!$Z9="Да",1,0)</x:f>
      </x:c>
      <x:c r="G726" s="701">
        <x:f>IF('СНМиВГ'!$AF9="Да",1,0)</x:f>
      </x:c>
      <x:c r="H726" s="702">
        <x:f>IF('СНМиВГ'!$AL9="Да",1,0)</x:f>
      </x:c>
      <x:c r="I726" s="703">
        <x:f>IF('СНМиВГ'!$AR9="Да",1,0)</x:f>
      </x:c>
      <x:c r="J726" s="704">
        <x:f>IF('СНМиВГ'!$AX9="Да",1,0)</x:f>
      </x:c>
      <x:c r="K726" s="705">
        <x:f>IF('СНМиВГ'!$BD9="Да",1,0)</x:f>
      </x:c>
      <x:c r="L726" s="706">
        <x:f>IF('СНМиВГ'!$BJ9="Да",1,0)</x:f>
      </x:c>
      <x:c r="M726" s="707">
        <x:f>IF('СНМиВГ'!$BP9="Да",1,0)</x:f>
      </x:c>
      <x:c r="N726" s="708">
        <x:f>IF('СНМиВГ'!$BV9="Да",1,0)</x:f>
      </x:c>
      <x:c r="O726" s="375">
        <x:f>IFERROR(ROUND(SUM(C726:N726)/($S$720),1),"")</x:f>
      </x:c>
    </x:row>
    <x:row r="727" spans="1:25" ht="15" customHeight="1" x14ac:dyDescent="0.25">
      <x:c r="A727" s="710"/>
      <x:c r="B727" s="363" t="s">
        <x:v>884</x:v>
      </x:c>
      <x:c r="C727" s="697">
        <x:f>IF('СНМиВГ'!$H10="Да",1,0)</x:f>
      </x:c>
      <x:c r="D727" s="698">
        <x:f>IF('СНМиВГ'!$N10="Да",1,0)</x:f>
      </x:c>
      <x:c r="E727" s="699">
        <x:f>IF('СНМиВГ'!$T10="Да",1,0)</x:f>
      </x:c>
      <x:c r="F727" s="700">
        <x:f>IF('СНМиВГ'!$Z10="Да",1,0)</x:f>
      </x:c>
      <x:c r="G727" s="701">
        <x:f>IF('СНМиВГ'!$AF10="Да",1,0)</x:f>
      </x:c>
      <x:c r="H727" s="702">
        <x:f>IF('СНМиВГ'!$AL10="Да",1,0)</x:f>
      </x:c>
      <x:c r="I727" s="703">
        <x:f>IF('СНМиВГ'!$AR10="Да",1,0)</x:f>
      </x:c>
      <x:c r="J727" s="704">
        <x:f>IF('СНМиВГ'!$AX10="Да",1,0)</x:f>
      </x:c>
      <x:c r="K727" s="705">
        <x:f>IF('СНМиВГ'!$BD10="Да",1,0)</x:f>
      </x:c>
      <x:c r="L727" s="706">
        <x:f>IF('СНМиВГ'!$BJ10="Да",1,0)</x:f>
      </x:c>
      <x:c r="M727" s="707">
        <x:f>IF('СНМиВГ'!$BP10="Да",1,0)</x:f>
      </x:c>
      <x:c r="N727" s="708">
        <x:f>IF('СНМиВГ'!$BV10="Да",1,0)</x:f>
      </x:c>
      <x:c r="O727" s="375">
        <x:f>IFERROR(ROUND(SUM(C727:N727)/($S$720),1),"")</x:f>
      </x:c>
    </x:row>
    <x:row r="728" spans="1:25" ht="15" customHeight="1" x14ac:dyDescent="0.25">
      <x:c r="A728" s="710"/>
      <x:c r="B728" s="363" t="s">
        <x:v>890</x:v>
      </x:c>
      <x:c r="C728" s="697">
        <x:f>IF('СНМиВГ'!$H11="Да",1,0)</x:f>
      </x:c>
      <x:c r="D728" s="698">
        <x:f>IF('СНМиВГ'!$N11="Да",1,0)</x:f>
      </x:c>
      <x:c r="E728" s="699">
        <x:f>IF('СНМиВГ'!$T11="Да",1,0)</x:f>
      </x:c>
      <x:c r="F728" s="700">
        <x:f>IF('СНМиВГ'!$Z11="Да",1,0)</x:f>
      </x:c>
      <x:c r="G728" s="701">
        <x:f>IF('СНМиВГ'!$AF11="Да",1,0)</x:f>
      </x:c>
      <x:c r="H728" s="702">
        <x:f>IF('СНМиВГ'!$AL11="Да",1,0)</x:f>
      </x:c>
      <x:c r="I728" s="703">
        <x:f>IF('СНМиВГ'!$AR11="Да",1,0)</x:f>
      </x:c>
      <x:c r="J728" s="704">
        <x:f>IF('СНМиВГ'!$AX11="Да",1,0)</x:f>
      </x:c>
      <x:c r="K728" s="705">
        <x:f>IF('СНМиВГ'!$BD11="Да",1,0)</x:f>
      </x:c>
      <x:c r="L728" s="706">
        <x:f>IF('СНМиВГ'!$BJ11="Да",1,0)</x:f>
      </x:c>
      <x:c r="M728" s="707">
        <x:f>IF('СНМиВГ'!$BP11="Да",1,0)</x:f>
      </x:c>
      <x:c r="N728" s="708">
        <x:f>IF('СНМиВГ'!$BV11="Да",1,0)</x:f>
      </x:c>
      <x:c r="O728" s="375">
        <x:f>IFERROR(ROUND(SUM(C728:N728)/($S$720),1),"")</x:f>
      </x:c>
    </x:row>
    <x:row r="729" spans="1:25" ht="15" customHeight="1" x14ac:dyDescent="0.25">
      <x:c r="A729" s="710"/>
      <x:c r="B729" s="363" t="s">
        <x:v>873</x:v>
      </x:c>
      <x:c r="C729" s="697">
        <x:f>IF('СНМиВГ'!$H12="Да",1,0)</x:f>
      </x:c>
      <x:c r="D729" s="698">
        <x:f>IF('СНМиВГ'!$N12="Да",1,0)</x:f>
      </x:c>
      <x:c r="E729" s="699">
        <x:f>IF('СНМиВГ'!$T12="Да",1,0)</x:f>
      </x:c>
      <x:c r="F729" s="700">
        <x:f>IF('СНМиВГ'!$Z12="Да",1,0)</x:f>
      </x:c>
      <x:c r="G729" s="701">
        <x:f>IF('СНМиВГ'!$AF12="Да",1,0)</x:f>
      </x:c>
      <x:c r="H729" s="702">
        <x:f>IF('СНМиВГ'!$AL12="Да",1,0)</x:f>
      </x:c>
      <x:c r="I729" s="703">
        <x:f>IF('СНМиВГ'!$AR12="Да",1,0)</x:f>
      </x:c>
      <x:c r="J729" s="704">
        <x:f>IF('СНМиВГ'!$AX12="Да",1,0)</x:f>
      </x:c>
      <x:c r="K729" s="705">
        <x:f>IF('СНМиВГ'!$BD12="Да",1,0)</x:f>
      </x:c>
      <x:c r="L729" s="706">
        <x:f>IF('СНМиВГ'!$BJ12="Да",1,0)</x:f>
      </x:c>
      <x:c r="M729" s="707">
        <x:f>IF('СНМиВГ'!$BP12="Да",1,0)</x:f>
      </x:c>
      <x:c r="N729" s="708">
        <x:f>IF('СНМиВГ'!$BV12="Да",1,0)</x:f>
      </x:c>
      <x:c r="O729" s="375">
        <x:f>IFERROR(ROUND(SUM(C729:N729)/($S$720),1),"")</x:f>
      </x:c>
    </x:row>
    <x:row r="730" spans="1:25" ht="15" customHeight="1" x14ac:dyDescent="0.25">
      <x:c r="A730" s="710"/>
      <x:c r="B730" s="363" t="s">
        <x:v>881</x:v>
      </x:c>
      <x:c r="C730" s="697">
        <x:f>IF('СНМиВГ'!$H13="Да",1,0)</x:f>
      </x:c>
      <x:c r="D730" s="698">
        <x:f>IF('СНМиВГ'!$N13="Да",1,0)</x:f>
      </x:c>
      <x:c r="E730" s="699">
        <x:f>IF('СНМиВГ'!$T13="Да",1,0)</x:f>
      </x:c>
      <x:c r="F730" s="700">
        <x:f>IF('СНМиВГ'!$Z13="Да",1,0)</x:f>
      </x:c>
      <x:c r="G730" s="701">
        <x:f>IF('СНМиВГ'!$AF13="Да",1,0)</x:f>
      </x:c>
      <x:c r="H730" s="702">
        <x:f>IF('СНМиВГ'!$AL13="Да",1,0)</x:f>
      </x:c>
      <x:c r="I730" s="703">
        <x:f>IF('СНМиВГ'!$AR13="Да",1,0)</x:f>
      </x:c>
      <x:c r="J730" s="704">
        <x:f>IF('СНМиВГ'!$AX13="Да",1,0)</x:f>
      </x:c>
      <x:c r="K730" s="705">
        <x:f>IF('СНМиВГ'!$BD13="Да",1,0)</x:f>
      </x:c>
      <x:c r="L730" s="706">
        <x:f>IF('СНМиВГ'!$BJ13="Да",1,0)</x:f>
      </x:c>
      <x:c r="M730" s="707">
        <x:f>IF('СНМиВГ'!$BP13="Да",1,0)</x:f>
      </x:c>
      <x:c r="N730" s="708">
        <x:f>IF('СНМиВГ'!$BV13="Да",1,0)</x:f>
      </x:c>
      <x:c r="O730" s="375">
        <x:f>IFERROR(ROUND(SUM(C730:N730)/($S$720),1),"")</x:f>
      </x:c>
    </x:row>
    <x:row r="731" spans="1:25" ht="15" customHeight="1" x14ac:dyDescent="0.25">
      <x:c r="A731" s="710"/>
      <x:c r="B731" s="363" t="s">
        <x:v>880</x:v>
      </x:c>
      <x:c r="C731" s="697">
        <x:f>IF('СНМиВГ'!$H14="Да",1,0)</x:f>
      </x:c>
      <x:c r="D731" s="698">
        <x:f>IF('СНМиВГ'!$N14="Да",1,0)</x:f>
      </x:c>
      <x:c r="E731" s="699">
        <x:f>IF('СНМиВГ'!$T14="Да",1,0)</x:f>
      </x:c>
      <x:c r="F731" s="700">
        <x:f>IF('СНМиВГ'!$Z14="Да",1,0)</x:f>
      </x:c>
      <x:c r="G731" s="701">
        <x:f>IF('СНМиВГ'!$AF14="Да",1,0)</x:f>
      </x:c>
      <x:c r="H731" s="702">
        <x:f>IF('СНМиВГ'!$AL14="Да",1,0)</x:f>
      </x:c>
      <x:c r="I731" s="703">
        <x:f>IF('СНМиВГ'!$AR14="Да",1,0)</x:f>
      </x:c>
      <x:c r="J731" s="704">
        <x:f>IF('СНМиВГ'!$AX14="Да",1,0)</x:f>
      </x:c>
      <x:c r="K731" s="705">
        <x:f>IF('СНМиВГ'!$BD14="Да",1,0)</x:f>
      </x:c>
      <x:c r="L731" s="706">
        <x:f>IF('СНМиВГ'!$BJ14="Да",1,0)</x:f>
      </x:c>
      <x:c r="M731" s="707">
        <x:f>IF('СНМиВГ'!$BP14="Да",1,0)</x:f>
      </x:c>
      <x:c r="N731" s="708">
        <x:f>IF('СНМиВГ'!$BV14="Да",1,0)</x:f>
      </x:c>
      <x:c r="O731" s="375">
        <x:f>IFERROR(ROUND(SUM(C731:N731)/($S$720),1),"")</x:f>
      </x:c>
    </x:row>
    <x:row r="732" spans="1:25" ht="15" customHeight="1" x14ac:dyDescent="0.25">
      <x:c r="A732" s="710"/>
      <x:c r="B732" s="363" t="s">
        <x:v>886</x:v>
      </x:c>
      <x:c r="C732" s="697">
        <x:f>IF('СНМиВГ'!$H15="Да",1,0)</x:f>
      </x:c>
      <x:c r="D732" s="698">
        <x:f>IF('СНМиВГ'!$N15="Да",1,0)</x:f>
      </x:c>
      <x:c r="E732" s="699">
        <x:f>IF('СНМиВГ'!$T15="Да",1,0)</x:f>
      </x:c>
      <x:c r="F732" s="700">
        <x:f>IF('СНМиВГ'!$Z15="Да",1,0)</x:f>
      </x:c>
      <x:c r="G732" s="701">
        <x:f>IF('СНМиВГ'!$AF15="Да",1,0)</x:f>
      </x:c>
      <x:c r="H732" s="702">
        <x:f>IF('СНМиВГ'!$AL15="Да",1,0)</x:f>
      </x:c>
      <x:c r="I732" s="703">
        <x:f>IF('СНМиВГ'!$AR15="Да",1,0)</x:f>
      </x:c>
      <x:c r="J732" s="704">
        <x:f>IF('СНМиВГ'!$AX15="Да",1,0)</x:f>
      </x:c>
      <x:c r="K732" s="705">
        <x:f>IF('СНМиВГ'!$BD15="Да",1,0)</x:f>
      </x:c>
      <x:c r="L732" s="706">
        <x:f>IF('СНМиВГ'!$BJ15="Да",1,0)</x:f>
      </x:c>
      <x:c r="M732" s="707">
        <x:f>IF('СНМиВГ'!$BP15="Да",1,0)</x:f>
      </x:c>
      <x:c r="N732" s="708">
        <x:f>IF('СНМиВГ'!$BV15="Да",1,0)</x:f>
      </x:c>
      <x:c r="O732" s="375">
        <x:f>IFERROR(ROUND(SUM(C732:N732)/($S$720),1),"")</x:f>
      </x:c>
    </x:row>
    <x:row r="733" spans="1:25" ht="15" customHeight="1" x14ac:dyDescent="0.25">
      <x:c r="A733" s="710"/>
      <x:c r="B733" s="363" t="s">
        <x:v>870</x:v>
      </x:c>
      <x:c r="C733" s="697">
        <x:f>IF('СНМиВГ'!$H16="Да",1,0)</x:f>
      </x:c>
      <x:c r="D733" s="698">
        <x:f>IF('СНМиВГ'!$N16="Да",1,0)</x:f>
      </x:c>
      <x:c r="E733" s="699">
        <x:f>IF('СНМиВГ'!$T16="Да",1,0)</x:f>
      </x:c>
      <x:c r="F733" s="700">
        <x:f>IF('СНМиВГ'!$Z16="Да",1,0)</x:f>
      </x:c>
      <x:c r="G733" s="701">
        <x:f>IF('СНМиВГ'!$AF16="Да",1,0)</x:f>
      </x:c>
      <x:c r="H733" s="702">
        <x:f>IF('СНМиВГ'!$AL16="Да",1,0)</x:f>
      </x:c>
      <x:c r="I733" s="703">
        <x:f>IF('СНМиВГ'!$AR16="Да",1,0)</x:f>
      </x:c>
      <x:c r="J733" s="704">
        <x:f>IF('СНМиВГ'!$AX16="Да",1,0)</x:f>
      </x:c>
      <x:c r="K733" s="705">
        <x:f>IF('СНМиВГ'!$BD16="Да",1,0)</x:f>
      </x:c>
      <x:c r="L733" s="706">
        <x:f>IF('СНМиВГ'!$BJ16="Да",1,0)</x:f>
      </x:c>
      <x:c r="M733" s="707">
        <x:f>IF('СНМиВГ'!$BP16="Да",1,0)</x:f>
      </x:c>
      <x:c r="N733" s="708">
        <x:f>IF('СНМиВГ'!$BV16="Да",1,0)</x:f>
      </x:c>
      <x:c r="O733" s="375">
        <x:f>IFERROR(ROUND(SUM(C733:N733)/($S$720),1),"")</x:f>
      </x:c>
    </x:row>
    <x:row r="734" spans="1:25" ht="15" customHeight="1" x14ac:dyDescent="0.25">
      <x:c r="A734" s="710"/>
      <x:c r="B734" s="363" t="s">
        <x:v>878</x:v>
      </x:c>
      <x:c r="C734" s="697">
        <x:f>IF('СНМиВГ'!$H17="Да",1,0)</x:f>
      </x:c>
      <x:c r="D734" s="698">
        <x:f>IF('СНМиВГ'!$N17="Да",1,0)</x:f>
      </x:c>
      <x:c r="E734" s="699">
        <x:f>IF('СНМиВГ'!$T17="Да",1,0)</x:f>
      </x:c>
      <x:c r="F734" s="700">
        <x:f>IF('СНМиВГ'!$Z17="Да",1,0)</x:f>
      </x:c>
      <x:c r="G734" s="701">
        <x:f>IF('СНМиВГ'!$AF17="Да",1,0)</x:f>
      </x:c>
      <x:c r="H734" s="702">
        <x:f>IF('СНМиВГ'!$AL17="Да",1,0)</x:f>
      </x:c>
      <x:c r="I734" s="703">
        <x:f>IF('СНМиВГ'!$AR17="Да",1,0)</x:f>
      </x:c>
      <x:c r="J734" s="704">
        <x:f>IF('СНМиВГ'!$AX17="Да",1,0)</x:f>
      </x:c>
      <x:c r="K734" s="705">
        <x:f>IF('СНМиВГ'!$BD17="Да",1,0)</x:f>
      </x:c>
      <x:c r="L734" s="706">
        <x:f>IF('СНМиВГ'!$BJ17="Да",1,0)</x:f>
      </x:c>
      <x:c r="M734" s="707">
        <x:f>IF('СНМиВГ'!$BP17="Да",1,0)</x:f>
      </x:c>
      <x:c r="N734" s="708">
        <x:f>IF('СНМиВГ'!$BV17="Да",1,0)</x:f>
      </x:c>
      <x:c r="O734" s="375">
        <x:f>IFERROR(ROUND(SUM(C734:N734)/($S$720),1),"")</x:f>
      </x:c>
    </x:row>
    <x:row r="735" spans="1:25" ht="15" customHeight="1" x14ac:dyDescent="0.25">
      <x:c r="A735" s="710"/>
      <x:c r="B735" s="363" t="s">
        <x:v>879</x:v>
      </x:c>
      <x:c r="C735" s="697">
        <x:f>IF('СНМиВГ'!$H18="Да",1,0)</x:f>
      </x:c>
      <x:c r="D735" s="698">
        <x:f>IF('СНМиВГ'!$N18="Да",1,0)</x:f>
      </x:c>
      <x:c r="E735" s="699">
        <x:f>IF('СНМиВГ'!$T18="Да",1,0)</x:f>
      </x:c>
      <x:c r="F735" s="700">
        <x:f>IF('СНМиВГ'!$Z18="Да",1,0)</x:f>
      </x:c>
      <x:c r="G735" s="701">
        <x:f>IF('СНМиВГ'!$AF18="Да",1,0)</x:f>
      </x:c>
      <x:c r="H735" s="702">
        <x:f>IF('СНМиВГ'!$AL18="Да",1,0)</x:f>
      </x:c>
      <x:c r="I735" s="703">
        <x:f>IF('СНМиВГ'!$AR18="Да",1,0)</x:f>
      </x:c>
      <x:c r="J735" s="704">
        <x:f>IF('СНМиВГ'!$AX18="Да",1,0)</x:f>
      </x:c>
      <x:c r="K735" s="705">
        <x:f>IF('СНМиВГ'!$BD18="Да",1,0)</x:f>
      </x:c>
      <x:c r="L735" s="706">
        <x:f>IF('СНМиВГ'!$BJ18="Да",1,0)</x:f>
      </x:c>
      <x:c r="M735" s="707">
        <x:f>IF('СНМиВГ'!$BP18="Да",1,0)</x:f>
      </x:c>
      <x:c r="N735" s="708">
        <x:f>IF('СНМиВГ'!$BV18="Да",1,0)</x:f>
      </x:c>
      <x:c r="O735" s="375">
        <x:f>IFERROR(ROUND(SUM(C735:N735)/($S$720),1),"")</x:f>
      </x:c>
    </x:row>
    <x:row r="736" spans="1:25" ht="15" customHeight="1" x14ac:dyDescent="0.25">
      <x:c r="A736" s="710"/>
      <x:c r="B736" s="363" t="s">
        <x:v>866</x:v>
      </x:c>
      <x:c r="C736" s="697">
        <x:f>IF('СНМиВГ'!$H19="Да",1,0)</x:f>
      </x:c>
      <x:c r="D736" s="698">
        <x:f>IF('СНМиВГ'!$N19="Да",1,0)</x:f>
      </x:c>
      <x:c r="E736" s="699">
        <x:f>IF('СНМиВГ'!$T19="Да",1,0)</x:f>
      </x:c>
      <x:c r="F736" s="700">
        <x:f>IF('СНМиВГ'!$Z19="Да",1,0)</x:f>
      </x:c>
      <x:c r="G736" s="701">
        <x:f>IF('СНМиВГ'!$AF19="Да",1,0)</x:f>
      </x:c>
      <x:c r="H736" s="702">
        <x:f>IF('СНМиВГ'!$AL19="Да",1,0)</x:f>
      </x:c>
      <x:c r="I736" s="703">
        <x:f>IF('СНМиВГ'!$AR19="Да",1,0)</x:f>
      </x:c>
      <x:c r="J736" s="704">
        <x:f>IF('СНМиВГ'!$AX19="Да",1,0)</x:f>
      </x:c>
      <x:c r="K736" s="705">
        <x:f>IF('СНМиВГ'!$BD19="Да",1,0)</x:f>
      </x:c>
      <x:c r="L736" s="706">
        <x:f>IF('СНМиВГ'!$BJ19="Да",1,0)</x:f>
      </x:c>
      <x:c r="M736" s="707">
        <x:f>IF('СНМиВГ'!$BP19="Да",1,0)</x:f>
      </x:c>
      <x:c r="N736" s="708">
        <x:f>IF('СНМиВГ'!$BV19="Да",1,0)</x:f>
      </x:c>
      <x:c r="O736" s="375">
        <x:f>IFERROR(ROUND(SUM(C736:N736)/($S$720),1),"")</x:f>
      </x:c>
    </x:row>
    <x:row r="737" spans="1:25" ht="15" customHeight="1" x14ac:dyDescent="0.25">
      <x:c r="A737" s="710"/>
      <x:c r="B737" s="363" t="s">
        <x:v>868</x:v>
      </x:c>
      <x:c r="C737" s="697">
        <x:f>IF('СНМиВГ'!$H20="Да",1,0)</x:f>
      </x:c>
      <x:c r="D737" s="698">
        <x:f>IF('СНМиВГ'!$N20="Да",1,0)</x:f>
      </x:c>
      <x:c r="E737" s="699">
        <x:f>IF('СНМиВГ'!$T20="Да",1,0)</x:f>
      </x:c>
      <x:c r="F737" s="700">
        <x:f>IF('СНМиВГ'!$Z20="Да",1,0)</x:f>
      </x:c>
      <x:c r="G737" s="701">
        <x:f>IF('СНМиВГ'!$AF20="Да",1,0)</x:f>
      </x:c>
      <x:c r="H737" s="702">
        <x:f>IF('СНМиВГ'!$AL20="Да",1,0)</x:f>
      </x:c>
      <x:c r="I737" s="703">
        <x:f>IF('СНМиВГ'!$AR20="Да",1,0)</x:f>
      </x:c>
      <x:c r="J737" s="704">
        <x:f>IF('СНМиВГ'!$AX20="Да",1,0)</x:f>
      </x:c>
      <x:c r="K737" s="705">
        <x:f>IF('СНМиВГ'!$BD20="Да",1,0)</x:f>
      </x:c>
      <x:c r="L737" s="706">
        <x:f>IF('СНМиВГ'!$BJ20="Да",1,0)</x:f>
      </x:c>
      <x:c r="M737" s="707">
        <x:f>IF('СНМиВГ'!$BP20="Да",1,0)</x:f>
      </x:c>
      <x:c r="N737" s="708">
        <x:f>IF('СНМиВГ'!$BV20="Да",1,0)</x:f>
      </x:c>
      <x:c r="O737" s="375">
        <x:f>IFERROR(ROUND(SUM(C737:N737)/($S$720),1),"")</x:f>
      </x:c>
    </x:row>
    <x:row r="738" spans="1:25" ht="15" customHeight="1" x14ac:dyDescent="0.25">
      <x:c r="A738" s="710"/>
      <x:c r="B738" s="363" t="s">
        <x:v>891</x:v>
      </x:c>
      <x:c r="C738" s="697">
        <x:f>IF('СНМиВГ'!$H21="Да",1,0)</x:f>
      </x:c>
      <x:c r="D738" s="698">
        <x:f>IF('СНМиВГ'!$N21="Да",1,0)</x:f>
      </x:c>
      <x:c r="E738" s="699">
        <x:f>IF('СНМиВГ'!$T21="Да",1,0)</x:f>
      </x:c>
      <x:c r="F738" s="700">
        <x:f>IF('СНМиВГ'!$Z21="Да",1,0)</x:f>
      </x:c>
      <x:c r="G738" s="701">
        <x:f>IF('СНМиВГ'!$AF21="Да",1,0)</x:f>
      </x:c>
      <x:c r="H738" s="702">
        <x:f>IF('СНМиВГ'!$AL21="Да",1,0)</x:f>
      </x:c>
      <x:c r="I738" s="703">
        <x:f>IF('СНМиВГ'!$AR21="Да",1,0)</x:f>
      </x:c>
      <x:c r="J738" s="704">
        <x:f>IF('СНМиВГ'!$AX21="Да",1,0)</x:f>
      </x:c>
      <x:c r="K738" s="705">
        <x:f>IF('СНМиВГ'!$BD21="Да",1,0)</x:f>
      </x:c>
      <x:c r="L738" s="706">
        <x:f>IF('СНМиВГ'!$BJ21="Да",1,0)</x:f>
      </x:c>
      <x:c r="M738" s="707">
        <x:f>IF('СНМиВГ'!$BP21="Да",1,0)</x:f>
      </x:c>
      <x:c r="N738" s="708">
        <x:f>IF('СНМиВГ'!$BV21="Да",1,0)</x:f>
      </x:c>
      <x:c r="O738" s="375">
        <x:f>IFERROR(ROUND(SUM(C738:N738)/($S$720),1),"")</x:f>
      </x:c>
    </x:row>
    <x:row r="739" spans="1:25" ht="15" customHeight="1" x14ac:dyDescent="0.25">
      <x:c r="A739" s="710"/>
      <x:c r="B739" s="363" t="s">
        <x:v>872</x:v>
      </x:c>
      <x:c r="C739" s="697">
        <x:f>IF('СНМиВГ'!$H22="Да",1,0)</x:f>
      </x:c>
      <x:c r="D739" s="698">
        <x:f>IF('СНМиВГ'!$N22="Да",1,0)</x:f>
      </x:c>
      <x:c r="E739" s="699">
        <x:f>IF('СНМиВГ'!$T22="Да",1,0)</x:f>
      </x:c>
      <x:c r="F739" s="700">
        <x:f>IF('СНМиВГ'!$Z22="Да",1,0)</x:f>
      </x:c>
      <x:c r="G739" s="701">
        <x:f>IF('СНМиВГ'!$AF22="Да",1,0)</x:f>
      </x:c>
      <x:c r="H739" s="702">
        <x:f>IF('СНМиВГ'!$AL22="Да",1,0)</x:f>
      </x:c>
      <x:c r="I739" s="703">
        <x:f>IF('СНМиВГ'!$AR22="Да",1,0)</x:f>
      </x:c>
      <x:c r="J739" s="704">
        <x:f>IF('СНМиВГ'!$AX22="Да",1,0)</x:f>
      </x:c>
      <x:c r="K739" s="705">
        <x:f>IF('СНМиВГ'!$BD22="Да",1,0)</x:f>
      </x:c>
      <x:c r="L739" s="706">
        <x:f>IF('СНМиВГ'!$BJ22="Да",1,0)</x:f>
      </x:c>
      <x:c r="M739" s="707">
        <x:f>IF('СНМиВГ'!$BP22="Да",1,0)</x:f>
      </x:c>
      <x:c r="N739" s="708">
        <x:f>IF('СНМиВГ'!$BV22="Да",1,0)</x:f>
      </x:c>
      <x:c r="O739" s="375">
        <x:f>IFERROR(ROUND(SUM(C739:N739)/($S$720),1),"")</x:f>
      </x:c>
    </x:row>
    <x:row r="740" spans="1:25" ht="15" customHeight="1" x14ac:dyDescent="0.25">
      <x:c r="A740" s="710"/>
      <x:c r="B740" s="363" t="s">
        <x:v>887</x:v>
      </x:c>
      <x:c r="C740" s="697">
        <x:f>IF('СНМиВГ'!$H23="Да",1,0)</x:f>
      </x:c>
      <x:c r="D740" s="698">
        <x:f>IF('СНМиВГ'!$N23="Да",1,0)</x:f>
      </x:c>
      <x:c r="E740" s="699">
        <x:f>IF('СНМиВГ'!$T23="Да",1,0)</x:f>
      </x:c>
      <x:c r="F740" s="700">
        <x:f>IF('СНМиВГ'!$Z23="Да",1,0)</x:f>
      </x:c>
      <x:c r="G740" s="701">
        <x:f>IF('СНМиВГ'!$AF23="Да",1,0)</x:f>
      </x:c>
      <x:c r="H740" s="702">
        <x:f>IF('СНМиВГ'!$AL23="Да",1,0)</x:f>
      </x:c>
      <x:c r="I740" s="703">
        <x:f>IF('СНМиВГ'!$AR23="Да",1,0)</x:f>
      </x:c>
      <x:c r="J740" s="704">
        <x:f>IF('СНМиВГ'!$AX23="Да",1,0)</x:f>
      </x:c>
      <x:c r="K740" s="705">
        <x:f>IF('СНМиВГ'!$BD23="Да",1,0)</x:f>
      </x:c>
      <x:c r="L740" s="706">
        <x:f>IF('СНМиВГ'!$BJ23="Да",1,0)</x:f>
      </x:c>
      <x:c r="M740" s="707">
        <x:f>IF('СНМиВГ'!$BP23="Да",1,0)</x:f>
      </x:c>
      <x:c r="N740" s="708">
        <x:f>IF('СНМиВГ'!$BV23="Да",1,0)</x:f>
      </x:c>
      <x:c r="O740" s="375">
        <x:f>IFERROR(ROUND(SUM(C740:N740)/($S$720),1),"")</x:f>
      </x:c>
    </x:row>
    <x:row r="741" spans="1:25" ht="15" customHeight="1" x14ac:dyDescent="0.25">
      <x:c r="A741" s="710"/>
      <x:c r="B741" s="363" t="s">
        <x:v>889</x:v>
      </x:c>
      <x:c r="C741" s="697">
        <x:f>IF('СНМиВГ'!$H24="Да",1,0)</x:f>
      </x:c>
      <x:c r="D741" s="698">
        <x:f>IF('СНМиВГ'!$N24="Да",1,0)</x:f>
      </x:c>
      <x:c r="E741" s="699">
        <x:f>IF('СНМиВГ'!$T24="Да",1,0)</x:f>
      </x:c>
      <x:c r="F741" s="700">
        <x:f>IF('СНМиВГ'!$Z24="Да",1,0)</x:f>
      </x:c>
      <x:c r="G741" s="701">
        <x:f>IF('СНМиВГ'!$AF24="Да",1,0)</x:f>
      </x:c>
      <x:c r="H741" s="702">
        <x:f>IF('СНМиВГ'!$AL24="Да",1,0)</x:f>
      </x:c>
      <x:c r="I741" s="703">
        <x:f>IF('СНМиВГ'!$AR24="Да",1,0)</x:f>
      </x:c>
      <x:c r="J741" s="704">
        <x:f>IF('СНМиВГ'!$AX24="Да",1,0)</x:f>
      </x:c>
      <x:c r="K741" s="705">
        <x:f>IF('СНМиВГ'!$BD24="Да",1,0)</x:f>
      </x:c>
      <x:c r="L741" s="706">
        <x:f>IF('СНМиВГ'!$BJ24="Да",1,0)</x:f>
      </x:c>
      <x:c r="M741" s="707">
        <x:f>IF('СНМиВГ'!$BP24="Да",1,0)</x:f>
      </x:c>
      <x:c r="N741" s="708">
        <x:f>IF('СНМиВГ'!$BV24="Да",1,0)</x:f>
      </x:c>
      <x:c r="O741" s="375">
        <x:f>IFERROR(ROUND(SUM(C741:N741)/($S$720),1),"")</x:f>
      </x:c>
    </x:row>
    <x:row r="742" spans="1:25" ht="15" customHeight="1" x14ac:dyDescent="0.25">
      <x:c r="A742" s="710"/>
      <x:c r="B742" s="363" t="s">
        <x:v>888</x:v>
      </x:c>
      <x:c r="C742" s="697">
        <x:f>IF('СНМиВГ'!$H25="Да",1,0)</x:f>
      </x:c>
      <x:c r="D742" s="698">
        <x:f>IF('СНМиВГ'!$N25="Да",1,0)</x:f>
      </x:c>
      <x:c r="E742" s="699">
        <x:f>IF('СНМиВГ'!$T25="Да",1,0)</x:f>
      </x:c>
      <x:c r="F742" s="700">
        <x:f>IF('СНМиВГ'!$Z25="Да",1,0)</x:f>
      </x:c>
      <x:c r="G742" s="701">
        <x:f>IF('СНМиВГ'!$AF25="Да",1,0)</x:f>
      </x:c>
      <x:c r="H742" s="702">
        <x:f>IF('СНМиВГ'!$AL25="Да",1,0)</x:f>
      </x:c>
      <x:c r="I742" s="703">
        <x:f>IF('СНМиВГ'!$AR25="Да",1,0)</x:f>
      </x:c>
      <x:c r="J742" s="704">
        <x:f>IF('СНМиВГ'!$AX25="Да",1,0)</x:f>
      </x:c>
      <x:c r="K742" s="705">
        <x:f>IF('СНМиВГ'!$BD25="Да",1,0)</x:f>
      </x:c>
      <x:c r="L742" s="706">
        <x:f>IF('СНМиВГ'!$BJ25="Да",1,0)</x:f>
      </x:c>
      <x:c r="M742" s="707">
        <x:f>IF('СНМиВГ'!$BP25="Да",1,0)</x:f>
      </x:c>
      <x:c r="N742" s="708">
        <x:f>IF('СНМиВГ'!$BV25="Да",1,0)</x:f>
      </x:c>
      <x:c r="O742" s="375">
        <x:f>IFERROR(ROUND(SUM(C742:N742)/($S$720),1),"")</x:f>
      </x:c>
    </x:row>
    <x:row r="743" spans="1:25" ht="15" customHeight="1" x14ac:dyDescent="0.25">
      <x:c r="A743" s="710"/>
      <x:c r="B743" s="363" t="s">
        <x:v>882</x:v>
      </x:c>
      <x:c r="C743" s="697">
        <x:f>IF('СНМиВГ'!$H26="Да",1,0)</x:f>
      </x:c>
      <x:c r="D743" s="698">
        <x:f>IF('СНМиВГ'!$N26="Да",1,0)</x:f>
      </x:c>
      <x:c r="E743" s="699">
        <x:f>IF('СНМиВГ'!$T26="Да",1,0)</x:f>
      </x:c>
      <x:c r="F743" s="700">
        <x:f>IF('СНМиВГ'!$Z26="Да",1,0)</x:f>
      </x:c>
      <x:c r="G743" s="701">
        <x:f>IF('СНМиВГ'!$AF26="Да",1,0)</x:f>
      </x:c>
      <x:c r="H743" s="702">
        <x:f>IF('СНМиВГ'!$AL26="Да",1,0)</x:f>
      </x:c>
      <x:c r="I743" s="703">
        <x:f>IF('СНМиВГ'!$AR26="Да",1,0)</x:f>
      </x:c>
      <x:c r="J743" s="704">
        <x:f>IF('СНМиВГ'!$AX26="Да",1,0)</x:f>
      </x:c>
      <x:c r="K743" s="705">
        <x:f>IF('СНМиВГ'!$BD26="Да",1,0)</x:f>
      </x:c>
      <x:c r="L743" s="706">
        <x:f>IF('СНМиВГ'!$BJ26="Да",1,0)</x:f>
      </x:c>
      <x:c r="M743" s="707">
        <x:f>IF('СНМиВГ'!$BP26="Да",1,0)</x:f>
      </x:c>
      <x:c r="N743" s="708">
        <x:f>IF('СНМиВГ'!$BV26="Да",1,0)</x:f>
      </x:c>
      <x:c r="O743" s="375">
        <x:f>IFERROR(ROUND(SUM(C743:N743)/($S$720),1),"")</x:f>
      </x:c>
    </x:row>
    <x:row r="744" spans="1:25" ht="15" customHeight="1" x14ac:dyDescent="0.3">
      <x:c r="A744" s="710"/>
      <x:c r="B744" s="363" t="s">
        <x:v>883</x:v>
      </x:c>
      <x:c r="C744" s="697">
        <x:f>IF('СНМиВГ'!$H27="Да",1,0)</x:f>
      </x:c>
      <x:c r="D744" s="698">
        <x:f>IF('СНМиВГ'!$N27="Да",1,0)</x:f>
      </x:c>
      <x:c r="E744" s="699">
        <x:f>IF('СНМиВГ'!$T27="Да",1,0)</x:f>
      </x:c>
      <x:c r="F744" s="700">
        <x:f>IF('СНМиВГ'!$Z27="Да",1,0)</x:f>
      </x:c>
      <x:c r="G744" s="701">
        <x:f>IF('СНМиВГ'!$AF27="Да",1,0)</x:f>
      </x:c>
      <x:c r="H744" s="702">
        <x:f>IF('СНМиВГ'!$AL27="Да",1,0)</x:f>
      </x:c>
      <x:c r="I744" s="703">
        <x:f>IF('СНМиВГ'!$AR27="Да",1,0)</x:f>
      </x:c>
      <x:c r="J744" s="704">
        <x:f>IF('СНМиВГ'!$AX27="Да",1,0)</x:f>
      </x:c>
      <x:c r="K744" s="705">
        <x:f>IF('СНМиВГ'!$BD27="Да",1,0)</x:f>
      </x:c>
      <x:c r="L744" s="706">
        <x:f>IF('СНМиВГ'!$BJ27="Да",1,0)</x:f>
      </x:c>
      <x:c r="M744" s="707">
        <x:f>IF('СНМиВГ'!$BP27="Да",1,0)</x:f>
      </x:c>
      <x:c r="N744" s="708">
        <x:f>IF('СНМиВГ'!$BV27="Да",1,0)</x:f>
      </x:c>
      <x:c r="O744" s="375">
        <x:f>IFERROR(ROUND(SUM(C744:N744)/($S$720),1),"")</x:f>
      </x:c>
    </x:row>
    <x:row r="745" spans="1:25" ht="15.75" customHeight="1" x14ac:dyDescent="0.25">
      <x:c r="A745" s="717"/>
      <x:c r="B745" s="379" t="s">
        <x:v>871</x:v>
      </x:c>
      <x:c r="C745" s="697">
        <x:f>IF('СНМиВГ'!$H28="Да",1,0)</x:f>
      </x:c>
      <x:c r="D745" s="698">
        <x:f>IF('СНМиВГ'!$N28="Да",1,0)</x:f>
      </x:c>
      <x:c r="E745" s="699">
        <x:f>IF('СНМиВГ'!$T28="Да",1,0)</x:f>
      </x:c>
      <x:c r="F745" s="700">
        <x:f>IF('СНМиВГ'!$Z28="Да",1,0)</x:f>
      </x:c>
      <x:c r="G745" s="701">
        <x:f>IF('СНМиВГ'!$AF28="Да",1,0)</x:f>
      </x:c>
      <x:c r="H745" s="702">
        <x:f>IF('СНМиВГ'!$AL28="Да",1,0)</x:f>
      </x:c>
      <x:c r="I745" s="703">
        <x:f>IF('СНМиВГ'!$AR28="Да",1,0)</x:f>
      </x:c>
      <x:c r="J745" s="704">
        <x:f>IF('СНМиВГ'!$AX28="Да",1,0)</x:f>
      </x:c>
      <x:c r="K745" s="705">
        <x:f>IF('СНМиВГ'!$BD28="Да",1,0)</x:f>
      </x:c>
      <x:c r="L745" s="706">
        <x:f>IF('СНМиВГ'!$BJ28="Да",1,0)</x:f>
      </x:c>
      <x:c r="M745" s="707">
        <x:f>IF('СНМиВГ'!$BP28="Да",1,0)</x:f>
      </x:c>
      <x:c r="N745" s="708">
        <x:f>IF('СНМиВГ'!$BV28="Да",1,0)</x:f>
      </x:c>
      <x:c r="O745" s="375">
        <x:f>IFERROR(ROUND(SUM(C745:N745)/($S$720),1),"")</x:f>
      </x:c>
    </x:row>
    <x:row r="746" spans="1:25" ht="15" customHeight="1" x14ac:dyDescent="0.25">
      <x:c r="A746" s="696" t="s">
        <x:v>1090</x:v>
      </x:c>
      <x:c r="B746" s="363" t="s">
        <x:v>836</x:v>
      </x:c>
      <x:c r="C746" s="697">
        <x:f>IF('БРиДТ'!$H3="Да",1,0)</x:f>
      </x:c>
      <x:c r="D746" s="698">
        <x:f>IF('БРиДТ'!$N3="Да",1,0)</x:f>
      </x:c>
      <x:c r="E746" s="699">
        <x:f>IF('БРиДТ'!$T3="Да",1,0)</x:f>
      </x:c>
      <x:c r="F746" s="700">
        <x:f>IF('БРиДТ'!$Z3="Да",1,0)</x:f>
      </x:c>
      <x:c r="G746" s="701">
        <x:f>IF('БРиДТ'!$AF3="Да",1,0)</x:f>
      </x:c>
      <x:c r="H746" s="702">
        <x:f>IF('БРиДТ'!$AL3="Да",1,0)</x:f>
      </x:c>
      <x:c r="I746" s="703">
        <x:f>IF('БРиДТ'!$AR3="Да",1,0)</x:f>
      </x:c>
      <x:c r="J746" s="704">
        <x:f>IF('БРиДТ'!$AX3="Да",1,0)</x:f>
      </x:c>
      <x:c r="K746" s="705">
        <x:f>IF('БРиДТ'!$BD3="Да",1,0)</x:f>
      </x:c>
      <x:c r="L746" s="706">
        <x:f>IF('БРиДТ'!$BJ3="Да",1,0)</x:f>
      </x:c>
      <x:c r="M746" s="707">
        <x:f>IF('БРиДТ'!$BP3="Да",1,0)</x:f>
      </x:c>
      <x:c r="N746" s="708">
        <x:f>IF('БРиДТ'!$BV3="Да",1,0)</x:f>
      </x:c>
      <x:c r="O746" s="375">
        <x:f>IFERROR(ROUND(SUM(C746:N746)/($S$746),1),"")</x:f>
      </x:c>
      <x:c r="Q746" s="709" t="s">
        <x:v>1151</x:v>
      </x:c>
      <x:c r="R746" s="596"/>
      <x:c r="S746" s="376">
        <x:f>SUM(IF(COUNTIF(C746:C774,"&gt;0")&gt;0,1,0),IF(COUNTIF(D746:D774,"&gt;0")&gt;0,1,0),IF(COUNTIF(E746:E774,"&gt;0")&gt;0,1,0),IF(COUNTIF(F746:F774,"&gt;0")&gt;0,1,0),IF(COUNTIF(G746:G774,"&gt;0")&gt;0,1,0),IF(COUNTIF(H746:H774,"&gt;0")&gt;0,1,0),IF(COUNTIF(I746:I774,"&gt;0")&gt;0,1,0),IF(COUNTIF(J746:J774,"&gt;0")&gt;0,1,0),IF(COUNTIF(K746:K774,"&gt;0")&gt;0,1,0),IF(COUNTIF(L746:L774,"&gt;0")&gt;0,1,0),IF(COUNTIF(M746:M774,"&gt;0")&gt;0,1,0),IF(COUNTIF(N746:N774,"&gt;0")&gt;0,1,0))</x:f>
      </x:c>
    </x:row>
    <x:row r="747" spans="1:25" ht="15" customHeight="1" x14ac:dyDescent="0.25">
      <x:c r="A747" s="710"/>
      <x:c r="B747" s="363" t="s">
        <x:v>850</x:v>
      </x:c>
      <x:c r="C747" s="697">
        <x:f>IF('БРиДТ'!$H4="Да",1,0)</x:f>
      </x:c>
      <x:c r="D747" s="698">
        <x:f>IF('БРиДТ'!$N4="Да",1,0)</x:f>
      </x:c>
      <x:c r="E747" s="699">
        <x:f>IF('БРиДТ'!$T4="Да",1,0)</x:f>
      </x:c>
      <x:c r="F747" s="700">
        <x:f>IF('БРиДТ'!$Z4="Да",1,0)</x:f>
      </x:c>
      <x:c r="G747" s="701">
        <x:f>IF('БРиДТ'!$AF4="Да",1,0)</x:f>
      </x:c>
      <x:c r="H747" s="702">
        <x:f>IF('БРиДТ'!$AL4="Да",1,0)</x:f>
      </x:c>
      <x:c r="I747" s="703">
        <x:f>IF('БРиДТ'!$AR4="Да",1,0)</x:f>
      </x:c>
      <x:c r="J747" s="704">
        <x:f>IF('БРиДТ'!$AX4="Да",1,0)</x:f>
      </x:c>
      <x:c r="K747" s="705">
        <x:f>IF('БРиДТ'!$BD4="Да",1,0)</x:f>
      </x:c>
      <x:c r="L747" s="706">
        <x:f>IF('БРиДТ'!$BJ4="Да",1,0)</x:f>
      </x:c>
      <x:c r="M747" s="707">
        <x:f>IF('БРиДТ'!$BP4="Да",1,0)</x:f>
      </x:c>
      <x:c r="N747" s="708">
        <x:f>IF('БРиДТ'!$BV4="Да",1,0)</x:f>
      </x:c>
      <x:c r="O747" s="375">
        <x:f>IFERROR(ROUND(SUM(C747:N747)/($S$746),1),"")</x:f>
      </x:c>
      <x:c r="Q747" s="711"/>
      <x:c r="R747" s="712"/>
      <x:c r="S747" s="713"/>
    </x:row>
    <x:row r="748" spans="1:25" ht="15" customHeight="1" x14ac:dyDescent="0.25">
      <x:c r="A748" s="710"/>
      <x:c r="B748" s="363" t="s">
        <x:v>862</x:v>
      </x:c>
      <x:c r="C748" s="697">
        <x:f>IF('БРиДТ'!$H5="Да",1,0)</x:f>
      </x:c>
      <x:c r="D748" s="698">
        <x:f>IF('БРиДТ'!$N5="Да",1,0)</x:f>
      </x:c>
      <x:c r="E748" s="699">
        <x:f>IF('БРиДТ'!$T5="Да",1,0)</x:f>
      </x:c>
      <x:c r="F748" s="700">
        <x:f>IF('БРиДТ'!$Z5="Да",1,0)</x:f>
      </x:c>
      <x:c r="G748" s="701">
        <x:f>IF('БРиДТ'!$AF5="Да",1,0)</x:f>
      </x:c>
      <x:c r="H748" s="702">
        <x:f>IF('БРиДТ'!$AL5="Да",1,0)</x:f>
      </x:c>
      <x:c r="I748" s="703">
        <x:f>IF('БРиДТ'!$AR5="Да",1,0)</x:f>
      </x:c>
      <x:c r="J748" s="704">
        <x:f>IF('БРиДТ'!$AX5="Да",1,0)</x:f>
      </x:c>
      <x:c r="K748" s="705">
        <x:f>IF('БРиДТ'!$BD5="Да",1,0)</x:f>
      </x:c>
      <x:c r="L748" s="706">
        <x:f>IF('БРиДТ'!$BJ5="Да",1,0)</x:f>
      </x:c>
      <x:c r="M748" s="707">
        <x:f>IF('БРиДТ'!$BP5="Да",1,0)</x:f>
      </x:c>
      <x:c r="N748" s="708">
        <x:f>IF('БРиДТ'!$BV5="Да",1,0)</x:f>
      </x:c>
      <x:c r="O748" s="375">
        <x:f>IFERROR(ROUND(SUM(C748:N748)/($S$746),1),"")</x:f>
      </x:c>
      <x:c r="Q748" s="714"/>
      <x:c r="R748" s="715"/>
      <x:c r="S748" s="716"/>
    </x:row>
    <x:row r="749" spans="1:25" ht="15" customHeight="1" x14ac:dyDescent="0.25">
      <x:c r="A749" s="710"/>
      <x:c r="B749" s="363" t="s">
        <x:v>843</x:v>
      </x:c>
      <x:c r="C749" s="697">
        <x:f>IF('БРиДТ'!$H6="Да",1,0)</x:f>
      </x:c>
      <x:c r="D749" s="698">
        <x:f>IF('БРиДТ'!$N6="Да",1,0)</x:f>
      </x:c>
      <x:c r="E749" s="699">
        <x:f>IF('БРиДТ'!$T6="Да",1,0)</x:f>
      </x:c>
      <x:c r="F749" s="700">
        <x:f>IF('БРиДТ'!$Z6="Да",1,0)</x:f>
      </x:c>
      <x:c r="G749" s="701">
        <x:f>IF('БРиДТ'!$AF6="Да",1,0)</x:f>
      </x:c>
      <x:c r="H749" s="702">
        <x:f>IF('БРиДТ'!$AL6="Да",1,0)</x:f>
      </x:c>
      <x:c r="I749" s="703">
        <x:f>IF('БРиДТ'!$AR6="Да",1,0)</x:f>
      </x:c>
      <x:c r="J749" s="704">
        <x:f>IF('БРиДТ'!$AX6="Да",1,0)</x:f>
      </x:c>
      <x:c r="K749" s="705">
        <x:f>IF('БРиДТ'!$BD6="Да",1,0)</x:f>
      </x:c>
      <x:c r="L749" s="706">
        <x:f>IF('БРиДТ'!$BJ6="Да",1,0)</x:f>
      </x:c>
      <x:c r="M749" s="707">
        <x:f>IF('БРиДТ'!$BP6="Да",1,0)</x:f>
      </x:c>
      <x:c r="N749" s="708">
        <x:f>IF('БРиДТ'!$BV6="Да",1,0)</x:f>
      </x:c>
      <x:c r="O749" s="375">
        <x:f>IFERROR(ROUND(SUM(C749:N749)/($S$746),1),"")</x:f>
      </x:c>
    </x:row>
    <x:row r="750" spans="1:25" ht="15" customHeight="1" x14ac:dyDescent="0.25">
      <x:c r="A750" s="710"/>
      <x:c r="B750" s="363" t="s">
        <x:v>865</x:v>
      </x:c>
      <x:c r="C750" s="697">
        <x:f>IF('БРиДТ'!$H7="Да",1,0)</x:f>
      </x:c>
      <x:c r="D750" s="698">
        <x:f>IF('БРиДТ'!$N7="Да",1,0)</x:f>
      </x:c>
      <x:c r="E750" s="699">
        <x:f>IF('БРиДТ'!$T7="Да",1,0)</x:f>
      </x:c>
      <x:c r="F750" s="700">
        <x:f>IF('БРиДТ'!$Z7="Да",1,0)</x:f>
      </x:c>
      <x:c r="G750" s="701">
        <x:f>IF('БРиДТ'!$AF7="Да",1,0)</x:f>
      </x:c>
      <x:c r="H750" s="702">
        <x:f>IF('БРиДТ'!$AL7="Да",1,0)</x:f>
      </x:c>
      <x:c r="I750" s="703">
        <x:f>IF('БРиДТ'!$AR7="Да",1,0)</x:f>
      </x:c>
      <x:c r="J750" s="704">
        <x:f>IF('БРиДТ'!$AX7="Да",1,0)</x:f>
      </x:c>
      <x:c r="K750" s="705">
        <x:f>IF('БРиДТ'!$BD7="Да",1,0)</x:f>
      </x:c>
      <x:c r="L750" s="706">
        <x:f>IF('БРиДТ'!$BJ7="Да",1,0)</x:f>
      </x:c>
      <x:c r="M750" s="707">
        <x:f>IF('БРиДТ'!$BP7="Да",1,0)</x:f>
      </x:c>
      <x:c r="N750" s="708">
        <x:f>IF('БРиДТ'!$BV7="Да",1,0)</x:f>
      </x:c>
      <x:c r="O750" s="375">
        <x:f>IFERROR(ROUND(SUM(C750:N750)/($S$746),1),"")</x:f>
      </x:c>
    </x:row>
    <x:row r="751" spans="1:25" ht="15" customHeight="1" x14ac:dyDescent="0.25">
      <x:c r="A751" s="710"/>
      <x:c r="B751" s="363" t="s">
        <x:v>853</x:v>
      </x:c>
      <x:c r="C751" s="697">
        <x:f>IF('БРиДТ'!$H8="Да",1,0)</x:f>
      </x:c>
      <x:c r="D751" s="698">
        <x:f>IF('БРиДТ'!$N8="Да",1,0)</x:f>
      </x:c>
      <x:c r="E751" s="699">
        <x:f>IF('БРиДТ'!$T8="Да",1,0)</x:f>
      </x:c>
      <x:c r="F751" s="700">
        <x:f>IF('БРиДТ'!$Z8="Да",1,0)</x:f>
      </x:c>
      <x:c r="G751" s="701">
        <x:f>IF('БРиДТ'!$AF8="Да",1,0)</x:f>
      </x:c>
      <x:c r="H751" s="702">
        <x:f>IF('БРиДТ'!$AL8="Да",1,0)</x:f>
      </x:c>
      <x:c r="I751" s="703">
        <x:f>IF('БРиДТ'!$AR8="Да",1,0)</x:f>
      </x:c>
      <x:c r="J751" s="704">
        <x:f>IF('БРиДТ'!$AX8="Да",1,0)</x:f>
      </x:c>
      <x:c r="K751" s="705">
        <x:f>IF('БРиДТ'!$BD8="Да",1,0)</x:f>
      </x:c>
      <x:c r="L751" s="706">
        <x:f>IF('БРиДТ'!$BJ8="Да",1,0)</x:f>
      </x:c>
      <x:c r="M751" s="707">
        <x:f>IF('БРиДТ'!$BP8="Да",1,0)</x:f>
      </x:c>
      <x:c r="N751" s="708">
        <x:f>IF('БРиДТ'!$BV8="Да",1,0)</x:f>
      </x:c>
      <x:c r="O751" s="375">
        <x:f>IFERROR(ROUND(SUM(C751:N751)/($S$746),1),"")</x:f>
      </x:c>
    </x:row>
    <x:row r="752" spans="1:25" ht="15" customHeight="1" x14ac:dyDescent="0.25">
      <x:c r="A752" s="710"/>
      <x:c r="B752" s="363" t="s">
        <x:v>864</x:v>
      </x:c>
      <x:c r="C752" s="697">
        <x:f>IF('БРиДТ'!$H9="Да",1,0)</x:f>
      </x:c>
      <x:c r="D752" s="698">
        <x:f>IF('БРиДТ'!$N9="Да",1,0)</x:f>
      </x:c>
      <x:c r="E752" s="699">
        <x:f>IF('БРиДТ'!$T9="Да",1,0)</x:f>
      </x:c>
      <x:c r="F752" s="700">
        <x:f>IF('БРиДТ'!$Z9="Да",1,0)</x:f>
      </x:c>
      <x:c r="G752" s="701">
        <x:f>IF('БРиДТ'!$AF9="Да",1,0)</x:f>
      </x:c>
      <x:c r="H752" s="702">
        <x:f>IF('БРиДТ'!$AL9="Да",1,0)</x:f>
      </x:c>
      <x:c r="I752" s="703">
        <x:f>IF('БРиДТ'!$AR9="Да",1,0)</x:f>
      </x:c>
      <x:c r="J752" s="704">
        <x:f>IF('БРиДТ'!$AX9="Да",1,0)</x:f>
      </x:c>
      <x:c r="K752" s="705">
        <x:f>IF('БРиДТ'!$BD9="Да",1,0)</x:f>
      </x:c>
      <x:c r="L752" s="706">
        <x:f>IF('БРиДТ'!$BJ9="Да",1,0)</x:f>
      </x:c>
      <x:c r="M752" s="707">
        <x:f>IF('БРиДТ'!$BP9="Да",1,0)</x:f>
      </x:c>
      <x:c r="N752" s="708">
        <x:f>IF('БРиДТ'!$BV9="Да",1,0)</x:f>
      </x:c>
      <x:c r="O752" s="375">
        <x:f>IFERROR(ROUND(SUM(C752:N752)/($S$746),1),"")</x:f>
      </x:c>
    </x:row>
    <x:row r="753" spans="1:25" ht="15" customHeight="1" x14ac:dyDescent="0.25">
      <x:c r="A753" s="710"/>
      <x:c r="B753" s="363" t="s">
        <x:v>839</x:v>
      </x:c>
      <x:c r="C753" s="697">
        <x:f>IF('БРиДТ'!$H10="Да",1,0)</x:f>
      </x:c>
      <x:c r="D753" s="698">
        <x:f>IF('БРиДТ'!$N10="Да",1,0)</x:f>
      </x:c>
      <x:c r="E753" s="699">
        <x:f>IF('БРиДТ'!$T10="Да",1,0)</x:f>
      </x:c>
      <x:c r="F753" s="700">
        <x:f>IF('БРиДТ'!$Z10="Да",1,0)</x:f>
      </x:c>
      <x:c r="G753" s="701">
        <x:f>IF('БРиДТ'!$AF10="Да",1,0)</x:f>
      </x:c>
      <x:c r="H753" s="702">
        <x:f>IF('БРиДТ'!$AL10="Да",1,0)</x:f>
      </x:c>
      <x:c r="I753" s="703">
        <x:f>IF('БРиДТ'!$AR10="Да",1,0)</x:f>
      </x:c>
      <x:c r="J753" s="704">
        <x:f>IF('БРиДТ'!$AX10="Да",1,0)</x:f>
      </x:c>
      <x:c r="K753" s="705">
        <x:f>IF('БРиДТ'!$BD10="Да",1,0)</x:f>
      </x:c>
      <x:c r="L753" s="706">
        <x:f>IF('БРиДТ'!$BJ10="Да",1,0)</x:f>
      </x:c>
      <x:c r="M753" s="707">
        <x:f>IF('БРиДТ'!$BP10="Да",1,0)</x:f>
      </x:c>
      <x:c r="N753" s="708">
        <x:f>IF('БРиДТ'!$BV10="Да",1,0)</x:f>
      </x:c>
      <x:c r="O753" s="375">
        <x:f>IFERROR(ROUND(SUM(C753:N753)/($S$746),1),"")</x:f>
      </x:c>
    </x:row>
    <x:row r="754" spans="1:25" ht="15" customHeight="1" x14ac:dyDescent="0.25">
      <x:c r="A754" s="710"/>
      <x:c r="B754" s="363" t="s">
        <x:v>852</x:v>
      </x:c>
      <x:c r="C754" s="697">
        <x:f>IF('БРиДТ'!$H11="Да",1,0)</x:f>
      </x:c>
      <x:c r="D754" s="698">
        <x:f>IF('БРиДТ'!$N11="Да",1,0)</x:f>
      </x:c>
      <x:c r="E754" s="699">
        <x:f>IF('БРиДТ'!$T11="Да",1,0)</x:f>
      </x:c>
      <x:c r="F754" s="700">
        <x:f>IF('БРиДТ'!$Z11="Да",1,0)</x:f>
      </x:c>
      <x:c r="G754" s="701">
        <x:f>IF('БРиДТ'!$AF11="Да",1,0)</x:f>
      </x:c>
      <x:c r="H754" s="702">
        <x:f>IF('БРиДТ'!$AL11="Да",1,0)</x:f>
      </x:c>
      <x:c r="I754" s="703">
        <x:f>IF('БРиДТ'!$AR11="Да",1,0)</x:f>
      </x:c>
      <x:c r="J754" s="704">
        <x:f>IF('БРиДТ'!$AX11="Да",1,0)</x:f>
      </x:c>
      <x:c r="K754" s="705">
        <x:f>IF('БРиДТ'!$BD11="Да",1,0)</x:f>
      </x:c>
      <x:c r="L754" s="706">
        <x:f>IF('БРиДТ'!$BJ11="Да",1,0)</x:f>
      </x:c>
      <x:c r="M754" s="707">
        <x:f>IF('БРиДТ'!$BP11="Да",1,0)</x:f>
      </x:c>
      <x:c r="N754" s="708">
        <x:f>IF('БРиДТ'!$BV11="Да",1,0)</x:f>
      </x:c>
      <x:c r="O754" s="375">
        <x:f>IFERROR(ROUND(SUM(C754:N754)/($S$746),1),"")</x:f>
      </x:c>
    </x:row>
    <x:row r="755" spans="1:25" ht="15" customHeight="1" x14ac:dyDescent="0.25">
      <x:c r="A755" s="710"/>
      <x:c r="B755" s="363" t="s">
        <x:v>859</x:v>
      </x:c>
      <x:c r="C755" s="697">
        <x:f>IF('БРиДТ'!$H12="Да",1,0)</x:f>
      </x:c>
      <x:c r="D755" s="698">
        <x:f>IF('БРиДТ'!$N12="Да",1,0)</x:f>
      </x:c>
      <x:c r="E755" s="699">
        <x:f>IF('БРиДТ'!$T12="Да",1,0)</x:f>
      </x:c>
      <x:c r="F755" s="700">
        <x:f>IF('БРиДТ'!$Z12="Да",1,0)</x:f>
      </x:c>
      <x:c r="G755" s="701">
        <x:f>IF('БРиДТ'!$AF12="Да",1,0)</x:f>
      </x:c>
      <x:c r="H755" s="702">
        <x:f>IF('БРиДТ'!$AL12="Да",1,0)</x:f>
      </x:c>
      <x:c r="I755" s="703">
        <x:f>IF('БРиДТ'!$AR12="Да",1,0)</x:f>
      </x:c>
      <x:c r="J755" s="704">
        <x:f>IF('БРиДТ'!$AX12="Да",1,0)</x:f>
      </x:c>
      <x:c r="K755" s="705">
        <x:f>IF('БРиДТ'!$BD12="Да",1,0)</x:f>
      </x:c>
      <x:c r="L755" s="706">
        <x:f>IF('БРиДТ'!$BJ12="Да",1,0)</x:f>
      </x:c>
      <x:c r="M755" s="707">
        <x:f>IF('БРиДТ'!$BP12="Да",1,0)</x:f>
      </x:c>
      <x:c r="N755" s="708">
        <x:f>IF('БРиДТ'!$BV12="Да",1,0)</x:f>
      </x:c>
      <x:c r="O755" s="375">
        <x:f>IFERROR(ROUND(SUM(C755:N755)/($S$746),1),"")</x:f>
      </x:c>
    </x:row>
    <x:row r="756" spans="1:25" ht="15" customHeight="1" x14ac:dyDescent="0.25">
      <x:c r="A756" s="710"/>
      <x:c r="B756" s="363" t="s">
        <x:v>848</x:v>
      </x:c>
      <x:c r="C756" s="697">
        <x:f>IF('БРиДТ'!$H13="Да",1,0)</x:f>
      </x:c>
      <x:c r="D756" s="698">
        <x:f>IF('БРиДТ'!$N13="Да",1,0)</x:f>
      </x:c>
      <x:c r="E756" s="699">
        <x:f>IF('БРиДТ'!$T13="Да",1,0)</x:f>
      </x:c>
      <x:c r="F756" s="700">
        <x:f>IF('БРиДТ'!$Z13="Да",1,0)</x:f>
      </x:c>
      <x:c r="G756" s="701">
        <x:f>IF('БРиДТ'!$AF13="Да",1,0)</x:f>
      </x:c>
      <x:c r="H756" s="702">
        <x:f>IF('БРиДТ'!$AL13="Да",1,0)</x:f>
      </x:c>
      <x:c r="I756" s="703">
        <x:f>IF('БРиДТ'!$AR13="Да",1,0)</x:f>
      </x:c>
      <x:c r="J756" s="704">
        <x:f>IF('БРиДТ'!$AX13="Да",1,0)</x:f>
      </x:c>
      <x:c r="K756" s="705">
        <x:f>IF('БРиДТ'!$BD13="Да",1,0)</x:f>
      </x:c>
      <x:c r="L756" s="706">
        <x:f>IF('БРиДТ'!$BJ13="Да",1,0)</x:f>
      </x:c>
      <x:c r="M756" s="707">
        <x:f>IF('БРиДТ'!$BP13="Да",1,0)</x:f>
      </x:c>
      <x:c r="N756" s="708">
        <x:f>IF('БРиДТ'!$BV13="Да",1,0)</x:f>
      </x:c>
      <x:c r="O756" s="375">
        <x:f>IFERROR(ROUND(SUM(C756:N756)/($S$746),1),"")</x:f>
      </x:c>
    </x:row>
    <x:row r="757" spans="1:25" ht="15" customHeight="1" x14ac:dyDescent="0.25">
      <x:c r="A757" s="710"/>
      <x:c r="B757" s="363" t="s">
        <x:v>838</x:v>
      </x:c>
      <x:c r="C757" s="697">
        <x:f>IF('БРиДТ'!$H14="Да",1,0)</x:f>
      </x:c>
      <x:c r="D757" s="698">
        <x:f>IF('БРиДТ'!$N14="Да",1,0)</x:f>
      </x:c>
      <x:c r="E757" s="699">
        <x:f>IF('БРиДТ'!$T14="Да",1,0)</x:f>
      </x:c>
      <x:c r="F757" s="700">
        <x:f>IF('БРиДТ'!$Z14="Да",1,0)</x:f>
      </x:c>
      <x:c r="G757" s="701">
        <x:f>IF('БРиДТ'!$AF14="Да",1,0)</x:f>
      </x:c>
      <x:c r="H757" s="702">
        <x:f>IF('БРиДТ'!$AL14="Да",1,0)</x:f>
      </x:c>
      <x:c r="I757" s="703">
        <x:f>IF('БРиДТ'!$AR14="Да",1,0)</x:f>
      </x:c>
      <x:c r="J757" s="704">
        <x:f>IF('БРиДТ'!$AX14="Да",1,0)</x:f>
      </x:c>
      <x:c r="K757" s="705">
        <x:f>IF('БРиДТ'!$BD14="Да",1,0)</x:f>
      </x:c>
      <x:c r="L757" s="706">
        <x:f>IF('БРиДТ'!$BJ14="Да",1,0)</x:f>
      </x:c>
      <x:c r="M757" s="707">
        <x:f>IF('БРиДТ'!$BP14="Да",1,0)</x:f>
      </x:c>
      <x:c r="N757" s="708">
        <x:f>IF('БРиДТ'!$BV14="Да",1,0)</x:f>
      </x:c>
      <x:c r="O757" s="375">
        <x:f>IFERROR(ROUND(SUM(C757:N757)/($S$746),1),"")</x:f>
      </x:c>
    </x:row>
    <x:row r="758" spans="1:25" ht="15" customHeight="1" x14ac:dyDescent="0.25">
      <x:c r="A758" s="710"/>
      <x:c r="B758" s="363" t="s">
        <x:v>860</x:v>
      </x:c>
      <x:c r="C758" s="697">
        <x:f>IF('БРиДТ'!$H15="Да",1,0)</x:f>
      </x:c>
      <x:c r="D758" s="698">
        <x:f>IF('БРиДТ'!$N15="Да",1,0)</x:f>
      </x:c>
      <x:c r="E758" s="699">
        <x:f>IF('БРиДТ'!$T15="Да",1,0)</x:f>
      </x:c>
      <x:c r="F758" s="700">
        <x:f>IF('БРиДТ'!$Z15="Да",1,0)</x:f>
      </x:c>
      <x:c r="G758" s="701">
        <x:f>IF('БРиДТ'!$AF15="Да",1,0)</x:f>
      </x:c>
      <x:c r="H758" s="702">
        <x:f>IF('БРиДТ'!$AL15="Да",1,0)</x:f>
      </x:c>
      <x:c r="I758" s="703">
        <x:f>IF('БРиДТ'!$AR15="Да",1,0)</x:f>
      </x:c>
      <x:c r="J758" s="704">
        <x:f>IF('БРиДТ'!$AX15="Да",1,0)</x:f>
      </x:c>
      <x:c r="K758" s="705">
        <x:f>IF('БРиДТ'!$BD15="Да",1,0)</x:f>
      </x:c>
      <x:c r="L758" s="706">
        <x:f>IF('БРиДТ'!$BJ15="Да",1,0)</x:f>
      </x:c>
      <x:c r="M758" s="707">
        <x:f>IF('БРиДТ'!$BP15="Да",1,0)</x:f>
      </x:c>
      <x:c r="N758" s="708">
        <x:f>IF('БРиДТ'!$BV15="Да",1,0)</x:f>
      </x:c>
      <x:c r="O758" s="375">
        <x:f>IFERROR(ROUND(SUM(C758:N758)/($S$746),1),"")</x:f>
      </x:c>
    </x:row>
    <x:row r="759" spans="1:25" ht="15" customHeight="1" x14ac:dyDescent="0.25">
      <x:c r="A759" s="710"/>
      <x:c r="B759" s="363" t="s">
        <x:v>854</x:v>
      </x:c>
      <x:c r="C759" s="697">
        <x:f>IF('БРиДТ'!$H16="Да",1,0)</x:f>
      </x:c>
      <x:c r="D759" s="698">
        <x:f>IF('БРиДТ'!$N16="Да",1,0)</x:f>
      </x:c>
      <x:c r="E759" s="699">
        <x:f>IF('БРиДТ'!$T16="Да",1,0)</x:f>
      </x:c>
      <x:c r="F759" s="700">
        <x:f>IF('БРиДТ'!$Z16="Да",1,0)</x:f>
      </x:c>
      <x:c r="G759" s="701">
        <x:f>IF('БРиДТ'!$AF16="Да",1,0)</x:f>
      </x:c>
      <x:c r="H759" s="702">
        <x:f>IF('БРиДТ'!$AL16="Да",1,0)</x:f>
      </x:c>
      <x:c r="I759" s="703">
        <x:f>IF('БРиДТ'!$AR16="Да",1,0)</x:f>
      </x:c>
      <x:c r="J759" s="704">
        <x:f>IF('БРиДТ'!$AX16="Да",1,0)</x:f>
      </x:c>
      <x:c r="K759" s="705">
        <x:f>IF('БРиДТ'!$BD16="Да",1,0)</x:f>
      </x:c>
      <x:c r="L759" s="706">
        <x:f>IF('БРиДТ'!$BJ16="Да",1,0)</x:f>
      </x:c>
      <x:c r="M759" s="707">
        <x:f>IF('БРиДТ'!$BP16="Да",1,0)</x:f>
      </x:c>
      <x:c r="N759" s="708">
        <x:f>IF('БРиДТ'!$BV16="Да",1,0)</x:f>
      </x:c>
      <x:c r="O759" s="375">
        <x:f>IFERROR(ROUND(SUM(C759:N759)/($S$746),1),"")</x:f>
      </x:c>
    </x:row>
    <x:row r="760" spans="1:25" ht="15" customHeight="1" x14ac:dyDescent="0.25">
      <x:c r="A760" s="710"/>
      <x:c r="B760" s="363" t="s">
        <x:v>840</x:v>
      </x:c>
      <x:c r="C760" s="697">
        <x:f>IF('БРиДТ'!$H17="Да",1,0)</x:f>
      </x:c>
      <x:c r="D760" s="698">
        <x:f>IF('БРиДТ'!$N17="Да",1,0)</x:f>
      </x:c>
      <x:c r="E760" s="699">
        <x:f>IF('БРиДТ'!$T17="Да",1,0)</x:f>
      </x:c>
      <x:c r="F760" s="700">
        <x:f>IF('БРиДТ'!$Z17="Да",1,0)</x:f>
      </x:c>
      <x:c r="G760" s="701">
        <x:f>IF('БРиДТ'!$AF17="Да",1,0)</x:f>
      </x:c>
      <x:c r="H760" s="702">
        <x:f>IF('БРиДТ'!$AL17="Да",1,0)</x:f>
      </x:c>
      <x:c r="I760" s="703">
        <x:f>IF('БРиДТ'!$AR17="Да",1,0)</x:f>
      </x:c>
      <x:c r="J760" s="704">
        <x:f>IF('БРиДТ'!$AX17="Да",1,0)</x:f>
      </x:c>
      <x:c r="K760" s="705">
        <x:f>IF('БРиДТ'!$BD17="Да",1,0)</x:f>
      </x:c>
      <x:c r="L760" s="706">
        <x:f>IF('БРиДТ'!$BJ17="Да",1,0)</x:f>
      </x:c>
      <x:c r="M760" s="707">
        <x:f>IF('БРиДТ'!$BP17="Да",1,0)</x:f>
      </x:c>
      <x:c r="N760" s="708">
        <x:f>IF('БРиДТ'!$BV17="Да",1,0)</x:f>
      </x:c>
      <x:c r="O760" s="375">
        <x:f>IFERROR(ROUND(SUM(C760:N760)/($S$746),1),"")</x:f>
      </x:c>
    </x:row>
    <x:row r="761" spans="1:25" ht="15" customHeight="1" x14ac:dyDescent="0.25">
      <x:c r="A761" s="710"/>
      <x:c r="B761" s="363" t="s">
        <x:v>861</x:v>
      </x:c>
      <x:c r="C761" s="697">
        <x:f>IF('БРиДТ'!$H18="Да",1,0)</x:f>
      </x:c>
      <x:c r="D761" s="698">
        <x:f>IF('БРиДТ'!$N18="Да",1,0)</x:f>
      </x:c>
      <x:c r="E761" s="699">
        <x:f>IF('БРиДТ'!$T18="Да",1,0)</x:f>
      </x:c>
      <x:c r="F761" s="700">
        <x:f>IF('БРиДТ'!$Z18="Да",1,0)</x:f>
      </x:c>
      <x:c r="G761" s="701">
        <x:f>IF('БРиДТ'!$AF18="Да",1,0)</x:f>
      </x:c>
      <x:c r="H761" s="702">
        <x:f>IF('БРиДТ'!$AL18="Да",1,0)</x:f>
      </x:c>
      <x:c r="I761" s="703">
        <x:f>IF('БРиДТ'!$AR18="Да",1,0)</x:f>
      </x:c>
      <x:c r="J761" s="704">
        <x:f>IF('БРиДТ'!$AX18="Да",1,0)</x:f>
      </x:c>
      <x:c r="K761" s="705">
        <x:f>IF('БРиДТ'!$BD18="Да",1,0)</x:f>
      </x:c>
      <x:c r="L761" s="706">
        <x:f>IF('БРиДТ'!$BJ18="Да",1,0)</x:f>
      </x:c>
      <x:c r="M761" s="707">
        <x:f>IF('БРиДТ'!$BP18="Да",1,0)</x:f>
      </x:c>
      <x:c r="N761" s="708">
        <x:f>IF('БРиДТ'!$BV18="Да",1,0)</x:f>
      </x:c>
      <x:c r="O761" s="375">
        <x:f>IFERROR(ROUND(SUM(C761:N761)/($S$746),1),"")</x:f>
      </x:c>
    </x:row>
    <x:row r="762" spans="1:25" ht="15" customHeight="1" x14ac:dyDescent="0.25">
      <x:c r="A762" s="710"/>
      <x:c r="B762" s="363" t="s">
        <x:v>858</x:v>
      </x:c>
      <x:c r="C762" s="697">
        <x:f>IF('БРиДТ'!$H19="Да",1,0)</x:f>
      </x:c>
      <x:c r="D762" s="698">
        <x:f>IF('БРиДТ'!$N19="Да",1,0)</x:f>
      </x:c>
      <x:c r="E762" s="699">
        <x:f>IF('БРиДТ'!$T19="Да",1,0)</x:f>
      </x:c>
      <x:c r="F762" s="700">
        <x:f>IF('БРиДТ'!$Z19="Да",1,0)</x:f>
      </x:c>
      <x:c r="G762" s="701">
        <x:f>IF('БРиДТ'!$AF19="Да",1,0)</x:f>
      </x:c>
      <x:c r="H762" s="702">
        <x:f>IF('БРиДТ'!$AL19="Да",1,0)</x:f>
      </x:c>
      <x:c r="I762" s="703">
        <x:f>IF('БРиДТ'!$AR19="Да",1,0)</x:f>
      </x:c>
      <x:c r="J762" s="704">
        <x:f>IF('БРиДТ'!$AX19="Да",1,0)</x:f>
      </x:c>
      <x:c r="K762" s="705">
        <x:f>IF('БРиДТ'!$BD19="Да",1,0)</x:f>
      </x:c>
      <x:c r="L762" s="706">
        <x:f>IF('БРиДТ'!$BJ19="Да",1,0)</x:f>
      </x:c>
      <x:c r="M762" s="707">
        <x:f>IF('БРиДТ'!$BP19="Да",1,0)</x:f>
      </x:c>
      <x:c r="N762" s="708">
        <x:f>IF('БРиДТ'!$BV19="Да",1,0)</x:f>
      </x:c>
      <x:c r="O762" s="375">
        <x:f>IFERROR(ROUND(SUM(C762:N762)/($S$746),1),"")</x:f>
      </x:c>
    </x:row>
    <x:row r="763" spans="1:25" ht="15" customHeight="1" x14ac:dyDescent="0.25">
      <x:c r="A763" s="710"/>
      <x:c r="B763" s="363" t="s">
        <x:v>849</x:v>
      </x:c>
      <x:c r="C763" s="697">
        <x:f>IF('БРиДТ'!$H20="Да",1,0)</x:f>
      </x:c>
      <x:c r="D763" s="698">
        <x:f>IF('БРиДТ'!$N20="Да",1,0)</x:f>
      </x:c>
      <x:c r="E763" s="699">
        <x:f>IF('БРиДТ'!$T20="Да",1,0)</x:f>
      </x:c>
      <x:c r="F763" s="700">
        <x:f>IF('БРиДТ'!$Z20="Да",1,0)</x:f>
      </x:c>
      <x:c r="G763" s="701">
        <x:f>IF('БРиДТ'!$AF20="Да",1,0)</x:f>
      </x:c>
      <x:c r="H763" s="702">
        <x:f>IF('БРиДТ'!$AL20="Да",1,0)</x:f>
      </x:c>
      <x:c r="I763" s="703">
        <x:f>IF('БРиДТ'!$AR20="Да",1,0)</x:f>
      </x:c>
      <x:c r="J763" s="704">
        <x:f>IF('БРиДТ'!$AX20="Да",1,0)</x:f>
      </x:c>
      <x:c r="K763" s="705">
        <x:f>IF('БРиДТ'!$BD20="Да",1,0)</x:f>
      </x:c>
      <x:c r="L763" s="706">
        <x:f>IF('БРиДТ'!$BJ20="Да",1,0)</x:f>
      </x:c>
      <x:c r="M763" s="707">
        <x:f>IF('БРиДТ'!$BP20="Да",1,0)</x:f>
      </x:c>
      <x:c r="N763" s="708">
        <x:f>IF('БРиДТ'!$BV20="Да",1,0)</x:f>
      </x:c>
      <x:c r="O763" s="375">
        <x:f>IFERROR(ROUND(SUM(C763:N763)/($S$746),1),"")</x:f>
      </x:c>
    </x:row>
    <x:row r="764" spans="1:25" ht="15" customHeight="1" x14ac:dyDescent="0.25">
      <x:c r="A764" s="710"/>
      <x:c r="B764" s="363" t="s">
        <x:v>851</x:v>
      </x:c>
      <x:c r="C764" s="697">
        <x:f>IF('БРиДТ'!$H21="Да",1,0)</x:f>
      </x:c>
      <x:c r="D764" s="698">
        <x:f>IF('БРиДТ'!$N21="Да",1,0)</x:f>
      </x:c>
      <x:c r="E764" s="699">
        <x:f>IF('БРиДТ'!$T21="Да",1,0)</x:f>
      </x:c>
      <x:c r="F764" s="700">
        <x:f>IF('БРиДТ'!$Z21="Да",1,0)</x:f>
      </x:c>
      <x:c r="G764" s="701">
        <x:f>IF('БРиДТ'!$AF21="Да",1,0)</x:f>
      </x:c>
      <x:c r="H764" s="702">
        <x:f>IF('БРиДТ'!$AL21="Да",1,0)</x:f>
      </x:c>
      <x:c r="I764" s="703">
        <x:f>IF('БРиДТ'!$AR21="Да",1,0)</x:f>
      </x:c>
      <x:c r="J764" s="704">
        <x:f>IF('БРиДТ'!$AX21="Да",1,0)</x:f>
      </x:c>
      <x:c r="K764" s="705">
        <x:f>IF('БРиДТ'!$BD21="Да",1,0)</x:f>
      </x:c>
      <x:c r="L764" s="706">
        <x:f>IF('БРиДТ'!$BJ21="Да",1,0)</x:f>
      </x:c>
      <x:c r="M764" s="707">
        <x:f>IF('БРиДТ'!$BP21="Да",1,0)</x:f>
      </x:c>
      <x:c r="N764" s="708">
        <x:f>IF('БРиДТ'!$BV21="Да",1,0)</x:f>
      </x:c>
      <x:c r="O764" s="375">
        <x:f>IFERROR(ROUND(SUM(C764:N764)/($S$746),1),"")</x:f>
      </x:c>
    </x:row>
    <x:row r="765" spans="1:25" ht="15" customHeight="1" x14ac:dyDescent="0.25">
      <x:c r="A765" s="710"/>
      <x:c r="B765" s="363" t="s">
        <x:v>855</x:v>
      </x:c>
      <x:c r="C765" s="697">
        <x:f>IF('БРиДТ'!$H22="Да",1,0)</x:f>
      </x:c>
      <x:c r="D765" s="698">
        <x:f>IF('БРиДТ'!$N22="Да",1,0)</x:f>
      </x:c>
      <x:c r="E765" s="699">
        <x:f>IF('БРиДТ'!$T22="Да",1,0)</x:f>
      </x:c>
      <x:c r="F765" s="700">
        <x:f>IF('БРиДТ'!$Z22="Да",1,0)</x:f>
      </x:c>
      <x:c r="G765" s="701">
        <x:f>IF('БРиДТ'!$AF22="Да",1,0)</x:f>
      </x:c>
      <x:c r="H765" s="702">
        <x:f>IF('БРиДТ'!$AL22="Да",1,0)</x:f>
      </x:c>
      <x:c r="I765" s="703">
        <x:f>IF('БРиДТ'!$AR22="Да",1,0)</x:f>
      </x:c>
      <x:c r="J765" s="704">
        <x:f>IF('БРиДТ'!$AX22="Да",1,0)</x:f>
      </x:c>
      <x:c r="K765" s="705">
        <x:f>IF('БРиДТ'!$BD22="Да",1,0)</x:f>
      </x:c>
      <x:c r="L765" s="706">
        <x:f>IF('БРиДТ'!$BJ22="Да",1,0)</x:f>
      </x:c>
      <x:c r="M765" s="707">
        <x:f>IF('БРиДТ'!$BP22="Да",1,0)</x:f>
      </x:c>
      <x:c r="N765" s="708">
        <x:f>IF('БРиДТ'!$BV22="Да",1,0)</x:f>
      </x:c>
      <x:c r="O765" s="375">
        <x:f>IFERROR(ROUND(SUM(C765:N765)/($S$746),1),"")</x:f>
      </x:c>
    </x:row>
    <x:row r="766" spans="1:25" ht="15" customHeight="1" x14ac:dyDescent="0.25">
      <x:c r="A766" s="710"/>
      <x:c r="B766" s="363" t="s">
        <x:v>845</x:v>
      </x:c>
      <x:c r="C766" s="697">
        <x:f>IF('БРиДТ'!$H23="Да",1,0)</x:f>
      </x:c>
      <x:c r="D766" s="698">
        <x:f>IF('БРиДТ'!$N23="Да",1,0)</x:f>
      </x:c>
      <x:c r="E766" s="699">
        <x:f>IF('БРиДТ'!$T23="Да",1,0)</x:f>
      </x:c>
      <x:c r="F766" s="700">
        <x:f>IF('БРиДТ'!$Z23="Да",1,0)</x:f>
      </x:c>
      <x:c r="G766" s="701">
        <x:f>IF('БРиДТ'!$AF23="Да",1,0)</x:f>
      </x:c>
      <x:c r="H766" s="702">
        <x:f>IF('БРиДТ'!$AL23="Да",1,0)</x:f>
      </x:c>
      <x:c r="I766" s="703">
        <x:f>IF('БРиДТ'!$AR23="Да",1,0)</x:f>
      </x:c>
      <x:c r="J766" s="704">
        <x:f>IF('БРиДТ'!$AX23="Да",1,0)</x:f>
      </x:c>
      <x:c r="K766" s="705">
        <x:f>IF('БРиДТ'!$BD23="Да",1,0)</x:f>
      </x:c>
      <x:c r="L766" s="706">
        <x:f>IF('БРиДТ'!$BJ23="Да",1,0)</x:f>
      </x:c>
      <x:c r="M766" s="707">
        <x:f>IF('БРиДТ'!$BP23="Да",1,0)</x:f>
      </x:c>
      <x:c r="N766" s="708">
        <x:f>IF('БРиДТ'!$BV23="Да",1,0)</x:f>
      </x:c>
      <x:c r="O766" s="375">
        <x:f>IFERROR(ROUND(SUM(C766:N766)/($S$746),1),"")</x:f>
      </x:c>
    </x:row>
    <x:row r="767" spans="1:25" ht="15" customHeight="1" x14ac:dyDescent="0.3">
      <x:c r="A767" s="710"/>
      <x:c r="B767" s="363" t="s">
        <x:v>846</x:v>
      </x:c>
      <x:c r="C767" s="697">
        <x:f>IF('БРиДТ'!$H24="Да",1,0)</x:f>
      </x:c>
      <x:c r="D767" s="698">
        <x:f>IF('БРиДТ'!$N24="Да",1,0)</x:f>
      </x:c>
      <x:c r="E767" s="699">
        <x:f>IF('БРиДТ'!$T24="Да",1,0)</x:f>
      </x:c>
      <x:c r="F767" s="700">
        <x:f>IF('БРиДТ'!$Z24="Да",1,0)</x:f>
      </x:c>
      <x:c r="G767" s="701">
        <x:f>IF('БРиДТ'!$AF24="Да",1,0)</x:f>
      </x:c>
      <x:c r="H767" s="702">
        <x:f>IF('БРиДТ'!$AL24="Да",1,0)</x:f>
      </x:c>
      <x:c r="I767" s="703">
        <x:f>IF('БРиДТ'!$AR24="Да",1,0)</x:f>
      </x:c>
      <x:c r="J767" s="704">
        <x:f>IF('БРиДТ'!$AX24="Да",1,0)</x:f>
      </x:c>
      <x:c r="K767" s="705">
        <x:f>IF('БРиДТ'!$BD24="Да",1,0)</x:f>
      </x:c>
      <x:c r="L767" s="706">
        <x:f>IF('БРиДТ'!$BJ24="Да",1,0)</x:f>
      </x:c>
      <x:c r="M767" s="707">
        <x:f>IF('БРиДТ'!$BP24="Да",1,0)</x:f>
      </x:c>
      <x:c r="N767" s="708">
        <x:f>IF('БРиДТ'!$BV24="Да",1,0)</x:f>
      </x:c>
      <x:c r="O767" s="375">
        <x:f>IFERROR(ROUND(SUM(C767:N767)/($S$746),1),"")</x:f>
      </x:c>
    </x:row>
    <x:row r="768" spans="1:25" ht="15" customHeight="1" x14ac:dyDescent="0.25">
      <x:c r="A768" s="710"/>
      <x:c r="B768" s="363" t="s">
        <x:v>842</x:v>
      </x:c>
      <x:c r="C768" s="697">
        <x:f>IF('БРиДТ'!$H25="Да",1,0)</x:f>
      </x:c>
      <x:c r="D768" s="698">
        <x:f>IF('БРиДТ'!$N25="Да",1,0)</x:f>
      </x:c>
      <x:c r="E768" s="699">
        <x:f>IF('БРиДТ'!$T25="Да",1,0)</x:f>
      </x:c>
      <x:c r="F768" s="700">
        <x:f>IF('БРиДТ'!$Z25="Да",1,0)</x:f>
      </x:c>
      <x:c r="G768" s="701">
        <x:f>IF('БРиДТ'!$AF25="Да",1,0)</x:f>
      </x:c>
      <x:c r="H768" s="702">
        <x:f>IF('БРиДТ'!$AL25="Да",1,0)</x:f>
      </x:c>
      <x:c r="I768" s="703">
        <x:f>IF('БРиДТ'!$AR25="Да",1,0)</x:f>
      </x:c>
      <x:c r="J768" s="704">
        <x:f>IF('БРиДТ'!$AX25="Да",1,0)</x:f>
      </x:c>
      <x:c r="K768" s="705">
        <x:f>IF('БРиДТ'!$BD25="Да",1,0)</x:f>
      </x:c>
      <x:c r="L768" s="706">
        <x:f>IF('БРиДТ'!$BJ25="Да",1,0)</x:f>
      </x:c>
      <x:c r="M768" s="707">
        <x:f>IF('БРиДТ'!$BP25="Да",1,0)</x:f>
      </x:c>
      <x:c r="N768" s="708">
        <x:f>IF('БРиДТ'!$BV25="Да",1,0)</x:f>
      </x:c>
      <x:c r="O768" s="375">
        <x:f>IFERROR(ROUND(SUM(C768:N768)/($S$746),1),"")</x:f>
      </x:c>
    </x:row>
    <x:row r="769" spans="1:25" ht="15" customHeight="1" x14ac:dyDescent="0.25">
      <x:c r="A769" s="710"/>
      <x:c r="B769" s="363" t="s">
        <x:v>857</x:v>
      </x:c>
      <x:c r="C769" s="697">
        <x:f>IF('БРиДТ'!$H26="Да",1,0)</x:f>
      </x:c>
      <x:c r="D769" s="698">
        <x:f>IF('БРиДТ'!$N26="Да",1,0)</x:f>
      </x:c>
      <x:c r="E769" s="699">
        <x:f>IF('БРиДТ'!$T26="Да",1,0)</x:f>
      </x:c>
      <x:c r="F769" s="700">
        <x:f>IF('БРиДТ'!$Z26="Да",1,0)</x:f>
      </x:c>
      <x:c r="G769" s="701">
        <x:f>IF('БРиДТ'!$AF26="Да",1,0)</x:f>
      </x:c>
      <x:c r="H769" s="702">
        <x:f>IF('БРиДТ'!$AL26="Да",1,0)</x:f>
      </x:c>
      <x:c r="I769" s="703">
        <x:f>IF('БРиДТ'!$AR26="Да",1,0)</x:f>
      </x:c>
      <x:c r="J769" s="704">
        <x:f>IF('БРиДТ'!$AX26="Да",1,0)</x:f>
      </x:c>
      <x:c r="K769" s="705">
        <x:f>IF('БРиДТ'!$BD26="Да",1,0)</x:f>
      </x:c>
      <x:c r="L769" s="706">
        <x:f>IF('БРиДТ'!$BJ26="Да",1,0)</x:f>
      </x:c>
      <x:c r="M769" s="707">
        <x:f>IF('БРиДТ'!$BP26="Да",1,0)</x:f>
      </x:c>
      <x:c r="N769" s="708">
        <x:f>IF('БРиДТ'!$BV26="Да",1,0)</x:f>
      </x:c>
      <x:c r="O769" s="375">
        <x:f>IFERROR(ROUND(SUM(C769:N769)/($S$746),1),"")</x:f>
      </x:c>
    </x:row>
    <x:row r="770" spans="1:25" ht="15" customHeight="1" x14ac:dyDescent="0.25">
      <x:c r="A770" s="710"/>
      <x:c r="B770" s="363" t="s">
        <x:v>847</x:v>
      </x:c>
      <x:c r="C770" s="697">
        <x:f>IF('БРиДТ'!$H27="Да",1,0)</x:f>
      </x:c>
      <x:c r="D770" s="698">
        <x:f>IF('БРиДТ'!$N27="Да",1,0)</x:f>
      </x:c>
      <x:c r="E770" s="699">
        <x:f>IF('БРиДТ'!$T27="Да",1,0)</x:f>
      </x:c>
      <x:c r="F770" s="700">
        <x:f>IF('БРиДТ'!$Z27="Да",1,0)</x:f>
      </x:c>
      <x:c r="G770" s="701">
        <x:f>IF('БРиДТ'!$AF27="Да",1,0)</x:f>
      </x:c>
      <x:c r="H770" s="702">
        <x:f>IF('БРиДТ'!$AL27="Да",1,0)</x:f>
      </x:c>
      <x:c r="I770" s="703">
        <x:f>IF('БРиДТ'!$AR27="Да",1,0)</x:f>
      </x:c>
      <x:c r="J770" s="704">
        <x:f>IF('БРиДТ'!$AX27="Да",1,0)</x:f>
      </x:c>
      <x:c r="K770" s="705">
        <x:f>IF('БРиДТ'!$BD27="Да",1,0)</x:f>
      </x:c>
      <x:c r="L770" s="706">
        <x:f>IF('БРиДТ'!$BJ27="Да",1,0)</x:f>
      </x:c>
      <x:c r="M770" s="707">
        <x:f>IF('БРиДТ'!$BP27="Да",1,0)</x:f>
      </x:c>
      <x:c r="N770" s="708">
        <x:f>IF('БРиДТ'!$BV27="Да",1,0)</x:f>
      </x:c>
      <x:c r="O770" s="375">
        <x:f>IFERROR(ROUND(SUM(C770:N770)/($S$746),1),"")</x:f>
      </x:c>
    </x:row>
    <x:row r="771" spans="1:25" ht="15" customHeight="1" x14ac:dyDescent="0.25">
      <x:c r="A771" s="710"/>
      <x:c r="B771" s="363" t="s">
        <x:v>856</x:v>
      </x:c>
      <x:c r="C771" s="697">
        <x:f>IF('БРиДТ'!$H28="Да",1,0)</x:f>
      </x:c>
      <x:c r="D771" s="698">
        <x:f>IF('БРиДТ'!$N28="Да",1,0)</x:f>
      </x:c>
      <x:c r="E771" s="699">
        <x:f>IF('БРиДТ'!$T28="Да",1,0)</x:f>
      </x:c>
      <x:c r="F771" s="700">
        <x:f>IF('БРиДТ'!$Z28="Да",1,0)</x:f>
      </x:c>
      <x:c r="G771" s="701">
        <x:f>IF('БРиДТ'!$AF28="Да",1,0)</x:f>
      </x:c>
      <x:c r="H771" s="702">
        <x:f>IF('БРиДТ'!$AL28="Да",1,0)</x:f>
      </x:c>
      <x:c r="I771" s="703">
        <x:f>IF('БРиДТ'!$AR28="Да",1,0)</x:f>
      </x:c>
      <x:c r="J771" s="704">
        <x:f>IF('БРиДТ'!$AX28="Да",1,0)</x:f>
      </x:c>
      <x:c r="K771" s="705">
        <x:f>IF('БРиДТ'!$BD28="Да",1,0)</x:f>
      </x:c>
      <x:c r="L771" s="706">
        <x:f>IF('БРиДТ'!$BJ28="Да",1,0)</x:f>
      </x:c>
      <x:c r="M771" s="707">
        <x:f>IF('БРиДТ'!$BP28="Да",1,0)</x:f>
      </x:c>
      <x:c r="N771" s="708">
        <x:f>IF('БРиДТ'!$BV28="Да",1,0)</x:f>
      </x:c>
      <x:c r="O771" s="375">
        <x:f>IFERROR(ROUND(SUM(C771:N771)/($S$746),1),"")</x:f>
      </x:c>
    </x:row>
    <x:row r="772" spans="1:25" ht="15" customHeight="1" x14ac:dyDescent="0.25">
      <x:c r="A772" s="710"/>
      <x:c r="B772" s="363" t="s">
        <x:v>844</x:v>
      </x:c>
      <x:c r="C772" s="697">
        <x:f>IF('БРиДТ'!$H29="Да",1,0)</x:f>
      </x:c>
      <x:c r="D772" s="698">
        <x:f>IF('БРиДТ'!$N29="Да",1,0)</x:f>
      </x:c>
      <x:c r="E772" s="699">
        <x:f>IF('БРиДТ'!$T29="Да",1,0)</x:f>
      </x:c>
      <x:c r="F772" s="700">
        <x:f>IF('БРиДТ'!$Z29="Да",1,0)</x:f>
      </x:c>
      <x:c r="G772" s="701">
        <x:f>IF('БРиДТ'!$AF29="Да",1,0)</x:f>
      </x:c>
      <x:c r="H772" s="702">
        <x:f>IF('БРиДТ'!$AL29="Да",1,0)</x:f>
      </x:c>
      <x:c r="I772" s="703">
        <x:f>IF('БРиДТ'!$AR29="Да",1,0)</x:f>
      </x:c>
      <x:c r="J772" s="704">
        <x:f>IF('БРиДТ'!$AX29="Да",1,0)</x:f>
      </x:c>
      <x:c r="K772" s="705">
        <x:f>IF('БРиДТ'!$BD29="Да",1,0)</x:f>
      </x:c>
      <x:c r="L772" s="706">
        <x:f>IF('БРиДТ'!$BJ29="Да",1,0)</x:f>
      </x:c>
      <x:c r="M772" s="707">
        <x:f>IF('БРиДТ'!$BP29="Да",1,0)</x:f>
      </x:c>
      <x:c r="N772" s="708">
        <x:f>IF('БРиДТ'!$BV29="Да",1,0)</x:f>
      </x:c>
      <x:c r="O772" s="375">
        <x:f>IFERROR(ROUND(SUM(C772:N772)/($S$746),1),"")</x:f>
      </x:c>
    </x:row>
    <x:row r="773" spans="1:25" ht="15" customHeight="1" x14ac:dyDescent="0.25">
      <x:c r="A773" s="710"/>
      <x:c r="B773" s="363" t="s">
        <x:v>841</x:v>
      </x:c>
      <x:c r="C773" s="697">
        <x:f>IF('БРиДТ'!$H30="Да",1,0)</x:f>
      </x:c>
      <x:c r="D773" s="698">
        <x:f>IF('БРиДТ'!$N30="Да",1,0)</x:f>
      </x:c>
      <x:c r="E773" s="699">
        <x:f>IF('БРиДТ'!$T30="Да",1,0)</x:f>
      </x:c>
      <x:c r="F773" s="700">
        <x:f>IF('БРиДТ'!$Z30="Да",1,0)</x:f>
      </x:c>
      <x:c r="G773" s="701">
        <x:f>IF('БРиДТ'!$AF30="Да",1,0)</x:f>
      </x:c>
      <x:c r="H773" s="702">
        <x:f>IF('БРиДТ'!$AL30="Да",1,0)</x:f>
      </x:c>
      <x:c r="I773" s="703">
        <x:f>IF('БРиДТ'!$AR30="Да",1,0)</x:f>
      </x:c>
      <x:c r="J773" s="704">
        <x:f>IF('БРиДТ'!$AX30="Да",1,0)</x:f>
      </x:c>
      <x:c r="K773" s="705">
        <x:f>IF('БРиДТ'!$BD30="Да",1,0)</x:f>
      </x:c>
      <x:c r="L773" s="706">
        <x:f>IF('БРиДТ'!$BJ30="Да",1,0)</x:f>
      </x:c>
      <x:c r="M773" s="707">
        <x:f>IF('БРиДТ'!$BP30="Да",1,0)</x:f>
      </x:c>
      <x:c r="N773" s="708">
        <x:f>IF('БРиДТ'!$BV30="Да",1,0)</x:f>
      </x:c>
      <x:c r="O773" s="375">
        <x:f>IFERROR(ROUND(SUM(C773:N773)/($S$746),1),"")</x:f>
      </x:c>
    </x:row>
    <x:row r="774" spans="1:25" ht="15.75" customHeight="1" x14ac:dyDescent="0.25">
      <x:c r="A774" s="717"/>
      <x:c r="B774" s="379" t="s">
        <x:v>863</x:v>
      </x:c>
      <x:c r="C774" s="697">
        <x:f>IF('БРиДТ'!$H31="Да",1,0)</x:f>
      </x:c>
      <x:c r="D774" s="698">
        <x:f>IF('БРиДТ'!$N31="Да",1,0)</x:f>
      </x:c>
      <x:c r="E774" s="699">
        <x:f>IF('БРиДТ'!$T31="Да",1,0)</x:f>
      </x:c>
      <x:c r="F774" s="700">
        <x:f>IF('БРиДТ'!$Z31="Да",1,0)</x:f>
      </x:c>
      <x:c r="G774" s="701">
        <x:f>IF('БРиДТ'!$AF31="Да",1,0)</x:f>
      </x:c>
      <x:c r="H774" s="702">
        <x:f>IF('БРиДТ'!$AL31="Да",1,0)</x:f>
      </x:c>
      <x:c r="I774" s="703">
        <x:f>IF('БРиДТ'!$AR31="Да",1,0)</x:f>
      </x:c>
      <x:c r="J774" s="704">
        <x:f>IF('БРиДТ'!$AX31="Да",1,0)</x:f>
      </x:c>
      <x:c r="K774" s="705">
        <x:f>IF('БРиДТ'!$BD31="Да",1,0)</x:f>
      </x:c>
      <x:c r="L774" s="706">
        <x:f>IF('БРиДТ'!$BJ31="Да",1,0)</x:f>
      </x:c>
      <x:c r="M774" s="707">
        <x:f>IF('БРиДТ'!$BP31="Да",1,0)</x:f>
      </x:c>
      <x:c r="N774" s="708">
        <x:f>IF('БРиДТ'!$BV31="Да",1,0)</x:f>
      </x:c>
      <x:c r="O774" s="375">
        <x:f>IFERROR(ROUND(SUM(C774:N774)/($S$746),1),"")</x:f>
      </x:c>
    </x:row>
    <x:row r="775" spans="1:25" ht="15" customHeight="1" x14ac:dyDescent="0.25">
      <x:c r="A775" s="696" t="s">
        <x:v>1091</x:v>
      </x:c>
      <x:c r="B775" s="363" t="s">
        <x:v>817</x:v>
      </x:c>
      <x:c r="C775" s="697">
        <x:f>IF('РХиПНО'!$H3="Да",1,0)</x:f>
      </x:c>
      <x:c r="D775" s="698">
        <x:f>IF('РХиПНО'!$N3="Да",1,0)</x:f>
      </x:c>
      <x:c r="E775" s="699">
        <x:f>IF('РХиПНО'!$T3="Да",1,0)</x:f>
      </x:c>
      <x:c r="F775" s="700">
        <x:f>IF('РХиПНО'!$Z3="Да",1,0)</x:f>
      </x:c>
      <x:c r="G775" s="701">
        <x:f>IF('РХиПНО'!$AF3="Да",1,0)</x:f>
      </x:c>
      <x:c r="H775" s="702">
        <x:f>IF('РХиПНО'!$AL3="Да",1,0)</x:f>
      </x:c>
      <x:c r="I775" s="703">
        <x:f>IF('РХиПНО'!$AR3="Да",1,0)</x:f>
      </x:c>
      <x:c r="J775" s="704">
        <x:f>IF('РХиПНО'!$AX3="Да",1,0)</x:f>
      </x:c>
      <x:c r="K775" s="705">
        <x:f>IF('РХиПНО'!$BD3="Да",1,0)</x:f>
      </x:c>
      <x:c r="L775" s="706">
        <x:f>IF('РХиПНО'!$BJ3="Да",1,0)</x:f>
      </x:c>
      <x:c r="M775" s="707">
        <x:f>IF('РХиПНО'!$BP3="Да",1,0)</x:f>
      </x:c>
      <x:c r="N775" s="708">
        <x:f>IF('РХиПНО'!$BV3="Да",1,0)</x:f>
      </x:c>
      <x:c r="O775" s="375">
        <x:f>IFERROR(ROUND(SUM(C775:N775)/($S$775),1),"")</x:f>
      </x:c>
      <x:c r="Q775" s="709" t="s">
        <x:v>1151</x:v>
      </x:c>
      <x:c r="R775" s="596"/>
      <x:c r="S775" s="376">
        <x:f>SUM(IF(COUNTIF(C775:C795,"&gt;0")&gt;0,1,0),IF(COUNTIF(D775:D795,"&gt;0")&gt;0,1,0),IF(COUNTIF(E775:E795,"&gt;0")&gt;0,1,0),IF(COUNTIF(F775:F795,"&gt;0")&gt;0,1,0),IF(COUNTIF(G775:G795,"&gt;0")&gt;0,1,0),IF(COUNTIF(H775:H795,"&gt;0")&gt;0,1,0),IF(COUNTIF(I775:I795,"&gt;0")&gt;0,1,0),IF(COUNTIF(J775:J795,"&gt;0")&gt;0,1,0),IF(COUNTIF(K775:K795,"&gt;0")&gt;0,1,0),IF(COUNTIF(L775:L795,"&gt;0")&gt;0,1,0),IF(COUNTIF(M775:M795,"&gt;0")&gt;0,1,0),IF(COUNTIF(N775:N795,"&gt;0")&gt;0,1,0))</x:f>
      </x:c>
    </x:row>
    <x:row r="776" spans="1:25" ht="15" customHeight="1" x14ac:dyDescent="0.25">
      <x:c r="A776" s="710"/>
      <x:c r="B776" s="363" t="s">
        <x:v>804</x:v>
      </x:c>
      <x:c r="C776" s="697">
        <x:f>IF('РХиПНО'!$H4="Да",1,0)</x:f>
      </x:c>
      <x:c r="D776" s="698">
        <x:f>IF('РХиПНО'!$N4="Да",1,0)</x:f>
      </x:c>
      <x:c r="E776" s="699">
        <x:f>IF('РХиПНО'!$T4="Да",1,0)</x:f>
      </x:c>
      <x:c r="F776" s="700">
        <x:f>IF('РХиПНО'!$Z4="Да",1,0)</x:f>
      </x:c>
      <x:c r="G776" s="701">
        <x:f>IF('РХиПНО'!$AF4="Да",1,0)</x:f>
      </x:c>
      <x:c r="H776" s="702">
        <x:f>IF('РХиПНО'!$AL4="Да",1,0)</x:f>
      </x:c>
      <x:c r="I776" s="703">
        <x:f>IF('РХиПНО'!$AR4="Да",1,0)</x:f>
      </x:c>
      <x:c r="J776" s="704">
        <x:f>IF('РХиПНО'!$AX4="Да",1,0)</x:f>
      </x:c>
      <x:c r="K776" s="705">
        <x:f>IF('РХиПНО'!$BD4="Да",1,0)</x:f>
      </x:c>
      <x:c r="L776" s="706">
        <x:f>IF('РХиПНО'!$BJ4="Да",1,0)</x:f>
      </x:c>
      <x:c r="M776" s="707">
        <x:f>IF('РХиПНО'!$BP4="Да",1,0)</x:f>
      </x:c>
      <x:c r="N776" s="708">
        <x:f>IF('РХиПНО'!$BV4="Да",1,0)</x:f>
      </x:c>
      <x:c r="O776" s="375">
        <x:f>IFERROR(ROUND(SUM(C776:N776)/($S$775),1),"")</x:f>
      </x:c>
      <x:c r="Q776" s="711"/>
      <x:c r="R776" s="712"/>
      <x:c r="S776" s="713"/>
    </x:row>
    <x:row r="777" spans="1:25" ht="15" customHeight="1" x14ac:dyDescent="0.25">
      <x:c r="A777" s="710"/>
      <x:c r="B777" s="363" t="s">
        <x:v>812</x:v>
      </x:c>
      <x:c r="C777" s="697">
        <x:f>IF('РХиПНО'!$H5="Да",1,0)</x:f>
      </x:c>
      <x:c r="D777" s="698">
        <x:f>IF('РХиПНО'!$N5="Да",1,0)</x:f>
      </x:c>
      <x:c r="E777" s="699">
        <x:f>IF('РХиПНО'!$T5="Да",1,0)</x:f>
      </x:c>
      <x:c r="F777" s="700">
        <x:f>IF('РХиПНО'!$Z5="Да",1,0)</x:f>
      </x:c>
      <x:c r="G777" s="701">
        <x:f>IF('РХиПНО'!$AF5="Да",1,0)</x:f>
      </x:c>
      <x:c r="H777" s="702">
        <x:f>IF('РХиПНО'!$AL5="Да",1,0)</x:f>
      </x:c>
      <x:c r="I777" s="703">
        <x:f>IF('РХиПНО'!$AR5="Да",1,0)</x:f>
      </x:c>
      <x:c r="J777" s="704">
        <x:f>IF('РХиПНО'!$AX5="Да",1,0)</x:f>
      </x:c>
      <x:c r="K777" s="705">
        <x:f>IF('РХиПНО'!$BD5="Да",1,0)</x:f>
      </x:c>
      <x:c r="L777" s="706">
        <x:f>IF('РХиПНО'!$BJ5="Да",1,0)</x:f>
      </x:c>
      <x:c r="M777" s="707">
        <x:f>IF('РХиПНО'!$BP5="Да",1,0)</x:f>
      </x:c>
      <x:c r="N777" s="708">
        <x:f>IF('РХиПНО'!$BV5="Да",1,0)</x:f>
      </x:c>
      <x:c r="O777" s="375">
        <x:f>IFERROR(ROUND(SUM(C777:N777)/($S$775),1),"")</x:f>
      </x:c>
      <x:c r="Q777" s="714"/>
      <x:c r="R777" s="715"/>
      <x:c r="S777" s="716"/>
    </x:row>
    <x:row r="778" spans="1:25" ht="15" customHeight="1" x14ac:dyDescent="0.25">
      <x:c r="A778" s="710"/>
      <x:c r="B778" s="363" t="s">
        <x:v>811</x:v>
      </x:c>
      <x:c r="C778" s="697">
        <x:f>IF('РХиПНО'!$H6="Да",1,0)</x:f>
      </x:c>
      <x:c r="D778" s="698">
        <x:f>IF('РХиПНО'!$N6="Да",1,0)</x:f>
      </x:c>
      <x:c r="E778" s="699">
        <x:f>IF('РХиПНО'!$T6="Да",1,0)</x:f>
      </x:c>
      <x:c r="F778" s="700">
        <x:f>IF('РХиПНО'!$Z6="Да",1,0)</x:f>
      </x:c>
      <x:c r="G778" s="701">
        <x:f>IF('РХиПНО'!$AF6="Да",1,0)</x:f>
      </x:c>
      <x:c r="H778" s="702">
        <x:f>IF('РХиПНО'!$AL6="Да",1,0)</x:f>
      </x:c>
      <x:c r="I778" s="703">
        <x:f>IF('РХиПНО'!$AR6="Да",1,0)</x:f>
      </x:c>
      <x:c r="J778" s="704">
        <x:f>IF('РХиПНО'!$AX6="Да",1,0)</x:f>
      </x:c>
      <x:c r="K778" s="705">
        <x:f>IF('РХиПНО'!$BD6="Да",1,0)</x:f>
      </x:c>
      <x:c r="L778" s="706">
        <x:f>IF('РХиПНО'!$BJ6="Да",1,0)</x:f>
      </x:c>
      <x:c r="M778" s="707">
        <x:f>IF('РХиПНО'!$BP6="Да",1,0)</x:f>
      </x:c>
      <x:c r="N778" s="708">
        <x:f>IF('РХиПНО'!$BV6="Да",1,0)</x:f>
      </x:c>
      <x:c r="O778" s="375">
        <x:f>IFERROR(ROUND(SUM(C778:N778)/($S$775),1),"")</x:f>
      </x:c>
    </x:row>
    <x:row r="779" spans="1:25" ht="15" customHeight="1" x14ac:dyDescent="0.25">
      <x:c r="A779" s="710"/>
      <x:c r="B779" s="363" t="s">
        <x:v>806</x:v>
      </x:c>
      <x:c r="C779" s="697">
        <x:f>IF('РХиПНО'!$H7="Да",1,0)</x:f>
      </x:c>
      <x:c r="D779" s="698">
        <x:f>IF('РХиПНО'!$N7="Да",1,0)</x:f>
      </x:c>
      <x:c r="E779" s="699">
        <x:f>IF('РХиПНО'!$T7="Да",1,0)</x:f>
      </x:c>
      <x:c r="F779" s="700">
        <x:f>IF('РХиПНО'!$Z7="Да",1,0)</x:f>
      </x:c>
      <x:c r="G779" s="701">
        <x:f>IF('РХиПНО'!$AF7="Да",1,0)</x:f>
      </x:c>
      <x:c r="H779" s="702">
        <x:f>IF('РХиПНО'!$AL7="Да",1,0)</x:f>
      </x:c>
      <x:c r="I779" s="703">
        <x:f>IF('РХиПНО'!$AR7="Да",1,0)</x:f>
      </x:c>
      <x:c r="J779" s="704">
        <x:f>IF('РХиПНО'!$AX7="Да",1,0)</x:f>
      </x:c>
      <x:c r="K779" s="705">
        <x:f>IF('РХиПНО'!$BD7="Да",1,0)</x:f>
      </x:c>
      <x:c r="L779" s="706">
        <x:f>IF('РХиПНО'!$BJ7="Да",1,0)</x:f>
      </x:c>
      <x:c r="M779" s="707">
        <x:f>IF('РХиПНО'!$BP7="Да",1,0)</x:f>
      </x:c>
      <x:c r="N779" s="708">
        <x:f>IF('РХиПНО'!$BV7="Да",1,0)</x:f>
      </x:c>
      <x:c r="O779" s="375">
        <x:f>IFERROR(ROUND(SUM(C779:N779)/($S$775),1),"")</x:f>
      </x:c>
    </x:row>
    <x:row r="780" spans="1:25" ht="15" customHeight="1" x14ac:dyDescent="0.25">
      <x:c r="A780" s="710"/>
      <x:c r="B780" s="363" t="s">
        <x:v>808</x:v>
      </x:c>
      <x:c r="C780" s="697">
        <x:f>IF('РХиПНО'!$H8="Да",1,0)</x:f>
      </x:c>
      <x:c r="D780" s="698">
        <x:f>IF('РХиПНО'!$N8="Да",1,0)</x:f>
      </x:c>
      <x:c r="E780" s="699">
        <x:f>IF('РХиПНО'!$T8="Да",1,0)</x:f>
      </x:c>
      <x:c r="F780" s="700">
        <x:f>IF('РХиПНО'!$Z8="Да",1,0)</x:f>
      </x:c>
      <x:c r="G780" s="701">
        <x:f>IF('РХиПНО'!$AF8="Да",1,0)</x:f>
      </x:c>
      <x:c r="H780" s="702">
        <x:f>IF('РХиПНО'!$AL8="Да",1,0)</x:f>
      </x:c>
      <x:c r="I780" s="703">
        <x:f>IF('РХиПНО'!$AR8="Да",1,0)</x:f>
      </x:c>
      <x:c r="J780" s="704">
        <x:f>IF('РХиПНО'!$AX8="Да",1,0)</x:f>
      </x:c>
      <x:c r="K780" s="705">
        <x:f>IF('РХиПНО'!$BD8="Да",1,0)</x:f>
      </x:c>
      <x:c r="L780" s="706">
        <x:f>IF('РХиПНО'!$BJ8="Да",1,0)</x:f>
      </x:c>
      <x:c r="M780" s="707">
        <x:f>IF('РХиПНО'!$BP8="Да",1,0)</x:f>
      </x:c>
      <x:c r="N780" s="708">
        <x:f>IF('РХиПНО'!$BV8="Да",1,0)</x:f>
      </x:c>
      <x:c r="O780" s="375">
        <x:f>IFERROR(ROUND(SUM(C780:N780)/($S$775),1),"")</x:f>
      </x:c>
    </x:row>
    <x:row r="781" spans="1:25" ht="15" customHeight="1" x14ac:dyDescent="0.25">
      <x:c r="A781" s="710"/>
      <x:c r="B781" s="363" t="s">
        <x:v>816</x:v>
      </x:c>
      <x:c r="C781" s="697">
        <x:f>IF('РХиПНО'!$H9="Да",1,0)</x:f>
      </x:c>
      <x:c r="D781" s="698">
        <x:f>IF('РХиПНО'!$N9="Да",1,0)</x:f>
      </x:c>
      <x:c r="E781" s="699">
        <x:f>IF('РХиПНО'!$T9="Да",1,0)</x:f>
      </x:c>
      <x:c r="F781" s="700">
        <x:f>IF('РХиПНО'!$Z9="Да",1,0)</x:f>
      </x:c>
      <x:c r="G781" s="701">
        <x:f>IF('РХиПНО'!$AF9="Да",1,0)</x:f>
      </x:c>
      <x:c r="H781" s="702">
        <x:f>IF('РХиПНО'!$AL9="Да",1,0)</x:f>
      </x:c>
      <x:c r="I781" s="703">
        <x:f>IF('РХиПНО'!$AR9="Да",1,0)</x:f>
      </x:c>
      <x:c r="J781" s="704">
        <x:f>IF('РХиПНО'!$AX9="Да",1,0)</x:f>
      </x:c>
      <x:c r="K781" s="705">
        <x:f>IF('РХиПНО'!$BD9="Да",1,0)</x:f>
      </x:c>
      <x:c r="L781" s="706">
        <x:f>IF('РХиПНО'!$BJ9="Да",1,0)</x:f>
      </x:c>
      <x:c r="M781" s="707">
        <x:f>IF('РХиПНО'!$BP9="Да",1,0)</x:f>
      </x:c>
      <x:c r="N781" s="708">
        <x:f>IF('РХиПНО'!$BV9="Да",1,0)</x:f>
      </x:c>
      <x:c r="O781" s="375">
        <x:f>IFERROR(ROUND(SUM(C781:N781)/($S$775),1),"")</x:f>
      </x:c>
    </x:row>
    <x:row r="782" spans="1:25" ht="15" customHeight="1" x14ac:dyDescent="0.25">
      <x:c r="A782" s="710"/>
      <x:c r="B782" s="363" t="s">
        <x:v>809</x:v>
      </x:c>
      <x:c r="C782" s="697">
        <x:f>IF('РХиПНО'!$H10="Да",1,0)</x:f>
      </x:c>
      <x:c r="D782" s="698">
        <x:f>IF('РХиПНО'!$N10="Да",1,0)</x:f>
      </x:c>
      <x:c r="E782" s="699">
        <x:f>IF('РХиПНО'!$T10="Да",1,0)</x:f>
      </x:c>
      <x:c r="F782" s="700">
        <x:f>IF('РХиПНО'!$Z10="Да",1,0)</x:f>
      </x:c>
      <x:c r="G782" s="701">
        <x:f>IF('РХиПНО'!$AF10="Да",1,0)</x:f>
      </x:c>
      <x:c r="H782" s="702">
        <x:f>IF('РХиПНО'!$AL10="Да",1,0)</x:f>
      </x:c>
      <x:c r="I782" s="703">
        <x:f>IF('РХиПНО'!$AR10="Да",1,0)</x:f>
      </x:c>
      <x:c r="J782" s="704">
        <x:f>IF('РХиПНО'!$AX10="Да",1,0)</x:f>
      </x:c>
      <x:c r="K782" s="705">
        <x:f>IF('РХиПНО'!$BD10="Да",1,0)</x:f>
      </x:c>
      <x:c r="L782" s="706">
        <x:f>IF('РХиПНО'!$BJ10="Да",1,0)</x:f>
      </x:c>
      <x:c r="M782" s="707">
        <x:f>IF('РХиПНО'!$BP10="Да",1,0)</x:f>
      </x:c>
      <x:c r="N782" s="708">
        <x:f>IF('РХиПНО'!$BV10="Да",1,0)</x:f>
      </x:c>
      <x:c r="O782" s="375">
        <x:f>IFERROR(ROUND(SUM(C782:N782)/($S$775),1),"")</x:f>
      </x:c>
    </x:row>
    <x:row r="783" spans="1:25" ht="15" customHeight="1" x14ac:dyDescent="0.3">
      <x:c r="A783" s="710"/>
      <x:c r="B783" s="363" t="s">
        <x:v>797</x:v>
      </x:c>
      <x:c r="C783" s="697">
        <x:f>IF('РХиПНО'!$H11="Да",1,0)</x:f>
      </x:c>
      <x:c r="D783" s="698">
        <x:f>IF('РХиПНО'!$N11="Да",1,0)</x:f>
      </x:c>
      <x:c r="E783" s="699">
        <x:f>IF('РХиПНО'!$T11="Да",1,0)</x:f>
      </x:c>
      <x:c r="F783" s="700">
        <x:f>IF('РХиПНО'!$Z11="Да",1,0)</x:f>
      </x:c>
      <x:c r="G783" s="701">
        <x:f>IF('РХиПНО'!$AF11="Да",1,0)</x:f>
      </x:c>
      <x:c r="H783" s="702">
        <x:f>IF('РХиПНО'!$AL11="Да",1,0)</x:f>
      </x:c>
      <x:c r="I783" s="703">
        <x:f>IF('РХиПНО'!$AR11="Да",1,0)</x:f>
      </x:c>
      <x:c r="J783" s="704">
        <x:f>IF('РХиПНО'!$AX11="Да",1,0)</x:f>
      </x:c>
      <x:c r="K783" s="705">
        <x:f>IF('РХиПНО'!$BD11="Да",1,0)</x:f>
      </x:c>
      <x:c r="L783" s="706">
        <x:f>IF('РХиПНО'!$BJ11="Да",1,0)</x:f>
      </x:c>
      <x:c r="M783" s="707">
        <x:f>IF('РХиПНО'!$BP11="Да",1,0)</x:f>
      </x:c>
      <x:c r="N783" s="708">
        <x:f>IF('РХиПНО'!$BV11="Да",1,0)</x:f>
      </x:c>
      <x:c r="O783" s="375">
        <x:f>IFERROR(ROUND(SUM(C783:N783)/($S$775),1),"")</x:f>
      </x:c>
    </x:row>
    <x:row r="784" spans="1:25" ht="15" customHeight="1" x14ac:dyDescent="0.25">
      <x:c r="A784" s="710"/>
      <x:c r="B784" s="363" t="s">
        <x:v>807</x:v>
      </x:c>
      <x:c r="C784" s="697">
        <x:f>IF('РХиПНО'!$H12="Да",1,0)</x:f>
      </x:c>
      <x:c r="D784" s="698">
        <x:f>IF('РХиПНО'!$N12="Да",1,0)</x:f>
      </x:c>
      <x:c r="E784" s="699">
        <x:f>IF('РХиПНО'!$T12="Да",1,0)</x:f>
      </x:c>
      <x:c r="F784" s="700">
        <x:f>IF('РХиПНО'!$Z12="Да",1,0)</x:f>
      </x:c>
      <x:c r="G784" s="701">
        <x:f>IF('РХиПНО'!$AF12="Да",1,0)</x:f>
      </x:c>
      <x:c r="H784" s="702">
        <x:f>IF('РХиПНО'!$AL12="Да",1,0)</x:f>
      </x:c>
      <x:c r="I784" s="703">
        <x:f>IF('РХиПНО'!$AR12="Да",1,0)</x:f>
      </x:c>
      <x:c r="J784" s="704">
        <x:f>IF('РХиПНО'!$AX12="Да",1,0)</x:f>
      </x:c>
      <x:c r="K784" s="705">
        <x:f>IF('РХиПНО'!$BD12="Да",1,0)</x:f>
      </x:c>
      <x:c r="L784" s="706">
        <x:f>IF('РХиПНО'!$BJ12="Да",1,0)</x:f>
      </x:c>
      <x:c r="M784" s="707">
        <x:f>IF('РХиПНО'!$BP12="Да",1,0)</x:f>
      </x:c>
      <x:c r="N784" s="708">
        <x:f>IF('РХиПНО'!$BV12="Да",1,0)</x:f>
      </x:c>
      <x:c r="O784" s="375">
        <x:f>IFERROR(ROUND(SUM(C784:N784)/($S$775),1),"")</x:f>
      </x:c>
    </x:row>
    <x:row r="785" spans="1:25" ht="15" customHeight="1" x14ac:dyDescent="0.25">
      <x:c r="A785" s="710"/>
      <x:c r="B785" s="363" t="s">
        <x:v>799</x:v>
      </x:c>
      <x:c r="C785" s="697">
        <x:f>IF('РХиПНО'!$H13="Да",1,0)</x:f>
      </x:c>
      <x:c r="D785" s="698">
        <x:f>IF('РХиПНО'!$N13="Да",1,0)</x:f>
      </x:c>
      <x:c r="E785" s="699">
        <x:f>IF('РХиПНО'!$T13="Да",1,0)</x:f>
      </x:c>
      <x:c r="F785" s="700">
        <x:f>IF('РХиПНО'!$Z13="Да",1,0)</x:f>
      </x:c>
      <x:c r="G785" s="701">
        <x:f>IF('РХиПНО'!$AF13="Да",1,0)</x:f>
      </x:c>
      <x:c r="H785" s="702">
        <x:f>IF('РХиПНО'!$AL13="Да",1,0)</x:f>
      </x:c>
      <x:c r="I785" s="703">
        <x:f>IF('РХиПНО'!$AR13="Да",1,0)</x:f>
      </x:c>
      <x:c r="J785" s="704">
        <x:f>IF('РХиПНО'!$AX13="Да",1,0)</x:f>
      </x:c>
      <x:c r="K785" s="705">
        <x:f>IF('РХиПНО'!$BD13="Да",1,0)</x:f>
      </x:c>
      <x:c r="L785" s="706">
        <x:f>IF('РХиПНО'!$BJ13="Да",1,0)</x:f>
      </x:c>
      <x:c r="M785" s="707">
        <x:f>IF('РХиПНО'!$BP13="Да",1,0)</x:f>
      </x:c>
      <x:c r="N785" s="708">
        <x:f>IF('РХиПНО'!$BV13="Да",1,0)</x:f>
      </x:c>
      <x:c r="O785" s="375">
        <x:f>IFERROR(ROUND(SUM(C785:N785)/($S$775),1),"")</x:f>
      </x:c>
    </x:row>
    <x:row r="786" spans="1:25" ht="15" customHeight="1" x14ac:dyDescent="0.25">
      <x:c r="A786" s="710"/>
      <x:c r="B786" s="363" t="s">
        <x:v>814</x:v>
      </x:c>
      <x:c r="C786" s="697">
        <x:f>IF('РХиПНО'!$H14="Да",1,0)</x:f>
      </x:c>
      <x:c r="D786" s="698">
        <x:f>IF('РХиПНО'!$N14="Да",1,0)</x:f>
      </x:c>
      <x:c r="E786" s="699">
        <x:f>IF('РХиПНО'!$T14="Да",1,0)</x:f>
      </x:c>
      <x:c r="F786" s="700">
        <x:f>IF('РХиПНО'!$Z14="Да",1,0)</x:f>
      </x:c>
      <x:c r="G786" s="701">
        <x:f>IF('РХиПНО'!$AF14="Да",1,0)</x:f>
      </x:c>
      <x:c r="H786" s="702">
        <x:f>IF('РХиПНО'!$AL14="Да",1,0)</x:f>
      </x:c>
      <x:c r="I786" s="703">
        <x:f>IF('РХиПНО'!$AR14="Да",1,0)</x:f>
      </x:c>
      <x:c r="J786" s="704">
        <x:f>IF('РХиПНО'!$AX14="Да",1,0)</x:f>
      </x:c>
      <x:c r="K786" s="705">
        <x:f>IF('РХиПНО'!$BD14="Да",1,0)</x:f>
      </x:c>
      <x:c r="L786" s="706">
        <x:f>IF('РХиПНО'!$BJ14="Да",1,0)</x:f>
      </x:c>
      <x:c r="M786" s="707">
        <x:f>IF('РХиПНО'!$BP14="Да",1,0)</x:f>
      </x:c>
      <x:c r="N786" s="708">
        <x:f>IF('РХиПНО'!$BV14="Да",1,0)</x:f>
      </x:c>
      <x:c r="O786" s="375">
        <x:f>IFERROR(ROUND(SUM(C786:N786)/($S$775),1),"")</x:f>
      </x:c>
    </x:row>
    <x:row r="787" spans="1:25" ht="15" customHeight="1" x14ac:dyDescent="0.25">
      <x:c r="A787" s="710"/>
      <x:c r="B787" s="363" t="s">
        <x:v>801</x:v>
      </x:c>
      <x:c r="C787" s="697">
        <x:f>IF('РХиПНО'!$H15="Да",1,0)</x:f>
      </x:c>
      <x:c r="D787" s="698">
        <x:f>IF('РХиПНО'!$N15="Да",1,0)</x:f>
      </x:c>
      <x:c r="E787" s="699">
        <x:f>IF('РХиПНО'!$T15="Да",1,0)</x:f>
      </x:c>
      <x:c r="F787" s="700">
        <x:f>IF('РХиПНО'!$Z15="Да",1,0)</x:f>
      </x:c>
      <x:c r="G787" s="701">
        <x:f>IF('РХиПНО'!$AF15="Да",1,0)</x:f>
      </x:c>
      <x:c r="H787" s="702">
        <x:f>IF('РХиПНО'!$AL15="Да",1,0)</x:f>
      </x:c>
      <x:c r="I787" s="703">
        <x:f>IF('РХиПНО'!$AR15="Да",1,0)</x:f>
      </x:c>
      <x:c r="J787" s="704">
        <x:f>IF('РХиПНО'!$AX15="Да",1,0)</x:f>
      </x:c>
      <x:c r="K787" s="705">
        <x:f>IF('РХиПНО'!$BD15="Да",1,0)</x:f>
      </x:c>
      <x:c r="L787" s="706">
        <x:f>IF('РХиПНО'!$BJ15="Да",1,0)</x:f>
      </x:c>
      <x:c r="M787" s="707">
        <x:f>IF('РХиПНО'!$BP15="Да",1,0)</x:f>
      </x:c>
      <x:c r="N787" s="708">
        <x:f>IF('РХиПНО'!$BV15="Да",1,0)</x:f>
      </x:c>
      <x:c r="O787" s="375">
        <x:f>IFERROR(ROUND(SUM(C787:N787)/($S$775),1),"")</x:f>
      </x:c>
    </x:row>
    <x:row r="788" spans="1:25" ht="15" customHeight="1" x14ac:dyDescent="0.25">
      <x:c r="A788" s="710"/>
      <x:c r="B788" s="363" t="s">
        <x:v>810</x:v>
      </x:c>
      <x:c r="C788" s="697">
        <x:f>IF('РХиПНО'!$H16="Да",1,0)</x:f>
      </x:c>
      <x:c r="D788" s="698">
        <x:f>IF('РХиПНО'!$N16="Да",1,0)</x:f>
      </x:c>
      <x:c r="E788" s="699">
        <x:f>IF('РХиПНО'!$T16="Да",1,0)</x:f>
      </x:c>
      <x:c r="F788" s="700">
        <x:f>IF('РХиПНО'!$Z16="Да",1,0)</x:f>
      </x:c>
      <x:c r="G788" s="701">
        <x:f>IF('РХиПНО'!$AF16="Да",1,0)</x:f>
      </x:c>
      <x:c r="H788" s="702">
        <x:f>IF('РХиПНО'!$AL16="Да",1,0)</x:f>
      </x:c>
      <x:c r="I788" s="703">
        <x:f>IF('РХиПНО'!$AR16="Да",1,0)</x:f>
      </x:c>
      <x:c r="J788" s="704">
        <x:f>IF('РХиПНО'!$AX16="Да",1,0)</x:f>
      </x:c>
      <x:c r="K788" s="705">
        <x:f>IF('РХиПНО'!$BD16="Да",1,0)</x:f>
      </x:c>
      <x:c r="L788" s="706">
        <x:f>IF('РХиПНО'!$BJ16="Да",1,0)</x:f>
      </x:c>
      <x:c r="M788" s="707">
        <x:f>IF('РХиПНО'!$BP16="Да",1,0)</x:f>
      </x:c>
      <x:c r="N788" s="708">
        <x:f>IF('РХиПНО'!$BV16="Да",1,0)</x:f>
      </x:c>
      <x:c r="O788" s="375">
        <x:f>IFERROR(ROUND(SUM(C788:N788)/($S$775),1),"")</x:f>
      </x:c>
    </x:row>
    <x:row r="789" spans="1:25" ht="15" customHeight="1" x14ac:dyDescent="0.25">
      <x:c r="A789" s="710"/>
      <x:c r="B789" s="363" t="s">
        <x:v>813</x:v>
      </x:c>
      <x:c r="C789" s="697">
        <x:f>IF('РХиПНО'!$H17="Да",1,0)</x:f>
      </x:c>
      <x:c r="D789" s="698">
        <x:f>IF('РХиПНО'!$N17="Да",1,0)</x:f>
      </x:c>
      <x:c r="E789" s="699">
        <x:f>IF('РХиПНО'!$T17="Да",1,0)</x:f>
      </x:c>
      <x:c r="F789" s="700">
        <x:f>IF('РХиПНО'!$Z17="Да",1,0)</x:f>
      </x:c>
      <x:c r="G789" s="701">
        <x:f>IF('РХиПНО'!$AF17="Да",1,0)</x:f>
      </x:c>
      <x:c r="H789" s="702">
        <x:f>IF('РХиПНО'!$AL17="Да",1,0)</x:f>
      </x:c>
      <x:c r="I789" s="703">
        <x:f>IF('РХиПНО'!$AR17="Да",1,0)</x:f>
      </x:c>
      <x:c r="J789" s="704">
        <x:f>IF('РХиПНО'!$AX17="Да",1,0)</x:f>
      </x:c>
      <x:c r="K789" s="705">
        <x:f>IF('РХиПНО'!$BD17="Да",1,0)</x:f>
      </x:c>
      <x:c r="L789" s="706">
        <x:f>IF('РХиПНО'!$BJ17="Да",1,0)</x:f>
      </x:c>
      <x:c r="M789" s="707">
        <x:f>IF('РХиПНО'!$BP17="Да",1,0)</x:f>
      </x:c>
      <x:c r="N789" s="708">
        <x:f>IF('РХиПНО'!$BV17="Да",1,0)</x:f>
      </x:c>
      <x:c r="O789" s="375">
        <x:f>IFERROR(ROUND(SUM(C789:N789)/($S$775),1),"")</x:f>
      </x:c>
    </x:row>
    <x:row r="790" spans="1:25" ht="15" customHeight="1" x14ac:dyDescent="0.25">
      <x:c r="A790" s="710"/>
      <x:c r="B790" s="363" t="s">
        <x:v>815</x:v>
      </x:c>
      <x:c r="C790" s="697">
        <x:f>IF('РХиПНО'!$H18="Да",1,0)</x:f>
      </x:c>
      <x:c r="D790" s="698">
        <x:f>IF('РХиПНО'!$N18="Да",1,0)</x:f>
      </x:c>
      <x:c r="E790" s="699">
        <x:f>IF('РХиПНО'!$T18="Да",1,0)</x:f>
      </x:c>
      <x:c r="F790" s="700">
        <x:f>IF('РХиПНО'!$Z18="Да",1,0)</x:f>
      </x:c>
      <x:c r="G790" s="701">
        <x:f>IF('РХиПНО'!$AF18="Да",1,0)</x:f>
      </x:c>
      <x:c r="H790" s="702">
        <x:f>IF('РХиПНО'!$AL18="Да",1,0)</x:f>
      </x:c>
      <x:c r="I790" s="703">
        <x:f>IF('РХиПНО'!$AR18="Да",1,0)</x:f>
      </x:c>
      <x:c r="J790" s="704">
        <x:f>IF('РХиПНО'!$AX18="Да",1,0)</x:f>
      </x:c>
      <x:c r="K790" s="705">
        <x:f>IF('РХиПНО'!$BD18="Да",1,0)</x:f>
      </x:c>
      <x:c r="L790" s="706">
        <x:f>IF('РХиПНО'!$BJ18="Да",1,0)</x:f>
      </x:c>
      <x:c r="M790" s="707">
        <x:f>IF('РХиПНО'!$BP18="Да",1,0)</x:f>
      </x:c>
      <x:c r="N790" s="708">
        <x:f>IF('РХиПНО'!$BV18="Да",1,0)</x:f>
      </x:c>
      <x:c r="O790" s="375">
        <x:f>IFERROR(ROUND(SUM(C790:N790)/($S$775),1),"")</x:f>
      </x:c>
    </x:row>
    <x:row r="791" spans="1:25" ht="15" customHeight="1" x14ac:dyDescent="0.25">
      <x:c r="A791" s="710"/>
      <x:c r="B791" s="363" t="s">
        <x:v>818</x:v>
      </x:c>
      <x:c r="C791" s="697">
        <x:f>IF('РХиПНО'!$H19="Да",1,0)</x:f>
      </x:c>
      <x:c r="D791" s="698">
        <x:f>IF('РХиПНО'!$N19="Да",1,0)</x:f>
      </x:c>
      <x:c r="E791" s="699">
        <x:f>IF('РХиПНО'!$T19="Да",1,0)</x:f>
      </x:c>
      <x:c r="F791" s="700">
        <x:f>IF('РХиПНО'!$Z19="Да",1,0)</x:f>
      </x:c>
      <x:c r="G791" s="701">
        <x:f>IF('РХиПНО'!$AF19="Да",1,0)</x:f>
      </x:c>
      <x:c r="H791" s="702">
        <x:f>IF('РХиПНО'!$AL19="Да",1,0)</x:f>
      </x:c>
      <x:c r="I791" s="703">
        <x:f>IF('РХиПНО'!$AR19="Да",1,0)</x:f>
      </x:c>
      <x:c r="J791" s="704">
        <x:f>IF('РХиПНО'!$AX19="Да",1,0)</x:f>
      </x:c>
      <x:c r="K791" s="705">
        <x:f>IF('РХиПНО'!$BD19="Да",1,0)</x:f>
      </x:c>
      <x:c r="L791" s="706">
        <x:f>IF('РХиПНО'!$BJ19="Да",1,0)</x:f>
      </x:c>
      <x:c r="M791" s="707">
        <x:f>IF('РХиПНО'!$BP19="Да",1,0)</x:f>
      </x:c>
      <x:c r="N791" s="708">
        <x:f>IF('РХиПНО'!$BV19="Да",1,0)</x:f>
      </x:c>
      <x:c r="O791" s="375">
        <x:f>IFERROR(ROUND(SUM(C791:N791)/($S$775),1),"")</x:f>
      </x:c>
    </x:row>
    <x:row r="792" spans="1:25" ht="15" customHeight="1" x14ac:dyDescent="0.25">
      <x:c r="A792" s="710"/>
      <x:c r="B792" s="363" t="s">
        <x:v>802</x:v>
      </x:c>
      <x:c r="C792" s="697">
        <x:f>IF('РХиПНО'!$H20="Да",1,0)</x:f>
      </x:c>
      <x:c r="D792" s="698">
        <x:f>IF('РХиПНО'!$N20="Да",1,0)</x:f>
      </x:c>
      <x:c r="E792" s="699">
        <x:f>IF('РХиПНО'!$T20="Да",1,0)</x:f>
      </x:c>
      <x:c r="F792" s="700">
        <x:f>IF('РХиПНО'!$Z20="Да",1,0)</x:f>
      </x:c>
      <x:c r="G792" s="701">
        <x:f>IF('РХиПНО'!$AF20="Да",1,0)</x:f>
      </x:c>
      <x:c r="H792" s="702">
        <x:f>IF('РХиПНО'!$AL20="Да",1,0)</x:f>
      </x:c>
      <x:c r="I792" s="703">
        <x:f>IF('РХиПНО'!$AR20="Да",1,0)</x:f>
      </x:c>
      <x:c r="J792" s="704">
        <x:f>IF('РХиПНО'!$AX20="Да",1,0)</x:f>
      </x:c>
      <x:c r="K792" s="705">
        <x:f>IF('РХиПНО'!$BD20="Да",1,0)</x:f>
      </x:c>
      <x:c r="L792" s="706">
        <x:f>IF('РХиПНО'!$BJ20="Да",1,0)</x:f>
      </x:c>
      <x:c r="M792" s="707">
        <x:f>IF('РХиПНО'!$BP20="Да",1,0)</x:f>
      </x:c>
      <x:c r="N792" s="708">
        <x:f>IF('РХиПНО'!$BV20="Да",1,0)</x:f>
      </x:c>
      <x:c r="O792" s="375">
        <x:f>IFERROR(ROUND(SUM(C792:N792)/($S$775),1),"")</x:f>
      </x:c>
    </x:row>
    <x:row r="793" spans="1:25" ht="15" customHeight="1" x14ac:dyDescent="0.25">
      <x:c r="A793" s="710"/>
      <x:c r="B793" s="363" t="s">
        <x:v>803</x:v>
      </x:c>
      <x:c r="C793" s="697">
        <x:f>IF('РХиПНО'!$H21="Да",1,0)</x:f>
      </x:c>
      <x:c r="D793" s="698">
        <x:f>IF('РХиПНО'!$N21="Да",1,0)</x:f>
      </x:c>
      <x:c r="E793" s="699">
        <x:f>IF('РХиПНО'!$T21="Да",1,0)</x:f>
      </x:c>
      <x:c r="F793" s="700">
        <x:f>IF('РХиПНО'!$Z21="Да",1,0)</x:f>
      </x:c>
      <x:c r="G793" s="701">
        <x:f>IF('РХиПНО'!$AF21="Да",1,0)</x:f>
      </x:c>
      <x:c r="H793" s="702">
        <x:f>IF('РХиПНО'!$AL21="Да",1,0)</x:f>
      </x:c>
      <x:c r="I793" s="703">
        <x:f>IF('РХиПНО'!$AR21="Да",1,0)</x:f>
      </x:c>
      <x:c r="J793" s="704">
        <x:f>IF('РХиПНО'!$AX21="Да",1,0)</x:f>
      </x:c>
      <x:c r="K793" s="705">
        <x:f>IF('РХиПНО'!$BD21="Да",1,0)</x:f>
      </x:c>
      <x:c r="L793" s="706">
        <x:f>IF('РХиПНО'!$BJ21="Да",1,0)</x:f>
      </x:c>
      <x:c r="M793" s="707">
        <x:f>IF('РХиПНО'!$BP21="Да",1,0)</x:f>
      </x:c>
      <x:c r="N793" s="708">
        <x:f>IF('РХиПНО'!$BV21="Да",1,0)</x:f>
      </x:c>
      <x:c r="O793" s="375">
        <x:f>IFERROR(ROUND(SUM(C793:N793)/($S$775),1),"")</x:f>
      </x:c>
    </x:row>
    <x:row r="794" spans="1:25" ht="15" customHeight="1" x14ac:dyDescent="0.25">
      <x:c r="A794" s="710"/>
      <x:c r="B794" s="363" t="s">
        <x:v>800</x:v>
      </x:c>
      <x:c r="C794" s="697">
        <x:f>IF('РХиПНО'!$H22="Да",1,0)</x:f>
      </x:c>
      <x:c r="D794" s="698">
        <x:f>IF('РХиПНО'!$N22="Да",1,0)</x:f>
      </x:c>
      <x:c r="E794" s="699">
        <x:f>IF('РХиПНО'!$T22="Да",1,0)</x:f>
      </x:c>
      <x:c r="F794" s="700">
        <x:f>IF('РХиПНО'!$Z22="Да",1,0)</x:f>
      </x:c>
      <x:c r="G794" s="701">
        <x:f>IF('РХиПНО'!$AF22="Да",1,0)</x:f>
      </x:c>
      <x:c r="H794" s="702">
        <x:f>IF('РХиПНО'!$AL22="Да",1,0)</x:f>
      </x:c>
      <x:c r="I794" s="703">
        <x:f>IF('РХиПНО'!$AR22="Да",1,0)</x:f>
      </x:c>
      <x:c r="J794" s="704">
        <x:f>IF('РХиПНО'!$AX22="Да",1,0)</x:f>
      </x:c>
      <x:c r="K794" s="705">
        <x:f>IF('РХиПНО'!$BD22="Да",1,0)</x:f>
      </x:c>
      <x:c r="L794" s="706">
        <x:f>IF('РХиПНО'!$BJ22="Да",1,0)</x:f>
      </x:c>
      <x:c r="M794" s="707">
        <x:f>IF('РХиПНО'!$BP22="Да",1,0)</x:f>
      </x:c>
      <x:c r="N794" s="708">
        <x:f>IF('РХиПНО'!$BV22="Да",1,0)</x:f>
      </x:c>
      <x:c r="O794" s="375">
        <x:f>IFERROR(ROUND(SUM(C794:N794)/($S$775),1),"")</x:f>
      </x:c>
    </x:row>
    <x:row r="795" spans="1:25" ht="15.75" customHeight="1" x14ac:dyDescent="0.25">
      <x:c r="A795" s="717"/>
      <x:c r="B795" s="379" t="s">
        <x:v>805</x:v>
      </x:c>
      <x:c r="C795" s="697">
        <x:f>IF('РХиПНО'!$H23="Да",1,0)</x:f>
      </x:c>
      <x:c r="D795" s="698">
        <x:f>IF('РХиПНО'!$N23="Да",1,0)</x:f>
      </x:c>
      <x:c r="E795" s="699">
        <x:f>IF('РХиПНО'!$T23="Да",1,0)</x:f>
      </x:c>
      <x:c r="F795" s="700">
        <x:f>IF('РХиПНО'!$Z23="Да",1,0)</x:f>
      </x:c>
      <x:c r="G795" s="701">
        <x:f>IF('РХиПНО'!$AF23="Да",1,0)</x:f>
      </x:c>
      <x:c r="H795" s="702">
        <x:f>IF('РХиПНО'!$AL23="Да",1,0)</x:f>
      </x:c>
      <x:c r="I795" s="703">
        <x:f>IF('РХиПНО'!$AR23="Да",1,0)</x:f>
      </x:c>
      <x:c r="J795" s="704">
        <x:f>IF('РХиПНО'!$AX23="Да",1,0)</x:f>
      </x:c>
      <x:c r="K795" s="705">
        <x:f>IF('РХиПНО'!$BD23="Да",1,0)</x:f>
      </x:c>
      <x:c r="L795" s="706">
        <x:f>IF('РХиПНО'!$BJ23="Да",1,0)</x:f>
      </x:c>
      <x:c r="M795" s="707">
        <x:f>IF('РХиПНО'!$BP23="Да",1,0)</x:f>
      </x:c>
      <x:c r="N795" s="708">
        <x:f>IF('РХиПНО'!$BV23="Да",1,0)</x:f>
      </x:c>
      <x:c r="O795" s="375">
        <x:f>IFERROR(ROUND(SUM(C795:N795)/($S$775),1),"")</x:f>
      </x:c>
    </x:row>
    <x:row r="796" spans="1:25" ht="15" customHeight="1" x14ac:dyDescent="0.25">
      <x:c r="A796" s="696" t="s">
        <x:v>1092</x:v>
      </x:c>
      <x:c r="B796" s="363" t="s">
        <x:v>825</x:v>
      </x:c>
      <x:c r="C796" s="697">
        <x:f>IF('ЭНСН'!$H3="Да",1,0)</x:f>
      </x:c>
      <x:c r="D796" s="698">
        <x:f>IF('ЭНСН'!$N3="Да",1,0)</x:f>
      </x:c>
      <x:c r="E796" s="699">
        <x:f>IF('ЭНСН'!$T3="Да",1,0)</x:f>
      </x:c>
      <x:c r="F796" s="700">
        <x:f>IF('ЭНСН'!$Z3="Да",1,0)</x:f>
      </x:c>
      <x:c r="G796" s="701">
        <x:f>IF('ЭНСН'!$AF3="Да",1,0)</x:f>
      </x:c>
      <x:c r="H796" s="702">
        <x:f>IF('ЭНСН'!$AL3="Да",1,0)</x:f>
      </x:c>
      <x:c r="I796" s="703">
        <x:f>IF('ЭНСН'!$AR3="Да",1,0)</x:f>
      </x:c>
      <x:c r="J796" s="704">
        <x:f>IF('ЭНСН'!$AX3="Да",1,0)</x:f>
      </x:c>
      <x:c r="K796" s="705">
        <x:f>IF('ЭНСН'!$BD3="Да",1,0)</x:f>
      </x:c>
      <x:c r="L796" s="706">
        <x:f>IF('ЭНСН'!$BJ3="Да",1,0)</x:f>
      </x:c>
      <x:c r="M796" s="707">
        <x:f>IF('ЭНСН'!$BP3="Да",1,0)</x:f>
      </x:c>
      <x:c r="N796" s="708">
        <x:f>IF('ЭНСН'!$BV3="Да",1,0)</x:f>
      </x:c>
      <x:c r="O796" s="375">
        <x:f>IFERROR(ROUND(SUM(C796:N796)/($S$796),1),"")</x:f>
      </x:c>
      <x:c r="Q796" s="709" t="s">
        <x:v>1151</x:v>
      </x:c>
      <x:c r="R796" s="596"/>
      <x:c r="S796" s="376">
        <x:f>SUM(IF(COUNTIF(C796:C810,"&gt;0")&gt;0,1,0),IF(COUNTIF(D796:D810,"&gt;0")&gt;0,1,0),IF(COUNTIF(E796:E810,"&gt;0")&gt;0,1,0),IF(COUNTIF(F796:F810,"&gt;0")&gt;0,1,0),IF(COUNTIF(G796:G810,"&gt;0")&gt;0,1,0),IF(COUNTIF(H796:H810,"&gt;0")&gt;0,1,0),IF(COUNTIF(I796:I810,"&gt;0")&gt;0,1,0),IF(COUNTIF(J796:J810,"&gt;0")&gt;0,1,0),IF(COUNTIF(K796:K810,"&gt;0")&gt;0,1,0),IF(COUNTIF(L796:L810,"&gt;0")&gt;0,1,0),IF(COUNTIF(M796:M810,"&gt;0")&gt;0,1,0),IF(COUNTIF(N796:N810,"&gt;0")&gt;0,1,0))</x:f>
      </x:c>
    </x:row>
    <x:row r="797" spans="1:25" ht="15" customHeight="1" x14ac:dyDescent="0.25">
      <x:c r="A797" s="710"/>
      <x:c r="B797" s="363" t="s">
        <x:v>829</x:v>
      </x:c>
      <x:c r="C797" s="697">
        <x:f>IF('ЭНСН'!$H4="Да",1,0)</x:f>
      </x:c>
      <x:c r="D797" s="698">
        <x:f>IF('ЭНСН'!$N4="Да",1,0)</x:f>
      </x:c>
      <x:c r="E797" s="699">
        <x:f>IF('ЭНСН'!$T4="Да",1,0)</x:f>
      </x:c>
      <x:c r="F797" s="700">
        <x:f>IF('ЭНСН'!$Z4="Да",1,0)</x:f>
      </x:c>
      <x:c r="G797" s="701">
        <x:f>IF('ЭНСН'!$AF4="Да",1,0)</x:f>
      </x:c>
      <x:c r="H797" s="702">
        <x:f>IF('ЭНСН'!$AL4="Да",1,0)</x:f>
      </x:c>
      <x:c r="I797" s="703">
        <x:f>IF('ЭНСН'!$AR4="Да",1,0)</x:f>
      </x:c>
      <x:c r="J797" s="704">
        <x:f>IF('ЭНСН'!$AX4="Да",1,0)</x:f>
      </x:c>
      <x:c r="K797" s="705">
        <x:f>IF('ЭНСН'!$BD4="Да",1,0)</x:f>
      </x:c>
      <x:c r="L797" s="706">
        <x:f>IF('ЭНСН'!$BJ4="Да",1,0)</x:f>
      </x:c>
      <x:c r="M797" s="707">
        <x:f>IF('ЭНСН'!$BP4="Да",1,0)</x:f>
      </x:c>
      <x:c r="N797" s="708">
        <x:f>IF('ЭНСН'!$BV4="Да",1,0)</x:f>
      </x:c>
      <x:c r="O797" s="375">
        <x:f>IFERROR(ROUND(SUM(C797:N797)/($S$796),1),"")</x:f>
      </x:c>
      <x:c r="Q797" s="711"/>
      <x:c r="R797" s="712"/>
      <x:c r="S797" s="713"/>
    </x:row>
    <x:row r="798" spans="1:25" ht="15" customHeight="1" x14ac:dyDescent="0.25">
      <x:c r="A798" s="710"/>
      <x:c r="B798" s="363" t="s">
        <x:v>832</x:v>
      </x:c>
      <x:c r="C798" s="697">
        <x:f>IF('ЭНСН'!$H5="Да",1,0)</x:f>
      </x:c>
      <x:c r="D798" s="698">
        <x:f>IF('ЭНСН'!$N5="Да",1,0)</x:f>
      </x:c>
      <x:c r="E798" s="699">
        <x:f>IF('ЭНСН'!$T5="Да",1,0)</x:f>
      </x:c>
      <x:c r="F798" s="700">
        <x:f>IF('ЭНСН'!$Z5="Да",1,0)</x:f>
      </x:c>
      <x:c r="G798" s="701">
        <x:f>IF('ЭНСН'!$AF5="Да",1,0)</x:f>
      </x:c>
      <x:c r="H798" s="702">
        <x:f>IF('ЭНСН'!$AL5="Да",1,0)</x:f>
      </x:c>
      <x:c r="I798" s="703">
        <x:f>IF('ЭНСН'!$AR5="Да",1,0)</x:f>
      </x:c>
      <x:c r="J798" s="704">
        <x:f>IF('ЭНСН'!$AX5="Да",1,0)</x:f>
      </x:c>
      <x:c r="K798" s="705">
        <x:f>IF('ЭНСН'!$BD5="Да",1,0)</x:f>
      </x:c>
      <x:c r="L798" s="706">
        <x:f>IF('ЭНСН'!$BJ5="Да",1,0)</x:f>
      </x:c>
      <x:c r="M798" s="707">
        <x:f>IF('ЭНСН'!$BP5="Да",1,0)</x:f>
      </x:c>
      <x:c r="N798" s="708">
        <x:f>IF('ЭНСН'!$BV5="Да",1,0)</x:f>
      </x:c>
      <x:c r="O798" s="375">
        <x:f>IFERROR(ROUND(SUM(C798:N798)/($S$796),1),"")</x:f>
      </x:c>
      <x:c r="Q798" s="714"/>
      <x:c r="R798" s="715"/>
      <x:c r="S798" s="716"/>
    </x:row>
    <x:row r="799" spans="1:25" ht="15" customHeight="1" x14ac:dyDescent="0.25">
      <x:c r="A799" s="710"/>
      <x:c r="B799" s="363" t="s">
        <x:v>826</x:v>
      </x:c>
      <x:c r="C799" s="697">
        <x:f>IF('ЭНСН'!$H6="Да",1,0)</x:f>
      </x:c>
      <x:c r="D799" s="698">
        <x:f>IF('ЭНСН'!$N6="Да",1,0)</x:f>
      </x:c>
      <x:c r="E799" s="699">
        <x:f>IF('ЭНСН'!$T6="Да",1,0)</x:f>
      </x:c>
      <x:c r="F799" s="700">
        <x:f>IF('ЭНСН'!$Z6="Да",1,0)</x:f>
      </x:c>
      <x:c r="G799" s="701">
        <x:f>IF('ЭНСН'!$AF6="Да",1,0)</x:f>
      </x:c>
      <x:c r="H799" s="702">
        <x:f>IF('ЭНСН'!$AL6="Да",1,0)</x:f>
      </x:c>
      <x:c r="I799" s="703">
        <x:f>IF('ЭНСН'!$AR6="Да",1,0)</x:f>
      </x:c>
      <x:c r="J799" s="704">
        <x:f>IF('ЭНСН'!$AX6="Да",1,0)</x:f>
      </x:c>
      <x:c r="K799" s="705">
        <x:f>IF('ЭНСН'!$BD6="Да",1,0)</x:f>
      </x:c>
      <x:c r="L799" s="706">
        <x:f>IF('ЭНСН'!$BJ6="Да",1,0)</x:f>
      </x:c>
      <x:c r="M799" s="707">
        <x:f>IF('ЭНСН'!$BP6="Да",1,0)</x:f>
      </x:c>
      <x:c r="N799" s="708">
        <x:f>IF('ЭНСН'!$BV6="Да",1,0)</x:f>
      </x:c>
      <x:c r="O799" s="375">
        <x:f>IFERROR(ROUND(SUM(C799:N799)/($S$796),1),"")</x:f>
      </x:c>
    </x:row>
    <x:row r="800" spans="1:25" ht="15" customHeight="1" x14ac:dyDescent="0.25">
      <x:c r="A800" s="710"/>
      <x:c r="B800" s="363" t="s">
        <x:v>834</x:v>
      </x:c>
      <x:c r="C800" s="697">
        <x:f>IF('ЭНСН'!$H7="Да",1,0)</x:f>
      </x:c>
      <x:c r="D800" s="698">
        <x:f>IF('ЭНСН'!$N7="Да",1,0)</x:f>
      </x:c>
      <x:c r="E800" s="699">
        <x:f>IF('ЭНСН'!$T7="Да",1,0)</x:f>
      </x:c>
      <x:c r="F800" s="700">
        <x:f>IF('ЭНСН'!$Z7="Да",1,0)</x:f>
      </x:c>
      <x:c r="G800" s="701">
        <x:f>IF('ЭНСН'!$AF7="Да",1,0)</x:f>
      </x:c>
      <x:c r="H800" s="702">
        <x:f>IF('ЭНСН'!$AL7="Да",1,0)</x:f>
      </x:c>
      <x:c r="I800" s="703">
        <x:f>IF('ЭНСН'!$AR7="Да",1,0)</x:f>
      </x:c>
      <x:c r="J800" s="704">
        <x:f>IF('ЭНСН'!$AX7="Да",1,0)</x:f>
      </x:c>
      <x:c r="K800" s="705">
        <x:f>IF('ЭНСН'!$BD7="Да",1,0)</x:f>
      </x:c>
      <x:c r="L800" s="706">
        <x:f>IF('ЭНСН'!$BJ7="Да",1,0)</x:f>
      </x:c>
      <x:c r="M800" s="707">
        <x:f>IF('ЭНСН'!$BP7="Да",1,0)</x:f>
      </x:c>
      <x:c r="N800" s="708">
        <x:f>IF('ЭНСН'!$BV7="Да",1,0)</x:f>
      </x:c>
      <x:c r="O800" s="375">
        <x:f>IFERROR(ROUND(SUM(C800:N800)/($S$796),1),"")</x:f>
      </x:c>
    </x:row>
    <x:row r="801" spans="1:25" ht="15" customHeight="1" x14ac:dyDescent="0.25">
      <x:c r="A801" s="710"/>
      <x:c r="B801" s="363" t="s">
        <x:v>830</x:v>
      </x:c>
      <x:c r="C801" s="697">
        <x:f>IF('ЭНСН'!$H8="Да",1,0)</x:f>
      </x:c>
      <x:c r="D801" s="698">
        <x:f>IF('ЭНСН'!$N8="Да",1,0)</x:f>
      </x:c>
      <x:c r="E801" s="699">
        <x:f>IF('ЭНСН'!$T8="Да",1,0)</x:f>
      </x:c>
      <x:c r="F801" s="700">
        <x:f>IF('ЭНСН'!$Z8="Да",1,0)</x:f>
      </x:c>
      <x:c r="G801" s="701">
        <x:f>IF('ЭНСН'!$AF8="Да",1,0)</x:f>
      </x:c>
      <x:c r="H801" s="702">
        <x:f>IF('ЭНСН'!$AL8="Да",1,0)</x:f>
      </x:c>
      <x:c r="I801" s="703">
        <x:f>IF('ЭНСН'!$AR8="Да",1,0)</x:f>
      </x:c>
      <x:c r="J801" s="704">
        <x:f>IF('ЭНСН'!$AX8="Да",1,0)</x:f>
      </x:c>
      <x:c r="K801" s="705">
        <x:f>IF('ЭНСН'!$BD8="Да",1,0)</x:f>
      </x:c>
      <x:c r="L801" s="706">
        <x:f>IF('ЭНСН'!$BJ8="Да",1,0)</x:f>
      </x:c>
      <x:c r="M801" s="707">
        <x:f>IF('ЭНСН'!$BP8="Да",1,0)</x:f>
      </x:c>
      <x:c r="N801" s="708">
        <x:f>IF('ЭНСН'!$BV8="Да",1,0)</x:f>
      </x:c>
      <x:c r="O801" s="375">
        <x:f>IFERROR(ROUND(SUM(C801:N801)/($S$796),1),"")</x:f>
      </x:c>
    </x:row>
    <x:row r="802" spans="1:25" ht="15" customHeight="1" x14ac:dyDescent="0.25">
      <x:c r="A802" s="710"/>
      <x:c r="B802" s="363" t="s">
        <x:v>819</x:v>
      </x:c>
      <x:c r="C802" s="697">
        <x:f>IF('ЭНСН'!$H9="Да",1,0)</x:f>
      </x:c>
      <x:c r="D802" s="698">
        <x:f>IF('ЭНСН'!$N9="Да",1,0)</x:f>
      </x:c>
      <x:c r="E802" s="699">
        <x:f>IF('ЭНСН'!$T9="Да",1,0)</x:f>
      </x:c>
      <x:c r="F802" s="700">
        <x:f>IF('ЭНСН'!$Z9="Да",1,0)</x:f>
      </x:c>
      <x:c r="G802" s="701">
        <x:f>IF('ЭНСН'!$AF9="Да",1,0)</x:f>
      </x:c>
      <x:c r="H802" s="702">
        <x:f>IF('ЭНСН'!$AL9="Да",1,0)</x:f>
      </x:c>
      <x:c r="I802" s="703">
        <x:f>IF('ЭНСН'!$AR9="Да",1,0)</x:f>
      </x:c>
      <x:c r="J802" s="704">
        <x:f>IF('ЭНСН'!$AX9="Да",1,0)</x:f>
      </x:c>
      <x:c r="K802" s="705">
        <x:f>IF('ЭНСН'!$BD9="Да",1,0)</x:f>
      </x:c>
      <x:c r="L802" s="706">
        <x:f>IF('ЭНСН'!$BJ9="Да",1,0)</x:f>
      </x:c>
      <x:c r="M802" s="707">
        <x:f>IF('ЭНСН'!$BP9="Да",1,0)</x:f>
      </x:c>
      <x:c r="N802" s="708">
        <x:f>IF('ЭНСН'!$BV9="Да",1,0)</x:f>
      </x:c>
      <x:c r="O802" s="375">
        <x:f>IFERROR(ROUND(SUM(C802:N802)/($S$796),1),"")</x:f>
      </x:c>
    </x:row>
    <x:row r="803" spans="1:25" ht="15" customHeight="1" x14ac:dyDescent="0.25">
      <x:c r="A803" s="710"/>
      <x:c r="B803" s="363" t="s">
        <x:v>827</x:v>
      </x:c>
      <x:c r="C803" s="697">
        <x:f>IF('ЭНСН'!$H10="Да",1,0)</x:f>
      </x:c>
      <x:c r="D803" s="698">
        <x:f>IF('ЭНСН'!$N10="Да",1,0)</x:f>
      </x:c>
      <x:c r="E803" s="699">
        <x:f>IF('ЭНСН'!$T10="Да",1,0)</x:f>
      </x:c>
      <x:c r="F803" s="700">
        <x:f>IF('ЭНСН'!$Z10="Да",1,0)</x:f>
      </x:c>
      <x:c r="G803" s="701">
        <x:f>IF('ЭНСН'!$AF10="Да",1,0)</x:f>
      </x:c>
      <x:c r="H803" s="702">
        <x:f>IF('ЭНСН'!$AL10="Да",1,0)</x:f>
      </x:c>
      <x:c r="I803" s="703">
        <x:f>IF('ЭНСН'!$AR10="Да",1,0)</x:f>
      </x:c>
      <x:c r="J803" s="704">
        <x:f>IF('ЭНСН'!$AX10="Да",1,0)</x:f>
      </x:c>
      <x:c r="K803" s="705">
        <x:f>IF('ЭНСН'!$BD10="Да",1,0)</x:f>
      </x:c>
      <x:c r="L803" s="706">
        <x:f>IF('ЭНСН'!$BJ10="Да",1,0)</x:f>
      </x:c>
      <x:c r="M803" s="707">
        <x:f>IF('ЭНСН'!$BP10="Да",1,0)</x:f>
      </x:c>
      <x:c r="N803" s="708">
        <x:f>IF('ЭНСН'!$BV10="Да",1,0)</x:f>
      </x:c>
      <x:c r="O803" s="375">
        <x:f>IFERROR(ROUND(SUM(C803:N803)/($S$796),1),"")</x:f>
      </x:c>
    </x:row>
    <x:row r="804" spans="1:25" ht="15" customHeight="1" x14ac:dyDescent="0.25">
      <x:c r="A804" s="710"/>
      <x:c r="B804" s="363" t="s">
        <x:v>824</x:v>
      </x:c>
      <x:c r="C804" s="697">
        <x:f>IF('ЭНСН'!$H11="Да",1,0)</x:f>
      </x:c>
      <x:c r="D804" s="698">
        <x:f>IF('ЭНСН'!$N11="Да",1,0)</x:f>
      </x:c>
      <x:c r="E804" s="699">
        <x:f>IF('ЭНСН'!$T11="Да",1,0)</x:f>
      </x:c>
      <x:c r="F804" s="700">
        <x:f>IF('ЭНСН'!$Z11="Да",1,0)</x:f>
      </x:c>
      <x:c r="G804" s="701">
        <x:f>IF('ЭНСН'!$AF11="Да",1,0)</x:f>
      </x:c>
      <x:c r="H804" s="702">
        <x:f>IF('ЭНСН'!$AL11="Да",1,0)</x:f>
      </x:c>
      <x:c r="I804" s="703">
        <x:f>IF('ЭНСН'!$AR11="Да",1,0)</x:f>
      </x:c>
      <x:c r="J804" s="704">
        <x:f>IF('ЭНСН'!$AX11="Да",1,0)</x:f>
      </x:c>
      <x:c r="K804" s="705">
        <x:f>IF('ЭНСН'!$BD11="Да",1,0)</x:f>
      </x:c>
      <x:c r="L804" s="706">
        <x:f>IF('ЭНСН'!$BJ11="Да",1,0)</x:f>
      </x:c>
      <x:c r="M804" s="707">
        <x:f>IF('ЭНСН'!$BP11="Да",1,0)</x:f>
      </x:c>
      <x:c r="N804" s="708">
        <x:f>IF('ЭНСН'!$BV11="Да",1,0)</x:f>
      </x:c>
      <x:c r="O804" s="375">
        <x:f>IFERROR(ROUND(SUM(C804:N804)/($S$796),1),"")</x:f>
      </x:c>
    </x:row>
    <x:row r="805" spans="1:25" ht="15" customHeight="1" x14ac:dyDescent="0.25">
      <x:c r="A805" s="710"/>
      <x:c r="B805" s="363" t="s">
        <x:v>828</x:v>
      </x:c>
      <x:c r="C805" s="697">
        <x:f>IF('ЭНСН'!$H12="Да",1,0)</x:f>
      </x:c>
      <x:c r="D805" s="698">
        <x:f>IF('ЭНСН'!$N12="Да",1,0)</x:f>
      </x:c>
      <x:c r="E805" s="699">
        <x:f>IF('ЭНСН'!$T12="Да",1,0)</x:f>
      </x:c>
      <x:c r="F805" s="700">
        <x:f>IF('ЭНСН'!$Z12="Да",1,0)</x:f>
      </x:c>
      <x:c r="G805" s="701">
        <x:f>IF('ЭНСН'!$AF12="Да",1,0)</x:f>
      </x:c>
      <x:c r="H805" s="702">
        <x:f>IF('ЭНСН'!$AL12="Да",1,0)</x:f>
      </x:c>
      <x:c r="I805" s="703">
        <x:f>IF('ЭНСН'!$AR12="Да",1,0)</x:f>
      </x:c>
      <x:c r="J805" s="704">
        <x:f>IF('ЭНСН'!$AX12="Да",1,0)</x:f>
      </x:c>
      <x:c r="K805" s="705">
        <x:f>IF('ЭНСН'!$BD12="Да",1,0)</x:f>
      </x:c>
      <x:c r="L805" s="706">
        <x:f>IF('ЭНСН'!$BJ12="Да",1,0)</x:f>
      </x:c>
      <x:c r="M805" s="707">
        <x:f>IF('ЭНСН'!$BP12="Да",1,0)</x:f>
      </x:c>
      <x:c r="N805" s="708">
        <x:f>IF('ЭНСН'!$BV12="Да",1,0)</x:f>
      </x:c>
      <x:c r="O805" s="375">
        <x:f>IFERROR(ROUND(SUM(C805:N805)/($S$796),1),"")</x:f>
      </x:c>
    </x:row>
    <x:row r="806" spans="1:25" ht="15" customHeight="1" x14ac:dyDescent="0.25">
      <x:c r="A806" s="710"/>
      <x:c r="B806" s="363" t="s">
        <x:v>822</x:v>
      </x:c>
      <x:c r="C806" s="697">
        <x:f>IF('ЭНСН'!$H13="Да",1,0)</x:f>
      </x:c>
      <x:c r="D806" s="698">
        <x:f>IF('ЭНСН'!$N13="Да",1,0)</x:f>
      </x:c>
      <x:c r="E806" s="699">
        <x:f>IF('ЭНСН'!$T13="Да",1,0)</x:f>
      </x:c>
      <x:c r="F806" s="700">
        <x:f>IF('ЭНСН'!$Z13="Да",1,0)</x:f>
      </x:c>
      <x:c r="G806" s="701">
        <x:f>IF('ЭНСН'!$AF13="Да",1,0)</x:f>
      </x:c>
      <x:c r="H806" s="702">
        <x:f>IF('ЭНСН'!$AL13="Да",1,0)</x:f>
      </x:c>
      <x:c r="I806" s="703">
        <x:f>IF('ЭНСН'!$AR13="Да",1,0)</x:f>
      </x:c>
      <x:c r="J806" s="704">
        <x:f>IF('ЭНСН'!$AX13="Да",1,0)</x:f>
      </x:c>
      <x:c r="K806" s="705">
        <x:f>IF('ЭНСН'!$BD13="Да",1,0)</x:f>
      </x:c>
      <x:c r="L806" s="706">
        <x:f>IF('ЭНСН'!$BJ13="Да",1,0)</x:f>
      </x:c>
      <x:c r="M806" s="707">
        <x:f>IF('ЭНСН'!$BP13="Да",1,0)</x:f>
      </x:c>
      <x:c r="N806" s="708">
        <x:f>IF('ЭНСН'!$BV13="Да",1,0)</x:f>
      </x:c>
      <x:c r="O806" s="375">
        <x:f>IFERROR(ROUND(SUM(C806:N806)/($S$796),1),"")</x:f>
      </x:c>
    </x:row>
    <x:row r="807" spans="1:25" ht="15" customHeight="1" x14ac:dyDescent="0.25">
      <x:c r="A807" s="710"/>
      <x:c r="B807" s="363" t="s">
        <x:v>833</x:v>
      </x:c>
      <x:c r="C807" s="697">
        <x:f>IF('ЭНСН'!$H14="Да",1,0)</x:f>
      </x:c>
      <x:c r="D807" s="698">
        <x:f>IF('ЭНСН'!$N14="Да",1,0)</x:f>
      </x:c>
      <x:c r="E807" s="699">
        <x:f>IF('ЭНСН'!$T14="Да",1,0)</x:f>
      </x:c>
      <x:c r="F807" s="700">
        <x:f>IF('ЭНСН'!$Z14="Да",1,0)</x:f>
      </x:c>
      <x:c r="G807" s="701">
        <x:f>IF('ЭНСН'!$AF14="Да",1,0)</x:f>
      </x:c>
      <x:c r="H807" s="702">
        <x:f>IF('ЭНСН'!$AL14="Да",1,0)</x:f>
      </x:c>
      <x:c r="I807" s="703">
        <x:f>IF('ЭНСН'!$AR14="Да",1,0)</x:f>
      </x:c>
      <x:c r="J807" s="704">
        <x:f>IF('ЭНСН'!$AX14="Да",1,0)</x:f>
      </x:c>
      <x:c r="K807" s="705">
        <x:f>IF('ЭНСН'!$BD14="Да",1,0)</x:f>
      </x:c>
      <x:c r="L807" s="706">
        <x:f>IF('ЭНСН'!$BJ14="Да",1,0)</x:f>
      </x:c>
      <x:c r="M807" s="707">
        <x:f>IF('ЭНСН'!$BP14="Да",1,0)</x:f>
      </x:c>
      <x:c r="N807" s="708">
        <x:f>IF('ЭНСН'!$BV14="Да",1,0)</x:f>
      </x:c>
      <x:c r="O807" s="375">
        <x:f>IFERROR(ROUND(SUM(C807:N807)/($S$796),1),"")</x:f>
      </x:c>
    </x:row>
    <x:row r="808" spans="1:25" ht="15" customHeight="1" x14ac:dyDescent="0.25">
      <x:c r="A808" s="710"/>
      <x:c r="B808" s="363" t="s">
        <x:v>831</x:v>
      </x:c>
      <x:c r="C808" s="697">
        <x:f>IF('ЭНСН'!$H15="Да",1,0)</x:f>
      </x:c>
      <x:c r="D808" s="698">
        <x:f>IF('ЭНСН'!$N15="Да",1,0)</x:f>
      </x:c>
      <x:c r="E808" s="699">
        <x:f>IF('ЭНСН'!$T15="Да",1,0)</x:f>
      </x:c>
      <x:c r="F808" s="700">
        <x:f>IF('ЭНСН'!$Z15="Да",1,0)</x:f>
      </x:c>
      <x:c r="G808" s="701">
        <x:f>IF('ЭНСН'!$AF15="Да",1,0)</x:f>
      </x:c>
      <x:c r="H808" s="702">
        <x:f>IF('ЭНСН'!$AL15="Да",1,0)</x:f>
      </x:c>
      <x:c r="I808" s="703">
        <x:f>IF('ЭНСН'!$AR15="Да",1,0)</x:f>
      </x:c>
      <x:c r="J808" s="704">
        <x:f>IF('ЭНСН'!$AX15="Да",1,0)</x:f>
      </x:c>
      <x:c r="K808" s="705">
        <x:f>IF('ЭНСН'!$BD15="Да",1,0)</x:f>
      </x:c>
      <x:c r="L808" s="706">
        <x:f>IF('ЭНСН'!$BJ15="Да",1,0)</x:f>
      </x:c>
      <x:c r="M808" s="707">
        <x:f>IF('ЭНСН'!$BP15="Да",1,0)</x:f>
      </x:c>
      <x:c r="N808" s="708">
        <x:f>IF('ЭНСН'!$BV15="Да",1,0)</x:f>
      </x:c>
      <x:c r="O808" s="375">
        <x:f>IFERROR(ROUND(SUM(C808:N808)/($S$796),1),"")</x:f>
      </x:c>
    </x:row>
    <x:row r="809" spans="1:25" ht="15" customHeight="1" x14ac:dyDescent="0.25">
      <x:c r="A809" s="710"/>
      <x:c r="B809" s="363" t="s">
        <x:v>823</x:v>
      </x:c>
      <x:c r="C809" s="697">
        <x:f>IF('ЭНСН'!$H16="Да",1,0)</x:f>
      </x:c>
      <x:c r="D809" s="698">
        <x:f>IF('ЭНСН'!$N16="Да",1,0)</x:f>
      </x:c>
      <x:c r="E809" s="699">
        <x:f>IF('ЭНСН'!$T16="Да",1,0)</x:f>
      </x:c>
      <x:c r="F809" s="700">
        <x:f>IF('ЭНСН'!$Z16="Да",1,0)</x:f>
      </x:c>
      <x:c r="G809" s="701">
        <x:f>IF('ЭНСН'!$AF16="Да",1,0)</x:f>
      </x:c>
      <x:c r="H809" s="702">
        <x:f>IF('ЭНСН'!$AL16="Да",1,0)</x:f>
      </x:c>
      <x:c r="I809" s="703">
        <x:f>IF('ЭНСН'!$AR16="Да",1,0)</x:f>
      </x:c>
      <x:c r="J809" s="704">
        <x:f>IF('ЭНСН'!$AX16="Да",1,0)</x:f>
      </x:c>
      <x:c r="K809" s="705">
        <x:f>IF('ЭНСН'!$BD16="Да",1,0)</x:f>
      </x:c>
      <x:c r="L809" s="706">
        <x:f>IF('ЭНСН'!$BJ16="Да",1,0)</x:f>
      </x:c>
      <x:c r="M809" s="707">
        <x:f>IF('ЭНСН'!$BP16="Да",1,0)</x:f>
      </x:c>
      <x:c r="N809" s="708">
        <x:f>IF('ЭНСН'!$BV16="Да",1,0)</x:f>
      </x:c>
      <x:c r="O809" s="375">
        <x:f>IFERROR(ROUND(SUM(C809:N809)/($S$796),1),"")</x:f>
      </x:c>
    </x:row>
    <x:row r="810" spans="1:25" ht="15.75" customHeight="1" x14ac:dyDescent="0.25">
      <x:c r="A810" s="717"/>
      <x:c r="B810" s="379" t="s">
        <x:v>821</x:v>
      </x:c>
      <x:c r="C810" s="697">
        <x:f>IF('ЭНСН'!$H17="Да",1,0)</x:f>
      </x:c>
      <x:c r="D810" s="698">
        <x:f>IF('ЭНСН'!$N17="Да",1,0)</x:f>
      </x:c>
      <x:c r="E810" s="699">
        <x:f>IF('ЭНСН'!$T17="Да",1,0)</x:f>
      </x:c>
      <x:c r="F810" s="700">
        <x:f>IF('ЭНСН'!$Z17="Да",1,0)</x:f>
      </x:c>
      <x:c r="G810" s="701">
        <x:f>IF('ЭНСН'!$AF17="Да",1,0)</x:f>
      </x:c>
      <x:c r="H810" s="702">
        <x:f>IF('ЭНСН'!$AL17="Да",1,0)</x:f>
      </x:c>
      <x:c r="I810" s="703">
        <x:f>IF('ЭНСН'!$AR17="Да",1,0)</x:f>
      </x:c>
      <x:c r="J810" s="704">
        <x:f>IF('ЭНСН'!$AX17="Да",1,0)</x:f>
      </x:c>
      <x:c r="K810" s="705">
        <x:f>IF('ЭНСН'!$BD17="Да",1,0)</x:f>
      </x:c>
      <x:c r="L810" s="706">
        <x:f>IF('ЭНСН'!$BJ17="Да",1,0)</x:f>
      </x:c>
      <x:c r="M810" s="707">
        <x:f>IF('ЭНСН'!$BP17="Да",1,0)</x:f>
      </x:c>
      <x:c r="N810" s="708">
        <x:f>IF('ЭНСН'!$BV17="Да",1,0)</x:f>
      </x:c>
      <x:c r="O810" s="375">
        <x:f>IFERROR(ROUND(SUM(C810:N810)/($S$796),1),"")</x:f>
      </x:c>
    </x:row>
    <x:row r="811" spans="1:25" ht="15" customHeight="1" x14ac:dyDescent="0.25">
      <x:c r="A811" s="696" t="s">
        <x:v>1093</x:v>
      </x:c>
      <x:c r="B811" s="363" t="s">
        <x:v>479</x:v>
      </x:c>
      <x:c r="C811" s="697">
        <x:f>IF('КОС'!$H3="Да",1,0)</x:f>
      </x:c>
      <x:c r="D811" s="698">
        <x:f>IF('КОС'!$N3="Да",1,0)</x:f>
      </x:c>
      <x:c r="E811" s="699">
        <x:f>IF('КОС'!$T3="Да",1,0)</x:f>
      </x:c>
      <x:c r="F811" s="700">
        <x:f>IF('КОС'!$Z3="Да",1,0)</x:f>
      </x:c>
      <x:c r="G811" s="701">
        <x:f>IF('КОС'!$AF3="Да",1,0)</x:f>
      </x:c>
      <x:c r="H811" s="702">
        <x:f>IF('КОС'!$AL3="Да",1,0)</x:f>
      </x:c>
      <x:c r="I811" s="703">
        <x:f>IF('КОС'!$AR3="Да",1,0)</x:f>
      </x:c>
      <x:c r="J811" s="704">
        <x:f>IF('КОС'!$AX3="Да",1,0)</x:f>
      </x:c>
      <x:c r="K811" s="705">
        <x:f>IF('КОС'!$BD3="Да",1,0)</x:f>
      </x:c>
      <x:c r="L811" s="706">
        <x:f>IF('КОС'!$BJ3="Да",1,0)</x:f>
      </x:c>
      <x:c r="M811" s="707">
        <x:f>IF('КОС'!$BP3="Да",1,0)</x:f>
      </x:c>
      <x:c r="N811" s="708">
        <x:f>IF('КОС'!$BV3="Да",1,0)</x:f>
      </x:c>
      <x:c r="O811" s="375">
        <x:f>IFERROR(ROUND(SUM(C811:N811)/($S$811),1),"")</x:f>
      </x:c>
      <x:c r="Q811" s="709" t="s">
        <x:v>1151</x:v>
      </x:c>
      <x:c r="R811" s="596"/>
      <x:c r="S811" s="376">
        <x:f>SUM(IF(COUNTIF(C811:C865,"&gt;0")&gt;0,1,0),IF(COUNTIF(D811:D865,"&gt;0")&gt;0,1,0),IF(COUNTIF(E811:E865,"&gt;0")&gt;0,1,0),IF(COUNTIF(F811:F865,"&gt;0")&gt;0,1,0),IF(COUNTIF(G811:G865,"&gt;0")&gt;0,1,0),IF(COUNTIF(H811:H865,"&gt;0")&gt;0,1,0),IF(COUNTIF(I811:I865,"&gt;0")&gt;0,1,0),IF(COUNTIF(J811:J865,"&gt;0")&gt;0,1,0),IF(COUNTIF(K811:K865,"&gt;0")&gt;0,1,0),IF(COUNTIF(L811:L865,"&gt;0")&gt;0,1,0),IF(COUNTIF(M811:M865,"&gt;0")&gt;0,1,0),IF(COUNTIF(N811:N865,"&gt;0")&gt;0,1,0))</x:f>
      </x:c>
    </x:row>
    <x:row r="812" spans="1:25" ht="15" customHeight="1" x14ac:dyDescent="0.25">
      <x:c r="A812" s="710"/>
      <x:c r="B812" s="363" t="s">
        <x:v>1139</x:v>
      </x:c>
      <x:c r="C812" s="697">
        <x:f>IF('КОС'!$H4="Да",1,0)</x:f>
      </x:c>
      <x:c r="D812" s="698">
        <x:f>IF('КОС'!$N4="Да",1,0)</x:f>
      </x:c>
      <x:c r="E812" s="699">
        <x:f>IF('КОС'!$T4="Да",1,0)</x:f>
      </x:c>
      <x:c r="F812" s="700">
        <x:f>IF('КОС'!$Z4="Да",1,0)</x:f>
      </x:c>
      <x:c r="G812" s="701">
        <x:f>IF('КОС'!$AF4="Да",1,0)</x:f>
      </x:c>
      <x:c r="H812" s="702">
        <x:f>IF('КОС'!$AL4="Да",1,0)</x:f>
      </x:c>
      <x:c r="I812" s="703">
        <x:f>IF('КОС'!$AR4="Да",1,0)</x:f>
      </x:c>
      <x:c r="J812" s="704">
        <x:f>IF('КОС'!$AX4="Да",1,0)</x:f>
      </x:c>
      <x:c r="K812" s="705">
        <x:f>IF('КОС'!$BD4="Да",1,0)</x:f>
      </x:c>
      <x:c r="L812" s="706">
        <x:f>IF('КОС'!$BJ4="Да",1,0)</x:f>
      </x:c>
      <x:c r="M812" s="707">
        <x:f>IF('КОС'!$BP4="Да",1,0)</x:f>
      </x:c>
      <x:c r="N812" s="708">
        <x:f>IF('КОС'!$BV4="Да",1,0)</x:f>
      </x:c>
      <x:c r="O812" s="375">
        <x:f>IFERROR(ROUND(SUM(C812:N812)/($S$811),1),"")</x:f>
      </x:c>
      <x:c r="Q812" s="711"/>
      <x:c r="R812" s="712"/>
      <x:c r="S812" s="713"/>
    </x:row>
    <x:row r="813" spans="1:25" ht="15" customHeight="1" x14ac:dyDescent="0.25">
      <x:c r="A813" s="710"/>
      <x:c r="B813" s="363" t="s">
        <x:v>455</x:v>
      </x:c>
      <x:c r="C813" s="697">
        <x:f>IF('КОС'!$H5="Да",1,0)</x:f>
      </x:c>
      <x:c r="D813" s="698">
        <x:f>IF('КОС'!$N5="Да",1,0)</x:f>
      </x:c>
      <x:c r="E813" s="699">
        <x:f>IF('КОС'!$T5="Да",1,0)</x:f>
      </x:c>
      <x:c r="F813" s="700">
        <x:f>IF('КОС'!$Z5="Да",1,0)</x:f>
      </x:c>
      <x:c r="G813" s="701">
        <x:f>IF('КОС'!$AF5="Да",1,0)</x:f>
      </x:c>
      <x:c r="H813" s="702">
        <x:f>IF('КОС'!$AL5="Да",1,0)</x:f>
      </x:c>
      <x:c r="I813" s="703">
        <x:f>IF('КОС'!$AR5="Да",1,0)</x:f>
      </x:c>
      <x:c r="J813" s="704">
        <x:f>IF('КОС'!$AX5="Да",1,0)</x:f>
      </x:c>
      <x:c r="K813" s="705">
        <x:f>IF('КОС'!$BD5="Да",1,0)</x:f>
      </x:c>
      <x:c r="L813" s="706">
        <x:f>IF('КОС'!$BJ5="Да",1,0)</x:f>
      </x:c>
      <x:c r="M813" s="707">
        <x:f>IF('КОС'!$BP5="Да",1,0)</x:f>
      </x:c>
      <x:c r="N813" s="708">
        <x:f>IF('КОС'!$BV5="Да",1,0)</x:f>
      </x:c>
      <x:c r="O813" s="375">
        <x:f>IFERROR(ROUND(SUM(C813:N813)/($S$811),1),"")</x:f>
      </x:c>
      <x:c r="Q813" s="714"/>
      <x:c r="R813" s="715"/>
      <x:c r="S813" s="716"/>
    </x:row>
    <x:row r="814" spans="1:25" ht="15" customHeight="1" x14ac:dyDescent="0.25">
      <x:c r="A814" s="710"/>
      <x:c r="B814" s="363" t="s">
        <x:v>468</x:v>
      </x:c>
      <x:c r="C814" s="697">
        <x:f>IF('КОС'!$H6="Да",1,0)</x:f>
      </x:c>
      <x:c r="D814" s="698">
        <x:f>IF('КОС'!$N6="Да",1,0)</x:f>
      </x:c>
      <x:c r="E814" s="699">
        <x:f>IF('КОС'!$T6="Да",1,0)</x:f>
      </x:c>
      <x:c r="F814" s="700">
        <x:f>IF('КОС'!$Z6="Да",1,0)</x:f>
      </x:c>
      <x:c r="G814" s="701">
        <x:f>IF('КОС'!$AF6="Да",1,0)</x:f>
      </x:c>
      <x:c r="H814" s="702">
        <x:f>IF('КОС'!$AL6="Да",1,0)</x:f>
      </x:c>
      <x:c r="I814" s="703">
        <x:f>IF('КОС'!$AR6="Да",1,0)</x:f>
      </x:c>
      <x:c r="J814" s="704">
        <x:f>IF('КОС'!$AX6="Да",1,0)</x:f>
      </x:c>
      <x:c r="K814" s="705">
        <x:f>IF('КОС'!$BD6="Да",1,0)</x:f>
      </x:c>
      <x:c r="L814" s="706">
        <x:f>IF('КОС'!$BJ6="Да",1,0)</x:f>
      </x:c>
      <x:c r="M814" s="707">
        <x:f>IF('КОС'!$BP6="Да",1,0)</x:f>
      </x:c>
      <x:c r="N814" s="708">
        <x:f>IF('КОС'!$BV6="Да",1,0)</x:f>
      </x:c>
      <x:c r="O814" s="375">
        <x:f>IFERROR(ROUND(SUM(C814:N814)/($S$811),1),"")</x:f>
      </x:c>
    </x:row>
    <x:row r="815" spans="1:25" ht="15" customHeight="1" x14ac:dyDescent="0.25">
      <x:c r="A815" s="710"/>
      <x:c r="B815" s="363" t="s">
        <x:v>463</x:v>
      </x:c>
      <x:c r="C815" s="697">
        <x:f>IF('КОС'!$H7="Да",1,0)</x:f>
      </x:c>
      <x:c r="D815" s="698">
        <x:f>IF('КОС'!$N7="Да",1,0)</x:f>
      </x:c>
      <x:c r="E815" s="699">
        <x:f>IF('КОС'!$T7="Да",1,0)</x:f>
      </x:c>
      <x:c r="F815" s="700">
        <x:f>IF('КОС'!$Z7="Да",1,0)</x:f>
      </x:c>
      <x:c r="G815" s="701">
        <x:f>IF('КОС'!$AF7="Да",1,0)</x:f>
      </x:c>
      <x:c r="H815" s="702">
        <x:f>IF('КОС'!$AL7="Да",1,0)</x:f>
      </x:c>
      <x:c r="I815" s="703">
        <x:f>IF('КОС'!$AR7="Да",1,0)</x:f>
      </x:c>
      <x:c r="J815" s="704">
        <x:f>IF('КОС'!$AX7="Да",1,0)</x:f>
      </x:c>
      <x:c r="K815" s="705">
        <x:f>IF('КОС'!$BD7="Да",1,0)</x:f>
      </x:c>
      <x:c r="L815" s="706">
        <x:f>IF('КОС'!$BJ7="Да",1,0)</x:f>
      </x:c>
      <x:c r="M815" s="707">
        <x:f>IF('КОС'!$BP7="Да",1,0)</x:f>
      </x:c>
      <x:c r="N815" s="708">
        <x:f>IF('КОС'!$BV7="Да",1,0)</x:f>
      </x:c>
      <x:c r="O815" s="375">
        <x:f>IFERROR(ROUND(SUM(C815:N815)/($S$811),1),"")</x:f>
      </x:c>
    </x:row>
    <x:row r="816" spans="1:25" ht="15" customHeight="1" x14ac:dyDescent="0.25">
      <x:c r="A816" s="710"/>
      <x:c r="B816" s="363" t="s">
        <x:v>512</x:v>
      </x:c>
      <x:c r="C816" s="697">
        <x:f>IF('КОС'!$H8="Да",1,0)</x:f>
      </x:c>
      <x:c r="D816" s="698">
        <x:f>IF('КОС'!$N8="Да",1,0)</x:f>
      </x:c>
      <x:c r="E816" s="699">
        <x:f>IF('КОС'!$T8="Да",1,0)</x:f>
      </x:c>
      <x:c r="F816" s="700">
        <x:f>IF('КОС'!$Z8="Да",1,0)</x:f>
      </x:c>
      <x:c r="G816" s="701">
        <x:f>IF('КОС'!$AF8="Да",1,0)</x:f>
      </x:c>
      <x:c r="H816" s="702">
        <x:f>IF('КОС'!$AL8="Да",1,0)</x:f>
      </x:c>
      <x:c r="I816" s="703">
        <x:f>IF('КОС'!$AR8="Да",1,0)</x:f>
      </x:c>
      <x:c r="J816" s="704">
        <x:f>IF('КОС'!$AX8="Да",1,0)</x:f>
      </x:c>
      <x:c r="K816" s="705">
        <x:f>IF('КОС'!$BD8="Да",1,0)</x:f>
      </x:c>
      <x:c r="L816" s="706">
        <x:f>IF('КОС'!$BJ8="Да",1,0)</x:f>
      </x:c>
      <x:c r="M816" s="707">
        <x:f>IF('КОС'!$BP8="Да",1,0)</x:f>
      </x:c>
      <x:c r="N816" s="708">
        <x:f>IF('КОС'!$BV8="Да",1,0)</x:f>
      </x:c>
      <x:c r="O816" s="375">
        <x:f>IFERROR(ROUND(SUM(C816:N816)/($S$811),1),"")</x:f>
      </x:c>
    </x:row>
    <x:row r="817" spans="1:25" ht="15" customHeight="1" x14ac:dyDescent="0.25">
      <x:c r="A817" s="710"/>
      <x:c r="B817" s="363" t="s">
        <x:v>458</x:v>
      </x:c>
      <x:c r="C817" s="697">
        <x:f>IF('КОС'!$H9="Да",1,0)</x:f>
      </x:c>
      <x:c r="D817" s="698">
        <x:f>IF('КОС'!$N9="Да",1,0)</x:f>
      </x:c>
      <x:c r="E817" s="699">
        <x:f>IF('КОС'!$T9="Да",1,0)</x:f>
      </x:c>
      <x:c r="F817" s="700">
        <x:f>IF('КОС'!$Z9="Да",1,0)</x:f>
      </x:c>
      <x:c r="G817" s="701">
        <x:f>IF('КОС'!$AF9="Да",1,0)</x:f>
      </x:c>
      <x:c r="H817" s="702">
        <x:f>IF('КОС'!$AL9="Да",1,0)</x:f>
      </x:c>
      <x:c r="I817" s="703">
        <x:f>IF('КОС'!$AR9="Да",1,0)</x:f>
      </x:c>
      <x:c r="J817" s="704">
        <x:f>IF('КОС'!$AX9="Да",1,0)</x:f>
      </x:c>
      <x:c r="K817" s="705">
        <x:f>IF('КОС'!$BD9="Да",1,0)</x:f>
      </x:c>
      <x:c r="L817" s="706">
        <x:f>IF('КОС'!$BJ9="Да",1,0)</x:f>
      </x:c>
      <x:c r="M817" s="707">
        <x:f>IF('КОС'!$BP9="Да",1,0)</x:f>
      </x:c>
      <x:c r="N817" s="708">
        <x:f>IF('КОС'!$BV9="Да",1,0)</x:f>
      </x:c>
      <x:c r="O817" s="375">
        <x:f>IFERROR(ROUND(SUM(C817:N817)/($S$811),1),"")</x:f>
      </x:c>
    </x:row>
    <x:row r="818" spans="1:25" ht="15" customHeight="1" x14ac:dyDescent="0.25">
      <x:c r="A818" s="710"/>
      <x:c r="B818" s="363" t="s">
        <x:v>489</x:v>
      </x:c>
      <x:c r="C818" s="697">
        <x:f>IF('КОС'!$H10="Да",1,0)</x:f>
      </x:c>
      <x:c r="D818" s="698">
        <x:f>IF('КОС'!$N10="Да",1,0)</x:f>
      </x:c>
      <x:c r="E818" s="699">
        <x:f>IF('КОС'!$T10="Да",1,0)</x:f>
      </x:c>
      <x:c r="F818" s="700">
        <x:f>IF('КОС'!$Z10="Да",1,0)</x:f>
      </x:c>
      <x:c r="G818" s="701">
        <x:f>IF('КОС'!$AF10="Да",1,0)</x:f>
      </x:c>
      <x:c r="H818" s="702">
        <x:f>IF('КОС'!$AL10="Да",1,0)</x:f>
      </x:c>
      <x:c r="I818" s="703">
        <x:f>IF('КОС'!$AR10="Да",1,0)</x:f>
      </x:c>
      <x:c r="J818" s="704">
        <x:f>IF('КОС'!$AX10="Да",1,0)</x:f>
      </x:c>
      <x:c r="K818" s="705">
        <x:f>IF('КОС'!$BD10="Да",1,0)</x:f>
      </x:c>
      <x:c r="L818" s="706">
        <x:f>IF('КОС'!$BJ10="Да",1,0)</x:f>
      </x:c>
      <x:c r="M818" s="707">
        <x:f>IF('КОС'!$BP10="Да",1,0)</x:f>
      </x:c>
      <x:c r="N818" s="708">
        <x:f>IF('КОС'!$BV10="Да",1,0)</x:f>
      </x:c>
      <x:c r="O818" s="375">
        <x:f>IFERROR(ROUND(SUM(C818:N818)/($S$811),1),"")</x:f>
      </x:c>
    </x:row>
    <x:row r="819" spans="1:25" ht="15" customHeight="1" x14ac:dyDescent="0.25">
      <x:c r="A819" s="710"/>
      <x:c r="B819" s="363" t="s">
        <x:v>503</x:v>
      </x:c>
      <x:c r="C819" s="697">
        <x:f>IF('КОС'!$H11="Да",1,0)</x:f>
      </x:c>
      <x:c r="D819" s="698">
        <x:f>IF('КОС'!$N11="Да",1,0)</x:f>
      </x:c>
      <x:c r="E819" s="699">
        <x:f>IF('КОС'!$T11="Да",1,0)</x:f>
      </x:c>
      <x:c r="F819" s="700">
        <x:f>IF('КОС'!$Z11="Да",1,0)</x:f>
      </x:c>
      <x:c r="G819" s="701">
        <x:f>IF('КОС'!$AF11="Да",1,0)</x:f>
      </x:c>
      <x:c r="H819" s="702">
        <x:f>IF('КОС'!$AL11="Да",1,0)</x:f>
      </x:c>
      <x:c r="I819" s="703">
        <x:f>IF('КОС'!$AR11="Да",1,0)</x:f>
      </x:c>
      <x:c r="J819" s="704">
        <x:f>IF('КОС'!$AX11="Да",1,0)</x:f>
      </x:c>
      <x:c r="K819" s="705">
        <x:f>IF('КОС'!$BD11="Да",1,0)</x:f>
      </x:c>
      <x:c r="L819" s="706">
        <x:f>IF('КОС'!$BJ11="Да",1,0)</x:f>
      </x:c>
      <x:c r="M819" s="707">
        <x:f>IF('КОС'!$BP11="Да",1,0)</x:f>
      </x:c>
      <x:c r="N819" s="708">
        <x:f>IF('КОС'!$BV11="Да",1,0)</x:f>
      </x:c>
      <x:c r="O819" s="375">
        <x:f>IFERROR(ROUND(SUM(C819:N819)/($S$811),1),"")</x:f>
      </x:c>
    </x:row>
    <x:row r="820" spans="1:25" ht="15" customHeight="1" x14ac:dyDescent="0.25">
      <x:c r="A820" s="710"/>
      <x:c r="B820" s="363" t="s">
        <x:v>462</x:v>
      </x:c>
      <x:c r="C820" s="697">
        <x:f>IF('КОС'!$H12="Да",1,0)</x:f>
      </x:c>
      <x:c r="D820" s="698">
        <x:f>IF('КОС'!$N12="Да",1,0)</x:f>
      </x:c>
      <x:c r="E820" s="699">
        <x:f>IF('КОС'!$T12="Да",1,0)</x:f>
      </x:c>
      <x:c r="F820" s="700">
        <x:f>IF('КОС'!$Z12="Да",1,0)</x:f>
      </x:c>
      <x:c r="G820" s="701">
        <x:f>IF('КОС'!$AF12="Да",1,0)</x:f>
      </x:c>
      <x:c r="H820" s="702">
        <x:f>IF('КОС'!$AL12="Да",1,0)</x:f>
      </x:c>
      <x:c r="I820" s="703">
        <x:f>IF('КОС'!$AR12="Да",1,0)</x:f>
      </x:c>
      <x:c r="J820" s="704">
        <x:f>IF('КОС'!$AX12="Да",1,0)</x:f>
      </x:c>
      <x:c r="K820" s="705">
        <x:f>IF('КОС'!$BD12="Да",1,0)</x:f>
      </x:c>
      <x:c r="L820" s="706">
        <x:f>IF('КОС'!$BJ12="Да",1,0)</x:f>
      </x:c>
      <x:c r="M820" s="707">
        <x:f>IF('КОС'!$BP12="Да",1,0)</x:f>
      </x:c>
      <x:c r="N820" s="708">
        <x:f>IF('КОС'!$BV12="Да",1,0)</x:f>
      </x:c>
      <x:c r="O820" s="375">
        <x:f>IFERROR(ROUND(SUM(C820:N820)/($S$811),1),"")</x:f>
      </x:c>
    </x:row>
    <x:row r="821" spans="1:25" ht="15" customHeight="1" x14ac:dyDescent="0.25">
      <x:c r="A821" s="710"/>
      <x:c r="B821" s="363" t="s">
        <x:v>460</x:v>
      </x:c>
      <x:c r="C821" s="697">
        <x:f>IF('КОС'!$H13="Да",1,0)</x:f>
      </x:c>
      <x:c r="D821" s="698">
        <x:f>IF('КОС'!$N13="Да",1,0)</x:f>
      </x:c>
      <x:c r="E821" s="699">
        <x:f>IF('КОС'!$T13="Да",1,0)</x:f>
      </x:c>
      <x:c r="F821" s="700">
        <x:f>IF('КОС'!$Z13="Да",1,0)</x:f>
      </x:c>
      <x:c r="G821" s="701">
        <x:f>IF('КОС'!$AF13="Да",1,0)</x:f>
      </x:c>
      <x:c r="H821" s="702">
        <x:f>IF('КОС'!$AL13="Да",1,0)</x:f>
      </x:c>
      <x:c r="I821" s="703">
        <x:f>IF('КОС'!$AR13="Да",1,0)</x:f>
      </x:c>
      <x:c r="J821" s="704">
        <x:f>IF('КОС'!$AX13="Да",1,0)</x:f>
      </x:c>
      <x:c r="K821" s="705">
        <x:f>IF('КОС'!$BD13="Да",1,0)</x:f>
      </x:c>
      <x:c r="L821" s="706">
        <x:f>IF('КОС'!$BJ13="Да",1,0)</x:f>
      </x:c>
      <x:c r="M821" s="707">
        <x:f>IF('КОС'!$BP13="Да",1,0)</x:f>
      </x:c>
      <x:c r="N821" s="708">
        <x:f>IF('КОС'!$BV13="Да",1,0)</x:f>
      </x:c>
      <x:c r="O821" s="375">
        <x:f>IFERROR(ROUND(SUM(C821:N821)/($S$811),1),"")</x:f>
      </x:c>
    </x:row>
    <x:row r="822" spans="1:25" ht="15" customHeight="1" x14ac:dyDescent="0.25">
      <x:c r="A822" s="710"/>
      <x:c r="B822" s="363" t="s">
        <x:v>485</x:v>
      </x:c>
      <x:c r="C822" s="697">
        <x:f>IF('КОС'!$H14="Да",1,0)</x:f>
      </x:c>
      <x:c r="D822" s="698">
        <x:f>IF('КОС'!$N14="Да",1,0)</x:f>
      </x:c>
      <x:c r="E822" s="699">
        <x:f>IF('КОС'!$T14="Да",1,0)</x:f>
      </x:c>
      <x:c r="F822" s="700">
        <x:f>IF('КОС'!$Z14="Да",1,0)</x:f>
      </x:c>
      <x:c r="G822" s="701">
        <x:f>IF('КОС'!$AF14="Да",1,0)</x:f>
      </x:c>
      <x:c r="H822" s="702">
        <x:f>IF('КОС'!$AL14="Да",1,0)</x:f>
      </x:c>
      <x:c r="I822" s="703">
        <x:f>IF('КОС'!$AR14="Да",1,0)</x:f>
      </x:c>
      <x:c r="J822" s="704">
        <x:f>IF('КОС'!$AX14="Да",1,0)</x:f>
      </x:c>
      <x:c r="K822" s="705">
        <x:f>IF('КОС'!$BD14="Да",1,0)</x:f>
      </x:c>
      <x:c r="L822" s="706">
        <x:f>IF('КОС'!$BJ14="Да",1,0)</x:f>
      </x:c>
      <x:c r="M822" s="707">
        <x:f>IF('КОС'!$BP14="Да",1,0)</x:f>
      </x:c>
      <x:c r="N822" s="708">
        <x:f>IF('КОС'!$BV14="Да",1,0)</x:f>
      </x:c>
      <x:c r="O822" s="375">
        <x:f>IFERROR(ROUND(SUM(C822:N822)/($S$811),1),"")</x:f>
      </x:c>
    </x:row>
    <x:row r="823" spans="1:25" ht="15" customHeight="1" x14ac:dyDescent="0.25">
      <x:c r="A823" s="710"/>
      <x:c r="B823" s="363" t="s">
        <x:v>499</x:v>
      </x:c>
      <x:c r="C823" s="697">
        <x:f>IF('КОС'!$H15="Да",1,0)</x:f>
      </x:c>
      <x:c r="D823" s="698">
        <x:f>IF('КОС'!$N15="Да",1,0)</x:f>
      </x:c>
      <x:c r="E823" s="699">
        <x:f>IF('КОС'!$T15="Да",1,0)</x:f>
      </x:c>
      <x:c r="F823" s="700">
        <x:f>IF('КОС'!$Z15="Да",1,0)</x:f>
      </x:c>
      <x:c r="G823" s="701">
        <x:f>IF('КОС'!$AF15="Да",1,0)</x:f>
      </x:c>
      <x:c r="H823" s="702">
        <x:f>IF('КОС'!$AL15="Да",1,0)</x:f>
      </x:c>
      <x:c r="I823" s="703">
        <x:f>IF('КОС'!$AR15="Да",1,0)</x:f>
      </x:c>
      <x:c r="J823" s="704">
        <x:f>IF('КОС'!$AX15="Да",1,0)</x:f>
      </x:c>
      <x:c r="K823" s="705">
        <x:f>IF('КОС'!$BD15="Да",1,0)</x:f>
      </x:c>
      <x:c r="L823" s="706">
        <x:f>IF('КОС'!$BJ15="Да",1,0)</x:f>
      </x:c>
      <x:c r="M823" s="707">
        <x:f>IF('КОС'!$BP15="Да",1,0)</x:f>
      </x:c>
      <x:c r="N823" s="708">
        <x:f>IF('КОС'!$BV15="Да",1,0)</x:f>
      </x:c>
      <x:c r="O823" s="375">
        <x:f>IFERROR(ROUND(SUM(C823:N823)/($S$811),1),"")</x:f>
      </x:c>
    </x:row>
    <x:row r="824" spans="1:25" ht="15" customHeight="1" x14ac:dyDescent="0.25">
      <x:c r="A824" s="710"/>
      <x:c r="B824" s="363" t="s">
        <x:v>494</x:v>
      </x:c>
      <x:c r="C824" s="697">
        <x:f>IF('КОС'!$H16="Да",1,0)</x:f>
      </x:c>
      <x:c r="D824" s="698">
        <x:f>IF('КОС'!$N16="Да",1,0)</x:f>
      </x:c>
      <x:c r="E824" s="699">
        <x:f>IF('КОС'!$T16="Да",1,0)</x:f>
      </x:c>
      <x:c r="F824" s="700">
        <x:f>IF('КОС'!$Z16="Да",1,0)</x:f>
      </x:c>
      <x:c r="G824" s="701">
        <x:f>IF('КОС'!$AF16="Да",1,0)</x:f>
      </x:c>
      <x:c r="H824" s="702">
        <x:f>IF('КОС'!$AL16="Да",1,0)</x:f>
      </x:c>
      <x:c r="I824" s="703">
        <x:f>IF('КОС'!$AR16="Да",1,0)</x:f>
      </x:c>
      <x:c r="J824" s="704">
        <x:f>IF('КОС'!$AX16="Да",1,0)</x:f>
      </x:c>
      <x:c r="K824" s="705">
        <x:f>IF('КОС'!$BD16="Да",1,0)</x:f>
      </x:c>
      <x:c r="L824" s="706">
        <x:f>IF('КОС'!$BJ16="Да",1,0)</x:f>
      </x:c>
      <x:c r="M824" s="707">
        <x:f>IF('КОС'!$BP16="Да",1,0)</x:f>
      </x:c>
      <x:c r="N824" s="708">
        <x:f>IF('КОС'!$BV16="Да",1,0)</x:f>
      </x:c>
      <x:c r="O824" s="375">
        <x:f>IFERROR(ROUND(SUM(C824:N824)/($S$811),1),"")</x:f>
      </x:c>
    </x:row>
    <x:row r="825" spans="1:25" ht="15" customHeight="1" x14ac:dyDescent="0.25">
      <x:c r="A825" s="710"/>
      <x:c r="B825" s="363" t="s">
        <x:v>486</x:v>
      </x:c>
      <x:c r="C825" s="697">
        <x:f>IF('КОС'!$H17="Да",1,0)</x:f>
      </x:c>
      <x:c r="D825" s="698">
        <x:f>IF('КОС'!$N17="Да",1,0)</x:f>
      </x:c>
      <x:c r="E825" s="699">
        <x:f>IF('КОС'!$T17="Да",1,0)</x:f>
      </x:c>
      <x:c r="F825" s="700">
        <x:f>IF('КОС'!$Z17="Да",1,0)</x:f>
      </x:c>
      <x:c r="G825" s="701">
        <x:f>IF('КОС'!$AF17="Да",1,0)</x:f>
      </x:c>
      <x:c r="H825" s="702">
        <x:f>IF('КОС'!$AL17="Да",1,0)</x:f>
      </x:c>
      <x:c r="I825" s="703">
        <x:f>IF('КОС'!$AR17="Да",1,0)</x:f>
      </x:c>
      <x:c r="J825" s="704">
        <x:f>IF('КОС'!$AX17="Да",1,0)</x:f>
      </x:c>
      <x:c r="K825" s="705">
        <x:f>IF('КОС'!$BD17="Да",1,0)</x:f>
      </x:c>
      <x:c r="L825" s="706">
        <x:f>IF('КОС'!$BJ17="Да",1,0)</x:f>
      </x:c>
      <x:c r="M825" s="707">
        <x:f>IF('КОС'!$BP17="Да",1,0)</x:f>
      </x:c>
      <x:c r="N825" s="708">
        <x:f>IF('КОС'!$BV17="Да",1,0)</x:f>
      </x:c>
      <x:c r="O825" s="375">
        <x:f>IFERROR(ROUND(SUM(C825:N825)/($S$811),1),"")</x:f>
      </x:c>
    </x:row>
    <x:row r="826" spans="1:25" ht="15" customHeight="1" x14ac:dyDescent="0.25">
      <x:c r="A826" s="710"/>
      <x:c r="B826" s="363" t="s">
        <x:v>473</x:v>
      </x:c>
      <x:c r="C826" s="697">
        <x:f>IF('КОС'!$H18="Да",1,0)</x:f>
      </x:c>
      <x:c r="D826" s="698">
        <x:f>IF('КОС'!$N18="Да",1,0)</x:f>
      </x:c>
      <x:c r="E826" s="699">
        <x:f>IF('КОС'!$T18="Да",1,0)</x:f>
      </x:c>
      <x:c r="F826" s="700">
        <x:f>IF('КОС'!$Z18="Да",1,0)</x:f>
      </x:c>
      <x:c r="G826" s="701">
        <x:f>IF('КОС'!$AF18="Да",1,0)</x:f>
      </x:c>
      <x:c r="H826" s="702">
        <x:f>IF('КОС'!$AL18="Да",1,0)</x:f>
      </x:c>
      <x:c r="I826" s="703">
        <x:f>IF('КОС'!$AR18="Да",1,0)</x:f>
      </x:c>
      <x:c r="J826" s="704">
        <x:f>IF('КОС'!$AX18="Да",1,0)</x:f>
      </x:c>
      <x:c r="K826" s="705">
        <x:f>IF('КОС'!$BD18="Да",1,0)</x:f>
      </x:c>
      <x:c r="L826" s="706">
        <x:f>IF('КОС'!$BJ18="Да",1,0)</x:f>
      </x:c>
      <x:c r="M826" s="707">
        <x:f>IF('КОС'!$BP18="Да",1,0)</x:f>
      </x:c>
      <x:c r="N826" s="708">
        <x:f>IF('КОС'!$BV18="Да",1,0)</x:f>
      </x:c>
      <x:c r="O826" s="375">
        <x:f>IFERROR(ROUND(SUM(C826:N826)/($S$811),1),"")</x:f>
      </x:c>
    </x:row>
    <x:row r="827" spans="1:25" ht="15" customHeight="1" x14ac:dyDescent="0.25">
      <x:c r="A827" s="710"/>
      <x:c r="B827" s="363" t="s">
        <x:v>508</x:v>
      </x:c>
      <x:c r="C827" s="697">
        <x:f>IF('КОС'!$H19="Да",1,0)</x:f>
      </x:c>
      <x:c r="D827" s="698">
        <x:f>IF('КОС'!$N19="Да",1,0)</x:f>
      </x:c>
      <x:c r="E827" s="699">
        <x:f>IF('КОС'!$T19="Да",1,0)</x:f>
      </x:c>
      <x:c r="F827" s="700">
        <x:f>IF('КОС'!$Z19="Да",1,0)</x:f>
      </x:c>
      <x:c r="G827" s="701">
        <x:f>IF('КОС'!$AF19="Да",1,0)</x:f>
      </x:c>
      <x:c r="H827" s="702">
        <x:f>IF('КОС'!$AL19="Да",1,0)</x:f>
      </x:c>
      <x:c r="I827" s="703">
        <x:f>IF('КОС'!$AR19="Да",1,0)</x:f>
      </x:c>
      <x:c r="J827" s="704">
        <x:f>IF('КОС'!$AX19="Да",1,0)</x:f>
      </x:c>
      <x:c r="K827" s="705">
        <x:f>IF('КОС'!$BD19="Да",1,0)</x:f>
      </x:c>
      <x:c r="L827" s="706">
        <x:f>IF('КОС'!$BJ19="Да",1,0)</x:f>
      </x:c>
      <x:c r="M827" s="707">
        <x:f>IF('КОС'!$BP19="Да",1,0)</x:f>
      </x:c>
      <x:c r="N827" s="708">
        <x:f>IF('КОС'!$BV19="Да",1,0)</x:f>
      </x:c>
      <x:c r="O827" s="375">
        <x:f>IFERROR(ROUND(SUM(C827:N827)/($S$811),1),"")</x:f>
      </x:c>
    </x:row>
    <x:row r="828" spans="1:25" ht="15" customHeight="1" x14ac:dyDescent="0.25">
      <x:c r="A828" s="710"/>
      <x:c r="B828" s="363" t="s">
        <x:v>506</x:v>
      </x:c>
      <x:c r="C828" s="697">
        <x:f>IF('КОС'!$H20="Да",1,0)</x:f>
      </x:c>
      <x:c r="D828" s="698">
        <x:f>IF('КОС'!$N20="Да",1,0)</x:f>
      </x:c>
      <x:c r="E828" s="699">
        <x:f>IF('КОС'!$T20="Да",1,0)</x:f>
      </x:c>
      <x:c r="F828" s="700">
        <x:f>IF('КОС'!$Z20="Да",1,0)</x:f>
      </x:c>
      <x:c r="G828" s="701">
        <x:f>IF('КОС'!$AF20="Да",1,0)</x:f>
      </x:c>
      <x:c r="H828" s="702">
        <x:f>IF('КОС'!$AL20="Да",1,0)</x:f>
      </x:c>
      <x:c r="I828" s="703">
        <x:f>IF('КОС'!$AR20="Да",1,0)</x:f>
      </x:c>
      <x:c r="J828" s="704">
        <x:f>IF('КОС'!$AX20="Да",1,0)</x:f>
      </x:c>
      <x:c r="K828" s="705">
        <x:f>IF('КОС'!$BD20="Да",1,0)</x:f>
      </x:c>
      <x:c r="L828" s="706">
        <x:f>IF('КОС'!$BJ20="Да",1,0)</x:f>
      </x:c>
      <x:c r="M828" s="707">
        <x:f>IF('КОС'!$BP20="Да",1,0)</x:f>
      </x:c>
      <x:c r="N828" s="708">
        <x:f>IF('КОС'!$BV20="Да",1,0)</x:f>
      </x:c>
      <x:c r="O828" s="375">
        <x:f>IFERROR(ROUND(SUM(C828:N828)/($S$811),1),"")</x:f>
      </x:c>
    </x:row>
    <x:row r="829" spans="1:25" ht="15" customHeight="1" x14ac:dyDescent="0.25">
      <x:c r="A829" s="710"/>
      <x:c r="B829" s="363" t="s">
        <x:v>395</x:v>
      </x:c>
      <x:c r="C829" s="697">
        <x:f>IF('КОС'!$H21="Да",1,0)</x:f>
      </x:c>
      <x:c r="D829" s="698">
        <x:f>IF('КОС'!$N21="Да",1,0)</x:f>
      </x:c>
      <x:c r="E829" s="699">
        <x:f>IF('КОС'!$T21="Да",1,0)</x:f>
      </x:c>
      <x:c r="F829" s="700">
        <x:f>IF('КОС'!$Z21="Да",1,0)</x:f>
      </x:c>
      <x:c r="G829" s="701">
        <x:f>IF('КОС'!$AF21="Да",1,0)</x:f>
      </x:c>
      <x:c r="H829" s="702">
        <x:f>IF('КОС'!$AL21="Да",1,0)</x:f>
      </x:c>
      <x:c r="I829" s="703">
        <x:f>IF('КОС'!$AR21="Да",1,0)</x:f>
      </x:c>
      <x:c r="J829" s="704">
        <x:f>IF('КОС'!$AX21="Да",1,0)</x:f>
      </x:c>
      <x:c r="K829" s="705">
        <x:f>IF('КОС'!$BD21="Да",1,0)</x:f>
      </x:c>
      <x:c r="L829" s="706">
        <x:f>IF('КОС'!$BJ21="Да",1,0)</x:f>
      </x:c>
      <x:c r="M829" s="707">
        <x:f>IF('КОС'!$BP21="Да",1,0)</x:f>
      </x:c>
      <x:c r="N829" s="708">
        <x:f>IF('КОС'!$BV21="Да",1,0)</x:f>
      </x:c>
      <x:c r="O829" s="375">
        <x:f>IFERROR(ROUND(SUM(C829:N829)/($S$811),1),"")</x:f>
      </x:c>
    </x:row>
    <x:row r="830" spans="1:25" ht="15" customHeight="1" x14ac:dyDescent="0.25">
      <x:c r="A830" s="710"/>
      <x:c r="B830" s="363" t="s">
        <x:v>482</x:v>
      </x:c>
      <x:c r="C830" s="697">
        <x:f>IF('КОС'!$H22="Да",1,0)</x:f>
      </x:c>
      <x:c r="D830" s="698">
        <x:f>IF('КОС'!$N22="Да",1,0)</x:f>
      </x:c>
      <x:c r="E830" s="699">
        <x:f>IF('КОС'!$T22="Да",1,0)</x:f>
      </x:c>
      <x:c r="F830" s="700">
        <x:f>IF('КОС'!$Z22="Да",1,0)</x:f>
      </x:c>
      <x:c r="G830" s="701">
        <x:f>IF('КОС'!$AF22="Да",1,0)</x:f>
      </x:c>
      <x:c r="H830" s="702">
        <x:f>IF('КОС'!$AL22="Да",1,0)</x:f>
      </x:c>
      <x:c r="I830" s="703">
        <x:f>IF('КОС'!$AR22="Да",1,0)</x:f>
      </x:c>
      <x:c r="J830" s="704">
        <x:f>IF('КОС'!$AX22="Да",1,0)</x:f>
      </x:c>
      <x:c r="K830" s="705">
        <x:f>IF('КОС'!$BD22="Да",1,0)</x:f>
      </x:c>
      <x:c r="L830" s="706">
        <x:f>IF('КОС'!$BJ22="Да",1,0)</x:f>
      </x:c>
      <x:c r="M830" s="707">
        <x:f>IF('КОС'!$BP22="Да",1,0)</x:f>
      </x:c>
      <x:c r="N830" s="708">
        <x:f>IF('КОС'!$BV22="Да",1,0)</x:f>
      </x:c>
      <x:c r="O830" s="375">
        <x:f>IFERROR(ROUND(SUM(C830:N830)/($S$811),1),"")</x:f>
      </x:c>
    </x:row>
    <x:row r="831" spans="1:25" ht="15" customHeight="1" x14ac:dyDescent="0.25">
      <x:c r="A831" s="710"/>
      <x:c r="B831" s="363" t="s">
        <x:v>488</x:v>
      </x:c>
      <x:c r="C831" s="697">
        <x:f>IF('КОС'!$H23="Да",1,0)</x:f>
      </x:c>
      <x:c r="D831" s="698">
        <x:f>IF('КОС'!$N23="Да",1,0)</x:f>
      </x:c>
      <x:c r="E831" s="699">
        <x:f>IF('КОС'!$T23="Да",1,0)</x:f>
      </x:c>
      <x:c r="F831" s="700">
        <x:f>IF('КОС'!$Z23="Да",1,0)</x:f>
      </x:c>
      <x:c r="G831" s="701">
        <x:f>IF('КОС'!$AF23="Да",1,0)</x:f>
      </x:c>
      <x:c r="H831" s="702">
        <x:f>IF('КОС'!$AL23="Да",1,0)</x:f>
      </x:c>
      <x:c r="I831" s="703">
        <x:f>IF('КОС'!$AR23="Да",1,0)</x:f>
      </x:c>
      <x:c r="J831" s="704">
        <x:f>IF('КОС'!$AX23="Да",1,0)</x:f>
      </x:c>
      <x:c r="K831" s="705">
        <x:f>IF('КОС'!$BD23="Да",1,0)</x:f>
      </x:c>
      <x:c r="L831" s="706">
        <x:f>IF('КОС'!$BJ23="Да",1,0)</x:f>
      </x:c>
      <x:c r="M831" s="707">
        <x:f>IF('КОС'!$BP23="Да",1,0)</x:f>
      </x:c>
      <x:c r="N831" s="708">
        <x:f>IF('КОС'!$BV23="Да",1,0)</x:f>
      </x:c>
      <x:c r="O831" s="375">
        <x:f>IFERROR(ROUND(SUM(C831:N831)/($S$811),1),"")</x:f>
      </x:c>
    </x:row>
    <x:row r="832" spans="1:25" ht="15" customHeight="1" x14ac:dyDescent="0.25">
      <x:c r="A832" s="710"/>
      <x:c r="B832" s="363" t="s">
        <x:v>466</x:v>
      </x:c>
      <x:c r="C832" s="697">
        <x:f>IF('КОС'!$H24="Да",1,0)</x:f>
      </x:c>
      <x:c r="D832" s="698">
        <x:f>IF('КОС'!$N24="Да",1,0)</x:f>
      </x:c>
      <x:c r="E832" s="699">
        <x:f>IF('КОС'!$T24="Да",1,0)</x:f>
      </x:c>
      <x:c r="F832" s="700">
        <x:f>IF('КОС'!$Z24="Да",1,0)</x:f>
      </x:c>
      <x:c r="G832" s="701">
        <x:f>IF('КОС'!$AF24="Да",1,0)</x:f>
      </x:c>
      <x:c r="H832" s="702">
        <x:f>IF('КОС'!$AL24="Да",1,0)</x:f>
      </x:c>
      <x:c r="I832" s="703">
        <x:f>IF('КОС'!$AR24="Да",1,0)</x:f>
      </x:c>
      <x:c r="J832" s="704">
        <x:f>IF('КОС'!$AX24="Да",1,0)</x:f>
      </x:c>
      <x:c r="K832" s="705">
        <x:f>IF('КОС'!$BD24="Да",1,0)</x:f>
      </x:c>
      <x:c r="L832" s="706">
        <x:f>IF('КОС'!$BJ24="Да",1,0)</x:f>
      </x:c>
      <x:c r="M832" s="707">
        <x:f>IF('КОС'!$BP24="Да",1,0)</x:f>
      </x:c>
      <x:c r="N832" s="708">
        <x:f>IF('КОС'!$BV24="Да",1,0)</x:f>
      </x:c>
      <x:c r="O832" s="375">
        <x:f>IFERROR(ROUND(SUM(C832:N832)/($S$811),1),"")</x:f>
      </x:c>
    </x:row>
    <x:row r="833" spans="1:25" ht="15" customHeight="1" x14ac:dyDescent="0.25">
      <x:c r="A833" s="710"/>
      <x:c r="B833" s="363" t="s">
        <x:v>478</x:v>
      </x:c>
      <x:c r="C833" s="697">
        <x:f>IF('КОС'!$H25="Да",1,0)</x:f>
      </x:c>
      <x:c r="D833" s="698">
        <x:f>IF('КОС'!$N25="Да",1,0)</x:f>
      </x:c>
      <x:c r="E833" s="699">
        <x:f>IF('КОС'!$T25="Да",1,0)</x:f>
      </x:c>
      <x:c r="F833" s="700">
        <x:f>IF('КОС'!$Z25="Да",1,0)</x:f>
      </x:c>
      <x:c r="G833" s="701">
        <x:f>IF('КОС'!$AF25="Да",1,0)</x:f>
      </x:c>
      <x:c r="H833" s="702">
        <x:f>IF('КОС'!$AL25="Да",1,0)</x:f>
      </x:c>
      <x:c r="I833" s="703">
        <x:f>IF('КОС'!$AR25="Да",1,0)</x:f>
      </x:c>
      <x:c r="J833" s="704">
        <x:f>IF('КОС'!$AX25="Да",1,0)</x:f>
      </x:c>
      <x:c r="K833" s="705">
        <x:f>IF('КОС'!$BD25="Да",1,0)</x:f>
      </x:c>
      <x:c r="L833" s="706">
        <x:f>IF('КОС'!$BJ25="Да",1,0)</x:f>
      </x:c>
      <x:c r="M833" s="707">
        <x:f>IF('КОС'!$BP25="Да",1,0)</x:f>
      </x:c>
      <x:c r="N833" s="708">
        <x:f>IF('КОС'!$BV25="Да",1,0)</x:f>
      </x:c>
      <x:c r="O833" s="375">
        <x:f>IFERROR(ROUND(SUM(C833:N833)/($S$811),1),"")</x:f>
      </x:c>
    </x:row>
    <x:row r="834" spans="1:25" ht="15" customHeight="1" x14ac:dyDescent="0.25">
      <x:c r="A834" s="710"/>
      <x:c r="B834" s="363" t="s">
        <x:v>509</x:v>
      </x:c>
      <x:c r="C834" s="697">
        <x:f>IF('КОС'!$H26="Да",1,0)</x:f>
      </x:c>
      <x:c r="D834" s="698">
        <x:f>IF('КОС'!$N26="Да",1,0)</x:f>
      </x:c>
      <x:c r="E834" s="699">
        <x:f>IF('КОС'!$T26="Да",1,0)</x:f>
      </x:c>
      <x:c r="F834" s="700">
        <x:f>IF('КОС'!$Z26="Да",1,0)</x:f>
      </x:c>
      <x:c r="G834" s="701">
        <x:f>IF('КОС'!$AF26="Да",1,0)</x:f>
      </x:c>
      <x:c r="H834" s="702">
        <x:f>IF('КОС'!$AL26="Да",1,0)</x:f>
      </x:c>
      <x:c r="I834" s="703">
        <x:f>IF('КОС'!$AR26="Да",1,0)</x:f>
      </x:c>
      <x:c r="J834" s="704">
        <x:f>IF('КОС'!$AX26="Да",1,0)</x:f>
      </x:c>
      <x:c r="K834" s="705">
        <x:f>IF('КОС'!$BD26="Да",1,0)</x:f>
      </x:c>
      <x:c r="L834" s="706">
        <x:f>IF('КОС'!$BJ26="Да",1,0)</x:f>
      </x:c>
      <x:c r="M834" s="707">
        <x:f>IF('КОС'!$BP26="Да",1,0)</x:f>
      </x:c>
      <x:c r="N834" s="708">
        <x:f>IF('КОС'!$BV26="Да",1,0)</x:f>
      </x:c>
      <x:c r="O834" s="375">
        <x:f>IFERROR(ROUND(SUM(C834:N834)/($S$811),1),"")</x:f>
      </x:c>
    </x:row>
    <x:row r="835" spans="1:25" ht="15" customHeight="1" x14ac:dyDescent="0.25">
      <x:c r="A835" s="710"/>
      <x:c r="B835" s="363" t="s">
        <x:v>498</x:v>
      </x:c>
      <x:c r="C835" s="697">
        <x:f>IF('КОС'!$H27="Да",1,0)</x:f>
      </x:c>
      <x:c r="D835" s="698">
        <x:f>IF('КОС'!$N27="Да",1,0)</x:f>
      </x:c>
      <x:c r="E835" s="699">
        <x:f>IF('КОС'!$T27="Да",1,0)</x:f>
      </x:c>
      <x:c r="F835" s="700">
        <x:f>IF('КОС'!$Z27="Да",1,0)</x:f>
      </x:c>
      <x:c r="G835" s="701">
        <x:f>IF('КОС'!$AF27="Да",1,0)</x:f>
      </x:c>
      <x:c r="H835" s="702">
        <x:f>IF('КОС'!$AL27="Да",1,0)</x:f>
      </x:c>
      <x:c r="I835" s="703">
        <x:f>IF('КОС'!$AR27="Да",1,0)</x:f>
      </x:c>
      <x:c r="J835" s="704">
        <x:f>IF('КОС'!$AX27="Да",1,0)</x:f>
      </x:c>
      <x:c r="K835" s="705">
        <x:f>IF('КОС'!$BD27="Да",1,0)</x:f>
      </x:c>
      <x:c r="L835" s="706">
        <x:f>IF('КОС'!$BJ27="Да",1,0)</x:f>
      </x:c>
      <x:c r="M835" s="707">
        <x:f>IF('КОС'!$BP27="Да",1,0)</x:f>
      </x:c>
      <x:c r="N835" s="708">
        <x:f>IF('КОС'!$BV27="Да",1,0)</x:f>
      </x:c>
      <x:c r="O835" s="375">
        <x:f>IFERROR(ROUND(SUM(C835:N835)/($S$811),1),"")</x:f>
      </x:c>
    </x:row>
    <x:row r="836" spans="1:25" ht="15" customHeight="1" x14ac:dyDescent="0.25">
      <x:c r="A836" s="710"/>
      <x:c r="B836" s="363" t="s">
        <x:v>469</x:v>
      </x:c>
      <x:c r="C836" s="697">
        <x:f>IF('КОС'!$H28="Да",1,0)</x:f>
      </x:c>
      <x:c r="D836" s="698">
        <x:f>IF('КОС'!$N28="Да",1,0)</x:f>
      </x:c>
      <x:c r="E836" s="699">
        <x:f>IF('КОС'!$T28="Да",1,0)</x:f>
      </x:c>
      <x:c r="F836" s="700">
        <x:f>IF('КОС'!$Z28="Да",1,0)</x:f>
      </x:c>
      <x:c r="G836" s="701">
        <x:f>IF('КОС'!$AF28="Да",1,0)</x:f>
      </x:c>
      <x:c r="H836" s="702">
        <x:f>IF('КОС'!$AL28="Да",1,0)</x:f>
      </x:c>
      <x:c r="I836" s="703">
        <x:f>IF('КОС'!$AR28="Да",1,0)</x:f>
      </x:c>
      <x:c r="J836" s="704">
        <x:f>IF('КОС'!$AX28="Да",1,0)</x:f>
      </x:c>
      <x:c r="K836" s="705">
        <x:f>IF('КОС'!$BD28="Да",1,0)</x:f>
      </x:c>
      <x:c r="L836" s="706">
        <x:f>IF('КОС'!$BJ28="Да",1,0)</x:f>
      </x:c>
      <x:c r="M836" s="707">
        <x:f>IF('КОС'!$BP28="Да",1,0)</x:f>
      </x:c>
      <x:c r="N836" s="708">
        <x:f>IF('КОС'!$BV28="Да",1,0)</x:f>
      </x:c>
      <x:c r="O836" s="375">
        <x:f>IFERROR(ROUND(SUM(C836:N836)/($S$811),1),"")</x:f>
      </x:c>
    </x:row>
    <x:row r="837" spans="1:25" ht="15" customHeight="1" x14ac:dyDescent="0.25">
      <x:c r="A837" s="710"/>
      <x:c r="B837" s="363" t="s">
        <x:v>456</x:v>
      </x:c>
      <x:c r="C837" s="697">
        <x:f>IF('КОС'!$H29="Да",1,0)</x:f>
      </x:c>
      <x:c r="D837" s="698">
        <x:f>IF('КОС'!$N29="Да",1,0)</x:f>
      </x:c>
      <x:c r="E837" s="699">
        <x:f>IF('КОС'!$T29="Да",1,0)</x:f>
      </x:c>
      <x:c r="F837" s="700">
        <x:f>IF('КОС'!$Z29="Да",1,0)</x:f>
      </x:c>
      <x:c r="G837" s="701">
        <x:f>IF('КОС'!$AF29="Да",1,0)</x:f>
      </x:c>
      <x:c r="H837" s="702">
        <x:f>IF('КОС'!$AL29="Да",1,0)</x:f>
      </x:c>
      <x:c r="I837" s="703">
        <x:f>IF('КОС'!$AR29="Да",1,0)</x:f>
      </x:c>
      <x:c r="J837" s="704">
        <x:f>IF('КОС'!$AX29="Да",1,0)</x:f>
      </x:c>
      <x:c r="K837" s="705">
        <x:f>IF('КОС'!$BD29="Да",1,0)</x:f>
      </x:c>
      <x:c r="L837" s="706">
        <x:f>IF('КОС'!$BJ29="Да",1,0)</x:f>
      </x:c>
      <x:c r="M837" s="707">
        <x:f>IF('КОС'!$BP29="Да",1,0)</x:f>
      </x:c>
      <x:c r="N837" s="708">
        <x:f>IF('КОС'!$BV29="Да",1,0)</x:f>
      </x:c>
      <x:c r="O837" s="375">
        <x:f>IFERROR(ROUND(SUM(C837:N837)/($S$811),1),"")</x:f>
      </x:c>
    </x:row>
    <x:row r="838" spans="1:25" ht="15" customHeight="1" x14ac:dyDescent="0.25">
      <x:c r="A838" s="710"/>
      <x:c r="B838" s="363" t="s">
        <x:v>470</x:v>
      </x:c>
      <x:c r="C838" s="697">
        <x:f>IF('КОС'!$H30="Да",1,0)</x:f>
      </x:c>
      <x:c r="D838" s="698">
        <x:f>IF('КОС'!$N30="Да",1,0)</x:f>
      </x:c>
      <x:c r="E838" s="699">
        <x:f>IF('КОС'!$T30="Да",1,0)</x:f>
      </x:c>
      <x:c r="F838" s="700">
        <x:f>IF('КОС'!$Z30="Да",1,0)</x:f>
      </x:c>
      <x:c r="G838" s="701">
        <x:f>IF('КОС'!$AF30="Да",1,0)</x:f>
      </x:c>
      <x:c r="H838" s="702">
        <x:f>IF('КОС'!$AL30="Да",1,0)</x:f>
      </x:c>
      <x:c r="I838" s="703">
        <x:f>IF('КОС'!$AR30="Да",1,0)</x:f>
      </x:c>
      <x:c r="J838" s="704">
        <x:f>IF('КОС'!$AX30="Да",1,0)</x:f>
      </x:c>
      <x:c r="K838" s="705">
        <x:f>IF('КОС'!$BD30="Да",1,0)</x:f>
      </x:c>
      <x:c r="L838" s="706">
        <x:f>IF('КОС'!$BJ30="Да",1,0)</x:f>
      </x:c>
      <x:c r="M838" s="707">
        <x:f>IF('КОС'!$BP30="Да",1,0)</x:f>
      </x:c>
      <x:c r="N838" s="708">
        <x:f>IF('КОС'!$BV30="Да",1,0)</x:f>
      </x:c>
      <x:c r="O838" s="375">
        <x:f>IFERROR(ROUND(SUM(C838:N838)/($S$811),1),"")</x:f>
      </x:c>
    </x:row>
    <x:row r="839" spans="1:25" ht="15" customHeight="1" x14ac:dyDescent="0.25">
      <x:c r="A839" s="710"/>
      <x:c r="B839" s="363" t="s">
        <x:v>491</x:v>
      </x:c>
      <x:c r="C839" s="697">
        <x:f>IF('КОС'!$H31="Да",1,0)</x:f>
      </x:c>
      <x:c r="D839" s="698">
        <x:f>IF('КОС'!$N31="Да",1,0)</x:f>
      </x:c>
      <x:c r="E839" s="699">
        <x:f>IF('КОС'!$T31="Да",1,0)</x:f>
      </x:c>
      <x:c r="F839" s="700">
        <x:f>IF('КОС'!$Z31="Да",1,0)</x:f>
      </x:c>
      <x:c r="G839" s="701">
        <x:f>IF('КОС'!$AF31="Да",1,0)</x:f>
      </x:c>
      <x:c r="H839" s="702">
        <x:f>IF('КОС'!$AL31="Да",1,0)</x:f>
      </x:c>
      <x:c r="I839" s="703">
        <x:f>IF('КОС'!$AR31="Да",1,0)</x:f>
      </x:c>
      <x:c r="J839" s="704">
        <x:f>IF('КОС'!$AX31="Да",1,0)</x:f>
      </x:c>
      <x:c r="K839" s="705">
        <x:f>IF('КОС'!$BD31="Да",1,0)</x:f>
      </x:c>
      <x:c r="L839" s="706">
        <x:f>IF('КОС'!$BJ31="Да",1,0)</x:f>
      </x:c>
      <x:c r="M839" s="707">
        <x:f>IF('КОС'!$BP31="Да",1,0)</x:f>
      </x:c>
      <x:c r="N839" s="708">
        <x:f>IF('КОС'!$BV31="Да",1,0)</x:f>
      </x:c>
      <x:c r="O839" s="375">
        <x:f>IFERROR(ROUND(SUM(C839:N839)/($S$811),1),"")</x:f>
      </x:c>
    </x:row>
    <x:row r="840" spans="1:25" ht="15" customHeight="1" x14ac:dyDescent="0.25">
      <x:c r="A840" s="710"/>
      <x:c r="B840" s="363" t="s">
        <x:v>505</x:v>
      </x:c>
      <x:c r="C840" s="697">
        <x:f>IF('КОС'!$H32="Да",1,0)</x:f>
      </x:c>
      <x:c r="D840" s="698">
        <x:f>IF('КОС'!$N32="Да",1,0)</x:f>
      </x:c>
      <x:c r="E840" s="699">
        <x:f>IF('КОС'!$T32="Да",1,0)</x:f>
      </x:c>
      <x:c r="F840" s="700">
        <x:f>IF('КОС'!$Z32="Да",1,0)</x:f>
      </x:c>
      <x:c r="G840" s="701">
        <x:f>IF('КОС'!$AF32="Да",1,0)</x:f>
      </x:c>
      <x:c r="H840" s="702">
        <x:f>IF('КОС'!$AL32="Да",1,0)</x:f>
      </x:c>
      <x:c r="I840" s="703">
        <x:f>IF('КОС'!$AR32="Да",1,0)</x:f>
      </x:c>
      <x:c r="J840" s="704">
        <x:f>IF('КОС'!$AX32="Да",1,0)</x:f>
      </x:c>
      <x:c r="K840" s="705">
        <x:f>IF('КОС'!$BD32="Да",1,0)</x:f>
      </x:c>
      <x:c r="L840" s="706">
        <x:f>IF('КОС'!$BJ32="Да",1,0)</x:f>
      </x:c>
      <x:c r="M840" s="707">
        <x:f>IF('КОС'!$BP32="Да",1,0)</x:f>
      </x:c>
      <x:c r="N840" s="708">
        <x:f>IF('КОС'!$BV32="Да",1,0)</x:f>
      </x:c>
      <x:c r="O840" s="375">
        <x:f>IFERROR(ROUND(SUM(C840:N840)/($S$811),1),"")</x:f>
      </x:c>
    </x:row>
    <x:row r="841" spans="1:25" ht="15" customHeight="1" x14ac:dyDescent="0.25">
      <x:c r="A841" s="710"/>
      <x:c r="B841" s="363" t="s">
        <x:v>476</x:v>
      </x:c>
      <x:c r="C841" s="697">
        <x:f>IF('КОС'!$H33="Да",1,0)</x:f>
      </x:c>
      <x:c r="D841" s="698">
        <x:f>IF('КОС'!$N33="Да",1,0)</x:f>
      </x:c>
      <x:c r="E841" s="699">
        <x:f>IF('КОС'!$T33="Да",1,0)</x:f>
      </x:c>
      <x:c r="F841" s="700">
        <x:f>IF('КОС'!$Z33="Да",1,0)</x:f>
      </x:c>
      <x:c r="G841" s="701">
        <x:f>IF('КОС'!$AF33="Да",1,0)</x:f>
      </x:c>
      <x:c r="H841" s="702">
        <x:f>IF('КОС'!$AL33="Да",1,0)</x:f>
      </x:c>
      <x:c r="I841" s="703">
        <x:f>IF('КОС'!$AR33="Да",1,0)</x:f>
      </x:c>
      <x:c r="J841" s="704">
        <x:f>IF('КОС'!$AX33="Да",1,0)</x:f>
      </x:c>
      <x:c r="K841" s="705">
        <x:f>IF('КОС'!$BD33="Да",1,0)</x:f>
      </x:c>
      <x:c r="L841" s="706">
        <x:f>IF('КОС'!$BJ33="Да",1,0)</x:f>
      </x:c>
      <x:c r="M841" s="707">
        <x:f>IF('КОС'!$BP33="Да",1,0)</x:f>
      </x:c>
      <x:c r="N841" s="708">
        <x:f>IF('КОС'!$BV33="Да",1,0)</x:f>
      </x:c>
      <x:c r="O841" s="375">
        <x:f>IFERROR(ROUND(SUM(C841:N841)/($S$811),1),"")</x:f>
      </x:c>
    </x:row>
    <x:row r="842" spans="1:25" ht="15" customHeight="1" x14ac:dyDescent="0.25">
      <x:c r="A842" s="710"/>
      <x:c r="B842" s="363" t="s">
        <x:v>487</x:v>
      </x:c>
      <x:c r="C842" s="697">
        <x:f>IF('КОС'!$H34="Да",1,0)</x:f>
      </x:c>
      <x:c r="D842" s="698">
        <x:f>IF('КОС'!$N34="Да",1,0)</x:f>
      </x:c>
      <x:c r="E842" s="699">
        <x:f>IF('КОС'!$T34="Да",1,0)</x:f>
      </x:c>
      <x:c r="F842" s="700">
        <x:f>IF('КОС'!$Z34="Да",1,0)</x:f>
      </x:c>
      <x:c r="G842" s="701">
        <x:f>IF('КОС'!$AF34="Да",1,0)</x:f>
      </x:c>
      <x:c r="H842" s="702">
        <x:f>IF('КОС'!$AL34="Да",1,0)</x:f>
      </x:c>
      <x:c r="I842" s="703">
        <x:f>IF('КОС'!$AR34="Да",1,0)</x:f>
      </x:c>
      <x:c r="J842" s="704">
        <x:f>IF('КОС'!$AX34="Да",1,0)</x:f>
      </x:c>
      <x:c r="K842" s="705">
        <x:f>IF('КОС'!$BD34="Да",1,0)</x:f>
      </x:c>
      <x:c r="L842" s="706">
        <x:f>IF('КОС'!$BJ34="Да",1,0)</x:f>
      </x:c>
      <x:c r="M842" s="707">
        <x:f>IF('КОС'!$BP34="Да",1,0)</x:f>
      </x:c>
      <x:c r="N842" s="708">
        <x:f>IF('КОС'!$BV34="Да",1,0)</x:f>
      </x:c>
      <x:c r="O842" s="375">
        <x:f>IFERROR(ROUND(SUM(C842:N842)/($S$811),1),"")</x:f>
      </x:c>
    </x:row>
    <x:row r="843" spans="1:25" ht="15" customHeight="1" x14ac:dyDescent="0.25">
      <x:c r="A843" s="710"/>
      <x:c r="B843" s="363" t="s">
        <x:v>501</x:v>
      </x:c>
      <x:c r="C843" s="697">
        <x:f>IF('КОС'!$H35="Да",1,0)</x:f>
      </x:c>
      <x:c r="D843" s="698">
        <x:f>IF('КОС'!$N35="Да",1,0)</x:f>
      </x:c>
      <x:c r="E843" s="699">
        <x:f>IF('КОС'!$T35="Да",1,0)</x:f>
      </x:c>
      <x:c r="F843" s="700">
        <x:f>IF('КОС'!$Z35="Да",1,0)</x:f>
      </x:c>
      <x:c r="G843" s="701">
        <x:f>IF('КОС'!$AF35="Да",1,0)</x:f>
      </x:c>
      <x:c r="H843" s="702">
        <x:f>IF('КОС'!$AL35="Да",1,0)</x:f>
      </x:c>
      <x:c r="I843" s="703">
        <x:f>IF('КОС'!$AR35="Да",1,0)</x:f>
      </x:c>
      <x:c r="J843" s="704">
        <x:f>IF('КОС'!$AX35="Да",1,0)</x:f>
      </x:c>
      <x:c r="K843" s="705">
        <x:f>IF('КОС'!$BD35="Да",1,0)</x:f>
      </x:c>
      <x:c r="L843" s="706">
        <x:f>IF('КОС'!$BJ35="Да",1,0)</x:f>
      </x:c>
      <x:c r="M843" s="707">
        <x:f>IF('КОС'!$BP35="Да",1,0)</x:f>
      </x:c>
      <x:c r="N843" s="708">
        <x:f>IF('КОС'!$BV35="Да",1,0)</x:f>
      </x:c>
      <x:c r="O843" s="375">
        <x:f>IFERROR(ROUND(SUM(C843:N843)/($S$811),1),"")</x:f>
      </x:c>
    </x:row>
    <x:row r="844" spans="1:25" ht="15" customHeight="1" x14ac:dyDescent="0.25">
      <x:c r="A844" s="710"/>
      <x:c r="B844" s="363" t="s">
        <x:v>475</x:v>
      </x:c>
      <x:c r="C844" s="697">
        <x:f>IF('КОС'!$H36="Да",1,0)</x:f>
      </x:c>
      <x:c r="D844" s="698">
        <x:f>IF('КОС'!$N36="Да",1,0)</x:f>
      </x:c>
      <x:c r="E844" s="699">
        <x:f>IF('КОС'!$T36="Да",1,0)</x:f>
      </x:c>
      <x:c r="F844" s="700">
        <x:f>IF('КОС'!$Z36="Да",1,0)</x:f>
      </x:c>
      <x:c r="G844" s="701">
        <x:f>IF('КОС'!$AF36="Да",1,0)</x:f>
      </x:c>
      <x:c r="H844" s="702">
        <x:f>IF('КОС'!$AL36="Да",1,0)</x:f>
      </x:c>
      <x:c r="I844" s="703">
        <x:f>IF('КОС'!$AR36="Да",1,0)</x:f>
      </x:c>
      <x:c r="J844" s="704">
        <x:f>IF('КОС'!$AX36="Да",1,0)</x:f>
      </x:c>
      <x:c r="K844" s="705">
        <x:f>IF('КОС'!$BD36="Да",1,0)</x:f>
      </x:c>
      <x:c r="L844" s="706">
        <x:f>IF('КОС'!$BJ36="Да",1,0)</x:f>
      </x:c>
      <x:c r="M844" s="707">
        <x:f>IF('КОС'!$BP36="Да",1,0)</x:f>
      </x:c>
      <x:c r="N844" s="708">
        <x:f>IF('КОС'!$BV36="Да",1,0)</x:f>
      </x:c>
      <x:c r="O844" s="375">
        <x:f>IFERROR(ROUND(SUM(C844:N844)/($S$811),1),"")</x:f>
      </x:c>
    </x:row>
    <x:row r="845" spans="1:25" ht="15" customHeight="1" x14ac:dyDescent="0.25">
      <x:c r="A845" s="710"/>
      <x:c r="B845" s="363" t="s">
        <x:v>472</x:v>
      </x:c>
      <x:c r="C845" s="697">
        <x:f>IF('КОС'!$H37="Да",1,0)</x:f>
      </x:c>
      <x:c r="D845" s="698">
        <x:f>IF('КОС'!$N37="Да",1,0)</x:f>
      </x:c>
      <x:c r="E845" s="699">
        <x:f>IF('КОС'!$T37="Да",1,0)</x:f>
      </x:c>
      <x:c r="F845" s="700">
        <x:f>IF('КОС'!$Z37="Да",1,0)</x:f>
      </x:c>
      <x:c r="G845" s="701">
        <x:f>IF('КОС'!$AF37="Да",1,0)</x:f>
      </x:c>
      <x:c r="H845" s="702">
        <x:f>IF('КОС'!$AL37="Да",1,0)</x:f>
      </x:c>
      <x:c r="I845" s="703">
        <x:f>IF('КОС'!$AR37="Да",1,0)</x:f>
      </x:c>
      <x:c r="J845" s="704">
        <x:f>IF('КОС'!$AX37="Да",1,0)</x:f>
      </x:c>
      <x:c r="K845" s="705">
        <x:f>IF('КОС'!$BD37="Да",1,0)</x:f>
      </x:c>
      <x:c r="L845" s="706">
        <x:f>IF('КОС'!$BJ37="Да",1,0)</x:f>
      </x:c>
      <x:c r="M845" s="707">
        <x:f>IF('КОС'!$BP37="Да",1,0)</x:f>
      </x:c>
      <x:c r="N845" s="708">
        <x:f>IF('КОС'!$BV37="Да",1,0)</x:f>
      </x:c>
      <x:c r="O845" s="375">
        <x:f>IFERROR(ROUND(SUM(C845:N845)/($S$811),1),"")</x:f>
      </x:c>
    </x:row>
    <x:row r="846" spans="1:25" ht="15" customHeight="1" x14ac:dyDescent="0.3">
      <x:c r="A846" s="710"/>
      <x:c r="B846" s="363" t="s">
        <x:v>490</x:v>
      </x:c>
      <x:c r="C846" s="697">
        <x:f>IF('КОС'!$H38="Да",1,0)</x:f>
      </x:c>
      <x:c r="D846" s="698">
        <x:f>IF('КОС'!$N38="Да",1,0)</x:f>
      </x:c>
      <x:c r="E846" s="699">
        <x:f>IF('КОС'!$T38="Да",1,0)</x:f>
      </x:c>
      <x:c r="F846" s="700">
        <x:f>IF('КОС'!$Z38="Да",1,0)</x:f>
      </x:c>
      <x:c r="G846" s="701">
        <x:f>IF('КОС'!$AF38="Да",1,0)</x:f>
      </x:c>
      <x:c r="H846" s="702">
        <x:f>IF('КОС'!$AL38="Да",1,0)</x:f>
      </x:c>
      <x:c r="I846" s="703">
        <x:f>IF('КОС'!$AR38="Да",1,0)</x:f>
      </x:c>
      <x:c r="J846" s="704">
        <x:f>IF('КОС'!$AX38="Да",1,0)</x:f>
      </x:c>
      <x:c r="K846" s="705">
        <x:f>IF('КОС'!$BD38="Да",1,0)</x:f>
      </x:c>
      <x:c r="L846" s="706">
        <x:f>IF('КОС'!$BJ38="Да",1,0)</x:f>
      </x:c>
      <x:c r="M846" s="707">
        <x:f>IF('КОС'!$BP38="Да",1,0)</x:f>
      </x:c>
      <x:c r="N846" s="708">
        <x:f>IF('КОС'!$BV38="Да",1,0)</x:f>
      </x:c>
      <x:c r="O846" s="375">
        <x:f>IFERROR(ROUND(SUM(C846:N846)/($S$811),1),"")</x:f>
      </x:c>
    </x:row>
    <x:row r="847" spans="1:25" ht="15" customHeight="1" x14ac:dyDescent="0.25">
      <x:c r="A847" s="710"/>
      <x:c r="B847" s="363" t="s">
        <x:v>471</x:v>
      </x:c>
      <x:c r="C847" s="697">
        <x:f>IF('КОС'!$H39="Да",1,0)</x:f>
      </x:c>
      <x:c r="D847" s="698">
        <x:f>IF('КОС'!$N39="Да",1,0)</x:f>
      </x:c>
      <x:c r="E847" s="699">
        <x:f>IF('КОС'!$T39="Да",1,0)</x:f>
      </x:c>
      <x:c r="F847" s="700">
        <x:f>IF('КОС'!$Z39="Да",1,0)</x:f>
      </x:c>
      <x:c r="G847" s="701">
        <x:f>IF('КОС'!$AF39="Да",1,0)</x:f>
      </x:c>
      <x:c r="H847" s="702">
        <x:f>IF('КОС'!$AL39="Да",1,0)</x:f>
      </x:c>
      <x:c r="I847" s="703">
        <x:f>IF('КОС'!$AR39="Да",1,0)</x:f>
      </x:c>
      <x:c r="J847" s="704">
        <x:f>IF('КОС'!$AX39="Да",1,0)</x:f>
      </x:c>
      <x:c r="K847" s="705">
        <x:f>IF('КОС'!$BD39="Да",1,0)</x:f>
      </x:c>
      <x:c r="L847" s="706">
        <x:f>IF('КОС'!$BJ39="Да",1,0)</x:f>
      </x:c>
      <x:c r="M847" s="707">
        <x:f>IF('КОС'!$BP39="Да",1,0)</x:f>
      </x:c>
      <x:c r="N847" s="708">
        <x:f>IF('КОС'!$BV39="Да",1,0)</x:f>
      </x:c>
      <x:c r="O847" s="375">
        <x:f>IFERROR(ROUND(SUM(C847:N847)/($S$811),1),"")</x:f>
      </x:c>
    </x:row>
    <x:row r="848" spans="1:25" ht="15" customHeight="1" x14ac:dyDescent="0.25">
      <x:c r="A848" s="710"/>
      <x:c r="B848" s="363" t="s">
        <x:v>477</x:v>
      </x:c>
      <x:c r="C848" s="697">
        <x:f>IF('КОС'!$H40="Да",1,0)</x:f>
      </x:c>
      <x:c r="D848" s="698">
        <x:f>IF('КОС'!$N40="Да",1,0)</x:f>
      </x:c>
      <x:c r="E848" s="699">
        <x:f>IF('КОС'!$T40="Да",1,0)</x:f>
      </x:c>
      <x:c r="F848" s="700">
        <x:f>IF('КОС'!$Z40="Да",1,0)</x:f>
      </x:c>
      <x:c r="G848" s="701">
        <x:f>IF('КОС'!$AF40="Да",1,0)</x:f>
      </x:c>
      <x:c r="H848" s="702">
        <x:f>IF('КОС'!$AL40="Да",1,0)</x:f>
      </x:c>
      <x:c r="I848" s="703">
        <x:f>IF('КОС'!$AR40="Да",1,0)</x:f>
      </x:c>
      <x:c r="J848" s="704">
        <x:f>IF('КОС'!$AX40="Да",1,0)</x:f>
      </x:c>
      <x:c r="K848" s="705">
        <x:f>IF('КОС'!$BD40="Да",1,0)</x:f>
      </x:c>
      <x:c r="L848" s="706">
        <x:f>IF('КОС'!$BJ40="Да",1,0)</x:f>
      </x:c>
      <x:c r="M848" s="707">
        <x:f>IF('КОС'!$BP40="Да",1,0)</x:f>
      </x:c>
      <x:c r="N848" s="708">
        <x:f>IF('КОС'!$BV40="Да",1,0)</x:f>
      </x:c>
      <x:c r="O848" s="375">
        <x:f>IFERROR(ROUND(SUM(C848:N848)/($S$811),1),"")</x:f>
      </x:c>
    </x:row>
    <x:row r="849" spans="1:25" ht="15" customHeight="1" x14ac:dyDescent="0.25">
      <x:c r="A849" s="710"/>
      <x:c r="B849" s="363" t="s">
        <x:v>502</x:v>
      </x:c>
      <x:c r="C849" s="697">
        <x:f>IF('КОС'!$H41="Да",1,0)</x:f>
      </x:c>
      <x:c r="D849" s="698">
        <x:f>IF('КОС'!$N41="Да",1,0)</x:f>
      </x:c>
      <x:c r="E849" s="699">
        <x:f>IF('КОС'!$T41="Да",1,0)</x:f>
      </x:c>
      <x:c r="F849" s="700">
        <x:f>IF('КОС'!$Z41="Да",1,0)</x:f>
      </x:c>
      <x:c r="G849" s="701">
        <x:f>IF('КОС'!$AF41="Да",1,0)</x:f>
      </x:c>
      <x:c r="H849" s="702">
        <x:f>IF('КОС'!$AL41="Да",1,0)</x:f>
      </x:c>
      <x:c r="I849" s="703">
        <x:f>IF('КОС'!$AR41="Да",1,0)</x:f>
      </x:c>
      <x:c r="J849" s="704">
        <x:f>IF('КОС'!$AX41="Да",1,0)</x:f>
      </x:c>
      <x:c r="K849" s="705">
        <x:f>IF('КОС'!$BD41="Да",1,0)</x:f>
      </x:c>
      <x:c r="L849" s="706">
        <x:f>IF('КОС'!$BJ41="Да",1,0)</x:f>
      </x:c>
      <x:c r="M849" s="707">
        <x:f>IF('КОС'!$BP41="Да",1,0)</x:f>
      </x:c>
      <x:c r="N849" s="708">
        <x:f>IF('КОС'!$BV41="Да",1,0)</x:f>
      </x:c>
      <x:c r="O849" s="375">
        <x:f>IFERROR(ROUND(SUM(C849:N849)/($S$811),1),"")</x:f>
      </x:c>
    </x:row>
    <x:row r="850" spans="1:25" ht="15" customHeight="1" x14ac:dyDescent="0.25">
      <x:c r="A850" s="710"/>
      <x:c r="B850" s="363" t="s">
        <x:v>507</x:v>
      </x:c>
      <x:c r="C850" s="697">
        <x:f>IF('КОС'!$H42="Да",1,0)</x:f>
      </x:c>
      <x:c r="D850" s="698">
        <x:f>IF('КОС'!$N42="Да",1,0)</x:f>
      </x:c>
      <x:c r="E850" s="699">
        <x:f>IF('КОС'!$T42="Да",1,0)</x:f>
      </x:c>
      <x:c r="F850" s="700">
        <x:f>IF('КОС'!$Z42="Да",1,0)</x:f>
      </x:c>
      <x:c r="G850" s="701">
        <x:f>IF('КОС'!$AF42="Да",1,0)</x:f>
      </x:c>
      <x:c r="H850" s="702">
        <x:f>IF('КОС'!$AL42="Да",1,0)</x:f>
      </x:c>
      <x:c r="I850" s="703">
        <x:f>IF('КОС'!$AR42="Да",1,0)</x:f>
      </x:c>
      <x:c r="J850" s="704">
        <x:f>IF('КОС'!$AX42="Да",1,0)</x:f>
      </x:c>
      <x:c r="K850" s="705">
        <x:f>IF('КОС'!$BD42="Да",1,0)</x:f>
      </x:c>
      <x:c r="L850" s="706">
        <x:f>IF('КОС'!$BJ42="Да",1,0)</x:f>
      </x:c>
      <x:c r="M850" s="707">
        <x:f>IF('КОС'!$BP42="Да",1,0)</x:f>
      </x:c>
      <x:c r="N850" s="708">
        <x:f>IF('КОС'!$BV42="Да",1,0)</x:f>
      </x:c>
      <x:c r="O850" s="375">
        <x:f>IFERROR(ROUND(SUM(C850:N850)/($S$811),1),"")</x:f>
      </x:c>
    </x:row>
    <x:row r="851" spans="1:25" ht="15" customHeight="1" x14ac:dyDescent="0.25">
      <x:c r="A851" s="710"/>
      <x:c r="B851" s="363" t="s">
        <x:v>474</x:v>
      </x:c>
      <x:c r="C851" s="697">
        <x:f>IF('КОС'!$H43="Да",1,0)</x:f>
      </x:c>
      <x:c r="D851" s="698">
        <x:f>IF('КОС'!$N43="Да",1,0)</x:f>
      </x:c>
      <x:c r="E851" s="699">
        <x:f>IF('КОС'!$T43="Да",1,0)</x:f>
      </x:c>
      <x:c r="F851" s="700">
        <x:f>IF('КОС'!$Z43="Да",1,0)</x:f>
      </x:c>
      <x:c r="G851" s="701">
        <x:f>IF('КОС'!$AF43="Да",1,0)</x:f>
      </x:c>
      <x:c r="H851" s="702">
        <x:f>IF('КОС'!$AL43="Да",1,0)</x:f>
      </x:c>
      <x:c r="I851" s="703">
        <x:f>IF('КОС'!$AR43="Да",1,0)</x:f>
      </x:c>
      <x:c r="J851" s="704">
        <x:f>IF('КОС'!$AX43="Да",1,0)</x:f>
      </x:c>
      <x:c r="K851" s="705">
        <x:f>IF('КОС'!$BD43="Да",1,0)</x:f>
      </x:c>
      <x:c r="L851" s="706">
        <x:f>IF('КОС'!$BJ43="Да",1,0)</x:f>
      </x:c>
      <x:c r="M851" s="707">
        <x:f>IF('КОС'!$BP43="Да",1,0)</x:f>
      </x:c>
      <x:c r="N851" s="708">
        <x:f>IF('КОС'!$BV43="Да",1,0)</x:f>
      </x:c>
      <x:c r="O851" s="375">
        <x:f>IFERROR(ROUND(SUM(C851:N851)/($S$811),1),"")</x:f>
      </x:c>
    </x:row>
    <x:row r="852" spans="1:25" ht="15" customHeight="1" x14ac:dyDescent="0.25">
      <x:c r="A852" s="710"/>
      <x:c r="B852" s="363" t="s">
        <x:v>500</x:v>
      </x:c>
      <x:c r="C852" s="697">
        <x:f>IF('КОС'!$H44="Да",1,0)</x:f>
      </x:c>
      <x:c r="D852" s="698">
        <x:f>IF('КОС'!$N44="Да",1,0)</x:f>
      </x:c>
      <x:c r="E852" s="699">
        <x:f>IF('КОС'!$T44="Да",1,0)</x:f>
      </x:c>
      <x:c r="F852" s="700">
        <x:f>IF('КОС'!$Z44="Да",1,0)</x:f>
      </x:c>
      <x:c r="G852" s="701">
        <x:f>IF('КОС'!$AF44="Да",1,0)</x:f>
      </x:c>
      <x:c r="H852" s="702">
        <x:f>IF('КОС'!$AL44="Да",1,0)</x:f>
      </x:c>
      <x:c r="I852" s="703">
        <x:f>IF('КОС'!$AR44="Да",1,0)</x:f>
      </x:c>
      <x:c r="J852" s="704">
        <x:f>IF('КОС'!$AX44="Да",1,0)</x:f>
      </x:c>
      <x:c r="K852" s="705">
        <x:f>IF('КОС'!$BD44="Да",1,0)</x:f>
      </x:c>
      <x:c r="L852" s="706">
        <x:f>IF('КОС'!$BJ44="Да",1,0)</x:f>
      </x:c>
      <x:c r="M852" s="707">
        <x:f>IF('КОС'!$BP44="Да",1,0)</x:f>
      </x:c>
      <x:c r="N852" s="708">
        <x:f>IF('КОС'!$BV44="Да",1,0)</x:f>
      </x:c>
      <x:c r="O852" s="375">
        <x:f>IFERROR(ROUND(SUM(C852:N852)/($S$811),1),"")</x:f>
      </x:c>
    </x:row>
    <x:row r="853" spans="1:25" ht="15" customHeight="1" x14ac:dyDescent="0.25">
      <x:c r="A853" s="710"/>
      <x:c r="B853" s="363" t="s">
        <x:v>467</x:v>
      </x:c>
      <x:c r="C853" s="697">
        <x:f>IF('КОС'!$H45="Да",1,0)</x:f>
      </x:c>
      <x:c r="D853" s="698">
        <x:f>IF('КОС'!$N45="Да",1,0)</x:f>
      </x:c>
      <x:c r="E853" s="699">
        <x:f>IF('КОС'!$T45="Да",1,0)</x:f>
      </x:c>
      <x:c r="F853" s="700">
        <x:f>IF('КОС'!$Z45="Да",1,0)</x:f>
      </x:c>
      <x:c r="G853" s="701">
        <x:f>IF('КОС'!$AF45="Да",1,0)</x:f>
      </x:c>
      <x:c r="H853" s="702">
        <x:f>IF('КОС'!$AL45="Да",1,0)</x:f>
      </x:c>
      <x:c r="I853" s="703">
        <x:f>IF('КОС'!$AR45="Да",1,0)</x:f>
      </x:c>
      <x:c r="J853" s="704">
        <x:f>IF('КОС'!$AX45="Да",1,0)</x:f>
      </x:c>
      <x:c r="K853" s="705">
        <x:f>IF('КОС'!$BD45="Да",1,0)</x:f>
      </x:c>
      <x:c r="L853" s="706">
        <x:f>IF('КОС'!$BJ45="Да",1,0)</x:f>
      </x:c>
      <x:c r="M853" s="707">
        <x:f>IF('КОС'!$BP45="Да",1,0)</x:f>
      </x:c>
      <x:c r="N853" s="708">
        <x:f>IF('КОС'!$BV45="Да",1,0)</x:f>
      </x:c>
      <x:c r="O853" s="375">
        <x:f>IFERROR(ROUND(SUM(C853:N853)/($S$811),1),"")</x:f>
      </x:c>
    </x:row>
    <x:row r="854" spans="1:25" ht="15" customHeight="1" x14ac:dyDescent="0.25">
      <x:c r="A854" s="710"/>
      <x:c r="B854" s="363" t="s">
        <x:v>495</x:v>
      </x:c>
      <x:c r="C854" s="697">
        <x:f>IF('КОС'!$H46="Да",1,0)</x:f>
      </x:c>
      <x:c r="D854" s="698">
        <x:f>IF('КОС'!$N46="Да",1,0)</x:f>
      </x:c>
      <x:c r="E854" s="699">
        <x:f>IF('КОС'!$T46="Да",1,0)</x:f>
      </x:c>
      <x:c r="F854" s="700">
        <x:f>IF('КОС'!$Z46="Да",1,0)</x:f>
      </x:c>
      <x:c r="G854" s="701">
        <x:f>IF('КОС'!$AF46="Да",1,0)</x:f>
      </x:c>
      <x:c r="H854" s="702">
        <x:f>IF('КОС'!$AL46="Да",1,0)</x:f>
      </x:c>
      <x:c r="I854" s="703">
        <x:f>IF('КОС'!$AR46="Да",1,0)</x:f>
      </x:c>
      <x:c r="J854" s="704">
        <x:f>IF('КОС'!$AX46="Да",1,0)</x:f>
      </x:c>
      <x:c r="K854" s="705">
        <x:f>IF('КОС'!$BD46="Да",1,0)</x:f>
      </x:c>
      <x:c r="L854" s="706">
        <x:f>IF('КОС'!$BJ46="Да",1,0)</x:f>
      </x:c>
      <x:c r="M854" s="707">
        <x:f>IF('КОС'!$BP46="Да",1,0)</x:f>
      </x:c>
      <x:c r="N854" s="708">
        <x:f>IF('КОС'!$BV46="Да",1,0)</x:f>
      </x:c>
      <x:c r="O854" s="375">
        <x:f>IFERROR(ROUND(SUM(C854:N854)/($S$811),1),"")</x:f>
      </x:c>
    </x:row>
    <x:row r="855" spans="1:25" ht="15" customHeight="1" x14ac:dyDescent="0.25">
      <x:c r="A855" s="710"/>
      <x:c r="B855" s="363" t="s">
        <x:v>1140</x:v>
      </x:c>
      <x:c r="C855" s="697">
        <x:f>IF('КОС'!$H47="Да",1,0)</x:f>
      </x:c>
      <x:c r="D855" s="698">
        <x:f>IF('КОС'!$N47="Да",1,0)</x:f>
      </x:c>
      <x:c r="E855" s="699">
        <x:f>IF('КОС'!$T47="Да",1,0)</x:f>
      </x:c>
      <x:c r="F855" s="700">
        <x:f>IF('КОС'!$Z47="Да",1,0)</x:f>
      </x:c>
      <x:c r="G855" s="701">
        <x:f>IF('КОС'!$AF47="Да",1,0)</x:f>
      </x:c>
      <x:c r="H855" s="702">
        <x:f>IF('КОС'!$AL47="Да",1,0)</x:f>
      </x:c>
      <x:c r="I855" s="703">
        <x:f>IF('КОС'!$AR47="Да",1,0)</x:f>
      </x:c>
      <x:c r="J855" s="704">
        <x:f>IF('КОС'!$AX47="Да",1,0)</x:f>
      </x:c>
      <x:c r="K855" s="705">
        <x:f>IF('КОС'!$BD47="Да",1,0)</x:f>
      </x:c>
      <x:c r="L855" s="706">
        <x:f>IF('КОС'!$BJ47="Да",1,0)</x:f>
      </x:c>
      <x:c r="M855" s="707">
        <x:f>IF('КОС'!$BP47="Да",1,0)</x:f>
      </x:c>
      <x:c r="N855" s="708">
        <x:f>IF('КОС'!$BV47="Да",1,0)</x:f>
      </x:c>
      <x:c r="O855" s="375">
        <x:f>IFERROR(ROUND(SUM(C855:N855)/($S$811),1),"")</x:f>
      </x:c>
    </x:row>
    <x:row r="856" spans="1:25" ht="15" customHeight="1" x14ac:dyDescent="0.25">
      <x:c r="A856" s="710"/>
      <x:c r="B856" s="363" t="s">
        <x:v>464</x:v>
      </x:c>
      <x:c r="C856" s="697">
        <x:f>IF('КОС'!$H48="Да",1,0)</x:f>
      </x:c>
      <x:c r="D856" s="698">
        <x:f>IF('КОС'!$N48="Да",1,0)</x:f>
      </x:c>
      <x:c r="E856" s="699">
        <x:f>IF('КОС'!$T48="Да",1,0)</x:f>
      </x:c>
      <x:c r="F856" s="700">
        <x:f>IF('КОС'!$Z48="Да",1,0)</x:f>
      </x:c>
      <x:c r="G856" s="701">
        <x:f>IF('КОС'!$AF48="Да",1,0)</x:f>
      </x:c>
      <x:c r="H856" s="702">
        <x:f>IF('КОС'!$AL48="Да",1,0)</x:f>
      </x:c>
      <x:c r="I856" s="703">
        <x:f>IF('КОС'!$AR48="Да",1,0)</x:f>
      </x:c>
      <x:c r="J856" s="704">
        <x:f>IF('КОС'!$AX48="Да",1,0)</x:f>
      </x:c>
      <x:c r="K856" s="705">
        <x:f>IF('КОС'!$BD48="Да",1,0)</x:f>
      </x:c>
      <x:c r="L856" s="706">
        <x:f>IF('КОС'!$BJ48="Да",1,0)</x:f>
      </x:c>
      <x:c r="M856" s="707">
        <x:f>IF('КОС'!$BP48="Да",1,0)</x:f>
      </x:c>
      <x:c r="N856" s="708">
        <x:f>IF('КОС'!$BV48="Да",1,0)</x:f>
      </x:c>
      <x:c r="O856" s="375">
        <x:f>IFERROR(ROUND(SUM(C856:N856)/($S$811),1),"")</x:f>
      </x:c>
    </x:row>
    <x:row r="857" spans="1:25" ht="15" customHeight="1" x14ac:dyDescent="0.25">
      <x:c r="A857" s="710"/>
      <x:c r="B857" s="363" t="s">
        <x:v>465</x:v>
      </x:c>
      <x:c r="C857" s="697">
        <x:f>IF('КОС'!$H49="Да",1,0)</x:f>
      </x:c>
      <x:c r="D857" s="698">
        <x:f>IF('КОС'!$N49="Да",1,0)</x:f>
      </x:c>
      <x:c r="E857" s="699">
        <x:f>IF('КОС'!$T49="Да",1,0)</x:f>
      </x:c>
      <x:c r="F857" s="700">
        <x:f>IF('КОС'!$Z49="Да",1,0)</x:f>
      </x:c>
      <x:c r="G857" s="701">
        <x:f>IF('КОС'!$AF49="Да",1,0)</x:f>
      </x:c>
      <x:c r="H857" s="702">
        <x:f>IF('КОС'!$AL49="Да",1,0)</x:f>
      </x:c>
      <x:c r="I857" s="703">
        <x:f>IF('КОС'!$AR49="Да",1,0)</x:f>
      </x:c>
      <x:c r="J857" s="704">
        <x:f>IF('КОС'!$AX49="Да",1,0)</x:f>
      </x:c>
      <x:c r="K857" s="705">
        <x:f>IF('КОС'!$BD49="Да",1,0)</x:f>
      </x:c>
      <x:c r="L857" s="706">
        <x:f>IF('КОС'!$BJ49="Да",1,0)</x:f>
      </x:c>
      <x:c r="M857" s="707">
        <x:f>IF('КОС'!$BP49="Да",1,0)</x:f>
      </x:c>
      <x:c r="N857" s="708">
        <x:f>IF('КОС'!$BV49="Да",1,0)</x:f>
      </x:c>
      <x:c r="O857" s="375">
        <x:f>IFERROR(ROUND(SUM(C857:N857)/($S$811),1),"")</x:f>
      </x:c>
    </x:row>
    <x:row r="858" spans="1:25" ht="15" customHeight="1" x14ac:dyDescent="0.25">
      <x:c r="A858" s="710"/>
      <x:c r="B858" s="363" t="s">
        <x:v>481</x:v>
      </x:c>
      <x:c r="C858" s="697">
        <x:f>IF('КОС'!$H50="Да",1,0)</x:f>
      </x:c>
      <x:c r="D858" s="698">
        <x:f>IF('КОС'!$N50="Да",1,0)</x:f>
      </x:c>
      <x:c r="E858" s="699">
        <x:f>IF('КОС'!$T50="Да",1,0)</x:f>
      </x:c>
      <x:c r="F858" s="700">
        <x:f>IF('КОС'!$Z50="Да",1,0)</x:f>
      </x:c>
      <x:c r="G858" s="701">
        <x:f>IF('КОС'!$AF50="Да",1,0)</x:f>
      </x:c>
      <x:c r="H858" s="702">
        <x:f>IF('КОС'!$AL50="Да",1,0)</x:f>
      </x:c>
      <x:c r="I858" s="703">
        <x:f>IF('КОС'!$AR50="Да",1,0)</x:f>
      </x:c>
      <x:c r="J858" s="704">
        <x:f>IF('КОС'!$AX50="Да",1,0)</x:f>
      </x:c>
      <x:c r="K858" s="705">
        <x:f>IF('КОС'!$BD50="Да",1,0)</x:f>
      </x:c>
      <x:c r="L858" s="706">
        <x:f>IF('КОС'!$BJ50="Да",1,0)</x:f>
      </x:c>
      <x:c r="M858" s="707">
        <x:f>IF('КОС'!$BP50="Да",1,0)</x:f>
      </x:c>
      <x:c r="N858" s="708">
        <x:f>IF('КОС'!$BV50="Да",1,0)</x:f>
      </x:c>
      <x:c r="O858" s="375">
        <x:f>IFERROR(ROUND(SUM(C858:N858)/($S$811),1),"")</x:f>
      </x:c>
    </x:row>
    <x:row r="859" spans="1:25" ht="15" customHeight="1" x14ac:dyDescent="0.25">
      <x:c r="A859" s="710"/>
      <x:c r="B859" s="363" t="s">
        <x:v>504</x:v>
      </x:c>
      <x:c r="C859" s="697">
        <x:f>IF('КОС'!$H51="Да",1,0)</x:f>
      </x:c>
      <x:c r="D859" s="698">
        <x:f>IF('КОС'!$N51="Да",1,0)</x:f>
      </x:c>
      <x:c r="E859" s="699">
        <x:f>IF('КОС'!$T51="Да",1,0)</x:f>
      </x:c>
      <x:c r="F859" s="700">
        <x:f>IF('КОС'!$Z51="Да",1,0)</x:f>
      </x:c>
      <x:c r="G859" s="701">
        <x:f>IF('КОС'!$AF51="Да",1,0)</x:f>
      </x:c>
      <x:c r="H859" s="702">
        <x:f>IF('КОС'!$AL51="Да",1,0)</x:f>
      </x:c>
      <x:c r="I859" s="703">
        <x:f>IF('КОС'!$AR51="Да",1,0)</x:f>
      </x:c>
      <x:c r="J859" s="704">
        <x:f>IF('КОС'!$AX51="Да",1,0)</x:f>
      </x:c>
      <x:c r="K859" s="705">
        <x:f>IF('КОС'!$BD51="Да",1,0)</x:f>
      </x:c>
      <x:c r="L859" s="706">
        <x:f>IF('КОС'!$BJ51="Да",1,0)</x:f>
      </x:c>
      <x:c r="M859" s="707">
        <x:f>IF('КОС'!$BP51="Да",1,0)</x:f>
      </x:c>
      <x:c r="N859" s="708">
        <x:f>IF('КОС'!$BV51="Да",1,0)</x:f>
      </x:c>
      <x:c r="O859" s="375">
        <x:f>IFERROR(ROUND(SUM(C859:N859)/($S$811),1),"")</x:f>
      </x:c>
    </x:row>
    <x:row r="860" spans="1:25" ht="15" customHeight="1" x14ac:dyDescent="0.25">
      <x:c r="A860" s="710"/>
      <x:c r="B860" s="363" t="s">
        <x:v>511</x:v>
      </x:c>
      <x:c r="C860" s="697">
        <x:f>IF('КОС'!$H52="Да",1,0)</x:f>
      </x:c>
      <x:c r="D860" s="698">
        <x:f>IF('КОС'!$N52="Да",1,0)</x:f>
      </x:c>
      <x:c r="E860" s="699">
        <x:f>IF('КОС'!$T52="Да",1,0)</x:f>
      </x:c>
      <x:c r="F860" s="700">
        <x:f>IF('КОС'!$Z52="Да",1,0)</x:f>
      </x:c>
      <x:c r="G860" s="701">
        <x:f>IF('КОС'!$AF52="Да",1,0)</x:f>
      </x:c>
      <x:c r="H860" s="702">
        <x:f>IF('КОС'!$AL52="Да",1,0)</x:f>
      </x:c>
      <x:c r="I860" s="703">
        <x:f>IF('КОС'!$AR52="Да",1,0)</x:f>
      </x:c>
      <x:c r="J860" s="704">
        <x:f>IF('КОС'!$AX52="Да",1,0)</x:f>
      </x:c>
      <x:c r="K860" s="705">
        <x:f>IF('КОС'!$BD52="Да",1,0)</x:f>
      </x:c>
      <x:c r="L860" s="706">
        <x:f>IF('КОС'!$BJ52="Да",1,0)</x:f>
      </x:c>
      <x:c r="M860" s="707">
        <x:f>IF('КОС'!$BP52="Да",1,0)</x:f>
      </x:c>
      <x:c r="N860" s="708">
        <x:f>IF('КОС'!$BV52="Да",1,0)</x:f>
      </x:c>
      <x:c r="O860" s="375">
        <x:f>IFERROR(ROUND(SUM(C860:N860)/($S$811),1),"")</x:f>
      </x:c>
    </x:row>
    <x:row r="861" spans="1:25" ht="15" customHeight="1" x14ac:dyDescent="0.25">
      <x:c r="A861" s="710"/>
      <x:c r="B861" s="363" t="s">
        <x:v>483</x:v>
      </x:c>
      <x:c r="C861" s="697">
        <x:f>IF('КОС'!$H53="Да",1,0)</x:f>
      </x:c>
      <x:c r="D861" s="698">
        <x:f>IF('КОС'!$N53="Да",1,0)</x:f>
      </x:c>
      <x:c r="E861" s="699">
        <x:f>IF('КОС'!$T53="Да",1,0)</x:f>
      </x:c>
      <x:c r="F861" s="700">
        <x:f>IF('КОС'!$Z53="Да",1,0)</x:f>
      </x:c>
      <x:c r="G861" s="701">
        <x:f>IF('КОС'!$AF53="Да",1,0)</x:f>
      </x:c>
      <x:c r="H861" s="702">
        <x:f>IF('КОС'!$AL53="Да",1,0)</x:f>
      </x:c>
      <x:c r="I861" s="703">
        <x:f>IF('КОС'!$AR53="Да",1,0)</x:f>
      </x:c>
      <x:c r="J861" s="704">
        <x:f>IF('КОС'!$AX53="Да",1,0)</x:f>
      </x:c>
      <x:c r="K861" s="705">
        <x:f>IF('КОС'!$BD53="Да",1,0)</x:f>
      </x:c>
      <x:c r="L861" s="706">
        <x:f>IF('КОС'!$BJ53="Да",1,0)</x:f>
      </x:c>
      <x:c r="M861" s="707">
        <x:f>IF('КОС'!$BP53="Да",1,0)</x:f>
      </x:c>
      <x:c r="N861" s="708">
        <x:f>IF('КОС'!$BV53="Да",1,0)</x:f>
      </x:c>
      <x:c r="O861" s="375">
        <x:f>IFERROR(ROUND(SUM(C861:N861)/($S$811),1),"")</x:f>
      </x:c>
    </x:row>
    <x:row r="862" spans="1:25" ht="15" customHeight="1" x14ac:dyDescent="0.25">
      <x:c r="A862" s="710"/>
      <x:c r="B862" s="363" t="s">
        <x:v>497</x:v>
      </x:c>
      <x:c r="C862" s="697">
        <x:f>IF('КОС'!$H54="Да",1,0)</x:f>
      </x:c>
      <x:c r="D862" s="698">
        <x:f>IF('КОС'!$N54="Да",1,0)</x:f>
      </x:c>
      <x:c r="E862" s="699">
        <x:f>IF('КОС'!$T54="Да",1,0)</x:f>
      </x:c>
      <x:c r="F862" s="700">
        <x:f>IF('КОС'!$Z54="Да",1,0)</x:f>
      </x:c>
      <x:c r="G862" s="701">
        <x:f>IF('КОС'!$AF54="Да",1,0)</x:f>
      </x:c>
      <x:c r="H862" s="702">
        <x:f>IF('КОС'!$AL54="Да",1,0)</x:f>
      </x:c>
      <x:c r="I862" s="703">
        <x:f>IF('КОС'!$AR54="Да",1,0)</x:f>
      </x:c>
      <x:c r="J862" s="704">
        <x:f>IF('КОС'!$AX54="Да",1,0)</x:f>
      </x:c>
      <x:c r="K862" s="705">
        <x:f>IF('КОС'!$BD54="Да",1,0)</x:f>
      </x:c>
      <x:c r="L862" s="706">
        <x:f>IF('КОС'!$BJ54="Да",1,0)</x:f>
      </x:c>
      <x:c r="M862" s="707">
        <x:f>IF('КОС'!$BP54="Да",1,0)</x:f>
      </x:c>
      <x:c r="N862" s="708">
        <x:f>IF('КОС'!$BV54="Да",1,0)</x:f>
      </x:c>
      <x:c r="O862" s="375">
        <x:f>IFERROR(ROUND(SUM(C862:N862)/($S$811),1),"")</x:f>
      </x:c>
    </x:row>
    <x:row r="863" spans="1:25" ht="15" customHeight="1" x14ac:dyDescent="0.25">
      <x:c r="A863" s="710"/>
      <x:c r="B863" s="363" t="s">
        <x:v>493</x:v>
      </x:c>
      <x:c r="C863" s="697">
        <x:f>IF('КОС'!$H55="Да",1,0)</x:f>
      </x:c>
      <x:c r="D863" s="698">
        <x:f>IF('КОС'!$N55="Да",1,0)</x:f>
      </x:c>
      <x:c r="E863" s="699">
        <x:f>IF('КОС'!$T55="Да",1,0)</x:f>
      </x:c>
      <x:c r="F863" s="700">
        <x:f>IF('КОС'!$Z55="Да",1,0)</x:f>
      </x:c>
      <x:c r="G863" s="701">
        <x:f>IF('КОС'!$AF55="Да",1,0)</x:f>
      </x:c>
      <x:c r="H863" s="702">
        <x:f>IF('КОС'!$AL55="Да",1,0)</x:f>
      </x:c>
      <x:c r="I863" s="703">
        <x:f>IF('КОС'!$AR55="Да",1,0)</x:f>
      </x:c>
      <x:c r="J863" s="704">
        <x:f>IF('КОС'!$AX55="Да",1,0)</x:f>
      </x:c>
      <x:c r="K863" s="705">
        <x:f>IF('КОС'!$BD55="Да",1,0)</x:f>
      </x:c>
      <x:c r="L863" s="706">
        <x:f>IF('КОС'!$BJ55="Да",1,0)</x:f>
      </x:c>
      <x:c r="M863" s="707">
        <x:f>IF('КОС'!$BP55="Да",1,0)</x:f>
      </x:c>
      <x:c r="N863" s="708">
        <x:f>IF('КОС'!$BV55="Да",1,0)</x:f>
      </x:c>
      <x:c r="O863" s="375">
        <x:f>IFERROR(ROUND(SUM(C863:N863)/($S$811),1),"")</x:f>
      </x:c>
    </x:row>
    <x:row r="864" spans="1:25" ht="15" customHeight="1" x14ac:dyDescent="0.3">
      <x:c r="A864" s="710"/>
      <x:c r="B864" s="363" t="s">
        <x:v>492</x:v>
      </x:c>
      <x:c r="C864" s="697">
        <x:f>IF('КОС'!$H56="Да",1,0)</x:f>
      </x:c>
      <x:c r="D864" s="698">
        <x:f>IF('КОС'!$N56="Да",1,0)</x:f>
      </x:c>
      <x:c r="E864" s="699">
        <x:f>IF('КОС'!$T56="Да",1,0)</x:f>
      </x:c>
      <x:c r="F864" s="700">
        <x:f>IF('КОС'!$Z56="Да",1,0)</x:f>
      </x:c>
      <x:c r="G864" s="701">
        <x:f>IF('КОС'!$AF56="Да",1,0)</x:f>
      </x:c>
      <x:c r="H864" s="702">
        <x:f>IF('КОС'!$AL56="Да",1,0)</x:f>
      </x:c>
      <x:c r="I864" s="703">
        <x:f>IF('КОС'!$AR56="Да",1,0)</x:f>
      </x:c>
      <x:c r="J864" s="704">
        <x:f>IF('КОС'!$AX56="Да",1,0)</x:f>
      </x:c>
      <x:c r="K864" s="705">
        <x:f>IF('КОС'!$BD56="Да",1,0)</x:f>
      </x:c>
      <x:c r="L864" s="706">
        <x:f>IF('КОС'!$BJ56="Да",1,0)</x:f>
      </x:c>
      <x:c r="M864" s="707">
        <x:f>IF('КОС'!$BP56="Да",1,0)</x:f>
      </x:c>
      <x:c r="N864" s="708">
        <x:f>IF('КОС'!$BV56="Да",1,0)</x:f>
      </x:c>
      <x:c r="O864" s="375">
        <x:f>IFERROR(ROUND(SUM(C864:N864)/($S$811),1),"")</x:f>
      </x:c>
    </x:row>
    <x:row r="865" spans="1:25" ht="15.75" customHeight="1" x14ac:dyDescent="0.25">
      <x:c r="A865" s="717"/>
      <x:c r="B865" s="379" t="s">
        <x:v>513</x:v>
      </x:c>
      <x:c r="C865" s="697">
        <x:f>IF('КОС'!$H57="Да",1,0)</x:f>
      </x:c>
      <x:c r="D865" s="698">
        <x:f>IF('КОС'!$N57="Да",1,0)</x:f>
      </x:c>
      <x:c r="E865" s="699">
        <x:f>IF('КОС'!$T57="Да",1,0)</x:f>
      </x:c>
      <x:c r="F865" s="700">
        <x:f>IF('КОС'!$Z57="Да",1,0)</x:f>
      </x:c>
      <x:c r="G865" s="701">
        <x:f>IF('КОС'!$AF57="Да",1,0)</x:f>
      </x:c>
      <x:c r="H865" s="702">
        <x:f>IF('КОС'!$AL57="Да",1,0)</x:f>
      </x:c>
      <x:c r="I865" s="703">
        <x:f>IF('КОС'!$AR57="Да",1,0)</x:f>
      </x:c>
      <x:c r="J865" s="704">
        <x:f>IF('КОС'!$AX57="Да",1,0)</x:f>
      </x:c>
      <x:c r="K865" s="705">
        <x:f>IF('КОС'!$BD57="Да",1,0)</x:f>
      </x:c>
      <x:c r="L865" s="706">
        <x:f>IF('КОС'!$BJ57="Да",1,0)</x:f>
      </x:c>
      <x:c r="M865" s="707">
        <x:f>IF('КОС'!$BP57="Да",1,0)</x:f>
      </x:c>
      <x:c r="N865" s="708">
        <x:f>IF('КОС'!$BV57="Да",1,0)</x:f>
      </x:c>
      <x:c r="O865" s="375">
        <x:f>IFERROR(ROUND(SUM(C865:N865)/($S$811),1),"")</x:f>
      </x:c>
    </x:row>
    <x:row r="866" spans="1:25" ht="15" customHeight="1" x14ac:dyDescent="0.25">
      <x:c r="A866" s="696" t="s">
        <x:v>1094</x:v>
      </x:c>
      <x:c r="B866" s="363" t="s">
        <x:v>405</x:v>
      </x:c>
      <x:c r="C866" s="697">
        <x:f>IF('БОВ-8а'!$H3="Да",1,0)</x:f>
      </x:c>
      <x:c r="D866" s="698">
        <x:f>IF('БОВ-8а'!$N3="Да",1,0)</x:f>
      </x:c>
      <x:c r="E866" s="699">
        <x:f>IF('БОВ-8а'!$T3="Да",1,0)</x:f>
      </x:c>
      <x:c r="F866" s="700">
        <x:f>IF('БОВ-8а'!$Z3="Да",1,0)</x:f>
      </x:c>
      <x:c r="G866" s="701">
        <x:f>IF('БОВ-8а'!$AF3="Да",1,0)</x:f>
      </x:c>
      <x:c r="H866" s="702">
        <x:f>IF('БОВ-8а'!$AL3="Да",1,0)</x:f>
      </x:c>
      <x:c r="I866" s="703">
        <x:f>IF('БОВ-8а'!$AR3="Да",1,0)</x:f>
      </x:c>
      <x:c r="J866" s="704">
        <x:f>IF('БОВ-8а'!$AX3="Да",1,0)</x:f>
      </x:c>
      <x:c r="K866" s="705">
        <x:f>IF('БОВ-8а'!$BD3="Да",1,0)</x:f>
      </x:c>
      <x:c r="L866" s="706">
        <x:f>IF('БОВ-8а'!$BJ3="Да",1,0)</x:f>
      </x:c>
      <x:c r="M866" s="707">
        <x:f>IF('БОВ-8а'!$BP3="Да",1,0)</x:f>
      </x:c>
      <x:c r="N866" s="708">
        <x:f>IF('БОВ-8а'!$BV3="Да",1,0)</x:f>
      </x:c>
      <x:c r="O866" s="375">
        <x:f>IFERROR(ROUND(SUM(C866:N866)/($S$866),1),"")</x:f>
      </x:c>
      <x:c r="Q866" s="709" t="s">
        <x:v>1151</x:v>
      </x:c>
      <x:c r="R866" s="596"/>
      <x:c r="S866" s="376">
        <x:f>SUM(IF(COUNTIF(C866:C912,"&gt;0")&gt;0,1,0),IF(COUNTIF(D866:D912,"&gt;0")&gt;0,1,0),IF(COUNTIF(E866:E912,"&gt;0")&gt;0,1,0),IF(COUNTIF(F866:F912,"&gt;0")&gt;0,1,0),IF(COUNTIF(G866:G912,"&gt;0")&gt;0,1,0),IF(COUNTIF(H866:H912,"&gt;0")&gt;0,1,0),IF(COUNTIF(I866:I912,"&gt;0")&gt;0,1,0),IF(COUNTIF(J866:J912,"&gt;0")&gt;0,1,0),IF(COUNTIF(K866:K912,"&gt;0")&gt;0,1,0),IF(COUNTIF(L866:L912,"&gt;0")&gt;0,1,0),IF(COUNTIF(M866:M912,"&gt;0")&gt;0,1,0),IF(COUNTIF(N866:N912,"&gt;0")&gt;0,1,0))</x:f>
      </x:c>
    </x:row>
    <x:row r="867" spans="1:25" ht="15" customHeight="1" x14ac:dyDescent="0.25">
      <x:c r="A867" s="710"/>
      <x:c r="B867" s="363" t="s">
        <x:v>416</x:v>
      </x:c>
      <x:c r="C867" s="697">
        <x:f>IF('БОВ-8а'!$H4="Да",1,0)</x:f>
      </x:c>
      <x:c r="D867" s="698">
        <x:f>IF('БОВ-8а'!$N4="Да",1,0)</x:f>
      </x:c>
      <x:c r="E867" s="699">
        <x:f>IF('БОВ-8а'!$T4="Да",1,0)</x:f>
      </x:c>
      <x:c r="F867" s="700">
        <x:f>IF('БОВ-8а'!$Z4="Да",1,0)</x:f>
      </x:c>
      <x:c r="G867" s="701">
        <x:f>IF('БОВ-8а'!$AF4="Да",1,0)</x:f>
      </x:c>
      <x:c r="H867" s="702">
        <x:f>IF('БОВ-8а'!$AL4="Да",1,0)</x:f>
      </x:c>
      <x:c r="I867" s="703">
        <x:f>IF('БОВ-8а'!$AR4="Да",1,0)</x:f>
      </x:c>
      <x:c r="J867" s="704">
        <x:f>IF('БОВ-8а'!$AX4="Да",1,0)</x:f>
      </x:c>
      <x:c r="K867" s="705">
        <x:f>IF('БОВ-8а'!$BD4="Да",1,0)</x:f>
      </x:c>
      <x:c r="L867" s="706">
        <x:f>IF('БОВ-8а'!$BJ4="Да",1,0)</x:f>
      </x:c>
      <x:c r="M867" s="707">
        <x:f>IF('БОВ-8а'!$BP4="Да",1,0)</x:f>
      </x:c>
      <x:c r="N867" s="708">
        <x:f>IF('БОВ-8а'!$BV4="Да",1,0)</x:f>
      </x:c>
      <x:c r="O867" s="375">
        <x:f>IFERROR(ROUND(SUM(C867:N867)/($S$866),1),"")</x:f>
      </x:c>
      <x:c r="Q867" s="711"/>
      <x:c r="R867" s="712"/>
      <x:c r="S867" s="713"/>
    </x:row>
    <x:row r="868" spans="1:25" ht="15" customHeight="1" x14ac:dyDescent="0.25">
      <x:c r="A868" s="710"/>
      <x:c r="B868" s="363" t="s">
        <x:v>433</x:v>
      </x:c>
      <x:c r="C868" s="697">
        <x:f>IF('БОВ-8а'!$H5="Да",1,0)</x:f>
      </x:c>
      <x:c r="D868" s="698">
        <x:f>IF('БОВ-8а'!$N5="Да",1,0)</x:f>
      </x:c>
      <x:c r="E868" s="699">
        <x:f>IF('БОВ-8а'!$T5="Да",1,0)</x:f>
      </x:c>
      <x:c r="F868" s="700">
        <x:f>IF('БОВ-8а'!$Z5="Да",1,0)</x:f>
      </x:c>
      <x:c r="G868" s="701">
        <x:f>IF('БОВ-8а'!$AF5="Да",1,0)</x:f>
      </x:c>
      <x:c r="H868" s="702">
        <x:f>IF('БОВ-8а'!$AL5="Да",1,0)</x:f>
      </x:c>
      <x:c r="I868" s="703">
        <x:f>IF('БОВ-8а'!$AR5="Да",1,0)</x:f>
      </x:c>
      <x:c r="J868" s="704">
        <x:f>IF('БОВ-8а'!$AX5="Да",1,0)</x:f>
      </x:c>
      <x:c r="K868" s="705">
        <x:f>IF('БОВ-8а'!$BD5="Да",1,0)</x:f>
      </x:c>
      <x:c r="L868" s="706">
        <x:f>IF('БОВ-8а'!$BJ5="Да",1,0)</x:f>
      </x:c>
      <x:c r="M868" s="707">
        <x:f>IF('БОВ-8а'!$BP5="Да",1,0)</x:f>
      </x:c>
      <x:c r="N868" s="708">
        <x:f>IF('БОВ-8а'!$BV5="Да",1,0)</x:f>
      </x:c>
      <x:c r="O868" s="375">
        <x:f>IFERROR(ROUND(SUM(C868:N868)/($S$866),1),"")</x:f>
      </x:c>
      <x:c r="Q868" s="714"/>
      <x:c r="R868" s="715"/>
      <x:c r="S868" s="716"/>
    </x:row>
    <x:row r="869" spans="1:25" ht="15" customHeight="1" x14ac:dyDescent="0.25">
      <x:c r="A869" s="710"/>
      <x:c r="B869" s="363" t="s">
        <x:v>440</x:v>
      </x:c>
      <x:c r="C869" s="697">
        <x:f>IF('БОВ-8а'!$H6="Да",1,0)</x:f>
      </x:c>
      <x:c r="D869" s="698">
        <x:f>IF('БОВ-8а'!$N6="Да",1,0)</x:f>
      </x:c>
      <x:c r="E869" s="699">
        <x:f>IF('БОВ-8а'!$T6="Да",1,0)</x:f>
      </x:c>
      <x:c r="F869" s="700">
        <x:f>IF('БОВ-8а'!$Z6="Да",1,0)</x:f>
      </x:c>
      <x:c r="G869" s="701">
        <x:f>IF('БОВ-8а'!$AF6="Да",1,0)</x:f>
      </x:c>
      <x:c r="H869" s="702">
        <x:f>IF('БОВ-8а'!$AL6="Да",1,0)</x:f>
      </x:c>
      <x:c r="I869" s="703">
        <x:f>IF('БОВ-8а'!$AR6="Да",1,0)</x:f>
      </x:c>
      <x:c r="J869" s="704">
        <x:f>IF('БОВ-8а'!$AX6="Да",1,0)</x:f>
      </x:c>
      <x:c r="K869" s="705">
        <x:f>IF('БОВ-8а'!$BD6="Да",1,0)</x:f>
      </x:c>
      <x:c r="L869" s="706">
        <x:f>IF('БОВ-8а'!$BJ6="Да",1,0)</x:f>
      </x:c>
      <x:c r="M869" s="707">
        <x:f>IF('БОВ-8а'!$BP6="Да",1,0)</x:f>
      </x:c>
      <x:c r="N869" s="708">
        <x:f>IF('БОВ-8а'!$BV6="Да",1,0)</x:f>
      </x:c>
      <x:c r="O869" s="375">
        <x:f>IFERROR(ROUND(SUM(C869:N869)/($S$866),1),"")</x:f>
      </x:c>
    </x:row>
    <x:row r="870" spans="1:25" ht="15" customHeight="1" x14ac:dyDescent="0.25">
      <x:c r="A870" s="710"/>
      <x:c r="B870" s="363" t="s">
        <x:v>402</x:v>
      </x:c>
      <x:c r="C870" s="697">
        <x:f>IF('БОВ-8а'!$H7="Да",1,0)</x:f>
      </x:c>
      <x:c r="D870" s="698">
        <x:f>IF('БОВ-8а'!$N7="Да",1,0)</x:f>
      </x:c>
      <x:c r="E870" s="699">
        <x:f>IF('БОВ-8а'!$T7="Да",1,0)</x:f>
      </x:c>
      <x:c r="F870" s="700">
        <x:f>IF('БОВ-8а'!$Z7="Да",1,0)</x:f>
      </x:c>
      <x:c r="G870" s="701">
        <x:f>IF('БОВ-8а'!$AF7="Да",1,0)</x:f>
      </x:c>
      <x:c r="H870" s="702">
        <x:f>IF('БОВ-8а'!$AL7="Да",1,0)</x:f>
      </x:c>
      <x:c r="I870" s="703">
        <x:f>IF('БОВ-8а'!$AR7="Да",1,0)</x:f>
      </x:c>
      <x:c r="J870" s="704">
        <x:f>IF('БОВ-8а'!$AX7="Да",1,0)</x:f>
      </x:c>
      <x:c r="K870" s="705">
        <x:f>IF('БОВ-8а'!$BD7="Да",1,0)</x:f>
      </x:c>
      <x:c r="L870" s="706">
        <x:f>IF('БОВ-8а'!$BJ7="Да",1,0)</x:f>
      </x:c>
      <x:c r="M870" s="707">
        <x:f>IF('БОВ-8а'!$BP7="Да",1,0)</x:f>
      </x:c>
      <x:c r="N870" s="708">
        <x:f>IF('БОВ-8а'!$BV7="Да",1,0)</x:f>
      </x:c>
      <x:c r="O870" s="375">
        <x:f>IFERROR(ROUND(SUM(C870:N870)/($S$866),1),"")</x:f>
      </x:c>
    </x:row>
    <x:row r="871" spans="1:25" ht="15" customHeight="1" x14ac:dyDescent="0.25">
      <x:c r="A871" s="710"/>
      <x:c r="B871" s="363" t="s">
        <x:v>413</x:v>
      </x:c>
      <x:c r="C871" s="697">
        <x:f>IF('БОВ-8а'!$H8="Да",1,0)</x:f>
      </x:c>
      <x:c r="D871" s="698">
        <x:f>IF('БОВ-8а'!$N8="Да",1,0)</x:f>
      </x:c>
      <x:c r="E871" s="699">
        <x:f>IF('БОВ-8а'!$T8="Да",1,0)</x:f>
      </x:c>
      <x:c r="F871" s="700">
        <x:f>IF('БОВ-8а'!$Z8="Да",1,0)</x:f>
      </x:c>
      <x:c r="G871" s="701">
        <x:f>IF('БОВ-8а'!$AF8="Да",1,0)</x:f>
      </x:c>
      <x:c r="H871" s="702">
        <x:f>IF('БОВ-8а'!$AL8="Да",1,0)</x:f>
      </x:c>
      <x:c r="I871" s="703">
        <x:f>IF('БОВ-8а'!$AR8="Да",1,0)</x:f>
      </x:c>
      <x:c r="J871" s="704">
        <x:f>IF('БОВ-8а'!$AX8="Да",1,0)</x:f>
      </x:c>
      <x:c r="K871" s="705">
        <x:f>IF('БОВ-8а'!$BD8="Да",1,0)</x:f>
      </x:c>
      <x:c r="L871" s="706">
        <x:f>IF('БОВ-8а'!$BJ8="Да",1,0)</x:f>
      </x:c>
      <x:c r="M871" s="707">
        <x:f>IF('БОВ-8а'!$BP8="Да",1,0)</x:f>
      </x:c>
      <x:c r="N871" s="708">
        <x:f>IF('БОВ-8а'!$BV8="Да",1,0)</x:f>
      </x:c>
      <x:c r="O871" s="375">
        <x:f>IFERROR(ROUND(SUM(C871:N871)/($S$866),1),"")</x:f>
      </x:c>
    </x:row>
    <x:row r="872" spans="1:25" ht="15" customHeight="1" x14ac:dyDescent="0.3">
      <x:c r="A872" s="710"/>
      <x:c r="B872" s="363" t="s">
        <x:v>414</x:v>
      </x:c>
      <x:c r="C872" s="697">
        <x:f>IF('БОВ-8а'!$H9="Да",1,0)</x:f>
      </x:c>
      <x:c r="D872" s="698">
        <x:f>IF('БОВ-8а'!$N9="Да",1,0)</x:f>
      </x:c>
      <x:c r="E872" s="699">
        <x:f>IF('БОВ-8а'!$T9="Да",1,0)</x:f>
      </x:c>
      <x:c r="F872" s="700">
        <x:f>IF('БОВ-8а'!$Z9="Да",1,0)</x:f>
      </x:c>
      <x:c r="G872" s="701">
        <x:f>IF('БОВ-8а'!$AF9="Да",1,0)</x:f>
      </x:c>
      <x:c r="H872" s="702">
        <x:f>IF('БОВ-8а'!$AL9="Да",1,0)</x:f>
      </x:c>
      <x:c r="I872" s="703">
        <x:f>IF('БОВ-8а'!$AR9="Да",1,0)</x:f>
      </x:c>
      <x:c r="J872" s="704">
        <x:f>IF('БОВ-8а'!$AX9="Да",1,0)</x:f>
      </x:c>
      <x:c r="K872" s="705">
        <x:f>IF('БОВ-8а'!$BD9="Да",1,0)</x:f>
      </x:c>
      <x:c r="L872" s="706">
        <x:f>IF('БОВ-8а'!$BJ9="Да",1,0)</x:f>
      </x:c>
      <x:c r="M872" s="707">
        <x:f>IF('БОВ-8а'!$BP9="Да",1,0)</x:f>
      </x:c>
      <x:c r="N872" s="708">
        <x:f>IF('БОВ-8а'!$BV9="Да",1,0)</x:f>
      </x:c>
      <x:c r="O872" s="375">
        <x:f>IFERROR(ROUND(SUM(C872:N872)/($S$866),1),"")</x:f>
      </x:c>
    </x:row>
    <x:row r="873" spans="1:25" ht="15" customHeight="1" x14ac:dyDescent="0.25">
      <x:c r="A873" s="710"/>
      <x:c r="B873" s="363" t="s">
        <x:v>449</x:v>
      </x:c>
      <x:c r="C873" s="697">
        <x:f>IF('БОВ-8а'!$H10="Да",1,0)</x:f>
      </x:c>
      <x:c r="D873" s="698">
        <x:f>IF('БОВ-8а'!$N10="Да",1,0)</x:f>
      </x:c>
      <x:c r="E873" s="699">
        <x:f>IF('БОВ-8а'!$T10="Да",1,0)</x:f>
      </x:c>
      <x:c r="F873" s="700">
        <x:f>IF('БОВ-8а'!$Z10="Да",1,0)</x:f>
      </x:c>
      <x:c r="G873" s="701">
        <x:f>IF('БОВ-8а'!$AF10="Да",1,0)</x:f>
      </x:c>
      <x:c r="H873" s="702">
        <x:f>IF('БОВ-8а'!$AL10="Да",1,0)</x:f>
      </x:c>
      <x:c r="I873" s="703">
        <x:f>IF('БОВ-8а'!$AR10="Да",1,0)</x:f>
      </x:c>
      <x:c r="J873" s="704">
        <x:f>IF('БОВ-8а'!$AX10="Да",1,0)</x:f>
      </x:c>
      <x:c r="K873" s="705">
        <x:f>IF('БОВ-8а'!$BD10="Да",1,0)</x:f>
      </x:c>
      <x:c r="L873" s="706">
        <x:f>IF('БОВ-8а'!$BJ10="Да",1,0)</x:f>
      </x:c>
      <x:c r="M873" s="707">
        <x:f>IF('БОВ-8а'!$BP10="Да",1,0)</x:f>
      </x:c>
      <x:c r="N873" s="708">
        <x:f>IF('БОВ-8а'!$BV10="Да",1,0)</x:f>
      </x:c>
      <x:c r="O873" s="375">
        <x:f>IFERROR(ROUND(SUM(C873:N873)/($S$866),1),"")</x:f>
      </x:c>
    </x:row>
    <x:row r="874" spans="1:25" ht="15" customHeight="1">
      <x:c r="A874" s="710"/>
      <x:c r="B874" s="363" t="s">
        <x:v>434</x:v>
      </x:c>
      <x:c r="C874" s="697">
        <x:f>IF('БОВ-8а'!$H11="Да",1,0)</x:f>
      </x:c>
      <x:c r="D874" s="698">
        <x:f>IF('БОВ-8а'!$N11="Да",1,0)</x:f>
      </x:c>
      <x:c r="E874" s="699">
        <x:f>IF('БОВ-8а'!$T11="Да",1,0)</x:f>
      </x:c>
      <x:c r="F874" s="700">
        <x:f>IF('БОВ-8а'!$Z11="Да",1,0)</x:f>
      </x:c>
      <x:c r="G874" s="701">
        <x:f>IF('БОВ-8а'!$AF11="Да",1,0)</x:f>
      </x:c>
      <x:c r="H874" s="702">
        <x:f>IF('БОВ-8а'!$AL11="Да",1,0)</x:f>
      </x:c>
      <x:c r="I874" s="703">
        <x:f>IF('БОВ-8а'!$AR11="Да",1,0)</x:f>
      </x:c>
      <x:c r="J874" s="704">
        <x:f>IF('БОВ-8а'!$AX11="Да",1,0)</x:f>
      </x:c>
      <x:c r="K874" s="705">
        <x:f>IF('БОВ-8а'!$BD11="Да",1,0)</x:f>
      </x:c>
      <x:c r="L874" s="706">
        <x:f>IF('БОВ-8а'!$BJ11="Да",1,0)</x:f>
      </x:c>
      <x:c r="M874" s="707">
        <x:f>IF('БОВ-8а'!$BP11="Да",1,0)</x:f>
      </x:c>
      <x:c r="N874" s="708">
        <x:f>IF('БОВ-8а'!$BV11="Да",1,0)</x:f>
      </x:c>
      <x:c r="O874" s="375">
        <x:f>IFERROR(ROUND(SUM(C874:N874)/($S$866),1),"")</x:f>
      </x:c>
    </x:row>
    <x:row r="875" spans="1:25" ht="15" customHeight="1">
      <x:c r="A875" s="710"/>
      <x:c r="B875" s="363" t="s">
        <x:v>407</x:v>
      </x:c>
      <x:c r="C875" s="697">
        <x:f>IF('БОВ-8а'!$H12="Да",1,0)</x:f>
      </x:c>
      <x:c r="D875" s="698">
        <x:f>IF('БОВ-8а'!$N12="Да",1,0)</x:f>
      </x:c>
      <x:c r="E875" s="699">
        <x:f>IF('БОВ-8а'!$T12="Да",1,0)</x:f>
      </x:c>
      <x:c r="F875" s="700">
        <x:f>IF('БОВ-8а'!$Z12="Да",1,0)</x:f>
      </x:c>
      <x:c r="G875" s="701">
        <x:f>IF('БОВ-8а'!$AF12="Да",1,0)</x:f>
      </x:c>
      <x:c r="H875" s="702">
        <x:f>IF('БОВ-8а'!$AL12="Да",1,0)</x:f>
      </x:c>
      <x:c r="I875" s="703">
        <x:f>IF('БОВ-8а'!$AR12="Да",1,0)</x:f>
      </x:c>
      <x:c r="J875" s="704">
        <x:f>IF('БОВ-8а'!$AX12="Да",1,0)</x:f>
      </x:c>
      <x:c r="K875" s="705">
        <x:f>IF('БОВ-8а'!$BD12="Да",1,0)</x:f>
      </x:c>
      <x:c r="L875" s="706">
        <x:f>IF('БОВ-8а'!$BJ12="Да",1,0)</x:f>
      </x:c>
      <x:c r="M875" s="707">
        <x:f>IF('БОВ-8а'!$BP12="Да",1,0)</x:f>
      </x:c>
      <x:c r="N875" s="708">
        <x:f>IF('БОВ-8а'!$BV12="Да",1,0)</x:f>
      </x:c>
      <x:c r="O875" s="375">
        <x:f>IFERROR(ROUND(SUM(C875:N875)/($S$866),1),"")</x:f>
      </x:c>
    </x:row>
    <x:row r="876" spans="1:25" ht="15" customHeight="1">
      <x:c r="A876" s="710"/>
      <x:c r="B876" s="363" t="s">
        <x:v>441</x:v>
      </x:c>
      <x:c r="C876" s="697">
        <x:f>IF('БОВ-8а'!$H13="Да",1,0)</x:f>
      </x:c>
      <x:c r="D876" s="698">
        <x:f>IF('БОВ-8а'!$N13="Да",1,0)</x:f>
      </x:c>
      <x:c r="E876" s="699">
        <x:f>IF('БОВ-8а'!$T13="Да",1,0)</x:f>
      </x:c>
      <x:c r="F876" s="700">
        <x:f>IF('БОВ-8а'!$Z13="Да",1,0)</x:f>
      </x:c>
      <x:c r="G876" s="701">
        <x:f>IF('БОВ-8а'!$AF13="Да",1,0)</x:f>
      </x:c>
      <x:c r="H876" s="702">
        <x:f>IF('БОВ-8а'!$AL13="Да",1,0)</x:f>
      </x:c>
      <x:c r="I876" s="703">
        <x:f>IF('БОВ-8а'!$AR13="Да",1,0)</x:f>
      </x:c>
      <x:c r="J876" s="704">
        <x:f>IF('БОВ-8а'!$AX13="Да",1,0)</x:f>
      </x:c>
      <x:c r="K876" s="705">
        <x:f>IF('БОВ-8а'!$BD13="Да",1,0)</x:f>
      </x:c>
      <x:c r="L876" s="706">
        <x:f>IF('БОВ-8а'!$BJ13="Да",1,0)</x:f>
      </x:c>
      <x:c r="M876" s="707">
        <x:f>IF('БОВ-8а'!$BP13="Да",1,0)</x:f>
      </x:c>
      <x:c r="N876" s="708">
        <x:f>IF('БОВ-8а'!$BV13="Да",1,0)</x:f>
      </x:c>
      <x:c r="O876" s="375">
        <x:f>IFERROR(ROUND(SUM(C876:N876)/($S$866),1),"")</x:f>
      </x:c>
    </x:row>
    <x:row r="877" spans="1:25" ht="15" customHeight="1">
      <x:c r="A877" s="710"/>
      <x:c r="B877" s="363" t="s">
        <x:v>415</x:v>
      </x:c>
      <x:c r="C877" s="697">
        <x:f>IF('БОВ-8а'!$H14="Да",1,0)</x:f>
      </x:c>
      <x:c r="D877" s="698">
        <x:f>IF('БОВ-8а'!$N14="Да",1,0)</x:f>
      </x:c>
      <x:c r="E877" s="699">
        <x:f>IF('БОВ-8а'!$T14="Да",1,0)</x:f>
      </x:c>
      <x:c r="F877" s="700">
        <x:f>IF('БОВ-8а'!$Z14="Да",1,0)</x:f>
      </x:c>
      <x:c r="G877" s="701">
        <x:f>IF('БОВ-8а'!$AF14="Да",1,0)</x:f>
      </x:c>
      <x:c r="H877" s="702">
        <x:f>IF('БОВ-8а'!$AL14="Да",1,0)</x:f>
      </x:c>
      <x:c r="I877" s="703">
        <x:f>IF('БОВ-8а'!$AR14="Да",1,0)</x:f>
      </x:c>
      <x:c r="J877" s="704">
        <x:f>IF('БОВ-8а'!$AX14="Да",1,0)</x:f>
      </x:c>
      <x:c r="K877" s="705">
        <x:f>IF('БОВ-8а'!$BD14="Да",1,0)</x:f>
      </x:c>
      <x:c r="L877" s="706">
        <x:f>IF('БОВ-8а'!$BJ14="Да",1,0)</x:f>
      </x:c>
      <x:c r="M877" s="707">
        <x:f>IF('БОВ-8а'!$BP14="Да",1,0)</x:f>
      </x:c>
      <x:c r="N877" s="708">
        <x:f>IF('БОВ-8а'!$BV14="Да",1,0)</x:f>
      </x:c>
      <x:c r="O877" s="375">
        <x:f>IFERROR(ROUND(SUM(C877:N877)/($S$866),1),"")</x:f>
      </x:c>
    </x:row>
    <x:row r="878" spans="1:25" ht="15" customHeight="1">
      <x:c r="A878" s="710"/>
      <x:c r="B878" s="363" t="s">
        <x:v>451</x:v>
      </x:c>
      <x:c r="C878" s="697">
        <x:f>IF('БОВ-8а'!$H15="Да",1,0)</x:f>
      </x:c>
      <x:c r="D878" s="698">
        <x:f>IF('БОВ-8а'!$N15="Да",1,0)</x:f>
      </x:c>
      <x:c r="E878" s="699">
        <x:f>IF('БОВ-8а'!$T15="Да",1,0)</x:f>
      </x:c>
      <x:c r="F878" s="700">
        <x:f>IF('БОВ-8а'!$Z15="Да",1,0)</x:f>
      </x:c>
      <x:c r="G878" s="701">
        <x:f>IF('БОВ-8а'!$AF15="Да",1,0)</x:f>
      </x:c>
      <x:c r="H878" s="702">
        <x:f>IF('БОВ-8а'!$AL15="Да",1,0)</x:f>
      </x:c>
      <x:c r="I878" s="703">
        <x:f>IF('БОВ-8а'!$AR15="Да",1,0)</x:f>
      </x:c>
      <x:c r="J878" s="704">
        <x:f>IF('БОВ-8а'!$AX15="Да",1,0)</x:f>
      </x:c>
      <x:c r="K878" s="705">
        <x:f>IF('БОВ-8а'!$BD15="Да",1,0)</x:f>
      </x:c>
      <x:c r="L878" s="706">
        <x:f>IF('БОВ-8а'!$BJ15="Да",1,0)</x:f>
      </x:c>
      <x:c r="M878" s="707">
        <x:f>IF('БОВ-8а'!$BP15="Да",1,0)</x:f>
      </x:c>
      <x:c r="N878" s="708">
        <x:f>IF('БОВ-8а'!$BV15="Да",1,0)</x:f>
      </x:c>
      <x:c r="O878" s="375">
        <x:f>IFERROR(ROUND(SUM(C878:N878)/($S$866),1),"")</x:f>
      </x:c>
    </x:row>
    <x:row r="879" spans="1:25" ht="15" customHeight="1">
      <x:c r="A879" s="710"/>
      <x:c r="B879" s="363" t="s">
        <x:v>424</x:v>
      </x:c>
      <x:c r="C879" s="697">
        <x:f>IF('БОВ-8а'!$H16="Да",1,0)</x:f>
      </x:c>
      <x:c r="D879" s="698">
        <x:f>IF('БОВ-8а'!$N16="Да",1,0)</x:f>
      </x:c>
      <x:c r="E879" s="699">
        <x:f>IF('БОВ-8а'!$T16="Да",1,0)</x:f>
      </x:c>
      <x:c r="F879" s="700">
        <x:f>IF('БОВ-8а'!$Z16="Да",1,0)</x:f>
      </x:c>
      <x:c r="G879" s="701">
        <x:f>IF('БОВ-8а'!$AF16="Да",1,0)</x:f>
      </x:c>
      <x:c r="H879" s="702">
        <x:f>IF('БОВ-8а'!$AL16="Да",1,0)</x:f>
      </x:c>
      <x:c r="I879" s="703">
        <x:f>IF('БОВ-8а'!$AR16="Да",1,0)</x:f>
      </x:c>
      <x:c r="J879" s="704">
        <x:f>IF('БОВ-8а'!$AX16="Да",1,0)</x:f>
      </x:c>
      <x:c r="K879" s="705">
        <x:f>IF('БОВ-8а'!$BD16="Да",1,0)</x:f>
      </x:c>
      <x:c r="L879" s="706">
        <x:f>IF('БОВ-8а'!$BJ16="Да",1,0)</x:f>
      </x:c>
      <x:c r="M879" s="707">
        <x:f>IF('БОВ-8а'!$BP16="Да",1,0)</x:f>
      </x:c>
      <x:c r="N879" s="708">
        <x:f>IF('БОВ-8а'!$BV16="Да",1,0)</x:f>
      </x:c>
      <x:c r="O879" s="375">
        <x:f>IFERROR(ROUND(SUM(C879:N879)/($S$866),1),"")</x:f>
      </x:c>
    </x:row>
    <x:row r="880" spans="1:25" ht="15" customHeight="1">
      <x:c r="A880" s="710"/>
      <x:c r="B880" s="363" t="s">
        <x:v>442</x:v>
      </x:c>
      <x:c r="C880" s="697">
        <x:f>IF('БОВ-8а'!$H17="Да",1,0)</x:f>
      </x:c>
      <x:c r="D880" s="698">
        <x:f>IF('БОВ-8а'!$N17="Да",1,0)</x:f>
      </x:c>
      <x:c r="E880" s="699">
        <x:f>IF('БОВ-8а'!$T17="Да",1,0)</x:f>
      </x:c>
      <x:c r="F880" s="700">
        <x:f>IF('БОВ-8а'!$Z17="Да",1,0)</x:f>
      </x:c>
      <x:c r="G880" s="701">
        <x:f>IF('БОВ-8а'!$AF17="Да",1,0)</x:f>
      </x:c>
      <x:c r="H880" s="702">
        <x:f>IF('БОВ-8а'!$AL17="Да",1,0)</x:f>
      </x:c>
      <x:c r="I880" s="703">
        <x:f>IF('БОВ-8а'!$AR17="Да",1,0)</x:f>
      </x:c>
      <x:c r="J880" s="704">
        <x:f>IF('БОВ-8а'!$AX17="Да",1,0)</x:f>
      </x:c>
      <x:c r="K880" s="705">
        <x:f>IF('БОВ-8а'!$BD17="Да",1,0)</x:f>
      </x:c>
      <x:c r="L880" s="706">
        <x:f>IF('БОВ-8а'!$BJ17="Да",1,0)</x:f>
      </x:c>
      <x:c r="M880" s="707">
        <x:f>IF('БОВ-8а'!$BP17="Да",1,0)</x:f>
      </x:c>
      <x:c r="N880" s="708">
        <x:f>IF('БОВ-8а'!$BV17="Да",1,0)</x:f>
      </x:c>
      <x:c r="O880" s="375">
        <x:f>IFERROR(ROUND(SUM(C880:N880)/($S$866),1),"")</x:f>
      </x:c>
    </x:row>
    <x:row r="881" spans="1:25" ht="15" customHeight="1">
      <x:c r="A881" s="710"/>
      <x:c r="B881" s="363" t="s">
        <x:v>400</x:v>
      </x:c>
      <x:c r="C881" s="697">
        <x:f>IF('БОВ-8а'!$H18="Да",1,0)</x:f>
      </x:c>
      <x:c r="D881" s="698">
        <x:f>IF('БОВ-8а'!$N18="Да",1,0)</x:f>
      </x:c>
      <x:c r="E881" s="699">
        <x:f>IF('БОВ-8а'!$T18="Да",1,0)</x:f>
      </x:c>
      <x:c r="F881" s="700">
        <x:f>IF('БОВ-8а'!$Z18="Да",1,0)</x:f>
      </x:c>
      <x:c r="G881" s="701">
        <x:f>IF('БОВ-8а'!$AF18="Да",1,0)</x:f>
      </x:c>
      <x:c r="H881" s="702">
        <x:f>IF('БОВ-8а'!$AL18="Да",1,0)</x:f>
      </x:c>
      <x:c r="I881" s="703">
        <x:f>IF('БОВ-8а'!$AR18="Да",1,0)</x:f>
      </x:c>
      <x:c r="J881" s="704">
        <x:f>IF('БОВ-8а'!$AX18="Да",1,0)</x:f>
      </x:c>
      <x:c r="K881" s="705">
        <x:f>IF('БОВ-8а'!$BD18="Да",1,0)</x:f>
      </x:c>
      <x:c r="L881" s="706">
        <x:f>IF('БОВ-8а'!$BJ18="Да",1,0)</x:f>
      </x:c>
      <x:c r="M881" s="707">
        <x:f>IF('БОВ-8а'!$BP18="Да",1,0)</x:f>
      </x:c>
      <x:c r="N881" s="708">
        <x:f>IF('БОВ-8а'!$BV18="Да",1,0)</x:f>
      </x:c>
      <x:c r="O881" s="375">
        <x:f>IFERROR(ROUND(SUM(C881:N881)/($S$866),1),"")</x:f>
      </x:c>
    </x:row>
    <x:row r="882" spans="1:25" ht="15" customHeight="1">
      <x:c r="A882" s="710"/>
      <x:c r="B882" s="363" t="s">
        <x:v>447</x:v>
      </x:c>
      <x:c r="C882" s="697">
        <x:f>IF('БОВ-8а'!$H19="Да",1,0)</x:f>
      </x:c>
      <x:c r="D882" s="698">
        <x:f>IF('БОВ-8а'!$N19="Да",1,0)</x:f>
      </x:c>
      <x:c r="E882" s="699">
        <x:f>IF('БОВ-8а'!$T19="Да",1,0)</x:f>
      </x:c>
      <x:c r="F882" s="700">
        <x:f>IF('БОВ-8а'!$Z19="Да",1,0)</x:f>
      </x:c>
      <x:c r="G882" s="701">
        <x:f>IF('БОВ-8а'!$AF19="Да",1,0)</x:f>
      </x:c>
      <x:c r="H882" s="702">
        <x:f>IF('БОВ-8а'!$AL19="Да",1,0)</x:f>
      </x:c>
      <x:c r="I882" s="703">
        <x:f>IF('БОВ-8а'!$AR19="Да",1,0)</x:f>
      </x:c>
      <x:c r="J882" s="704">
        <x:f>IF('БОВ-8а'!$AX19="Да",1,0)</x:f>
      </x:c>
      <x:c r="K882" s="705">
        <x:f>IF('БОВ-8а'!$BD19="Да",1,0)</x:f>
      </x:c>
      <x:c r="L882" s="706">
        <x:f>IF('БОВ-8а'!$BJ19="Да",1,0)</x:f>
      </x:c>
      <x:c r="M882" s="707">
        <x:f>IF('БОВ-8а'!$BP19="Да",1,0)</x:f>
      </x:c>
      <x:c r="N882" s="708">
        <x:f>IF('БОВ-8а'!$BV19="Да",1,0)</x:f>
      </x:c>
      <x:c r="O882" s="375">
        <x:f>IFERROR(ROUND(SUM(C882:N882)/($S$866),1),"")</x:f>
      </x:c>
    </x:row>
    <x:row r="883" spans="1:25" ht="15" customHeight="1">
      <x:c r="A883" s="710"/>
      <x:c r="B883" s="363" t="s">
        <x:v>421</x:v>
      </x:c>
      <x:c r="C883" s="697">
        <x:f>IF('БОВ-8а'!$H20="Да",1,0)</x:f>
      </x:c>
      <x:c r="D883" s="698">
        <x:f>IF('БОВ-8а'!$N20="Да",1,0)</x:f>
      </x:c>
      <x:c r="E883" s="699">
        <x:f>IF('БОВ-8а'!$T20="Да",1,0)</x:f>
      </x:c>
      <x:c r="F883" s="700">
        <x:f>IF('БОВ-8а'!$Z20="Да",1,0)</x:f>
      </x:c>
      <x:c r="G883" s="701">
        <x:f>IF('БОВ-8а'!$AF20="Да",1,0)</x:f>
      </x:c>
      <x:c r="H883" s="702">
        <x:f>IF('БОВ-8а'!$AL20="Да",1,0)</x:f>
      </x:c>
      <x:c r="I883" s="703">
        <x:f>IF('БОВ-8а'!$AR20="Да",1,0)</x:f>
      </x:c>
      <x:c r="J883" s="704">
        <x:f>IF('БОВ-8а'!$AX20="Да",1,0)</x:f>
      </x:c>
      <x:c r="K883" s="705">
        <x:f>IF('БОВ-8а'!$BD20="Да",1,0)</x:f>
      </x:c>
      <x:c r="L883" s="706">
        <x:f>IF('БОВ-8а'!$BJ20="Да",1,0)</x:f>
      </x:c>
      <x:c r="M883" s="707">
        <x:f>IF('БОВ-8а'!$BP20="Да",1,0)</x:f>
      </x:c>
      <x:c r="N883" s="708">
        <x:f>IF('БОВ-8а'!$BV20="Да",1,0)</x:f>
      </x:c>
      <x:c r="O883" s="375">
        <x:f>IFERROR(ROUND(SUM(C883:N883)/($S$866),1),"")</x:f>
      </x:c>
    </x:row>
    <x:row r="884" spans="1:25" ht="15" customHeight="1">
      <x:c r="A884" s="710"/>
      <x:c r="B884" s="363" t="s">
        <x:v>395</x:v>
      </x:c>
      <x:c r="C884" s="697">
        <x:f>IF('БОВ-8а'!$H21="Да",1,0)</x:f>
      </x:c>
      <x:c r="D884" s="698">
        <x:f>IF('БОВ-8а'!$N21="Да",1,0)</x:f>
      </x:c>
      <x:c r="E884" s="699">
        <x:f>IF('БОВ-8а'!$T21="Да",1,0)</x:f>
      </x:c>
      <x:c r="F884" s="700">
        <x:f>IF('БОВ-8а'!$Z21="Да",1,0)</x:f>
      </x:c>
      <x:c r="G884" s="701">
        <x:f>IF('БОВ-8а'!$AF21="Да",1,0)</x:f>
      </x:c>
      <x:c r="H884" s="702">
        <x:f>IF('БОВ-8а'!$AL21="Да",1,0)</x:f>
      </x:c>
      <x:c r="I884" s="703">
        <x:f>IF('БОВ-8а'!$AR21="Да",1,0)</x:f>
      </x:c>
      <x:c r="J884" s="704">
        <x:f>IF('БОВ-8а'!$AX21="Да",1,0)</x:f>
      </x:c>
      <x:c r="K884" s="705">
        <x:f>IF('БОВ-8а'!$BD21="Да",1,0)</x:f>
      </x:c>
      <x:c r="L884" s="706">
        <x:f>IF('БОВ-8а'!$BJ21="Да",1,0)</x:f>
      </x:c>
      <x:c r="M884" s="707">
        <x:f>IF('БОВ-8а'!$BP21="Да",1,0)</x:f>
      </x:c>
      <x:c r="N884" s="708">
        <x:f>IF('БОВ-8а'!$BV21="Да",1,0)</x:f>
      </x:c>
      <x:c r="O884" s="375">
        <x:f>IFERROR(ROUND(SUM(C884:N884)/($S$866),1),"")</x:f>
      </x:c>
    </x:row>
    <x:row r="885" spans="1:25" ht="15" customHeight="1">
      <x:c r="A885" s="710"/>
      <x:c r="B885" s="363" t="s">
        <x:v>412</x:v>
      </x:c>
      <x:c r="C885" s="697">
        <x:f>IF('БОВ-8а'!$H22="Да",1,0)</x:f>
      </x:c>
      <x:c r="D885" s="698">
        <x:f>IF('БОВ-8а'!$N22="Да",1,0)</x:f>
      </x:c>
      <x:c r="E885" s="699">
        <x:f>IF('БОВ-8а'!$T22="Да",1,0)</x:f>
      </x:c>
      <x:c r="F885" s="700">
        <x:f>IF('БОВ-8а'!$Z22="Да",1,0)</x:f>
      </x:c>
      <x:c r="G885" s="701">
        <x:f>IF('БОВ-8а'!$AF22="Да",1,0)</x:f>
      </x:c>
      <x:c r="H885" s="702">
        <x:f>IF('БОВ-8а'!$AL22="Да",1,0)</x:f>
      </x:c>
      <x:c r="I885" s="703">
        <x:f>IF('БОВ-8а'!$AR22="Да",1,0)</x:f>
      </x:c>
      <x:c r="J885" s="704">
        <x:f>IF('БОВ-8а'!$AX22="Да",1,0)</x:f>
      </x:c>
      <x:c r="K885" s="705">
        <x:f>IF('БОВ-8а'!$BD22="Да",1,0)</x:f>
      </x:c>
      <x:c r="L885" s="706">
        <x:f>IF('БОВ-8а'!$BJ22="Да",1,0)</x:f>
      </x:c>
      <x:c r="M885" s="707">
        <x:f>IF('БОВ-8а'!$BP22="Да",1,0)</x:f>
      </x:c>
      <x:c r="N885" s="708">
        <x:f>IF('БОВ-8а'!$BV22="Да",1,0)</x:f>
      </x:c>
      <x:c r="O885" s="375">
        <x:f>IFERROR(ROUND(SUM(C885:N885)/($S$866),1),"")</x:f>
      </x:c>
    </x:row>
    <x:row r="886" spans="1:25" ht="15" customHeight="1">
      <x:c r="A886" s="710"/>
      <x:c r="B886" s="363" t="s">
        <x:v>423</x:v>
      </x:c>
      <x:c r="C886" s="697">
        <x:f>IF('БОВ-8а'!$H23="Да",1,0)</x:f>
      </x:c>
      <x:c r="D886" s="698">
        <x:f>IF('БОВ-8а'!$N23="Да",1,0)</x:f>
      </x:c>
      <x:c r="E886" s="699">
        <x:f>IF('БОВ-8а'!$T23="Да",1,0)</x:f>
      </x:c>
      <x:c r="F886" s="700">
        <x:f>IF('БОВ-8а'!$Z23="Да",1,0)</x:f>
      </x:c>
      <x:c r="G886" s="701">
        <x:f>IF('БОВ-8а'!$AF23="Да",1,0)</x:f>
      </x:c>
      <x:c r="H886" s="702">
        <x:f>IF('БОВ-8а'!$AL23="Да",1,0)</x:f>
      </x:c>
      <x:c r="I886" s="703">
        <x:f>IF('БОВ-8а'!$AR23="Да",1,0)</x:f>
      </x:c>
      <x:c r="J886" s="704">
        <x:f>IF('БОВ-8а'!$AX23="Да",1,0)</x:f>
      </x:c>
      <x:c r="K886" s="705">
        <x:f>IF('БОВ-8а'!$BD23="Да",1,0)</x:f>
      </x:c>
      <x:c r="L886" s="706">
        <x:f>IF('БОВ-8а'!$BJ23="Да",1,0)</x:f>
      </x:c>
      <x:c r="M886" s="707">
        <x:f>IF('БОВ-8а'!$BP23="Да",1,0)</x:f>
      </x:c>
      <x:c r="N886" s="708">
        <x:f>IF('БОВ-8а'!$BV23="Да",1,0)</x:f>
      </x:c>
      <x:c r="O886" s="375">
        <x:f>IFERROR(ROUND(SUM(C886:N886)/($S$866),1),"")</x:f>
      </x:c>
    </x:row>
    <x:row r="887" spans="1:25" ht="15" customHeight="1">
      <x:c r="A887" s="710"/>
      <x:c r="B887" s="363" t="s">
        <x:v>448</x:v>
      </x:c>
      <x:c r="C887" s="697">
        <x:f>IF('БОВ-8а'!$H24="Да",1,0)</x:f>
      </x:c>
      <x:c r="D887" s="698">
        <x:f>IF('БОВ-8а'!$N24="Да",1,0)</x:f>
      </x:c>
      <x:c r="E887" s="699">
        <x:f>IF('БОВ-8а'!$T24="Да",1,0)</x:f>
      </x:c>
      <x:c r="F887" s="700">
        <x:f>IF('БОВ-8а'!$Z24="Да",1,0)</x:f>
      </x:c>
      <x:c r="G887" s="701">
        <x:f>IF('БОВ-8а'!$AF24="Да",1,0)</x:f>
      </x:c>
      <x:c r="H887" s="702">
        <x:f>IF('БОВ-8а'!$AL24="Да",1,0)</x:f>
      </x:c>
      <x:c r="I887" s="703">
        <x:f>IF('БОВ-8а'!$AR24="Да",1,0)</x:f>
      </x:c>
      <x:c r="J887" s="704">
        <x:f>IF('БОВ-8а'!$AX24="Да",1,0)</x:f>
      </x:c>
      <x:c r="K887" s="705">
        <x:f>IF('БОВ-8а'!$BD24="Да",1,0)</x:f>
      </x:c>
      <x:c r="L887" s="706">
        <x:f>IF('БОВ-8а'!$BJ24="Да",1,0)</x:f>
      </x:c>
      <x:c r="M887" s="707">
        <x:f>IF('БОВ-8а'!$BP24="Да",1,0)</x:f>
      </x:c>
      <x:c r="N887" s="708">
        <x:f>IF('БОВ-8а'!$BV24="Да",1,0)</x:f>
      </x:c>
      <x:c r="O887" s="375">
        <x:f>IFERROR(ROUND(SUM(C887:N887)/($S$866),1),"")</x:f>
      </x:c>
    </x:row>
    <x:row r="888" spans="1:25" ht="15" customHeight="1">
      <x:c r="A888" s="710"/>
      <x:c r="B888" s="363" t="s">
        <x:v>429</x:v>
      </x:c>
      <x:c r="C888" s="697">
        <x:f>IF('БОВ-8а'!$H25="Да",1,0)</x:f>
      </x:c>
      <x:c r="D888" s="698">
        <x:f>IF('БОВ-8а'!$N25="Да",1,0)</x:f>
      </x:c>
      <x:c r="E888" s="699">
        <x:f>IF('БОВ-8а'!$T25="Да",1,0)</x:f>
      </x:c>
      <x:c r="F888" s="700">
        <x:f>IF('БОВ-8а'!$Z25="Да",1,0)</x:f>
      </x:c>
      <x:c r="G888" s="701">
        <x:f>IF('БОВ-8а'!$AF25="Да",1,0)</x:f>
      </x:c>
      <x:c r="H888" s="702">
        <x:f>IF('БОВ-8а'!$AL25="Да",1,0)</x:f>
      </x:c>
      <x:c r="I888" s="703">
        <x:f>IF('БОВ-8а'!$AR25="Да",1,0)</x:f>
      </x:c>
      <x:c r="J888" s="704">
        <x:f>IF('БОВ-8а'!$AX25="Да",1,0)</x:f>
      </x:c>
      <x:c r="K888" s="705">
        <x:f>IF('БОВ-8а'!$BD25="Да",1,0)</x:f>
      </x:c>
      <x:c r="L888" s="706">
        <x:f>IF('БОВ-8а'!$BJ25="Да",1,0)</x:f>
      </x:c>
      <x:c r="M888" s="707">
        <x:f>IF('БОВ-8а'!$BP25="Да",1,0)</x:f>
      </x:c>
      <x:c r="N888" s="708">
        <x:f>IF('БОВ-8а'!$BV25="Да",1,0)</x:f>
      </x:c>
      <x:c r="O888" s="375">
        <x:f>IFERROR(ROUND(SUM(C888:N888)/($S$866),1),"")</x:f>
      </x:c>
    </x:row>
    <x:row r="889" spans="1:25" ht="15" customHeight="1">
      <x:c r="A889" s="710"/>
      <x:c r="B889" s="363" t="s">
        <x:v>444</x:v>
      </x:c>
      <x:c r="C889" s="697">
        <x:f>IF('БОВ-8а'!$H26="Да",1,0)</x:f>
      </x:c>
      <x:c r="D889" s="698">
        <x:f>IF('БОВ-8а'!$N26="Да",1,0)</x:f>
      </x:c>
      <x:c r="E889" s="699">
        <x:f>IF('БОВ-8а'!$T26="Да",1,0)</x:f>
      </x:c>
      <x:c r="F889" s="700">
        <x:f>IF('БОВ-8а'!$Z26="Да",1,0)</x:f>
      </x:c>
      <x:c r="G889" s="701">
        <x:f>IF('БОВ-8а'!$AF26="Да",1,0)</x:f>
      </x:c>
      <x:c r="H889" s="702">
        <x:f>IF('БОВ-8а'!$AL26="Да",1,0)</x:f>
      </x:c>
      <x:c r="I889" s="703">
        <x:f>IF('БОВ-8а'!$AR26="Да",1,0)</x:f>
      </x:c>
      <x:c r="J889" s="704">
        <x:f>IF('БОВ-8а'!$AX26="Да",1,0)</x:f>
      </x:c>
      <x:c r="K889" s="705">
        <x:f>IF('БОВ-8а'!$BD26="Да",1,0)</x:f>
      </x:c>
      <x:c r="L889" s="706">
        <x:f>IF('БОВ-8а'!$BJ26="Да",1,0)</x:f>
      </x:c>
      <x:c r="M889" s="707">
        <x:f>IF('БОВ-8а'!$BP26="Да",1,0)</x:f>
      </x:c>
      <x:c r="N889" s="708">
        <x:f>IF('БОВ-8а'!$BV26="Да",1,0)</x:f>
      </x:c>
      <x:c r="O889" s="375">
        <x:f>IFERROR(ROUND(SUM(C889:N889)/($S$866),1),"")</x:f>
      </x:c>
    </x:row>
    <x:row r="890" spans="1:25" ht="15" customHeight="1">
      <x:c r="A890" s="710"/>
      <x:c r="B890" s="363" t="s">
        <x:v>428</x:v>
      </x:c>
      <x:c r="C890" s="697">
        <x:f>IF('БОВ-8а'!$H27="Да",1,0)</x:f>
      </x:c>
      <x:c r="D890" s="698">
        <x:f>IF('БОВ-8а'!$N27="Да",1,0)</x:f>
      </x:c>
      <x:c r="E890" s="699">
        <x:f>IF('БОВ-8а'!$T27="Да",1,0)</x:f>
      </x:c>
      <x:c r="F890" s="700">
        <x:f>IF('БОВ-8а'!$Z27="Да",1,0)</x:f>
      </x:c>
      <x:c r="G890" s="701">
        <x:f>IF('БОВ-8а'!$AF27="Да",1,0)</x:f>
      </x:c>
      <x:c r="H890" s="702">
        <x:f>IF('БОВ-8а'!$AL27="Да",1,0)</x:f>
      </x:c>
      <x:c r="I890" s="703">
        <x:f>IF('БОВ-8а'!$AR27="Да",1,0)</x:f>
      </x:c>
      <x:c r="J890" s="704">
        <x:f>IF('БОВ-8а'!$AX27="Да",1,0)</x:f>
      </x:c>
      <x:c r="K890" s="705">
        <x:f>IF('БОВ-8а'!$BD27="Да",1,0)</x:f>
      </x:c>
      <x:c r="L890" s="706">
        <x:f>IF('БОВ-8а'!$BJ27="Да",1,0)</x:f>
      </x:c>
      <x:c r="M890" s="707">
        <x:f>IF('БОВ-8а'!$BP27="Да",1,0)</x:f>
      </x:c>
      <x:c r="N890" s="708">
        <x:f>IF('БОВ-8а'!$BV27="Да",1,0)</x:f>
      </x:c>
      <x:c r="O890" s="375">
        <x:f>IFERROR(ROUND(SUM(C890:N890)/($S$866),1),"")</x:f>
      </x:c>
    </x:row>
    <x:row r="891" spans="1:25" ht="15" customHeight="1">
      <x:c r="A891" s="710"/>
      <x:c r="B891" s="363" t="s">
        <x:v>446</x:v>
      </x:c>
      <x:c r="C891" s="697">
        <x:f>IF('БОВ-8а'!$H28="Да",1,0)</x:f>
      </x:c>
      <x:c r="D891" s="698">
        <x:f>IF('БОВ-8а'!$N28="Да",1,0)</x:f>
      </x:c>
      <x:c r="E891" s="699">
        <x:f>IF('БОВ-8а'!$T28="Да",1,0)</x:f>
      </x:c>
      <x:c r="F891" s="700">
        <x:f>IF('БОВ-8а'!$Z28="Да",1,0)</x:f>
      </x:c>
      <x:c r="G891" s="701">
        <x:f>IF('БОВ-8а'!$AF28="Да",1,0)</x:f>
      </x:c>
      <x:c r="H891" s="702">
        <x:f>IF('БОВ-8а'!$AL28="Да",1,0)</x:f>
      </x:c>
      <x:c r="I891" s="703">
        <x:f>IF('БОВ-8а'!$AR28="Да",1,0)</x:f>
      </x:c>
      <x:c r="J891" s="704">
        <x:f>IF('БОВ-8а'!$AX28="Да",1,0)</x:f>
      </x:c>
      <x:c r="K891" s="705">
        <x:f>IF('БОВ-8а'!$BD28="Да",1,0)</x:f>
      </x:c>
      <x:c r="L891" s="706">
        <x:f>IF('БОВ-8а'!$BJ28="Да",1,0)</x:f>
      </x:c>
      <x:c r="M891" s="707">
        <x:f>IF('БОВ-8а'!$BP28="Да",1,0)</x:f>
      </x:c>
      <x:c r="N891" s="708">
        <x:f>IF('БОВ-8а'!$BV28="Да",1,0)</x:f>
      </x:c>
      <x:c r="O891" s="375">
        <x:f>IFERROR(ROUND(SUM(C891:N891)/($S$866),1),"")</x:f>
      </x:c>
    </x:row>
    <x:row r="892" spans="1:25" ht="15" customHeight="1">
      <x:c r="A892" s="710"/>
      <x:c r="B892" s="363" t="s">
        <x:v>410</x:v>
      </x:c>
      <x:c r="C892" s="697">
        <x:f>IF('БОВ-8а'!$H29="Да",1,0)</x:f>
      </x:c>
      <x:c r="D892" s="698">
        <x:f>IF('БОВ-8а'!$N29="Да",1,0)</x:f>
      </x:c>
      <x:c r="E892" s="699">
        <x:f>IF('БОВ-8а'!$T29="Да",1,0)</x:f>
      </x:c>
      <x:c r="F892" s="700">
        <x:f>IF('БОВ-8а'!$Z29="Да",1,0)</x:f>
      </x:c>
      <x:c r="G892" s="701">
        <x:f>IF('БОВ-8а'!$AF29="Да",1,0)</x:f>
      </x:c>
      <x:c r="H892" s="702">
        <x:f>IF('БОВ-8а'!$AL29="Да",1,0)</x:f>
      </x:c>
      <x:c r="I892" s="703">
        <x:f>IF('БОВ-8а'!$AR29="Да",1,0)</x:f>
      </x:c>
      <x:c r="J892" s="704">
        <x:f>IF('БОВ-8а'!$AX29="Да",1,0)</x:f>
      </x:c>
      <x:c r="K892" s="705">
        <x:f>IF('БОВ-8а'!$BD29="Да",1,0)</x:f>
      </x:c>
      <x:c r="L892" s="706">
        <x:f>IF('БОВ-8а'!$BJ29="Да",1,0)</x:f>
      </x:c>
      <x:c r="M892" s="707">
        <x:f>IF('БОВ-8а'!$BP29="Да",1,0)</x:f>
      </x:c>
      <x:c r="N892" s="708">
        <x:f>IF('БОВ-8а'!$BV29="Да",1,0)</x:f>
      </x:c>
      <x:c r="O892" s="375">
        <x:f>IFERROR(ROUND(SUM(C892:N892)/($S$866),1),"")</x:f>
      </x:c>
    </x:row>
    <x:row r="893" spans="1:25" ht="15" customHeight="1">
      <x:c r="A893" s="710"/>
      <x:c r="B893" s="363" t="s">
        <x:v>397</x:v>
      </x:c>
      <x:c r="C893" s="697">
        <x:f>IF('БОВ-8а'!$H30="Да",1,0)</x:f>
      </x:c>
      <x:c r="D893" s="698">
        <x:f>IF('БОВ-8а'!$N30="Да",1,0)</x:f>
      </x:c>
      <x:c r="E893" s="699">
        <x:f>IF('БОВ-8а'!$T30="Да",1,0)</x:f>
      </x:c>
      <x:c r="F893" s="700">
        <x:f>IF('БОВ-8а'!$Z30="Да",1,0)</x:f>
      </x:c>
      <x:c r="G893" s="701">
        <x:f>IF('БОВ-8а'!$AF30="Да",1,0)</x:f>
      </x:c>
      <x:c r="H893" s="702">
        <x:f>IF('БОВ-8а'!$AL30="Да",1,0)</x:f>
      </x:c>
      <x:c r="I893" s="703">
        <x:f>IF('БОВ-8а'!$AR30="Да",1,0)</x:f>
      </x:c>
      <x:c r="J893" s="704">
        <x:f>IF('БОВ-8а'!$AX30="Да",1,0)</x:f>
      </x:c>
      <x:c r="K893" s="705">
        <x:f>IF('БОВ-8а'!$BD30="Да",1,0)</x:f>
      </x:c>
      <x:c r="L893" s="706">
        <x:f>IF('БОВ-8а'!$BJ30="Да",1,0)</x:f>
      </x:c>
      <x:c r="M893" s="707">
        <x:f>IF('БОВ-8а'!$BP30="Да",1,0)</x:f>
      </x:c>
      <x:c r="N893" s="708">
        <x:f>IF('БОВ-8а'!$BV30="Да",1,0)</x:f>
      </x:c>
      <x:c r="O893" s="375">
        <x:f>IFERROR(ROUND(SUM(C893:N893)/($S$866),1),"")</x:f>
      </x:c>
    </x:row>
    <x:row r="894" spans="1:25" ht="15" customHeight="1">
      <x:c r="A894" s="710"/>
      <x:c r="B894" s="363" t="s">
        <x:v>417</x:v>
      </x:c>
      <x:c r="C894" s="697">
        <x:f>IF('БОВ-8а'!$H31="Да",1,0)</x:f>
      </x:c>
      <x:c r="D894" s="698">
        <x:f>IF('БОВ-8а'!$N31="Да",1,0)</x:f>
      </x:c>
      <x:c r="E894" s="699">
        <x:f>IF('БОВ-8а'!$T31="Да",1,0)</x:f>
      </x:c>
      <x:c r="F894" s="700">
        <x:f>IF('БОВ-8а'!$Z31="Да",1,0)</x:f>
      </x:c>
      <x:c r="G894" s="701">
        <x:f>IF('БОВ-8а'!$AF31="Да",1,0)</x:f>
      </x:c>
      <x:c r="H894" s="702">
        <x:f>IF('БОВ-8а'!$AL31="Да",1,0)</x:f>
      </x:c>
      <x:c r="I894" s="703">
        <x:f>IF('БОВ-8а'!$AR31="Да",1,0)</x:f>
      </x:c>
      <x:c r="J894" s="704">
        <x:f>IF('БОВ-8а'!$AX31="Да",1,0)</x:f>
      </x:c>
      <x:c r="K894" s="705">
        <x:f>IF('БОВ-8а'!$BD31="Да",1,0)</x:f>
      </x:c>
      <x:c r="L894" s="706">
        <x:f>IF('БОВ-8а'!$BJ31="Да",1,0)</x:f>
      </x:c>
      <x:c r="M894" s="707">
        <x:f>IF('БОВ-8а'!$BP31="Да",1,0)</x:f>
      </x:c>
      <x:c r="N894" s="708">
        <x:f>IF('БОВ-8а'!$BV31="Да",1,0)</x:f>
      </x:c>
      <x:c r="O894" s="375">
        <x:f>IFERROR(ROUND(SUM(C894:N894)/($S$866),1),"")</x:f>
      </x:c>
    </x:row>
    <x:row r="895" spans="1:25" ht="15" customHeight="1">
      <x:c r="A895" s="710"/>
      <x:c r="B895" s="363" t="s">
        <x:v>450</x:v>
      </x:c>
      <x:c r="C895" s="697">
        <x:f>IF('БОВ-8а'!$H32="Да",1,0)</x:f>
      </x:c>
      <x:c r="D895" s="698">
        <x:f>IF('БОВ-8а'!$N32="Да",1,0)</x:f>
      </x:c>
      <x:c r="E895" s="699">
        <x:f>IF('БОВ-8а'!$T32="Да",1,0)</x:f>
      </x:c>
      <x:c r="F895" s="700">
        <x:f>IF('БОВ-8а'!$Z32="Да",1,0)</x:f>
      </x:c>
      <x:c r="G895" s="701">
        <x:f>IF('БОВ-8а'!$AF32="Да",1,0)</x:f>
      </x:c>
      <x:c r="H895" s="702">
        <x:f>IF('БОВ-8а'!$AL32="Да",1,0)</x:f>
      </x:c>
      <x:c r="I895" s="703">
        <x:f>IF('БОВ-8а'!$AR32="Да",1,0)</x:f>
      </x:c>
      <x:c r="J895" s="704">
        <x:f>IF('БОВ-8а'!$AX32="Да",1,0)</x:f>
      </x:c>
      <x:c r="K895" s="705">
        <x:f>IF('БОВ-8а'!$BD32="Да",1,0)</x:f>
      </x:c>
      <x:c r="L895" s="706">
        <x:f>IF('БОВ-8а'!$BJ32="Да",1,0)</x:f>
      </x:c>
      <x:c r="M895" s="707">
        <x:f>IF('БОВ-8а'!$BP32="Да",1,0)</x:f>
      </x:c>
      <x:c r="N895" s="708">
        <x:f>IF('БОВ-8а'!$BV32="Да",1,0)</x:f>
      </x:c>
      <x:c r="O895" s="375">
        <x:f>IFERROR(ROUND(SUM(C895:N895)/($S$866),1),"")</x:f>
      </x:c>
    </x:row>
    <x:row r="896" spans="1:25" ht="15" customHeight="1">
      <x:c r="A896" s="710"/>
      <x:c r="B896" s="363" t="s">
        <x:v>436</x:v>
      </x:c>
      <x:c r="C896" s="697">
        <x:f>IF('БОВ-8а'!$H33="Да",1,0)</x:f>
      </x:c>
      <x:c r="D896" s="698">
        <x:f>IF('БОВ-8а'!$N33="Да",1,0)</x:f>
      </x:c>
      <x:c r="E896" s="699">
        <x:f>IF('БОВ-8а'!$T33="Да",1,0)</x:f>
      </x:c>
      <x:c r="F896" s="700">
        <x:f>IF('БОВ-8а'!$Z33="Да",1,0)</x:f>
      </x:c>
      <x:c r="G896" s="701">
        <x:f>IF('БОВ-8а'!$AF33="Да",1,0)</x:f>
      </x:c>
      <x:c r="H896" s="702">
        <x:f>IF('БОВ-8а'!$AL33="Да",1,0)</x:f>
      </x:c>
      <x:c r="I896" s="703">
        <x:f>IF('БОВ-8а'!$AR33="Да",1,0)</x:f>
      </x:c>
      <x:c r="J896" s="704">
        <x:f>IF('БОВ-8а'!$AX33="Да",1,0)</x:f>
      </x:c>
      <x:c r="K896" s="705">
        <x:f>IF('БОВ-8а'!$BD33="Да",1,0)</x:f>
      </x:c>
      <x:c r="L896" s="706">
        <x:f>IF('БОВ-8а'!$BJ33="Да",1,0)</x:f>
      </x:c>
      <x:c r="M896" s="707">
        <x:f>IF('БОВ-8а'!$BP33="Да",1,0)</x:f>
      </x:c>
      <x:c r="N896" s="708">
        <x:f>IF('БОВ-8а'!$BV33="Да",1,0)</x:f>
      </x:c>
      <x:c r="O896" s="375">
        <x:f>IFERROR(ROUND(SUM(C896:N896)/($S$866),1),"")</x:f>
      </x:c>
    </x:row>
    <x:row r="897" spans="1:25" ht="15" customHeight="1">
      <x:c r="A897" s="710"/>
      <x:c r="B897" s="363" t="s">
        <x:v>439</x:v>
      </x:c>
      <x:c r="C897" s="697">
        <x:f>IF('БОВ-8а'!$H34="Да",1,0)</x:f>
      </x:c>
      <x:c r="D897" s="698">
        <x:f>IF('БОВ-8а'!$N34="Да",1,0)</x:f>
      </x:c>
      <x:c r="E897" s="699">
        <x:f>IF('БОВ-8а'!$T34="Да",1,0)</x:f>
      </x:c>
      <x:c r="F897" s="700">
        <x:f>IF('БОВ-8а'!$Z34="Да",1,0)</x:f>
      </x:c>
      <x:c r="G897" s="701">
        <x:f>IF('БОВ-8а'!$AF34="Да",1,0)</x:f>
      </x:c>
      <x:c r="H897" s="702">
        <x:f>IF('БОВ-8а'!$AL34="Да",1,0)</x:f>
      </x:c>
      <x:c r="I897" s="703">
        <x:f>IF('БОВ-8а'!$AR34="Да",1,0)</x:f>
      </x:c>
      <x:c r="J897" s="704">
        <x:f>IF('БОВ-8а'!$AX34="Да",1,0)</x:f>
      </x:c>
      <x:c r="K897" s="705">
        <x:f>IF('БОВ-8а'!$BD34="Да",1,0)</x:f>
      </x:c>
      <x:c r="L897" s="706">
        <x:f>IF('БОВ-8а'!$BJ34="Да",1,0)</x:f>
      </x:c>
      <x:c r="M897" s="707">
        <x:f>IF('БОВ-8а'!$BP34="Да",1,0)</x:f>
      </x:c>
      <x:c r="N897" s="708">
        <x:f>IF('БОВ-8а'!$BV34="Да",1,0)</x:f>
      </x:c>
      <x:c r="O897" s="375">
        <x:f>IFERROR(ROUND(SUM(C897:N897)/($S$866),1),"")</x:f>
      </x:c>
    </x:row>
    <x:row r="898" spans="1:25" ht="15" customHeight="1">
      <x:c r="A898" s="710"/>
      <x:c r="B898" s="363" t="s">
        <x:v>419</x:v>
      </x:c>
      <x:c r="C898" s="697">
        <x:f>IF('БОВ-8а'!$H35="Да",1,0)</x:f>
      </x:c>
      <x:c r="D898" s="698">
        <x:f>IF('БОВ-8а'!$N35="Да",1,0)</x:f>
      </x:c>
      <x:c r="E898" s="699">
        <x:f>IF('БОВ-8а'!$T35="Да",1,0)</x:f>
      </x:c>
      <x:c r="F898" s="700">
        <x:f>IF('БОВ-8а'!$Z35="Да",1,0)</x:f>
      </x:c>
      <x:c r="G898" s="701">
        <x:f>IF('БОВ-8а'!$AF35="Да",1,0)</x:f>
      </x:c>
      <x:c r="H898" s="702">
        <x:f>IF('БОВ-8а'!$AL35="Да",1,0)</x:f>
      </x:c>
      <x:c r="I898" s="703">
        <x:f>IF('БОВ-8а'!$AR35="Да",1,0)</x:f>
      </x:c>
      <x:c r="J898" s="704">
        <x:f>IF('БОВ-8а'!$AX35="Да",1,0)</x:f>
      </x:c>
      <x:c r="K898" s="705">
        <x:f>IF('БОВ-8а'!$BD35="Да",1,0)</x:f>
      </x:c>
      <x:c r="L898" s="706">
        <x:f>IF('БОВ-8а'!$BJ35="Да",1,0)</x:f>
      </x:c>
      <x:c r="M898" s="707">
        <x:f>IF('БОВ-8а'!$BP35="Да",1,0)</x:f>
      </x:c>
      <x:c r="N898" s="708">
        <x:f>IF('БОВ-8а'!$BV35="Да",1,0)</x:f>
      </x:c>
      <x:c r="O898" s="375">
        <x:f>IFERROR(ROUND(SUM(C898:N898)/($S$866),1),"")</x:f>
      </x:c>
    </x:row>
    <x:row r="899" spans="1:25" ht="15" customHeight="1">
      <x:c r="A899" s="710"/>
      <x:c r="B899" s="363" t="s">
        <x:v>437</x:v>
      </x:c>
      <x:c r="C899" s="697">
        <x:f>IF('БОВ-8а'!$H36="Да",1,0)</x:f>
      </x:c>
      <x:c r="D899" s="698">
        <x:f>IF('БОВ-8а'!$N36="Да",1,0)</x:f>
      </x:c>
      <x:c r="E899" s="699">
        <x:f>IF('БОВ-8а'!$T36="Да",1,0)</x:f>
      </x:c>
      <x:c r="F899" s="700">
        <x:f>IF('БОВ-8а'!$Z36="Да",1,0)</x:f>
      </x:c>
      <x:c r="G899" s="701">
        <x:f>IF('БОВ-8а'!$AF36="Да",1,0)</x:f>
      </x:c>
      <x:c r="H899" s="702">
        <x:f>IF('БОВ-8а'!$AL36="Да",1,0)</x:f>
      </x:c>
      <x:c r="I899" s="703">
        <x:f>IF('БОВ-8а'!$AR36="Да",1,0)</x:f>
      </x:c>
      <x:c r="J899" s="704">
        <x:f>IF('БОВ-8а'!$AX36="Да",1,0)</x:f>
      </x:c>
      <x:c r="K899" s="705">
        <x:f>IF('БОВ-8а'!$BD36="Да",1,0)</x:f>
      </x:c>
      <x:c r="L899" s="706">
        <x:f>IF('БОВ-8а'!$BJ36="Да",1,0)</x:f>
      </x:c>
      <x:c r="M899" s="707">
        <x:f>IF('БОВ-8а'!$BP36="Да",1,0)</x:f>
      </x:c>
      <x:c r="N899" s="708">
        <x:f>IF('БОВ-8а'!$BV36="Да",1,0)</x:f>
      </x:c>
      <x:c r="O899" s="375">
        <x:f>IFERROR(ROUND(SUM(C899:N899)/($S$866),1),"")</x:f>
      </x:c>
    </x:row>
    <x:row r="900" spans="1:25" ht="15" customHeight="1">
      <x:c r="A900" s="710"/>
      <x:c r="B900" s="363" t="s">
        <x:v>427</x:v>
      </x:c>
      <x:c r="C900" s="697">
        <x:f>IF('БОВ-8а'!$H37="Да",1,0)</x:f>
      </x:c>
      <x:c r="D900" s="698">
        <x:f>IF('БОВ-8а'!$N37="Да",1,0)</x:f>
      </x:c>
      <x:c r="E900" s="699">
        <x:f>IF('БОВ-8а'!$T37="Да",1,0)</x:f>
      </x:c>
      <x:c r="F900" s="700">
        <x:f>IF('БОВ-8а'!$Z37="Да",1,0)</x:f>
      </x:c>
      <x:c r="G900" s="701">
        <x:f>IF('БОВ-8а'!$AF37="Да",1,0)</x:f>
      </x:c>
      <x:c r="H900" s="702">
        <x:f>IF('БОВ-8а'!$AL37="Да",1,0)</x:f>
      </x:c>
      <x:c r="I900" s="703">
        <x:f>IF('БОВ-8а'!$AR37="Да",1,0)</x:f>
      </x:c>
      <x:c r="J900" s="704">
        <x:f>IF('БОВ-8а'!$AX37="Да",1,0)</x:f>
      </x:c>
      <x:c r="K900" s="705">
        <x:f>IF('БОВ-8а'!$BD37="Да",1,0)</x:f>
      </x:c>
      <x:c r="L900" s="706">
        <x:f>IF('БОВ-8а'!$BJ37="Да",1,0)</x:f>
      </x:c>
      <x:c r="M900" s="707">
        <x:f>IF('БОВ-8а'!$BP37="Да",1,0)</x:f>
      </x:c>
      <x:c r="N900" s="708">
        <x:f>IF('БОВ-8а'!$BV37="Да",1,0)</x:f>
      </x:c>
      <x:c r="O900" s="375">
        <x:f>IFERROR(ROUND(SUM(C900:N900)/($S$866),1),"")</x:f>
      </x:c>
    </x:row>
    <x:row r="901" spans="1:25" ht="15" customHeight="1">
      <x:c r="A901" s="710"/>
      <x:c r="B901" s="363" t="s">
        <x:v>422</x:v>
      </x:c>
      <x:c r="C901" s="697">
        <x:f>IF('БОВ-8а'!$H38="Да",1,0)</x:f>
      </x:c>
      <x:c r="D901" s="698">
        <x:f>IF('БОВ-8а'!$N38="Да",1,0)</x:f>
      </x:c>
      <x:c r="E901" s="699">
        <x:f>IF('БОВ-8а'!$T38="Да",1,0)</x:f>
      </x:c>
      <x:c r="F901" s="700">
        <x:f>IF('БОВ-8а'!$Z38="Да",1,0)</x:f>
      </x:c>
      <x:c r="G901" s="701">
        <x:f>IF('БОВ-8а'!$AF38="Да",1,0)</x:f>
      </x:c>
      <x:c r="H901" s="702">
        <x:f>IF('БОВ-8а'!$AL38="Да",1,0)</x:f>
      </x:c>
      <x:c r="I901" s="703">
        <x:f>IF('БОВ-8а'!$AR38="Да",1,0)</x:f>
      </x:c>
      <x:c r="J901" s="704">
        <x:f>IF('БОВ-8а'!$AX38="Да",1,0)</x:f>
      </x:c>
      <x:c r="K901" s="705">
        <x:f>IF('БОВ-8а'!$BD38="Да",1,0)</x:f>
      </x:c>
      <x:c r="L901" s="706">
        <x:f>IF('БОВ-8а'!$BJ38="Да",1,0)</x:f>
      </x:c>
      <x:c r="M901" s="707">
        <x:f>IF('БОВ-8а'!$BP38="Да",1,0)</x:f>
      </x:c>
      <x:c r="N901" s="708">
        <x:f>IF('БОВ-8а'!$BV38="Да",1,0)</x:f>
      </x:c>
      <x:c r="O901" s="375">
        <x:f>IFERROR(ROUND(SUM(C901:N901)/($S$866),1),"")</x:f>
      </x:c>
    </x:row>
    <x:row r="902" spans="1:25" ht="15" customHeight="1">
      <x:c r="A902" s="710"/>
      <x:c r="B902" s="363" t="s">
        <x:v>435</x:v>
      </x:c>
      <x:c r="C902" s="697">
        <x:f>IF('БОВ-8а'!$H39="Да",1,0)</x:f>
      </x:c>
      <x:c r="D902" s="698">
        <x:f>IF('БОВ-8а'!$N39="Да",1,0)</x:f>
      </x:c>
      <x:c r="E902" s="699">
        <x:f>IF('БОВ-8а'!$T39="Да",1,0)</x:f>
      </x:c>
      <x:c r="F902" s="700">
        <x:f>IF('БОВ-8а'!$Z39="Да",1,0)</x:f>
      </x:c>
      <x:c r="G902" s="701">
        <x:f>IF('БОВ-8а'!$AF39="Да",1,0)</x:f>
      </x:c>
      <x:c r="H902" s="702">
        <x:f>IF('БОВ-8а'!$AL39="Да",1,0)</x:f>
      </x:c>
      <x:c r="I902" s="703">
        <x:f>IF('БОВ-8а'!$AR39="Да",1,0)</x:f>
      </x:c>
      <x:c r="J902" s="704">
        <x:f>IF('БОВ-8а'!$AX39="Да",1,0)</x:f>
      </x:c>
      <x:c r="K902" s="705">
        <x:f>IF('БОВ-8а'!$BD39="Да",1,0)</x:f>
      </x:c>
      <x:c r="L902" s="706">
        <x:f>IF('БОВ-8а'!$BJ39="Да",1,0)</x:f>
      </x:c>
      <x:c r="M902" s="707">
        <x:f>IF('БОВ-8а'!$BP39="Да",1,0)</x:f>
      </x:c>
      <x:c r="N902" s="708">
        <x:f>IF('БОВ-8а'!$BV39="Да",1,0)</x:f>
      </x:c>
      <x:c r="O902" s="375">
        <x:f>IFERROR(ROUND(SUM(C902:N902)/($S$866),1),"")</x:f>
      </x:c>
    </x:row>
    <x:row r="903" spans="1:25" ht="15" customHeight="1">
      <x:c r="A903" s="710"/>
      <x:c r="B903" s="363" t="s">
        <x:v>443</x:v>
      </x:c>
      <x:c r="C903" s="697">
        <x:f>IF('БОВ-8а'!$H40="Да",1,0)</x:f>
      </x:c>
      <x:c r="D903" s="698">
        <x:f>IF('БОВ-8а'!$N40="Да",1,0)</x:f>
      </x:c>
      <x:c r="E903" s="699">
        <x:f>IF('БОВ-8а'!$T40="Да",1,0)</x:f>
      </x:c>
      <x:c r="F903" s="700">
        <x:f>IF('БОВ-8а'!$Z40="Да",1,0)</x:f>
      </x:c>
      <x:c r="G903" s="701">
        <x:f>IF('БОВ-8а'!$AF40="Да",1,0)</x:f>
      </x:c>
      <x:c r="H903" s="702">
        <x:f>IF('БОВ-8а'!$AL40="Да",1,0)</x:f>
      </x:c>
      <x:c r="I903" s="703">
        <x:f>IF('БОВ-8а'!$AR40="Да",1,0)</x:f>
      </x:c>
      <x:c r="J903" s="704">
        <x:f>IF('БОВ-8а'!$AX40="Да",1,0)</x:f>
      </x:c>
      <x:c r="K903" s="705">
        <x:f>IF('БОВ-8а'!$BD40="Да",1,0)</x:f>
      </x:c>
      <x:c r="L903" s="706">
        <x:f>IF('БОВ-8а'!$BJ40="Да",1,0)</x:f>
      </x:c>
      <x:c r="M903" s="707">
        <x:f>IF('БОВ-8а'!$BP40="Да",1,0)</x:f>
      </x:c>
      <x:c r="N903" s="708">
        <x:f>IF('БОВ-8а'!$BV40="Да",1,0)</x:f>
      </x:c>
      <x:c r="O903" s="375">
        <x:f>IFERROR(ROUND(SUM(C903:N903)/($S$866),1),"")</x:f>
      </x:c>
    </x:row>
    <x:row r="904" spans="1:25" ht="15" customHeight="1">
      <x:c r="A904" s="710"/>
      <x:c r="B904" s="363" t="s">
        <x:v>404</x:v>
      </x:c>
      <x:c r="C904" s="697">
        <x:f>IF('БОВ-8а'!$H41="Да",1,0)</x:f>
      </x:c>
      <x:c r="D904" s="698">
        <x:f>IF('БОВ-8а'!$N41="Да",1,0)</x:f>
      </x:c>
      <x:c r="E904" s="699">
        <x:f>IF('БОВ-8а'!$T41="Да",1,0)</x:f>
      </x:c>
      <x:c r="F904" s="700">
        <x:f>IF('БОВ-8а'!$Z41="Да",1,0)</x:f>
      </x:c>
      <x:c r="G904" s="701">
        <x:f>IF('БОВ-8а'!$AF41="Да",1,0)</x:f>
      </x:c>
      <x:c r="H904" s="702">
        <x:f>IF('БОВ-8а'!$AL41="Да",1,0)</x:f>
      </x:c>
      <x:c r="I904" s="703">
        <x:f>IF('БОВ-8а'!$AR41="Да",1,0)</x:f>
      </x:c>
      <x:c r="J904" s="704">
        <x:f>IF('БОВ-8а'!$AX41="Да",1,0)</x:f>
      </x:c>
      <x:c r="K904" s="705">
        <x:f>IF('БОВ-8а'!$BD41="Да",1,0)</x:f>
      </x:c>
      <x:c r="L904" s="706">
        <x:f>IF('БОВ-8а'!$BJ41="Да",1,0)</x:f>
      </x:c>
      <x:c r="M904" s="707">
        <x:f>IF('БОВ-8а'!$BP41="Да",1,0)</x:f>
      </x:c>
      <x:c r="N904" s="708">
        <x:f>IF('БОВ-8а'!$BV41="Да",1,0)</x:f>
      </x:c>
      <x:c r="O904" s="375">
        <x:f>IFERROR(ROUND(SUM(C904:N904)/($S$866),1),"")</x:f>
      </x:c>
    </x:row>
    <x:row r="905" spans="1:25" ht="15" customHeight="1">
      <x:c r="A905" s="710"/>
      <x:c r="B905" s="363" t="s">
        <x:v>411</x:v>
      </x:c>
      <x:c r="C905" s="697">
        <x:f>IF('БОВ-8а'!$H42="Да",1,0)</x:f>
      </x:c>
      <x:c r="D905" s="698">
        <x:f>IF('БОВ-8а'!$N42="Да",1,0)</x:f>
      </x:c>
      <x:c r="E905" s="699">
        <x:f>IF('БОВ-8а'!$T42="Да",1,0)</x:f>
      </x:c>
      <x:c r="F905" s="700">
        <x:f>IF('БОВ-8а'!$Z42="Да",1,0)</x:f>
      </x:c>
      <x:c r="G905" s="701">
        <x:f>IF('БОВ-8а'!$AF42="Да",1,0)</x:f>
      </x:c>
      <x:c r="H905" s="702">
        <x:f>IF('БОВ-8а'!$AL42="Да",1,0)</x:f>
      </x:c>
      <x:c r="I905" s="703">
        <x:f>IF('БОВ-8а'!$AR42="Да",1,0)</x:f>
      </x:c>
      <x:c r="J905" s="704">
        <x:f>IF('БОВ-8а'!$AX42="Да",1,0)</x:f>
      </x:c>
      <x:c r="K905" s="705">
        <x:f>IF('БОВ-8а'!$BD42="Да",1,0)</x:f>
      </x:c>
      <x:c r="L905" s="706">
        <x:f>IF('БОВ-8а'!$BJ42="Да",1,0)</x:f>
      </x:c>
      <x:c r="M905" s="707">
        <x:f>IF('БОВ-8а'!$BP42="Да",1,0)</x:f>
      </x:c>
      <x:c r="N905" s="708">
        <x:f>IF('БОВ-8а'!$BV42="Да",1,0)</x:f>
      </x:c>
      <x:c r="O905" s="375">
        <x:f>IFERROR(ROUND(SUM(C905:N905)/($S$866),1),"")</x:f>
      </x:c>
    </x:row>
    <x:row r="906" spans="1:25" ht="15" customHeight="1">
      <x:c r="A906" s="710"/>
      <x:c r="B906" s="363" t="s">
        <x:v>452</x:v>
      </x:c>
      <x:c r="C906" s="697">
        <x:f>IF('БОВ-8а'!$H43="Да",1,0)</x:f>
      </x:c>
      <x:c r="D906" s="698">
        <x:f>IF('БОВ-8а'!$N43="Да",1,0)</x:f>
      </x:c>
      <x:c r="E906" s="699">
        <x:f>IF('БОВ-8а'!$T43="Да",1,0)</x:f>
      </x:c>
      <x:c r="F906" s="700">
        <x:f>IF('БОВ-8а'!$Z43="Да",1,0)</x:f>
      </x:c>
      <x:c r="G906" s="701">
        <x:f>IF('БОВ-8а'!$AF43="Да",1,0)</x:f>
      </x:c>
      <x:c r="H906" s="702">
        <x:f>IF('БОВ-8а'!$AL43="Да",1,0)</x:f>
      </x:c>
      <x:c r="I906" s="703">
        <x:f>IF('БОВ-8а'!$AR43="Да",1,0)</x:f>
      </x:c>
      <x:c r="J906" s="704">
        <x:f>IF('БОВ-8а'!$AX43="Да",1,0)</x:f>
      </x:c>
      <x:c r="K906" s="705">
        <x:f>IF('БОВ-8а'!$BD43="Да",1,0)</x:f>
      </x:c>
      <x:c r="L906" s="706">
        <x:f>IF('БОВ-8а'!$BJ43="Да",1,0)</x:f>
      </x:c>
      <x:c r="M906" s="707">
        <x:f>IF('БОВ-8а'!$BP43="Да",1,0)</x:f>
      </x:c>
      <x:c r="N906" s="708">
        <x:f>IF('БОВ-8а'!$BV43="Да",1,0)</x:f>
      </x:c>
      <x:c r="O906" s="375">
        <x:f>IFERROR(ROUND(SUM(C906:N906)/($S$866),1),"")</x:f>
      </x:c>
    </x:row>
    <x:row r="907" spans="1:25" ht="15" customHeight="1">
      <x:c r="A907" s="710"/>
      <x:c r="B907" s="363" t="s">
        <x:v>438</x:v>
      </x:c>
      <x:c r="C907" s="697">
        <x:f>IF('БОВ-8а'!$H44="Да",1,0)</x:f>
      </x:c>
      <x:c r="D907" s="698">
        <x:f>IF('БОВ-8а'!$N44="Да",1,0)</x:f>
      </x:c>
      <x:c r="E907" s="699">
        <x:f>IF('БОВ-8а'!$T44="Да",1,0)</x:f>
      </x:c>
      <x:c r="F907" s="700">
        <x:f>IF('БОВ-8а'!$Z44="Да",1,0)</x:f>
      </x:c>
      <x:c r="G907" s="701">
        <x:f>IF('БОВ-8а'!$AF44="Да",1,0)</x:f>
      </x:c>
      <x:c r="H907" s="702">
        <x:f>IF('БОВ-8а'!$AL44="Да",1,0)</x:f>
      </x:c>
      <x:c r="I907" s="703">
        <x:f>IF('БОВ-8а'!$AR44="Да",1,0)</x:f>
      </x:c>
      <x:c r="J907" s="704">
        <x:f>IF('БОВ-8а'!$AX44="Да",1,0)</x:f>
      </x:c>
      <x:c r="K907" s="705">
        <x:f>IF('БОВ-8а'!$BD44="Да",1,0)</x:f>
      </x:c>
      <x:c r="L907" s="706">
        <x:f>IF('БОВ-8а'!$BJ44="Да",1,0)</x:f>
      </x:c>
      <x:c r="M907" s="707">
        <x:f>IF('БОВ-8а'!$BP44="Да",1,0)</x:f>
      </x:c>
      <x:c r="N907" s="708">
        <x:f>IF('БОВ-8а'!$BV44="Да",1,0)</x:f>
      </x:c>
      <x:c r="O907" s="375">
        <x:f>IFERROR(ROUND(SUM(C907:N907)/($S$866),1),"")</x:f>
      </x:c>
    </x:row>
    <x:row r="908" spans="1:25" ht="15" customHeight="1">
      <x:c r="A908" s="710"/>
      <x:c r="B908" s="363" t="s">
        <x:v>409</x:v>
      </x:c>
      <x:c r="C908" s="697">
        <x:f>IF('БОВ-8а'!$H45="Да",1,0)</x:f>
      </x:c>
      <x:c r="D908" s="698">
        <x:f>IF('БОВ-8а'!$N45="Да",1,0)</x:f>
      </x:c>
      <x:c r="E908" s="699">
        <x:f>IF('БОВ-8а'!$T45="Да",1,0)</x:f>
      </x:c>
      <x:c r="F908" s="700">
        <x:f>IF('БОВ-8а'!$Z45="Да",1,0)</x:f>
      </x:c>
      <x:c r="G908" s="701">
        <x:f>IF('БОВ-8а'!$AF45="Да",1,0)</x:f>
      </x:c>
      <x:c r="H908" s="702">
        <x:f>IF('БОВ-8а'!$AL45="Да",1,0)</x:f>
      </x:c>
      <x:c r="I908" s="703">
        <x:f>IF('БОВ-8а'!$AR45="Да",1,0)</x:f>
      </x:c>
      <x:c r="J908" s="704">
        <x:f>IF('БОВ-8а'!$AX45="Да",1,0)</x:f>
      </x:c>
      <x:c r="K908" s="705">
        <x:f>IF('БОВ-8а'!$BD45="Да",1,0)</x:f>
      </x:c>
      <x:c r="L908" s="706">
        <x:f>IF('БОВ-8а'!$BJ45="Да",1,0)</x:f>
      </x:c>
      <x:c r="M908" s="707">
        <x:f>IF('БОВ-8а'!$BP45="Да",1,0)</x:f>
      </x:c>
      <x:c r="N908" s="708">
        <x:f>IF('БОВ-8а'!$BV45="Да",1,0)</x:f>
      </x:c>
      <x:c r="O908" s="375">
        <x:f>IFERROR(ROUND(SUM(C908:N908)/($S$866),1),"")</x:f>
      </x:c>
    </x:row>
    <x:row r="909" spans="1:25" ht="15" customHeight="1">
      <x:c r="A909" s="710"/>
      <x:c r="B909" s="363" t="s">
        <x:v>432</x:v>
      </x:c>
      <x:c r="C909" s="697">
        <x:f>IF('БОВ-8а'!$H46="Да",1,0)</x:f>
      </x:c>
      <x:c r="D909" s="698">
        <x:f>IF('БОВ-8а'!$N46="Да",1,0)</x:f>
      </x:c>
      <x:c r="E909" s="699">
        <x:f>IF('БОВ-8а'!$T46="Да",1,0)</x:f>
      </x:c>
      <x:c r="F909" s="700">
        <x:f>IF('БОВ-8а'!$Z46="Да",1,0)</x:f>
      </x:c>
      <x:c r="G909" s="701">
        <x:f>IF('БОВ-8а'!$AF46="Да",1,0)</x:f>
      </x:c>
      <x:c r="H909" s="702">
        <x:f>IF('БОВ-8а'!$AL46="Да",1,0)</x:f>
      </x:c>
      <x:c r="I909" s="703">
        <x:f>IF('БОВ-8а'!$AR46="Да",1,0)</x:f>
      </x:c>
      <x:c r="J909" s="704">
        <x:f>IF('БОВ-8а'!$AX46="Да",1,0)</x:f>
      </x:c>
      <x:c r="K909" s="705">
        <x:f>IF('БОВ-8а'!$BD46="Да",1,0)</x:f>
      </x:c>
      <x:c r="L909" s="706">
        <x:f>IF('БОВ-8а'!$BJ46="Да",1,0)</x:f>
      </x:c>
      <x:c r="M909" s="707">
        <x:f>IF('БОВ-8а'!$BP46="Да",1,0)</x:f>
      </x:c>
      <x:c r="N909" s="708">
        <x:f>IF('БОВ-8а'!$BV46="Да",1,0)</x:f>
      </x:c>
      <x:c r="O909" s="375">
        <x:f>IFERROR(ROUND(SUM(C909:N909)/($S$866),1),"")</x:f>
      </x:c>
    </x:row>
    <x:row r="910" spans="1:25" ht="15" customHeight="1">
      <x:c r="A910" s="710"/>
      <x:c r="B910" s="363" t="s">
        <x:v>425</x:v>
      </x:c>
      <x:c r="C910" s="697">
        <x:f>IF('БОВ-8а'!$H47="Да",1,0)</x:f>
      </x:c>
      <x:c r="D910" s="698">
        <x:f>IF('БОВ-8а'!$N47="Да",1,0)</x:f>
      </x:c>
      <x:c r="E910" s="699">
        <x:f>IF('БОВ-8а'!$T47="Да",1,0)</x:f>
      </x:c>
      <x:c r="F910" s="700">
        <x:f>IF('БОВ-8а'!$Z47="Да",1,0)</x:f>
      </x:c>
      <x:c r="G910" s="701">
        <x:f>IF('БОВ-8а'!$AF47="Да",1,0)</x:f>
      </x:c>
      <x:c r="H910" s="702">
        <x:f>IF('БОВ-8а'!$AL47="Да",1,0)</x:f>
      </x:c>
      <x:c r="I910" s="703">
        <x:f>IF('БОВ-8а'!$AR47="Да",1,0)</x:f>
      </x:c>
      <x:c r="J910" s="704">
        <x:f>IF('БОВ-8а'!$AX47="Да",1,0)</x:f>
      </x:c>
      <x:c r="K910" s="705">
        <x:f>IF('БОВ-8а'!$BD47="Да",1,0)</x:f>
      </x:c>
      <x:c r="L910" s="706">
        <x:f>IF('БОВ-8а'!$BJ47="Да",1,0)</x:f>
      </x:c>
      <x:c r="M910" s="707">
        <x:f>IF('БОВ-8а'!$BP47="Да",1,0)</x:f>
      </x:c>
      <x:c r="N910" s="708">
        <x:f>IF('БОВ-8а'!$BV47="Да",1,0)</x:f>
      </x:c>
      <x:c r="O910" s="375">
        <x:f>IFERROR(ROUND(SUM(C910:N910)/($S$866),1),"")</x:f>
      </x:c>
    </x:row>
    <x:row r="911" spans="1:25" ht="15" customHeight="1">
      <x:c r="A911" s="710"/>
      <x:c r="B911" s="363" t="s">
        <x:v>445</x:v>
      </x:c>
      <x:c r="C911" s="697">
        <x:f>IF('БОВ-8а'!$H48="Да",1,0)</x:f>
      </x:c>
      <x:c r="D911" s="698">
        <x:f>IF('БОВ-8а'!$N48="Да",1,0)</x:f>
      </x:c>
      <x:c r="E911" s="699">
        <x:f>IF('БОВ-8а'!$T48="Да",1,0)</x:f>
      </x:c>
      <x:c r="F911" s="700">
        <x:f>IF('БОВ-8а'!$Z48="Да",1,0)</x:f>
      </x:c>
      <x:c r="G911" s="701">
        <x:f>IF('БОВ-8а'!$AF48="Да",1,0)</x:f>
      </x:c>
      <x:c r="H911" s="702">
        <x:f>IF('БОВ-8а'!$AL48="Да",1,0)</x:f>
      </x:c>
      <x:c r="I911" s="703">
        <x:f>IF('БОВ-8а'!$AR48="Да",1,0)</x:f>
      </x:c>
      <x:c r="J911" s="704">
        <x:f>IF('БОВ-8а'!$AX48="Да",1,0)</x:f>
      </x:c>
      <x:c r="K911" s="705">
        <x:f>IF('БОВ-8а'!$BD48="Да",1,0)</x:f>
      </x:c>
      <x:c r="L911" s="706">
        <x:f>IF('БОВ-8а'!$BJ48="Да",1,0)</x:f>
      </x:c>
      <x:c r="M911" s="707">
        <x:f>IF('БОВ-8а'!$BP48="Да",1,0)</x:f>
      </x:c>
      <x:c r="N911" s="708">
        <x:f>IF('БОВ-8а'!$BV48="Да",1,0)</x:f>
      </x:c>
      <x:c r="O911" s="375">
        <x:f>IFERROR(ROUND(SUM(C911:N911)/($S$866),1),"")</x:f>
      </x:c>
    </x:row>
    <x:row r="912" spans="1:25" ht="15.75" customHeight="1">
      <x:c r="A912" s="717"/>
      <x:c r="B912" s="379" t="s">
        <x:v>430</x:v>
      </x:c>
      <x:c r="C912" s="697">
        <x:f>IF('БОВ-8а'!$H49="Да",1,0)</x:f>
      </x:c>
      <x:c r="D912" s="698">
        <x:f>IF('БОВ-8а'!$N49="Да",1,0)</x:f>
      </x:c>
      <x:c r="E912" s="699">
        <x:f>IF('БОВ-8а'!$T49="Да",1,0)</x:f>
      </x:c>
      <x:c r="F912" s="700">
        <x:f>IF('БОВ-8а'!$Z49="Да",1,0)</x:f>
      </x:c>
      <x:c r="G912" s="701">
        <x:f>IF('БОВ-8а'!$AF49="Да",1,0)</x:f>
      </x:c>
      <x:c r="H912" s="702">
        <x:f>IF('БОВ-8а'!$AL49="Да",1,0)</x:f>
      </x:c>
      <x:c r="I912" s="703">
        <x:f>IF('БОВ-8а'!$AR49="Да",1,0)</x:f>
      </x:c>
      <x:c r="J912" s="704">
        <x:f>IF('БОВ-8а'!$AX49="Да",1,0)</x:f>
      </x:c>
      <x:c r="K912" s="705">
        <x:f>IF('БОВ-8а'!$BD49="Да",1,0)</x:f>
      </x:c>
      <x:c r="L912" s="706">
        <x:f>IF('БОВ-8а'!$BJ49="Да",1,0)</x:f>
      </x:c>
      <x:c r="M912" s="707">
        <x:f>IF('БОВ-8а'!$BP49="Да",1,0)</x:f>
      </x:c>
      <x:c r="N912" s="708">
        <x:f>IF('БОВ-8а'!$BV49="Да",1,0)</x:f>
      </x:c>
      <x:c r="O912" s="375">
        <x:f>IFERROR(ROUND(SUM(C912:N912)/($S$866),1),"")</x:f>
      </x:c>
    </x:row>
    <x:row r="913" spans="1:25" ht="15" customHeight="1">
      <x:c r="A913" s="696" t="s">
        <x:v>1095</x:v>
      </x:c>
      <x:c r="B913" s="363" t="s">
        <x:v>1029</x:v>
      </x:c>
      <x:c r="C913" s="697">
        <x:f>IF('ЦУП'!$H3="Да",1,0)</x:f>
      </x:c>
      <x:c r="D913" s="698">
        <x:f>IF('ЦУП'!$N3="Да",1,0)</x:f>
      </x:c>
      <x:c r="E913" s="699">
        <x:f>IF('ЦУП'!$T3="Да",1,0)</x:f>
      </x:c>
      <x:c r="F913" s="700">
        <x:f>IF('ЦУП'!$Z3="Да",1,0)</x:f>
      </x:c>
      <x:c r="G913" s="701">
        <x:f>IF('ЦУП'!$AF3="Да",1,0)</x:f>
      </x:c>
      <x:c r="H913" s="702">
        <x:f>IF('ЦУП'!$AL3="Да",1,0)</x:f>
      </x:c>
      <x:c r="I913" s="703">
        <x:f>IF('ЦУП'!$AR3="Да",1,0)</x:f>
      </x:c>
      <x:c r="J913" s="704">
        <x:f>IF('ЦУП'!$AX3="Да",1,0)</x:f>
      </x:c>
      <x:c r="K913" s="705">
        <x:f>IF('ЦУП'!$BD3="Да",1,0)</x:f>
      </x:c>
      <x:c r="L913" s="706">
        <x:f>IF('ЦУП'!$BJ3="Да",1,0)</x:f>
      </x:c>
      <x:c r="M913" s="707">
        <x:f>IF('ЦУП'!$BP3="Да",1,0)</x:f>
      </x:c>
      <x:c r="N913" s="708">
        <x:f>IF('ЦУП'!$BV3="Да",1,0)</x:f>
      </x:c>
      <x:c r="O913" s="375">
        <x:f>IFERROR(ROUND(SUM(C913:N913)/($S$913),1),"")</x:f>
      </x:c>
      <x:c r="Q913" s="709" t="s">
        <x:v>1151</x:v>
      </x:c>
      <x:c r="R913" s="596"/>
      <x:c r="S913" s="376">
        <x:f>SUM(IF(COUNTIF(C913:C931,"&gt;0")&gt;0,1,0),IF(COUNTIF(D913:D931,"&gt;0")&gt;0,1,0),IF(COUNTIF(E913:E931,"&gt;0")&gt;0,1,0),IF(COUNTIF(F913:F931,"&gt;0")&gt;0,1,0),IF(COUNTIF(G913:G931,"&gt;0")&gt;0,1,0),IF(COUNTIF(H913:H931,"&gt;0")&gt;0,1,0),IF(COUNTIF(I913:I931,"&gt;0")&gt;0,1,0),IF(COUNTIF(J913:J931,"&gt;0")&gt;0,1,0),IF(COUNTIF(K913:K931,"&gt;0")&gt;0,1,0),IF(COUNTIF(L913:L931,"&gt;0")&gt;0,1,0),IF(COUNTIF(M913:M931,"&gt;0")&gt;0,1,0),IF(COUNTIF(N913:N931,"&gt;0")&gt;0,1,0))</x:f>
      </x:c>
    </x:row>
    <x:row r="914" spans="1:25" ht="15" customHeight="1">
      <x:c r="A914" s="710"/>
      <x:c r="B914" s="363" t="s">
        <x:v>1034</x:v>
      </x:c>
      <x:c r="C914" s="697">
        <x:f>IF('ЦУП'!$H4="Да",1,0)</x:f>
      </x:c>
      <x:c r="D914" s="698">
        <x:f>IF('ЦУП'!$N4="Да",1,0)</x:f>
      </x:c>
      <x:c r="E914" s="699">
        <x:f>IF('ЦУП'!$T4="Да",1,0)</x:f>
      </x:c>
      <x:c r="F914" s="700">
        <x:f>IF('ЦУП'!$Z4="Да",1,0)</x:f>
      </x:c>
      <x:c r="G914" s="701">
        <x:f>IF('ЦУП'!$AF4="Да",1,0)</x:f>
      </x:c>
      <x:c r="H914" s="702">
        <x:f>IF('ЦУП'!$AL4="Да",1,0)</x:f>
      </x:c>
      <x:c r="I914" s="703">
        <x:f>IF('ЦУП'!$AR4="Да",1,0)</x:f>
      </x:c>
      <x:c r="J914" s="704">
        <x:f>IF('ЦУП'!$AX4="Да",1,0)</x:f>
      </x:c>
      <x:c r="K914" s="705">
        <x:f>IF('ЦУП'!$BD4="Да",1,0)</x:f>
      </x:c>
      <x:c r="L914" s="706">
        <x:f>IF('ЦУП'!$BJ4="Да",1,0)</x:f>
      </x:c>
      <x:c r="M914" s="707">
        <x:f>IF('ЦУП'!$BP4="Да",1,0)</x:f>
      </x:c>
      <x:c r="N914" s="708">
        <x:f>IF('ЦУП'!$BV4="Да",1,0)</x:f>
      </x:c>
      <x:c r="O914" s="375">
        <x:f>IFERROR(ROUND(SUM(C914:N914)/($S$913),1),"")</x:f>
      </x:c>
      <x:c r="Q914" s="711"/>
      <x:c r="R914" s="712"/>
      <x:c r="S914" s="713"/>
    </x:row>
    <x:row r="915" spans="1:25" ht="15" customHeight="1">
      <x:c r="A915" s="710"/>
      <x:c r="B915" s="363" t="s">
        <x:v>1040</x:v>
      </x:c>
      <x:c r="C915" s="697">
        <x:f>IF('ЦУП'!$H5="Да",1,0)</x:f>
      </x:c>
      <x:c r="D915" s="698">
        <x:f>IF('ЦУП'!$N5="Да",1,0)</x:f>
      </x:c>
      <x:c r="E915" s="699">
        <x:f>IF('ЦУП'!$T5="Да",1,0)</x:f>
      </x:c>
      <x:c r="F915" s="700">
        <x:f>IF('ЦУП'!$Z5="Да",1,0)</x:f>
      </x:c>
      <x:c r="G915" s="701">
        <x:f>IF('ЦУП'!$AF5="Да",1,0)</x:f>
      </x:c>
      <x:c r="H915" s="702">
        <x:f>IF('ЦУП'!$AL5="Да",1,0)</x:f>
      </x:c>
      <x:c r="I915" s="703">
        <x:f>IF('ЦУП'!$AR5="Да",1,0)</x:f>
      </x:c>
      <x:c r="J915" s="704">
        <x:f>IF('ЦУП'!$AX5="Да",1,0)</x:f>
      </x:c>
      <x:c r="K915" s="705">
        <x:f>IF('ЦУП'!$BD5="Да",1,0)</x:f>
      </x:c>
      <x:c r="L915" s="706">
        <x:f>IF('ЦУП'!$BJ5="Да",1,0)</x:f>
      </x:c>
      <x:c r="M915" s="707">
        <x:f>IF('ЦУП'!$BP5="Да",1,0)</x:f>
      </x:c>
      <x:c r="N915" s="708">
        <x:f>IF('ЦУП'!$BV5="Да",1,0)</x:f>
      </x:c>
      <x:c r="O915" s="375">
        <x:f>IFERROR(ROUND(SUM(C915:N915)/($S$913),1),"")</x:f>
      </x:c>
      <x:c r="Q915" s="714"/>
      <x:c r="R915" s="715"/>
      <x:c r="S915" s="716"/>
    </x:row>
    <x:row r="916" spans="1:25" ht="15" customHeight="1">
      <x:c r="A916" s="710"/>
      <x:c r="B916" s="363" t="s">
        <x:v>1024</x:v>
      </x:c>
      <x:c r="C916" s="697">
        <x:f>IF('ЦУП'!$H6="Да",1,0)</x:f>
      </x:c>
      <x:c r="D916" s="698">
        <x:f>IF('ЦУП'!$N6="Да",1,0)</x:f>
      </x:c>
      <x:c r="E916" s="699">
        <x:f>IF('ЦУП'!$T6="Да",1,0)</x:f>
      </x:c>
      <x:c r="F916" s="700">
        <x:f>IF('ЦУП'!$Z6="Да",1,0)</x:f>
      </x:c>
      <x:c r="G916" s="701">
        <x:f>IF('ЦУП'!$AF6="Да",1,0)</x:f>
      </x:c>
      <x:c r="H916" s="702">
        <x:f>IF('ЦУП'!$AL6="Да",1,0)</x:f>
      </x:c>
      <x:c r="I916" s="703">
        <x:f>IF('ЦУП'!$AR6="Да",1,0)</x:f>
      </x:c>
      <x:c r="J916" s="704">
        <x:f>IF('ЦУП'!$AX6="Да",1,0)</x:f>
      </x:c>
      <x:c r="K916" s="705">
        <x:f>IF('ЦУП'!$BD6="Да",1,0)</x:f>
      </x:c>
      <x:c r="L916" s="706">
        <x:f>IF('ЦУП'!$BJ6="Да",1,0)</x:f>
      </x:c>
      <x:c r="M916" s="707">
        <x:f>IF('ЦУП'!$BP6="Да",1,0)</x:f>
      </x:c>
      <x:c r="N916" s="708">
        <x:f>IF('ЦУП'!$BV6="Да",1,0)</x:f>
      </x:c>
      <x:c r="O916" s="375">
        <x:f>IFERROR(ROUND(SUM(C916:N916)/($S$913),1),"")</x:f>
      </x:c>
    </x:row>
    <x:row r="917" spans="1:25" ht="15" customHeight="1">
      <x:c r="A917" s="710"/>
      <x:c r="B917" s="363" t="s">
        <x:v>1017</x:v>
      </x:c>
      <x:c r="C917" s="697">
        <x:f>IF('ЦУП'!$H7="Да",1,0)</x:f>
      </x:c>
      <x:c r="D917" s="698">
        <x:f>IF('ЦУП'!$N7="Да",1,0)</x:f>
      </x:c>
      <x:c r="E917" s="699">
        <x:f>IF('ЦУП'!$T7="Да",1,0)</x:f>
      </x:c>
      <x:c r="F917" s="700">
        <x:f>IF('ЦУП'!$Z7="Да",1,0)</x:f>
      </x:c>
      <x:c r="G917" s="701">
        <x:f>IF('ЦУП'!$AF7="Да",1,0)</x:f>
      </x:c>
      <x:c r="H917" s="702">
        <x:f>IF('ЦУП'!$AL7="Да",1,0)</x:f>
      </x:c>
      <x:c r="I917" s="703">
        <x:f>IF('ЦУП'!$AR7="Да",1,0)</x:f>
      </x:c>
      <x:c r="J917" s="704">
        <x:f>IF('ЦУП'!$AX7="Да",1,0)</x:f>
      </x:c>
      <x:c r="K917" s="705">
        <x:f>IF('ЦУП'!$BD7="Да",1,0)</x:f>
      </x:c>
      <x:c r="L917" s="706">
        <x:f>IF('ЦУП'!$BJ7="Да",1,0)</x:f>
      </x:c>
      <x:c r="M917" s="707">
        <x:f>IF('ЦУП'!$BP7="Да",1,0)</x:f>
      </x:c>
      <x:c r="N917" s="708">
        <x:f>IF('ЦУП'!$BV7="Да",1,0)</x:f>
      </x:c>
      <x:c r="O917" s="375">
        <x:f>IFERROR(ROUND(SUM(C917:N917)/($S$913),1),"")</x:f>
      </x:c>
    </x:row>
    <x:row r="918" spans="1:25" ht="15" customHeight="1">
      <x:c r="A918" s="710"/>
      <x:c r="B918" s="363" t="s">
        <x:v>1043</x:v>
      </x:c>
      <x:c r="C918" s="697">
        <x:f>IF('ЦУП'!$H8="Да",1,0)</x:f>
      </x:c>
      <x:c r="D918" s="698">
        <x:f>IF('ЦУП'!$N8="Да",1,0)</x:f>
      </x:c>
      <x:c r="E918" s="699">
        <x:f>IF('ЦУП'!$T8="Да",1,0)</x:f>
      </x:c>
      <x:c r="F918" s="700">
        <x:f>IF('ЦУП'!$Z8="Да",1,0)</x:f>
      </x:c>
      <x:c r="G918" s="701">
        <x:f>IF('ЦУП'!$AF8="Да",1,0)</x:f>
      </x:c>
      <x:c r="H918" s="702">
        <x:f>IF('ЦУП'!$AL8="Да",1,0)</x:f>
      </x:c>
      <x:c r="I918" s="703">
        <x:f>IF('ЦУП'!$AR8="Да",1,0)</x:f>
      </x:c>
      <x:c r="J918" s="704">
        <x:f>IF('ЦУП'!$AX8="Да",1,0)</x:f>
      </x:c>
      <x:c r="K918" s="705">
        <x:f>IF('ЦУП'!$BD8="Да",1,0)</x:f>
      </x:c>
      <x:c r="L918" s="706">
        <x:f>IF('ЦУП'!$BJ8="Да",1,0)</x:f>
      </x:c>
      <x:c r="M918" s="707">
        <x:f>IF('ЦУП'!$BP8="Да",1,0)</x:f>
      </x:c>
      <x:c r="N918" s="708">
        <x:f>IF('ЦУП'!$BV8="Да",1,0)</x:f>
      </x:c>
      <x:c r="O918" s="375">
        <x:f>IFERROR(ROUND(SUM(C918:N918)/($S$913),1),"")</x:f>
      </x:c>
    </x:row>
    <x:row r="919" spans="1:25" ht="15" customHeight="1">
      <x:c r="A919" s="710"/>
      <x:c r="B919" s="363" t="s">
        <x:v>1028</x:v>
      </x:c>
      <x:c r="C919" s="697">
        <x:f>IF('ЦУП'!$H9="Да",1,0)</x:f>
      </x:c>
      <x:c r="D919" s="698">
        <x:f>IF('ЦУП'!$N9="Да",1,0)</x:f>
      </x:c>
      <x:c r="E919" s="699">
        <x:f>IF('ЦУП'!$T9="Да",1,0)</x:f>
      </x:c>
      <x:c r="F919" s="700">
        <x:f>IF('ЦУП'!$Z9="Да",1,0)</x:f>
      </x:c>
      <x:c r="G919" s="701">
        <x:f>IF('ЦУП'!$AF9="Да",1,0)</x:f>
      </x:c>
      <x:c r="H919" s="702">
        <x:f>IF('ЦУП'!$AL9="Да",1,0)</x:f>
      </x:c>
      <x:c r="I919" s="703">
        <x:f>IF('ЦУП'!$AR9="Да",1,0)</x:f>
      </x:c>
      <x:c r="J919" s="704">
        <x:f>IF('ЦУП'!$AX9="Да",1,0)</x:f>
      </x:c>
      <x:c r="K919" s="705">
        <x:f>IF('ЦУП'!$BD9="Да",1,0)</x:f>
      </x:c>
      <x:c r="L919" s="706">
        <x:f>IF('ЦУП'!$BJ9="Да",1,0)</x:f>
      </x:c>
      <x:c r="M919" s="707">
        <x:f>IF('ЦУП'!$BP9="Да",1,0)</x:f>
      </x:c>
      <x:c r="N919" s="708">
        <x:f>IF('ЦУП'!$BV9="Да",1,0)</x:f>
      </x:c>
      <x:c r="O919" s="375">
        <x:f>IFERROR(ROUND(SUM(C919:N919)/($S$913),1),"")</x:f>
      </x:c>
    </x:row>
    <x:row r="920" spans="1:25" ht="15" customHeight="1">
      <x:c r="A920" s="710"/>
      <x:c r="B920" s="363" t="s">
        <x:v>1020</x:v>
      </x:c>
      <x:c r="C920" s="697">
        <x:f>IF('ЦУП'!$H10="Да",1,0)</x:f>
      </x:c>
      <x:c r="D920" s="698">
        <x:f>IF('ЦУП'!$N10="Да",1,0)</x:f>
      </x:c>
      <x:c r="E920" s="699">
        <x:f>IF('ЦУП'!$T10="Да",1,0)</x:f>
      </x:c>
      <x:c r="F920" s="700">
        <x:f>IF('ЦУП'!$Z10="Да",1,0)</x:f>
      </x:c>
      <x:c r="G920" s="701">
        <x:f>IF('ЦУП'!$AF10="Да",1,0)</x:f>
      </x:c>
      <x:c r="H920" s="702">
        <x:f>IF('ЦУП'!$AL10="Да",1,0)</x:f>
      </x:c>
      <x:c r="I920" s="703">
        <x:f>IF('ЦУП'!$AR10="Да",1,0)</x:f>
      </x:c>
      <x:c r="J920" s="704">
        <x:f>IF('ЦУП'!$AX10="Да",1,0)</x:f>
      </x:c>
      <x:c r="K920" s="705">
        <x:f>IF('ЦУП'!$BD10="Да",1,0)</x:f>
      </x:c>
      <x:c r="L920" s="706">
        <x:f>IF('ЦУП'!$BJ10="Да",1,0)</x:f>
      </x:c>
      <x:c r="M920" s="707">
        <x:f>IF('ЦУП'!$BP10="Да",1,0)</x:f>
      </x:c>
      <x:c r="N920" s="708">
        <x:f>IF('ЦУП'!$BV10="Да",1,0)</x:f>
      </x:c>
      <x:c r="O920" s="375">
        <x:f>IFERROR(ROUND(SUM(C920:N920)/($S$913),1),"")</x:f>
      </x:c>
    </x:row>
    <x:row r="921" spans="1:25" ht="15" customHeight="1">
      <x:c r="A921" s="710"/>
      <x:c r="B921" s="363" t="s">
        <x:v>1038</x:v>
      </x:c>
      <x:c r="C921" s="697">
        <x:f>IF('ЦУП'!$H11="Да",1,0)</x:f>
      </x:c>
      <x:c r="D921" s="698">
        <x:f>IF('ЦУП'!$N11="Да",1,0)</x:f>
      </x:c>
      <x:c r="E921" s="699">
        <x:f>IF('ЦУП'!$T11="Да",1,0)</x:f>
      </x:c>
      <x:c r="F921" s="700">
        <x:f>IF('ЦУП'!$Z11="Да",1,0)</x:f>
      </x:c>
      <x:c r="G921" s="701">
        <x:f>IF('ЦУП'!$AF11="Да",1,0)</x:f>
      </x:c>
      <x:c r="H921" s="702">
        <x:f>IF('ЦУП'!$AL11="Да",1,0)</x:f>
      </x:c>
      <x:c r="I921" s="703">
        <x:f>IF('ЦУП'!$AR11="Да",1,0)</x:f>
      </x:c>
      <x:c r="J921" s="704">
        <x:f>IF('ЦУП'!$AX11="Да",1,0)</x:f>
      </x:c>
      <x:c r="K921" s="705">
        <x:f>IF('ЦУП'!$BD11="Да",1,0)</x:f>
      </x:c>
      <x:c r="L921" s="706">
        <x:f>IF('ЦУП'!$BJ11="Да",1,0)</x:f>
      </x:c>
      <x:c r="M921" s="707">
        <x:f>IF('ЦУП'!$BP11="Да",1,0)</x:f>
      </x:c>
      <x:c r="N921" s="708">
        <x:f>IF('ЦУП'!$BV11="Да",1,0)</x:f>
      </x:c>
      <x:c r="O921" s="375">
        <x:f>IFERROR(ROUND(SUM(C921:N921)/($S$913),1),"")</x:f>
      </x:c>
    </x:row>
    <x:row r="922" spans="1:25" ht="15" customHeight="1">
      <x:c r="A922" s="710"/>
      <x:c r="B922" s="363" t="s">
        <x:v>1026</x:v>
      </x:c>
      <x:c r="C922" s="697">
        <x:f>IF('ЦУП'!$H12="Да",1,0)</x:f>
      </x:c>
      <x:c r="D922" s="698">
        <x:f>IF('ЦУП'!$N12="Да",1,0)</x:f>
      </x:c>
      <x:c r="E922" s="699">
        <x:f>IF('ЦУП'!$T12="Да",1,0)</x:f>
      </x:c>
      <x:c r="F922" s="700">
        <x:f>IF('ЦУП'!$Z12="Да",1,0)</x:f>
      </x:c>
      <x:c r="G922" s="701">
        <x:f>IF('ЦУП'!$AF12="Да",1,0)</x:f>
      </x:c>
      <x:c r="H922" s="702">
        <x:f>IF('ЦУП'!$AL12="Да",1,0)</x:f>
      </x:c>
      <x:c r="I922" s="703">
        <x:f>IF('ЦУП'!$AR12="Да",1,0)</x:f>
      </x:c>
      <x:c r="J922" s="704">
        <x:f>IF('ЦУП'!$AX12="Да",1,0)</x:f>
      </x:c>
      <x:c r="K922" s="705">
        <x:f>IF('ЦУП'!$BD12="Да",1,0)</x:f>
      </x:c>
      <x:c r="L922" s="706">
        <x:f>IF('ЦУП'!$BJ12="Да",1,0)</x:f>
      </x:c>
      <x:c r="M922" s="707">
        <x:f>IF('ЦУП'!$BP12="Да",1,0)</x:f>
      </x:c>
      <x:c r="N922" s="708">
        <x:f>IF('ЦУП'!$BV12="Да",1,0)</x:f>
      </x:c>
      <x:c r="O922" s="375">
        <x:f>IFERROR(ROUND(SUM(C922:N922)/($S$913),1),"")</x:f>
      </x:c>
    </x:row>
    <x:row r="923" spans="1:25" ht="15" customHeight="1">
      <x:c r="A923" s="710"/>
      <x:c r="B923" s="363" t="s">
        <x:v>1021</x:v>
      </x:c>
      <x:c r="C923" s="697">
        <x:f>IF('ЦУП'!$H13="Да",1,0)</x:f>
      </x:c>
      <x:c r="D923" s="698">
        <x:f>IF('ЦУП'!$N13="Да",1,0)</x:f>
      </x:c>
      <x:c r="E923" s="699">
        <x:f>IF('ЦУП'!$T13="Да",1,0)</x:f>
      </x:c>
      <x:c r="F923" s="700">
        <x:f>IF('ЦУП'!$Z13="Да",1,0)</x:f>
      </x:c>
      <x:c r="G923" s="701">
        <x:f>IF('ЦУП'!$AF13="Да",1,0)</x:f>
      </x:c>
      <x:c r="H923" s="702">
        <x:f>IF('ЦУП'!$AL13="Да",1,0)</x:f>
      </x:c>
      <x:c r="I923" s="703">
        <x:f>IF('ЦУП'!$AR13="Да",1,0)</x:f>
      </x:c>
      <x:c r="J923" s="704">
        <x:f>IF('ЦУП'!$AX13="Да",1,0)</x:f>
      </x:c>
      <x:c r="K923" s="705">
        <x:f>IF('ЦУП'!$BD13="Да",1,0)</x:f>
      </x:c>
      <x:c r="L923" s="706">
        <x:f>IF('ЦУП'!$BJ13="Да",1,0)</x:f>
      </x:c>
      <x:c r="M923" s="707">
        <x:f>IF('ЦУП'!$BP13="Да",1,0)</x:f>
      </x:c>
      <x:c r="N923" s="708">
        <x:f>IF('ЦУП'!$BV13="Да",1,0)</x:f>
      </x:c>
      <x:c r="O923" s="375">
        <x:f>IFERROR(ROUND(SUM(C923:N923)/($S$913),1),"")</x:f>
      </x:c>
    </x:row>
    <x:row r="924" spans="1:25" ht="15" customHeight="1">
      <x:c r="A924" s="710"/>
      <x:c r="B924" s="363" t="s">
        <x:v>1031</x:v>
      </x:c>
      <x:c r="C924" s="697">
        <x:f>IF('ЦУП'!$H14="Да",1,0)</x:f>
      </x:c>
      <x:c r="D924" s="698">
        <x:f>IF('ЦУП'!$N14="Да",1,0)</x:f>
      </x:c>
      <x:c r="E924" s="699">
        <x:f>IF('ЦУП'!$T14="Да",1,0)</x:f>
      </x:c>
      <x:c r="F924" s="700">
        <x:f>IF('ЦУП'!$Z14="Да",1,0)</x:f>
      </x:c>
      <x:c r="G924" s="701">
        <x:f>IF('ЦУП'!$AF14="Да",1,0)</x:f>
      </x:c>
      <x:c r="H924" s="702">
        <x:f>IF('ЦУП'!$AL14="Да",1,0)</x:f>
      </x:c>
      <x:c r="I924" s="703">
        <x:f>IF('ЦУП'!$AR14="Да",1,0)</x:f>
      </x:c>
      <x:c r="J924" s="704">
        <x:f>IF('ЦУП'!$AX14="Да",1,0)</x:f>
      </x:c>
      <x:c r="K924" s="705">
        <x:f>IF('ЦУП'!$BD14="Да",1,0)</x:f>
      </x:c>
      <x:c r="L924" s="706">
        <x:f>IF('ЦУП'!$BJ14="Да",1,0)</x:f>
      </x:c>
      <x:c r="M924" s="707">
        <x:f>IF('ЦУП'!$BP14="Да",1,0)</x:f>
      </x:c>
      <x:c r="N924" s="708">
        <x:f>IF('ЦУП'!$BV14="Да",1,0)</x:f>
      </x:c>
      <x:c r="O924" s="375">
        <x:f>IFERROR(ROUND(SUM(C924:N924)/($S$913),1),"")</x:f>
      </x:c>
    </x:row>
    <x:row r="925" spans="1:25" ht="15" customHeight="1">
      <x:c r="A925" s="710"/>
      <x:c r="B925" s="363" t="s">
        <x:v>1033</x:v>
      </x:c>
      <x:c r="C925" s="697">
        <x:f>IF('ЦУП'!$H15="Да",1,0)</x:f>
      </x:c>
      <x:c r="D925" s="698">
        <x:f>IF('ЦУП'!$N15="Да",1,0)</x:f>
      </x:c>
      <x:c r="E925" s="699">
        <x:f>IF('ЦУП'!$T15="Да",1,0)</x:f>
      </x:c>
      <x:c r="F925" s="700">
        <x:f>IF('ЦУП'!$Z15="Да",1,0)</x:f>
      </x:c>
      <x:c r="G925" s="701">
        <x:f>IF('ЦУП'!$AF15="Да",1,0)</x:f>
      </x:c>
      <x:c r="H925" s="702">
        <x:f>IF('ЦУП'!$AL15="Да",1,0)</x:f>
      </x:c>
      <x:c r="I925" s="703">
        <x:f>IF('ЦУП'!$AR15="Да",1,0)</x:f>
      </x:c>
      <x:c r="J925" s="704">
        <x:f>IF('ЦУП'!$AX15="Да",1,0)</x:f>
      </x:c>
      <x:c r="K925" s="705">
        <x:f>IF('ЦУП'!$BD15="Да",1,0)</x:f>
      </x:c>
      <x:c r="L925" s="706">
        <x:f>IF('ЦУП'!$BJ15="Да",1,0)</x:f>
      </x:c>
      <x:c r="M925" s="707">
        <x:f>IF('ЦУП'!$BP15="Да",1,0)</x:f>
      </x:c>
      <x:c r="N925" s="708">
        <x:f>IF('ЦУП'!$BV15="Да",1,0)</x:f>
      </x:c>
      <x:c r="O925" s="375">
        <x:f>IFERROR(ROUND(SUM(C925:N925)/($S$913),1),"")</x:f>
      </x:c>
    </x:row>
    <x:row r="926" spans="1:25" ht="15" customHeight="1">
      <x:c r="A926" s="710"/>
      <x:c r="B926" s="363" t="s">
        <x:v>1041</x:v>
      </x:c>
      <x:c r="C926" s="697">
        <x:f>IF('ЦУП'!$H16="Да",1,0)</x:f>
      </x:c>
      <x:c r="D926" s="698">
        <x:f>IF('ЦУП'!$N16="Да",1,0)</x:f>
      </x:c>
      <x:c r="E926" s="699">
        <x:f>IF('ЦУП'!$T16="Да",1,0)</x:f>
      </x:c>
      <x:c r="F926" s="700">
        <x:f>IF('ЦУП'!$Z16="Да",1,0)</x:f>
      </x:c>
      <x:c r="G926" s="701">
        <x:f>IF('ЦУП'!$AF16="Да",1,0)</x:f>
      </x:c>
      <x:c r="H926" s="702">
        <x:f>IF('ЦУП'!$AL16="Да",1,0)</x:f>
      </x:c>
      <x:c r="I926" s="703">
        <x:f>IF('ЦУП'!$AR16="Да",1,0)</x:f>
      </x:c>
      <x:c r="J926" s="704">
        <x:f>IF('ЦУП'!$AX16="Да",1,0)</x:f>
      </x:c>
      <x:c r="K926" s="705">
        <x:f>IF('ЦУП'!$BD16="Да",1,0)</x:f>
      </x:c>
      <x:c r="L926" s="706">
        <x:f>IF('ЦУП'!$BJ16="Да",1,0)</x:f>
      </x:c>
      <x:c r="M926" s="707">
        <x:f>IF('ЦУП'!$BP16="Да",1,0)</x:f>
      </x:c>
      <x:c r="N926" s="708">
        <x:f>IF('ЦУП'!$BV16="Да",1,0)</x:f>
      </x:c>
      <x:c r="O926" s="375">
        <x:f>IFERROR(ROUND(SUM(C926:N926)/($S$913),1),"")</x:f>
      </x:c>
    </x:row>
    <x:row r="927" spans="1:25" ht="15" customHeight="1">
      <x:c r="A927" s="710"/>
      <x:c r="B927" s="363" t="s">
        <x:v>1036</x:v>
      </x:c>
      <x:c r="C927" s="697">
        <x:f>IF('ЦУП'!$H17="Да",1,0)</x:f>
      </x:c>
      <x:c r="D927" s="698">
        <x:f>IF('ЦУП'!$N17="Да",1,0)</x:f>
      </x:c>
      <x:c r="E927" s="699">
        <x:f>IF('ЦУП'!$T17="Да",1,0)</x:f>
      </x:c>
      <x:c r="F927" s="700">
        <x:f>IF('ЦУП'!$Z17="Да",1,0)</x:f>
      </x:c>
      <x:c r="G927" s="701">
        <x:f>IF('ЦУП'!$AF17="Да",1,0)</x:f>
      </x:c>
      <x:c r="H927" s="702">
        <x:f>IF('ЦУП'!$AL17="Да",1,0)</x:f>
      </x:c>
      <x:c r="I927" s="703">
        <x:f>IF('ЦУП'!$AR17="Да",1,0)</x:f>
      </x:c>
      <x:c r="J927" s="704">
        <x:f>IF('ЦУП'!$AX17="Да",1,0)</x:f>
      </x:c>
      <x:c r="K927" s="705">
        <x:f>IF('ЦУП'!$BD17="Да",1,0)</x:f>
      </x:c>
      <x:c r="L927" s="706">
        <x:f>IF('ЦУП'!$BJ17="Да",1,0)</x:f>
      </x:c>
      <x:c r="M927" s="707">
        <x:f>IF('ЦУП'!$BP17="Да",1,0)</x:f>
      </x:c>
      <x:c r="N927" s="708">
        <x:f>IF('ЦУП'!$BV17="Да",1,0)</x:f>
      </x:c>
      <x:c r="O927" s="375">
        <x:f>IFERROR(ROUND(SUM(C927:N927)/($S$913),1),"")</x:f>
      </x:c>
    </x:row>
    <x:row r="928" spans="1:25" ht="15" customHeight="1">
      <x:c r="A928" s="710"/>
      <x:c r="B928" s="363" t="s">
        <x:v>1022</x:v>
      </x:c>
      <x:c r="C928" s="697">
        <x:f>IF('ЦУП'!$H18="Да",1,0)</x:f>
      </x:c>
      <x:c r="D928" s="698">
        <x:f>IF('ЦУП'!$N18="Да",1,0)</x:f>
      </x:c>
      <x:c r="E928" s="699">
        <x:f>IF('ЦУП'!$T18="Да",1,0)</x:f>
      </x:c>
      <x:c r="F928" s="700">
        <x:f>IF('ЦУП'!$Z18="Да",1,0)</x:f>
      </x:c>
      <x:c r="G928" s="701">
        <x:f>IF('ЦУП'!$AF18="Да",1,0)</x:f>
      </x:c>
      <x:c r="H928" s="702">
        <x:f>IF('ЦУП'!$AL18="Да",1,0)</x:f>
      </x:c>
      <x:c r="I928" s="703">
        <x:f>IF('ЦУП'!$AR18="Да",1,0)</x:f>
      </x:c>
      <x:c r="J928" s="704">
        <x:f>IF('ЦУП'!$AX18="Да",1,0)</x:f>
      </x:c>
      <x:c r="K928" s="705">
        <x:f>IF('ЦУП'!$BD18="Да",1,0)</x:f>
      </x:c>
      <x:c r="L928" s="706">
        <x:f>IF('ЦУП'!$BJ18="Да",1,0)</x:f>
      </x:c>
      <x:c r="M928" s="707">
        <x:f>IF('ЦУП'!$BP18="Да",1,0)</x:f>
      </x:c>
      <x:c r="N928" s="708">
        <x:f>IF('ЦУП'!$BV18="Да",1,0)</x:f>
      </x:c>
      <x:c r="O928" s="375">
        <x:f>IFERROR(ROUND(SUM(C928:N928)/($S$913),1),"")</x:f>
      </x:c>
    </x:row>
    <x:row r="929" spans="1:25" ht="15" customHeight="1">
      <x:c r="A929" s="710"/>
      <x:c r="B929" s="363" t="s">
        <x:v>1035</x:v>
      </x:c>
      <x:c r="C929" s="697">
        <x:f>IF('ЦУП'!$H19="Да",1,0)</x:f>
      </x:c>
      <x:c r="D929" s="698">
        <x:f>IF('ЦУП'!$N19="Да",1,0)</x:f>
      </x:c>
      <x:c r="E929" s="699">
        <x:f>IF('ЦУП'!$T19="Да",1,0)</x:f>
      </x:c>
      <x:c r="F929" s="700">
        <x:f>IF('ЦУП'!$Z19="Да",1,0)</x:f>
      </x:c>
      <x:c r="G929" s="701">
        <x:f>IF('ЦУП'!$AF19="Да",1,0)</x:f>
      </x:c>
      <x:c r="H929" s="702">
        <x:f>IF('ЦУП'!$AL19="Да",1,0)</x:f>
      </x:c>
      <x:c r="I929" s="703">
        <x:f>IF('ЦУП'!$AR19="Да",1,0)</x:f>
      </x:c>
      <x:c r="J929" s="704">
        <x:f>IF('ЦУП'!$AX19="Да",1,0)</x:f>
      </x:c>
      <x:c r="K929" s="705">
        <x:f>IF('ЦУП'!$BD19="Да",1,0)</x:f>
      </x:c>
      <x:c r="L929" s="706">
        <x:f>IF('ЦУП'!$BJ19="Да",1,0)</x:f>
      </x:c>
      <x:c r="M929" s="707">
        <x:f>IF('ЦУП'!$BP19="Да",1,0)</x:f>
      </x:c>
      <x:c r="N929" s="708">
        <x:f>IF('ЦУП'!$BV19="Да",1,0)</x:f>
      </x:c>
      <x:c r="O929" s="375">
        <x:f>IFERROR(ROUND(SUM(C929:N929)/($S$913),1),"")</x:f>
      </x:c>
    </x:row>
    <x:row r="930" spans="1:25" ht="15" customHeight="1">
      <x:c r="A930" s="710"/>
      <x:c r="B930" s="363" t="s">
        <x:v>1027</x:v>
      </x:c>
      <x:c r="C930" s="697">
        <x:f>IF('ЦУП'!$H20="Да",1,0)</x:f>
      </x:c>
      <x:c r="D930" s="698">
        <x:f>IF('ЦУП'!$N20="Да",1,0)</x:f>
      </x:c>
      <x:c r="E930" s="699">
        <x:f>IF('ЦУП'!$T20="Да",1,0)</x:f>
      </x:c>
      <x:c r="F930" s="700">
        <x:f>IF('ЦУП'!$Z20="Да",1,0)</x:f>
      </x:c>
      <x:c r="G930" s="701">
        <x:f>IF('ЦУП'!$AF20="Да",1,0)</x:f>
      </x:c>
      <x:c r="H930" s="702">
        <x:f>IF('ЦУП'!$AL20="Да",1,0)</x:f>
      </x:c>
      <x:c r="I930" s="703">
        <x:f>IF('ЦУП'!$AR20="Да",1,0)</x:f>
      </x:c>
      <x:c r="J930" s="704">
        <x:f>IF('ЦУП'!$AX20="Да",1,0)</x:f>
      </x:c>
      <x:c r="K930" s="705">
        <x:f>IF('ЦУП'!$BD20="Да",1,0)</x:f>
      </x:c>
      <x:c r="L930" s="706">
        <x:f>IF('ЦУП'!$BJ20="Да",1,0)</x:f>
      </x:c>
      <x:c r="M930" s="707">
        <x:f>IF('ЦУП'!$BP20="Да",1,0)</x:f>
      </x:c>
      <x:c r="N930" s="708">
        <x:f>IF('ЦУП'!$BV20="Да",1,0)</x:f>
      </x:c>
      <x:c r="O930" s="375">
        <x:f>IFERROR(ROUND(SUM(C930:N930)/($S$913),1),"")</x:f>
      </x:c>
    </x:row>
    <x:row r="931" spans="1:25" ht="15.75" customHeight="1">
      <x:c r="A931" s="717"/>
      <x:c r="B931" s="379" t="s">
        <x:v>1042</x:v>
      </x:c>
      <x:c r="C931" s="697">
        <x:f>IF('ЦУП'!$H21="Да",1,0)</x:f>
      </x:c>
      <x:c r="D931" s="698">
        <x:f>IF('ЦУП'!$N21="Да",1,0)</x:f>
      </x:c>
      <x:c r="E931" s="699">
        <x:f>IF('ЦУП'!$T21="Да",1,0)</x:f>
      </x:c>
      <x:c r="F931" s="700">
        <x:f>IF('ЦУП'!$Z21="Да",1,0)</x:f>
      </x:c>
      <x:c r="G931" s="701">
        <x:f>IF('ЦУП'!$AF21="Да",1,0)</x:f>
      </x:c>
      <x:c r="H931" s="702">
        <x:f>IF('ЦУП'!$AL21="Да",1,0)</x:f>
      </x:c>
      <x:c r="I931" s="703">
        <x:f>IF('ЦУП'!$AR21="Да",1,0)</x:f>
      </x:c>
      <x:c r="J931" s="704">
        <x:f>IF('ЦУП'!$AX21="Да",1,0)</x:f>
      </x:c>
      <x:c r="K931" s="705">
        <x:f>IF('ЦУП'!$BD21="Да",1,0)</x:f>
      </x:c>
      <x:c r="L931" s="706">
        <x:f>IF('ЦУП'!$BJ21="Да",1,0)</x:f>
      </x:c>
      <x:c r="M931" s="707">
        <x:f>IF('ЦУП'!$BP21="Да",1,0)</x:f>
      </x:c>
      <x:c r="N931" s="708">
        <x:f>IF('ЦУП'!$BV21="Да",1,0)</x:f>
      </x:c>
      <x:c r="O931" s="375">
        <x:f>IFERROR(ROUND(SUM(C931:N931)/($S$913),1),"")</x:f>
      </x:c>
    </x:row>
  </x:sheetData>
  <x:mergeCells count="90">
    <x:mergeCell ref="A1:B1"/>
    <x:mergeCell ref="C1:N1"/>
    <x:mergeCell ref="O1:O2"/>
    <x:mergeCell ref="A3:A46"/>
    <x:mergeCell ref="Q3:R3"/>
    <x:mergeCell ref="Q4:S5"/>
    <x:mergeCell ref="A47:A67"/>
    <x:mergeCell ref="Q47:R47"/>
    <x:mergeCell ref="Q48:S49"/>
    <x:mergeCell ref="A68:A95"/>
    <x:mergeCell ref="Q68:R68"/>
    <x:mergeCell ref="Q69:S70"/>
    <x:mergeCell ref="A96:A142"/>
    <x:mergeCell ref="Q96:R96"/>
    <x:mergeCell ref="Q97:S98"/>
    <x:mergeCell ref="A143:A185"/>
    <x:mergeCell ref="Q143:R143"/>
    <x:mergeCell ref="Q144:S145"/>
    <x:mergeCell ref="A186:A217"/>
    <x:mergeCell ref="Q186:R186"/>
    <x:mergeCell ref="Q187:S188"/>
    <x:mergeCell ref="A218:A239"/>
    <x:mergeCell ref="Q218:R218"/>
    <x:mergeCell ref="Q219:S220"/>
    <x:mergeCell ref="A240:A266"/>
    <x:mergeCell ref="Q240:R240"/>
    <x:mergeCell ref="Q241:S242"/>
    <x:mergeCell ref="A267:A288"/>
    <x:mergeCell ref="Q267:R267"/>
    <x:mergeCell ref="Q268:S269"/>
    <x:mergeCell ref="A289:A310"/>
    <x:mergeCell ref="Q289:R289"/>
    <x:mergeCell ref="Q290:S291"/>
    <x:mergeCell ref="A311:A362"/>
    <x:mergeCell ref="Q311:R311"/>
    <x:mergeCell ref="Q312:S313"/>
    <x:mergeCell ref="A363:A382"/>
    <x:mergeCell ref="Q363:R363"/>
    <x:mergeCell ref="Q364:S365"/>
    <x:mergeCell ref="A383:A394"/>
    <x:mergeCell ref="Q383:R383"/>
    <x:mergeCell ref="Q384:S385"/>
    <x:mergeCell ref="A395:A415"/>
    <x:mergeCell ref="Q395:R395"/>
    <x:mergeCell ref="Q396:S397"/>
    <x:mergeCell ref="A416:A508"/>
    <x:mergeCell ref="Q416:R416"/>
    <x:mergeCell ref="Q417:S418"/>
    <x:mergeCell ref="A509:A614"/>
    <x:mergeCell ref="Q509:R509"/>
    <x:mergeCell ref="Q510:S511"/>
    <x:mergeCell ref="A615:A625"/>
    <x:mergeCell ref="Q615:R615"/>
    <x:mergeCell ref="Q616:S617"/>
    <x:mergeCell ref="A626:A652"/>
    <x:mergeCell ref="Q626:R626"/>
    <x:mergeCell ref="Q627:S628"/>
    <x:mergeCell ref="A653:A662"/>
    <x:mergeCell ref="Q653:R653"/>
    <x:mergeCell ref="Q654:S655"/>
    <x:mergeCell ref="A663:A683"/>
    <x:mergeCell ref="Q663:R663"/>
    <x:mergeCell ref="Q664:S665"/>
    <x:mergeCell ref="A684:A704"/>
    <x:mergeCell ref="Q684:R684"/>
    <x:mergeCell ref="Q685:S686"/>
    <x:mergeCell ref="A705:A719"/>
    <x:mergeCell ref="Q705:R705"/>
    <x:mergeCell ref="Q706:S707"/>
    <x:mergeCell ref="A720:A745"/>
    <x:mergeCell ref="Q720:R720"/>
    <x:mergeCell ref="Q721:S722"/>
    <x:mergeCell ref="A746:A774"/>
    <x:mergeCell ref="Q746:R746"/>
    <x:mergeCell ref="Q747:S748"/>
    <x:mergeCell ref="A775:A795"/>
    <x:mergeCell ref="Q775:R775"/>
    <x:mergeCell ref="Q776:S777"/>
    <x:mergeCell ref="A796:A810"/>
    <x:mergeCell ref="Q796:R796"/>
    <x:mergeCell ref="Q797:S798"/>
    <x:mergeCell ref="A811:A865"/>
    <x:mergeCell ref="Q811:R811"/>
    <x:mergeCell ref="Q812:S813"/>
    <x:mergeCell ref="A866:A912"/>
    <x:mergeCell ref="Q866:R866"/>
    <x:mergeCell ref="Q867:S868"/>
    <x:mergeCell ref="A913:A931"/>
    <x:mergeCell ref="Q913:R913"/>
    <x:mergeCell ref="Q914:S915"/>
  </x:mergeCells>
  <x:conditionalFormatting sqref="B745:B745">
    <x:cfRule type="duplicateValues" dxfId="0" priority="1"/>
  </x:conditionalFormatting>
  <x:conditionalFormatting sqref="O3:O9936">
    <x:cfRule type="cellIs" dxfId="0" priority="2" operator="greaterThan">
      <x:formula>1</x:formula>
    </x:cfRule>
  </x:conditionalFormatting>
  <x:conditionalFormatting sqref="B599:B601">
    <x:cfRule type="duplicateValues" dxfId="0" priority="3"/>
    <x:cfRule type="duplicateValues" dxfId="0" priority="4"/>
  </x:conditionalFormatting>
  <x:conditionalFormatting sqref="B865:B870">
    <x:cfRule type="duplicateValues" dxfId="0" priority="5"/>
  </x:conditionalFormatting>
  <x:conditionalFormatting sqref="B847:B864">
    <x:cfRule type="duplicateValues" dxfId="0" priority="6"/>
  </x:conditionalFormatting>
  <x:conditionalFormatting sqref="B598:B598">
    <x:cfRule type="duplicateValues" dxfId="0" priority="7"/>
  </x:conditionalFormatting>
  <x:conditionalFormatting sqref="B100:B100">
    <x:cfRule type="duplicateValues" dxfId="0" priority="8"/>
  </x:conditionalFormatting>
  <x:conditionalFormatting sqref="B598:B598 B602:B615">
    <x:cfRule type="duplicateValues" dxfId="0" priority="9"/>
  </x:conditionalFormatting>
  <x:conditionalFormatting sqref="B458:B478">
    <x:cfRule type="duplicateValues" dxfId="0" priority="10"/>
  </x:conditionalFormatting>
  <x:conditionalFormatting sqref="B587:B597">
    <x:cfRule type="duplicateValues" dxfId="0" priority="11"/>
  </x:conditionalFormatting>
  <x:conditionalFormatting sqref="B70:B99">
    <x:cfRule type="duplicateValues" dxfId="0" priority="12"/>
  </x:conditionalFormatting>
  <x:conditionalFormatting sqref="B47:B69">
    <x:cfRule type="duplicateValues" dxfId="0" priority="13"/>
  </x:conditionalFormatting>
  <x:conditionalFormatting sqref="B3:B46">
    <x:cfRule type="duplicateValues" dxfId="0" priority="14"/>
  </x:conditionalFormatting>
  <x:conditionalFormatting sqref="B101:B147">
    <x:cfRule type="duplicateValues" dxfId="0" priority="15"/>
  </x:conditionalFormatting>
  <x:conditionalFormatting sqref="B148:B196">
    <x:cfRule type="duplicateValues" dxfId="0" priority="16"/>
  </x:conditionalFormatting>
  <x:conditionalFormatting sqref="B230:B249">
    <x:cfRule type="duplicateValues" dxfId="0" priority="17"/>
  </x:conditionalFormatting>
  <x:conditionalFormatting sqref="B197:B229">
    <x:cfRule type="duplicateValues" dxfId="0" priority="18"/>
  </x:conditionalFormatting>
  <x:conditionalFormatting sqref="B275:B297">
    <x:cfRule type="duplicateValues" dxfId="0" priority="19"/>
  </x:conditionalFormatting>
  <x:conditionalFormatting sqref="B250:B274">
    <x:cfRule type="duplicateValues" dxfId="0" priority="20"/>
  </x:conditionalFormatting>
  <x:conditionalFormatting sqref="B345:B365">
    <x:cfRule type="duplicateValues" dxfId="0" priority="21"/>
  </x:conditionalFormatting>
  <x:conditionalFormatting sqref="B298:B344">
    <x:cfRule type="duplicateValues" dxfId="0" priority="22"/>
  </x:conditionalFormatting>
  <x:conditionalFormatting sqref="B366:B377">
    <x:cfRule type="duplicateValues" dxfId="0" priority="23"/>
  </x:conditionalFormatting>
  <x:conditionalFormatting sqref="B378:B457">
    <x:cfRule type="duplicateValues" dxfId="0" priority="24"/>
  </x:conditionalFormatting>
  <x:conditionalFormatting sqref="B479:B586">
    <x:cfRule type="duplicateValues" dxfId="0" priority="25"/>
  </x:conditionalFormatting>
  <x:conditionalFormatting sqref="B627:B638">
    <x:cfRule type="duplicateValues" dxfId="0" priority="26"/>
  </x:conditionalFormatting>
  <x:conditionalFormatting sqref="B639:B661">
    <x:cfRule type="duplicateValues" dxfId="0" priority="27"/>
  </x:conditionalFormatting>
  <x:conditionalFormatting sqref="B784:B846">
    <x:cfRule type="duplicateValues" dxfId="0" priority="28"/>
  </x:conditionalFormatting>
  <x:conditionalFormatting sqref="B768:B783">
    <x:cfRule type="duplicateValues" dxfId="0" priority="29"/>
  </x:conditionalFormatting>
  <x:conditionalFormatting sqref="B746:B767">
    <x:cfRule type="duplicateValues" dxfId="0" priority="30"/>
  </x:conditionalFormatting>
  <x:conditionalFormatting sqref="B714:B744">
    <x:cfRule type="duplicateValues" dxfId="0" priority="31"/>
  </x:conditionalFormatting>
  <x:conditionalFormatting sqref="B683:B713">
    <x:cfRule type="duplicateValues" dxfId="0" priority="32"/>
  </x:conditionalFormatting>
  <x:conditionalFormatting sqref="B662:B682">
    <x:cfRule type="duplicateValues" dxfId="0" priority="33"/>
  </x:conditionalFormatting>
  <x:conditionalFormatting sqref="B616:B626">
    <x:cfRule type="duplicateValues" dxfId="0" priority="34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3" width="35.710625" style="0" customWidth="1"/>
    <x:col min="4" max="8" width="12.710625" style="0" customWidth="1"/>
    <x:col min="9" max="11" width="20.710625" style="0" customWidth="1"/>
    <x:col min="12" max="12" width="22.710625" style="0" customWidth="1"/>
    <x:col min="13" max="13" width="20.710625" style="0" customWidth="1"/>
  </x:cols>
  <x:sheetData>
    <x:row r="1" spans="1:13">
      <x:c r="A1" s="718" t="s">
        <x:v>1142</x:v>
      </x:c>
      <x:c r="B1" s="718" t="s">
        <x:v>1100</x:v>
      </x:c>
      <x:c r="C1" s="718" t="s">
        <x:v>1099</x:v>
      </x:c>
      <x:c r="D1" s="718" t="s">
        <x:v>1156</x:v>
      </x:c>
      <x:c r="E1" s="718" t="s">
        <x:v>1155</x:v>
      </x:c>
      <x:c r="F1" s="718" t="s">
        <x:v>1154</x:v>
      </x:c>
      <x:c r="G1" s="718" t="s">
        <x:v>1153</x:v>
      </x:c>
      <x:c r="H1" s="718" t="s">
        <x:v>1152</x:v>
      </x:c>
      <x:c r="I1" s="718" t="s">
        <x:v>1101</x:v>
      </x:c>
      <x:c r="J1" s="718" t="s">
        <x:v>1157</x:v>
      </x:c>
      <x:c r="K1" s="718" t="s">
        <x:v>1149</x:v>
      </x:c>
      <x:c r="L1" s="718" t="s">
        <x:v>1148</x:v>
      </x:c>
      <x:c r="M1" s="718" t="s">
        <x:v>1147</x:v>
      </x:c>
    </x:row>
  </x:sheetData>
  <x:autoFilter ref="A1:M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5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32.710625" style="0" customWidth="1"/>
    <x:col min="2" max="2" width="35.710625" style="0" customWidth="1"/>
    <x:col min="3" max="3" width="25.710625" style="0" customWidth="1"/>
    <x:col min="4" max="4" width="30.710625" style="0" customWidth="1"/>
    <x:col min="5" max="5" width="25.710625" style="0" customWidth="1"/>
    <x:col min="6" max="6" width="20.710625" style="0" customWidth="1"/>
  </x:cols>
  <x:sheetData>
    <x:row r="1" spans="1:6">
      <x:c r="A1" s="719" t="s">
        <x:v>1197</x:v>
      </x:c>
    </x:row>
    <x:row r="3" spans="1:6">
      <x:c r="A3" s="720" t="s">
        <x:v>1196</x:v>
      </x:c>
    </x:row>
    <x:row r="4" spans="1:6">
      <x:c r="A4" s="721" t="s">
        <x:v>1191</x:v>
      </x:c>
      <x:c r="B4" s="721" t="s">
        <x:v>1142</x:v>
      </x:c>
      <x:c r="C4" s="721" t="s">
        <x:v>1190</x:v>
      </x:c>
      <x:c r="D4" s="721" t="s">
        <x:v>1195</x:v>
      </x:c>
    </x:row>
    <x:row r="5" spans="1:6">
      <x:c r="A5" s="722" t="s">
        <x:v>1064</x:v>
      </x:c>
      <x:c r="B5" s="722" t="s">
        <x:v>1064</x:v>
      </x:c>
      <x:c r="C5" s="722">
        <x:v>264</x:v>
      </x:c>
      <x:c r="D5" s="722" t="s">
        <x:v>1194</x:v>
      </x:c>
    </x:row>
    <x:row r="6" spans="1:6">
      <x:c r="A6" s="722" t="s">
        <x:v>1065</x:v>
      </x:c>
      <x:c r="B6" s="722" t="s">
        <x:v>1065</x:v>
      </x:c>
      <x:c r="C6" s="722">
        <x:v>153</x:v>
      </x:c>
      <x:c r="D6" s="722" t="s">
        <x:v>1194</x:v>
      </x:c>
    </x:row>
    <x:row r="7" spans="1:6">
      <x:c r="A7" s="722" t="s">
        <x:v>1066</x:v>
      </x:c>
      <x:c r="B7" s="722" t="s">
        <x:v>1066</x:v>
      </x:c>
      <x:c r="C7" s="722">
        <x:v>189</x:v>
      </x:c>
      <x:c r="D7" s="722" t="s">
        <x:v>1194</x:v>
      </x:c>
    </x:row>
    <x:row r="8" spans="1:6">
      <x:c r="A8" s="722" t="s">
        <x:v>1067</x:v>
      </x:c>
      <x:c r="B8" s="722" t="s">
        <x:v>1067</x:v>
      </x:c>
      <x:c r="C8" s="722">
        <x:v>283</x:v>
      </x:c>
      <x:c r="D8" s="722" t="s">
        <x:v>1194</x:v>
      </x:c>
    </x:row>
    <x:row r="9" spans="1:6">
      <x:c r="A9" s="722" t="s">
        <x:v>1193</x:v>
      </x:c>
      <x:c r="B9" s="722" t="s">
        <x:v>1068</x:v>
      </x:c>
      <x:c r="C9" s="722">
        <x:v>358</x:v>
      </x:c>
      <x:c r="D9" s="722" t="s">
        <x:v>1194</x:v>
      </x:c>
    </x:row>
    <x:row r="10" spans="1:6">
      <x:c r="A10" s="722" t="s">
        <x:v>1192</x:v>
      </x:c>
      <x:c r="B10" s="722" t="s">
        <x:v>1070</x:v>
      </x:c>
      <x:c r="C10" s="722">
        <x:v>139</x:v>
      </x:c>
      <x:c r="D10" s="722" t="s">
        <x:v>1194</x:v>
      </x:c>
    </x:row>
    <x:row r="11" spans="1:6">
      <x:c r="A11" s="722" t="s">
        <x:v>1189</x:v>
      </x:c>
      <x:c r="B11" s="722" t="s">
        <x:v>1158</x:v>
      </x:c>
      <x:c r="C11" s="722">
        <x:v>768</x:v>
      </x:c>
      <x:c r="D11" s="722" t="s">
        <x:v>1194</x:v>
      </x:c>
    </x:row>
    <x:row r="12" spans="1:6">
      <x:c r="A12" s="722" t="s">
        <x:v>1069</x:v>
      </x:c>
      <x:c r="B12" s="722" t="s">
        <x:v>1069</x:v>
      </x:c>
      <x:c r="C12" s="722">
        <x:v>193</x:v>
      </x:c>
      <x:c r="D12" s="722" t="s">
        <x:v>1194</x:v>
      </x:c>
    </x:row>
    <x:row r="13" spans="1:6">
      <x:c r="A13" s="722" t="s">
        <x:v>1079</x:v>
      </x:c>
      <x:c r="B13" s="722" t="s">
        <x:v>1079</x:v>
      </x:c>
      <x:c r="C13" s="722">
        <x:v>600</x:v>
      </x:c>
      <x:c r="D13" s="722" t="s">
        <x:v>1194</x:v>
      </x:c>
    </x:row>
    <x:row r="14" spans="1:6">
      <x:c r="A14" s="722" t="s">
        <x:v>1076</x:v>
      </x:c>
      <x:c r="B14" s="722" t="s">
        <x:v>1076</x:v>
      </x:c>
      <x:c r="C14" s="722">
        <x:v>135</x:v>
      </x:c>
      <x:c r="D14" s="722" t="s">
        <x:v>1194</x:v>
      </x:c>
    </x:row>
    <x:row r="15" spans="1:6">
      <x:c r="A15" s="722" t="s">
        <x:v>1074</x:v>
      </x:c>
      <x:c r="B15" s="722" t="s">
        <x:v>1074</x:v>
      </x:c>
      <x:c r="C15" s="722">
        <x:v>280</x:v>
      </x:c>
      <x:c r="D15" s="722" t="s">
        <x:v>1194</x:v>
      </x:c>
    </x:row>
    <x:row r="16" spans="1:6">
      <x:c r="A16" s="722" t="s">
        <x:v>1073</x:v>
      </x:c>
      <x:c r="B16" s="722" t="s">
        <x:v>1073</x:v>
      </x:c>
      <x:c r="C16" s="722">
        <x:v>161</x:v>
      </x:c>
      <x:c r="D16" s="722" t="s">
        <x:v>1194</x:v>
      </x:c>
    </x:row>
    <x:row r="17" spans="1:6">
      <x:c r="A17" s="722" t="s">
        <x:v>1188</x:v>
      </x:c>
      <x:c r="B17" s="722" t="s">
        <x:v>1150</x:v>
      </x:c>
      <x:c r="C17" s="722">
        <x:v>10</x:v>
      </x:c>
      <x:c r="D17" s="722" t="s">
        <x:v>1194</x:v>
      </x:c>
    </x:row>
    <x:row r="18" spans="1:6">
      <x:c r="A18" s="722" t="s">
        <x:v>1075</x:v>
      </x:c>
      <x:c r="B18" s="722" t="s">
        <x:v>1075</x:v>
      </x:c>
      <x:c r="C18" s="722">
        <x:v>381</x:v>
      </x:c>
      <x:c r="D18" s="722" t="s">
        <x:v>1194</x:v>
      </x:c>
    </x:row>
    <x:row r="19" spans="1:6">
      <x:c r="A19" s="722" t="s">
        <x:v>1127</x:v>
      </x:c>
      <x:c r="B19" s="722" t="s">
        <x:v>1077</x:v>
      </x:c>
      <x:c r="C19" s="722">
        <x:v>84</x:v>
      </x:c>
      <x:c r="D19" s="722" t="s">
        <x:v>1194</x:v>
      </x:c>
    </x:row>
    <x:row r="20" spans="1:6">
      <x:c r="A20" s="722" t="s">
        <x:v>1081</x:v>
      </x:c>
      <x:c r="B20" s="722" t="s">
        <x:v>1081</x:v>
      </x:c>
      <x:c r="C20" s="722">
        <x:v>323</x:v>
      </x:c>
      <x:c r="D20" s="722" t="s">
        <x:v>1194</x:v>
      </x:c>
    </x:row>
    <x:row r="21" spans="1:6">
      <x:c r="A21" s="722" t="s">
        <x:v>1088</x:v>
      </x:c>
      <x:c r="B21" s="722" t="s">
        <x:v>1088</x:v>
      </x:c>
      <x:c r="C21" s="722">
        <x:v>181</x:v>
      </x:c>
      <x:c r="D21" s="722" t="s">
        <x:v>1194</x:v>
      </x:c>
    </x:row>
    <x:row r="22" spans="1:6">
      <x:c r="A22" s="722" t="s">
        <x:v>1090</x:v>
      </x:c>
      <x:c r="B22" s="722" t="s">
        <x:v>1090</x:v>
      </x:c>
      <x:c r="C22" s="722">
        <x:v>403</x:v>
      </x:c>
      <x:c r="D22" s="722" t="s">
        <x:v>1194</x:v>
      </x:c>
    </x:row>
    <x:row r="23" spans="1:6">
      <x:c r="A23" s="722" t="s">
        <x:v>1089</x:v>
      </x:c>
      <x:c r="B23" s="722" t="s">
        <x:v>1089</x:v>
      </x:c>
      <x:c r="C23" s="722">
        <x:v>416</x:v>
      </x:c>
      <x:c r="D23" s="722" t="s">
        <x:v>1194</x:v>
      </x:c>
    </x:row>
    <x:row r="24" spans="1:6">
      <x:c r="A24" s="722" t="s">
        <x:v>1087</x:v>
      </x:c>
      <x:c r="B24" s="722" t="s">
        <x:v>1087</x:v>
      </x:c>
      <x:c r="C24" s="722">
        <x:v>153</x:v>
      </x:c>
      <x:c r="D24" s="722" t="s">
        <x:v>1194</x:v>
      </x:c>
    </x:row>
    <x:row r="25" spans="1:6">
      <x:c r="A25" s="722" t="s">
        <x:v>1091</x:v>
      </x:c>
      <x:c r="B25" s="722" t="s">
        <x:v>1091</x:v>
      </x:c>
      <x:c r="C25" s="722">
        <x:v>108</x:v>
      </x:c>
      <x:c r="D25" s="722" t="s">
        <x:v>1194</x:v>
      </x:c>
    </x:row>
    <x:row r="26" spans="1:6">
      <x:c r="A26" s="722" t="s">
        <x:v>1092</x:v>
      </x:c>
      <x:c r="B26" s="722" t="s">
        <x:v>1092</x:v>
      </x:c>
      <x:c r="C26" s="722">
        <x:v>308</x:v>
      </x:c>
      <x:c r="D26" s="722" t="s">
        <x:v>1194</x:v>
      </x:c>
    </x:row>
    <x:row r="27" spans="1:6">
      <x:c r="A27" s="722" t="s">
        <x:v>1084</x:v>
      </x:c>
      <x:c r="B27" s="722" t="s">
        <x:v>1084</x:v>
      </x:c>
      <x:c r="C27" s="722">
        <x:v>233</x:v>
      </x:c>
      <x:c r="D27" s="722" t="s">
        <x:v>1194</x:v>
      </x:c>
    </x:row>
    <x:row r="28" spans="1:6">
      <x:c r="A28" s="722" t="s">
        <x:v>1187</x:v>
      </x:c>
      <x:c r="B28" s="722" t="s">
        <x:v>1083</x:v>
      </x:c>
      <x:c r="C28" s="722">
        <x:v>184</x:v>
      </x:c>
      <x:c r="D28" s="722" t="s">
        <x:v>1194</x:v>
      </x:c>
    </x:row>
    <x:row r="29" spans="1:6">
      <x:c r="A29" s="722" t="s">
        <x:v>1085</x:v>
      </x:c>
      <x:c r="B29" s="722" t="s">
        <x:v>1085</x:v>
      </x:c>
      <x:c r="C29" s="722">
        <x:v>200</x:v>
      </x:c>
      <x:c r="D29" s="722" t="s">
        <x:v>1194</x:v>
      </x:c>
    </x:row>
    <x:row r="30" spans="1:6">
      <x:c r="A30" s="722" t="s">
        <x:v>1086</x:v>
      </x:c>
      <x:c r="B30" s="722" t="s">
        <x:v>1086</x:v>
      </x:c>
      <x:c r="C30" s="722">
        <x:v>414</x:v>
      </x:c>
      <x:c r="D30" s="722" t="s">
        <x:v>1194</x:v>
      </x:c>
    </x:row>
    <x:row r="31" spans="1:6">
      <x:c r="A31" s="722" t="s">
        <x:v>1093</x:v>
      </x:c>
      <x:c r="B31" s="722" t="s">
        <x:v>1093</x:v>
      </x:c>
      <x:c r="C31" s="722">
        <x:v>446</x:v>
      </x:c>
      <x:c r="D31" s="722" t="s">
        <x:v>1194</x:v>
      </x:c>
    </x:row>
    <x:row r="32" spans="1:6">
      <x:c r="A32" s="722" t="s">
        <x:v>1094</x:v>
      </x:c>
      <x:c r="B32" s="722" t="s">
        <x:v>1094</x:v>
      </x:c>
      <x:c r="C32" s="722">
        <x:v>935</x:v>
      </x:c>
      <x:c r="D32" s="722" t="s">
        <x:v>1194</x:v>
      </x:c>
    </x:row>
    <x:row r="33" spans="1:6">
      <x:c r="A33" s="722" t="s">
        <x:v>1141</x:v>
      </x:c>
      <x:c r="B33" s="722" t="s">
        <x:v>1095</x:v>
      </x:c>
      <x:c r="C33" s="722">
        <x:v>143</x:v>
      </x:c>
      <x:c r="D33" s="722" t="s">
        <x:v>1194</x:v>
      </x:c>
    </x:row>
    <x:row r="36" spans="1:6">
      <x:c r="A36" s="720" t="s">
        <x:v>1186</x:v>
      </x:c>
    </x:row>
    <x:row r="37" spans="1:6">
      <x:c r="A37" s="723" t="s">
        <x:v>1185</x:v>
      </x:c>
      <x:c r="B37" s="723" t="s">
        <x:v>1184</x:v>
      </x:c>
    </x:row>
    <x:row r="38" spans="1:6">
      <x:c r="A38" s="724" t="s">
        <x:v>1183</x:v>
      </x:c>
      <x:c r="B38" s="724" t="s">
        <x:v>1182</x:v>
      </x:c>
    </x:row>
    <x:row r="41" spans="1:6">
      <x:c r="A41" s="725" t="s">
        <x:v>1161</x:v>
      </x:c>
    </x:row>
    <x:row r="42" spans="1:6">
      <x:c r="A42" s="721" t="s">
        <x:v>1159</x:v>
      </x:c>
      <x:c r="B42" s="721" t="s">
        <x:v>1181</x:v>
      </x:c>
    </x:row>
    <x:row r="43" spans="1:6">
      <x:c r="A43" s="724" t="s">
        <x:v>1180</x:v>
      </x:c>
      <x:c r="B43" s="724">
        <x:v>5457</x:v>
      </x:c>
    </x:row>
    <x:row r="44" spans="1:6">
      <x:c r="A44" s="724" t="s">
        <x:v>1179</x:v>
      </x:c>
      <x:c r="B44" s="724">
        <x:v>1549</x:v>
      </x:c>
    </x:row>
    <x:row r="45" spans="1:6">
      <x:c r="A45" s="724" t="s">
        <x:v>1178</x:v>
      </x:c>
      <x:c r="B45" s="724">
        <x:v>495</x:v>
      </x:c>
    </x:row>
    <x:row r="46" spans="1:6">
      <x:c r="A46" s="724" t="s">
        <x:v>1177</x:v>
      </x:c>
      <x:c r="B46" s="724">
        <x:v>0</x:v>
      </x:c>
    </x:row>
    <x:row r="49" spans="1:6">
      <x:c r="A49" s="720" t="s">
        <x:v>1176</x:v>
      </x:c>
    </x:row>
    <x:row r="50" spans="1:6">
      <x:c r="A50" s="721" t="s">
        <x:v>1191</x:v>
      </x:c>
      <x:c r="B50" s="721" t="s">
        <x:v>1142</x:v>
      </x:c>
      <x:c r="C50" s="721" t="s">
        <x:v>1195</x:v>
      </x:c>
    </x:row>
    <x:row r="51" spans="1:6">
      <x:c r="A51" s="723"/>
      <x:c r="B51" s="723"/>
      <x:c r="C51" s="723" t="s">
        <x:v>1175</x:v>
      </x:c>
    </x:row>
    <x:row r="52" spans="1:6">
      <x:c r="A52" s="723"/>
      <x:c r="B52" s="723"/>
      <x:c r="C52" s="723" t="s">
        <x:v>1175</x:v>
      </x:c>
    </x:row>
    <x:row r="55" spans="1:6">
      <x:c r="A55" s="724" t="s">
        <x:v>1174</x:v>
      </x:c>
      <x:c r="B55" s="724">
        <x:v>0</x:v>
      </x:c>
    </x:row>
    <x:row r="58" spans="1:6">
      <x:c r="A58" s="720" t="s">
        <x:v>1173</x:v>
      </x:c>
    </x:row>
    <x:row r="59" spans="1:6">
      <x:c r="A59" s="722" t="s">
        <x:v>1172</x:v>
      </x:c>
    </x:row>
    <x:row r="62" spans="1:6">
      <x:c r="A62" s="720" t="s">
        <x:v>1171</x:v>
      </x:c>
    </x:row>
    <x:row r="63" spans="1:6">
      <x:c r="A63" s="722" t="s">
        <x:v>1170</x:v>
      </x:c>
    </x:row>
    <x:row r="66" spans="1:6">
      <x:c r="A66" s="720" t="s">
        <x:v>1169</x:v>
      </x:c>
    </x:row>
    <x:row r="67" spans="1:6">
      <x:c r="A67" s="721" t="s">
        <x:v>1142</x:v>
      </x:c>
      <x:c r="B67" s="721" t="s">
        <x:v>1164</x:v>
      </x:c>
      <x:c r="C67" s="721" t="s">
        <x:v>1168</x:v>
      </x:c>
      <x:c r="D67" s="721" t="s">
        <x:v>1167</x:v>
      </x:c>
    </x:row>
    <x:row r="68" spans="1:6">
      <x:c r="A68" s="723" t="s">
        <x:v>1081</x:v>
      </x:c>
      <x:c r="B68" s="723" t="s">
        <x:v>1166</x:v>
      </x:c>
      <x:c r="C68" s="723" t="s">
        <x:v>371</x:v>
      </x:c>
      <x:c r="D68" s="723">
        <x:v>95.8333333333333</x:v>
      </x:c>
    </x:row>
    <x:row r="69" spans="1:6">
      <x:c r="A69" s="723" t="s">
        <x:v>1081</x:v>
      </x:c>
      <x:c r="B69" s="723" t="s">
        <x:v>1165</x:v>
      </x:c>
      <x:c r="C69" s="723" t="s">
        <x:v>296</x:v>
      </x:c>
      <x:c r="D69" s="723">
        <x:v>95.8333333333333</x:v>
      </x:c>
    </x:row>
    <x:row r="72" spans="1:6">
      <x:c r="A72" s="720" t="s">
        <x:v>1163</x:v>
      </x:c>
    </x:row>
    <x:row r="73" spans="1:6">
      <x:c r="A73" s="721" t="s">
        <x:v>1142</x:v>
      </x:c>
      <x:c r="B73" s="721" t="s">
        <x:v>1164</x:v>
      </x:c>
      <x:c r="C73" s="721" t="s">
        <x:v>1168</x:v>
      </x:c>
    </x:row>
    <x:row r="74" spans="1:6">
      <x:c r="A74" s="724" t="s">
        <x:v>1095</x:v>
      </x:c>
      <x:c r="B74" s="724" t="s">
        <x:v>1162</x:v>
      </x:c>
      <x:c r="C74" s="724" t="s">
        <x:v>1028</x:v>
      </x:c>
    </x:row>
    <x:row r="75" spans="1:6">
      <x:c r="A75" s="724" t="s">
        <x:v>1095</x:v>
      </x:c>
      <x:c r="B75" s="724" t="s">
        <x:v>1160</x:v>
      </x:c>
      <x:c r="C75" s="724" t="s">
        <x:v>1026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35</vt:i4>
      </vt:variant>
      <vt:variant>
        <vt:lpstr>Named Ranges</vt:lpstr>
      </vt:variant>
      <vt:variant>
        <vt:i4>71</vt:i4>
      </vt:variant>
    </vt:vector>
  </ap:HeadingPairs>
  <ap:TitlesOfParts>
    <vt:vector baseType="lpstr" size="106">
      <vt:lpstr>ШР</vt:lpstr>
      <vt:lpstr>Сводная</vt:lpstr>
      <vt:lpstr>ЭЛОУ-АВТ-6</vt:lpstr>
      <vt:lpstr>ГФУ-2</vt:lpstr>
      <vt:lpstr>ВБ</vt:lpstr>
      <vt:lpstr>УПБ</vt:lpstr>
      <vt:lpstr>ЛЧ_35_11_1000</vt:lpstr>
      <vt:lpstr>УИЛН+КЦА</vt:lpstr>
      <vt:lpstr>ЛЧ_24_2000</vt:lpstr>
      <vt:lpstr>Л 24_5</vt:lpstr>
      <vt:lpstr>МТБЭ</vt:lpstr>
      <vt:lpstr>ГОБКК</vt:lpstr>
      <vt:lpstr>УПС</vt:lpstr>
      <vt:lpstr>УПВ</vt:lpstr>
      <vt:lpstr>ФУиУСУГиП</vt:lpstr>
      <vt:lpstr>ТАМЕ</vt:lpstr>
      <vt:lpstr>Г-43-107</vt:lpstr>
      <vt:lpstr>КУПН</vt:lpstr>
      <vt:lpstr>УПА</vt:lpstr>
      <vt:lpstr>Котельные</vt:lpstr>
      <vt:lpstr>ЦВК</vt:lpstr>
      <vt:lpstr>ХВП</vt:lpstr>
      <vt:lpstr>ГРС</vt:lpstr>
      <vt:lpstr>АСБиКТ</vt:lpstr>
      <vt:lpstr>СНМиВГ</vt:lpstr>
      <vt:lpstr>БРиДТ</vt:lpstr>
      <vt:lpstr>РХиПНО</vt:lpstr>
      <vt:lpstr>ЭНСН</vt:lpstr>
      <vt:lpstr>КОС</vt:lpstr>
      <vt:lpstr>БОВ-8а</vt:lpstr>
      <vt:lpstr>ЦУП</vt:lpstr>
      <vt:lpstr>Шаблон</vt:lpstr>
      <vt:lpstr>График посещаемости</vt:lpstr>
      <vt:lpstr>Новые сотрудники</vt:lpstr>
      <vt:lpstr>Отчёт обработки</vt:lpstr>
      <vt:lpstr>ШР!_xlnm._FilterDatabase</vt:lpstr>
      <vt:lpstr>ШР!Print_Area</vt:lpstr>
      <vt:lpstr>ШР!Print_Titles</vt:lpstr>
      <vt:lpstr>Сводная!Print_Area</vt:lpstr>
      <vt:lpstr>Сводная!Print_Titles</vt:lpstr>
      <vt:lpstr>ЭЛОУ-АВТ-6!Print_Area</vt:lpstr>
      <vt:lpstr>ЭЛОУ-АВТ-6!Print_Titles</vt:lpstr>
      <vt:lpstr>ГФУ-2!Print_Area</vt:lpstr>
      <vt:lpstr>ГФУ-2!Print_Titles</vt:lpstr>
      <vt:lpstr>ВБ!Print_Area</vt:lpstr>
      <vt:lpstr>ВБ!Print_Titles</vt:lpstr>
      <vt:lpstr>УПБ!Print_Area</vt:lpstr>
      <vt:lpstr>УПБ!Print_Titles</vt:lpstr>
      <vt:lpstr>ЛЧ_35_11_1000!Print_Area</vt:lpstr>
      <vt:lpstr>ЛЧ_35_11_1000!Print_Titles</vt:lpstr>
      <vt:lpstr>УИЛН+КЦА!Print_Area</vt:lpstr>
      <vt:lpstr>УИЛН+КЦА!Print_Titles</vt:lpstr>
      <vt:lpstr>ЛЧ_24_2000!Print_Area</vt:lpstr>
      <vt:lpstr>ЛЧ_24_2000!Print_Titles</vt:lpstr>
      <vt:lpstr>Л 24_5!Print_Area</vt:lpstr>
      <vt:lpstr>Л 24_5!Print_Titles</vt:lpstr>
      <vt:lpstr>МТБЭ!Print_Area</vt:lpstr>
      <vt:lpstr>МТБЭ!Print_Titles</vt:lpstr>
      <vt:lpstr>ГОБКК!Print_Area</vt:lpstr>
      <vt:lpstr>ГОБКК!Print_Titles</vt:lpstr>
      <vt:lpstr>УПС!Print_Area</vt:lpstr>
      <vt:lpstr>УПС!Print_Titles</vt:lpstr>
      <vt:lpstr>УПВ!Print_Area</vt:lpstr>
      <vt:lpstr>УПВ!Print_Titles</vt:lpstr>
      <vt:lpstr>ФУиУСУГиП!Print_Area</vt:lpstr>
      <vt:lpstr>ФУиУСУГиП!Print_Titles</vt:lpstr>
      <vt:lpstr>ТАМЕ!Print_Area</vt:lpstr>
      <vt:lpstr>ТАМЕ!Print_Titles</vt:lpstr>
      <vt:lpstr>Г-43-107!Print_Area</vt:lpstr>
      <vt:lpstr>Г-43-107!Print_Titles</vt:lpstr>
      <vt:lpstr>КУПН!Print_Area</vt:lpstr>
      <vt:lpstr>КУПН!Print_Titles</vt:lpstr>
      <vt:lpstr>УПА!Print_Area</vt:lpstr>
      <vt:lpstr>УПА!Print_Titles</vt:lpstr>
      <vt:lpstr>Котельные!Print_Area</vt:lpstr>
      <vt:lpstr>Котельные!Print_Titles</vt:lpstr>
      <vt:lpstr>ЦВК!Print_Area</vt:lpstr>
      <vt:lpstr>ЦВК!Print_Titles</vt:lpstr>
      <vt:lpstr>ХВП!Print_Area</vt:lpstr>
      <vt:lpstr>ХВП!Print_Titles</vt:lpstr>
      <vt:lpstr>ГРС!Print_Area</vt:lpstr>
      <vt:lpstr>ГРС!Print_Titles</vt:lpstr>
      <vt:lpstr>АСБиКТ!Print_Area</vt:lpstr>
      <vt:lpstr>АСБиКТ!Print_Titles</vt:lpstr>
      <vt:lpstr>СНМиВГ!Print_Area</vt:lpstr>
      <vt:lpstr>СНМиВГ!Print_Titles</vt:lpstr>
      <vt:lpstr>БРиДТ!Print_Area</vt:lpstr>
      <vt:lpstr>БРиДТ!Print_Titles</vt:lpstr>
      <vt:lpstr>РХиПНО!Print_Area</vt:lpstr>
      <vt:lpstr>РХиПНО!Print_Titles</vt:lpstr>
      <vt:lpstr>ЭНСН!Print_Area</vt:lpstr>
      <vt:lpstr>ЭНСН!Print_Titles</vt:lpstr>
      <vt:lpstr>КОС!Print_Area</vt:lpstr>
      <vt:lpstr>КОС!Print_Titles</vt:lpstr>
      <vt:lpstr>БОВ-8а!Print_Area</vt:lpstr>
      <vt:lpstr>БОВ-8а!Print_Titles</vt:lpstr>
      <vt:lpstr>ЦУП!Print_Area</vt:lpstr>
      <vt:lpstr>ЦУП!Print_Titles</vt:lpstr>
      <vt:lpstr>Шаблон!Print_Area</vt:lpstr>
      <vt:lpstr>Шаблон!Print_Titles</vt:lpstr>
      <vt:lpstr>График посещаемости!Print_Area</vt:lpstr>
      <vt:lpstr>График посещаемости!Print_Titles</vt:lpstr>
      <vt:lpstr>Новые сотрудники!Print_Area</vt:lpstr>
      <vt:lpstr>Новые сотрудники!Print_Titles</vt:lpstr>
      <vt:lpstr>Отчёт обработки!Print_Area</vt:lpstr>
      <vt:lpstr>Отчёт обработки!Print_Titles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Грачева Ольга Георгиевна</dc:creator>
  <lastModifiedBy>MSI</lastModifiedBy>
  <revision>4</revision>
  <dcterms:created xsi:type="dcterms:W3CDTF">2026-07-16T10:53:46.0000000Z</dcterms:created>
  <dcterms:modified xsi:type="dcterms:W3CDTF">2026-09-03T12:25:41.0000000Z</dcterms:modified>
</coreProperties>
</file>